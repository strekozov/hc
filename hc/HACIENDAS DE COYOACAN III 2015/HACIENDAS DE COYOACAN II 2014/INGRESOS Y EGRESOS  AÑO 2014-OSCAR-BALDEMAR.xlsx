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sala\Documents\HACIENDAS DE COYOACAN II\"/>
    </mc:Choice>
  </mc:AlternateContent>
  <bookViews>
    <workbookView xWindow="120" yWindow="405" windowWidth="23715" windowHeight="9225" activeTab="1"/>
  </bookViews>
  <sheets>
    <sheet name="FEBRERO-14_1" sheetId="1" r:id="rId1"/>
    <sheet name="ENERO-14)" sheetId="6" r:id="rId2"/>
    <sheet name="FEBRERO-14" sheetId="7" r:id="rId3"/>
    <sheet name="MARZO-14" sheetId="4" r:id="rId4"/>
    <sheet name="ABRIL-14 " sheetId="5" r:id="rId5"/>
    <sheet name="MAYO-14 (2)" sheetId="8" r:id="rId6"/>
    <sheet name="JUNIO-14 (2)" sheetId="9" r:id="rId7"/>
    <sheet name="JULIO-14 (2)" sheetId="10" r:id="rId8"/>
    <sheet name="AGOSTO-14 (2)" sheetId="11" r:id="rId9"/>
    <sheet name="SEPT-14 (2)" sheetId="12" r:id="rId10"/>
    <sheet name="OCTUBRE-14 (2)" sheetId="13" r:id="rId11"/>
    <sheet name="NOVIEMBRE-14 (2)" sheetId="14" r:id="rId12"/>
    <sheet name="DICIEMBRE-14" sheetId="2" r:id="rId13"/>
    <sheet name="Hoja3" sheetId="3" r:id="rId14"/>
  </sheets>
  <definedNames>
    <definedName name="_xlnm.Print_Area" localSheetId="4">'ABRIL-14 '!$B$1:$F$60</definedName>
    <definedName name="_xlnm.Print_Area" localSheetId="8">'AGOSTO-14 (2)'!$B$1:$F$53</definedName>
    <definedName name="_xlnm.Print_Area" localSheetId="12">'DICIEMBRE-14'!$B$1:$F$55</definedName>
    <definedName name="_xlnm.Print_Area" localSheetId="1">'ENERO-14)'!$B$1:$F$62</definedName>
    <definedName name="_xlnm.Print_Area" localSheetId="2">'FEBRERO-14'!$B$1:$F$47</definedName>
    <definedName name="_xlnm.Print_Area" localSheetId="0">'FEBRERO-14_1'!$A$2:$C$27</definedName>
    <definedName name="_xlnm.Print_Area" localSheetId="7">'JULIO-14 (2)'!$B$1:$F$62</definedName>
    <definedName name="_xlnm.Print_Area" localSheetId="6">'JUNIO-14 (2)'!$B$1:$F$56</definedName>
    <definedName name="_xlnm.Print_Area" localSheetId="3">'MARZO-14'!$B$1:$F$47</definedName>
    <definedName name="_xlnm.Print_Area" localSheetId="5">'MAYO-14 (2)'!$B$1:$F$69</definedName>
    <definedName name="_xlnm.Print_Area" localSheetId="11">'NOVIEMBRE-14 (2)'!$B$1:$F$54</definedName>
    <definedName name="_xlnm.Print_Area" localSheetId="10">'OCTUBRE-14 (2)'!$B$1:$F$54</definedName>
    <definedName name="_xlnm.Print_Area" localSheetId="9">'SEPT-14 (2)'!$B$1:$F$57</definedName>
  </definedNames>
  <calcPr calcId="171027"/>
</workbook>
</file>

<file path=xl/calcChain.xml><?xml version="1.0" encoding="utf-8"?>
<calcChain xmlns="http://schemas.openxmlformats.org/spreadsheetml/2006/main">
  <c r="D64" i="6" l="1"/>
  <c r="E62" i="6"/>
  <c r="F6" i="2" l="1"/>
  <c r="E54" i="14" l="1"/>
  <c r="D54" i="14"/>
  <c r="F6" i="14"/>
  <c r="F7" i="14" s="1"/>
  <c r="F8" i="14" s="1"/>
  <c r="F9" i="14" s="1"/>
  <c r="F10" i="14" s="1"/>
  <c r="F11" i="14" s="1"/>
  <c r="F12" i="14" s="1"/>
  <c r="F13" i="14" s="1"/>
  <c r="F14" i="14" s="1"/>
  <c r="F15" i="14" s="1"/>
  <c r="F16" i="14" s="1"/>
  <c r="F17" i="14" s="1"/>
  <c r="F18" i="14" s="1"/>
  <c r="F19" i="14" s="1"/>
  <c r="F20" i="14" s="1"/>
  <c r="F21" i="14" s="1"/>
  <c r="F22" i="14" s="1"/>
  <c r="F23" i="14" s="1"/>
  <c r="F24" i="14" s="1"/>
  <c r="F25" i="14" s="1"/>
  <c r="F26" i="14" s="1"/>
  <c r="F27" i="14" s="1"/>
  <c r="F28" i="14" s="1"/>
  <c r="F29" i="14" s="1"/>
  <c r="F30" i="14" s="1"/>
  <c r="F31" i="14" s="1"/>
  <c r="F32" i="14" s="1"/>
  <c r="F33" i="14" s="1"/>
  <c r="F34" i="14" s="1"/>
  <c r="F35" i="14" s="1"/>
  <c r="F36" i="14" s="1"/>
  <c r="F37" i="14" s="1"/>
  <c r="F38" i="14" s="1"/>
  <c r="F39" i="14" s="1"/>
  <c r="F40" i="14" s="1"/>
  <c r="F41" i="14" s="1"/>
  <c r="F42" i="14" s="1"/>
  <c r="F43" i="14" s="1"/>
  <c r="F44" i="14" s="1"/>
  <c r="F45" i="14" s="1"/>
  <c r="F46" i="14" s="1"/>
  <c r="F47" i="14" s="1"/>
  <c r="F48" i="14" s="1"/>
  <c r="F49" i="14" s="1"/>
  <c r="F50" i="14" s="1"/>
  <c r="F51" i="14" s="1"/>
  <c r="F52" i="14" s="1"/>
  <c r="F53" i="14" s="1"/>
  <c r="E54" i="13" l="1"/>
  <c r="D54" i="13"/>
  <c r="F6" i="13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F33" i="13" s="1"/>
  <c r="F34" i="13" s="1"/>
  <c r="F35" i="13" s="1"/>
  <c r="F36" i="13" s="1"/>
  <c r="F37" i="13" s="1"/>
  <c r="F38" i="13" s="1"/>
  <c r="F39" i="13" s="1"/>
  <c r="F40" i="13" s="1"/>
  <c r="F41" i="13" s="1"/>
  <c r="F42" i="13" s="1"/>
  <c r="F43" i="13" s="1"/>
  <c r="F44" i="13" s="1"/>
  <c r="F45" i="13" s="1"/>
  <c r="F46" i="13" s="1"/>
  <c r="F47" i="13" s="1"/>
  <c r="F48" i="13" s="1"/>
  <c r="F49" i="13" s="1"/>
  <c r="F50" i="13" s="1"/>
  <c r="F51" i="13" s="1"/>
  <c r="F52" i="13" s="1"/>
  <c r="F53" i="13" s="1"/>
  <c r="F6" i="8" l="1"/>
  <c r="F7" i="8" s="1"/>
  <c r="F8" i="8" s="1"/>
  <c r="F9" i="8" s="1"/>
  <c r="F10" i="8" s="1"/>
  <c r="F11" i="8" s="1"/>
  <c r="F12" i="8" s="1"/>
  <c r="F13" i="8" s="1"/>
  <c r="F14" i="8" s="1"/>
  <c r="E57" i="12" l="1"/>
  <c r="D57" i="12"/>
  <c r="F6" i="12"/>
  <c r="F7" i="12" s="1"/>
  <c r="F8" i="12" s="1"/>
  <c r="F9" i="12" s="1"/>
  <c r="F10" i="12" s="1"/>
  <c r="F11" i="12" s="1"/>
  <c r="F12" i="12" s="1"/>
  <c r="F13" i="12" s="1"/>
  <c r="F14" i="12" s="1"/>
  <c r="F15" i="12" s="1"/>
  <c r="F16" i="12" s="1"/>
  <c r="F17" i="12" s="1"/>
  <c r="F18" i="12" s="1"/>
  <c r="F19" i="12" s="1"/>
  <c r="F20" i="12" s="1"/>
  <c r="F21" i="12" s="1"/>
  <c r="F22" i="12" s="1"/>
  <c r="F23" i="12" s="1"/>
  <c r="F24" i="12" s="1"/>
  <c r="F25" i="12" s="1"/>
  <c r="F26" i="12" s="1"/>
  <c r="F27" i="12" s="1"/>
  <c r="F28" i="12" s="1"/>
  <c r="F29" i="12" s="1"/>
  <c r="F30" i="12" s="1"/>
  <c r="F31" i="12" s="1"/>
  <c r="F32" i="12" s="1"/>
  <c r="F33" i="12" s="1"/>
  <c r="F34" i="12" s="1"/>
  <c r="F35" i="12" s="1"/>
  <c r="F36" i="12" s="1"/>
  <c r="F37" i="12" s="1"/>
  <c r="F38" i="12" s="1"/>
  <c r="F39" i="12" s="1"/>
  <c r="F40" i="12" s="1"/>
  <c r="F41" i="12" s="1"/>
  <c r="F42" i="12" s="1"/>
  <c r="F43" i="12" s="1"/>
  <c r="F44" i="12" s="1"/>
  <c r="F45" i="12" s="1"/>
  <c r="F46" i="12" s="1"/>
  <c r="F47" i="12" s="1"/>
  <c r="F48" i="12" s="1"/>
  <c r="F49" i="12" s="1"/>
  <c r="F50" i="12" s="1"/>
  <c r="F51" i="12" s="1"/>
  <c r="F52" i="12" s="1"/>
  <c r="F53" i="12" s="1"/>
  <c r="F54" i="12" s="1"/>
  <c r="F55" i="12" s="1"/>
  <c r="F56" i="12" s="1"/>
  <c r="F7" i="2" l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E53" i="11" l="1"/>
  <c r="D53" i="11"/>
  <c r="F6" i="11"/>
  <c r="F7" i="11" s="1"/>
  <c r="F8" i="11" s="1"/>
  <c r="F9" i="11" s="1"/>
  <c r="F10" i="11" s="1"/>
  <c r="F11" i="11" s="1"/>
  <c r="F12" i="11" s="1"/>
  <c r="F13" i="11" s="1"/>
  <c r="F14" i="11" s="1"/>
  <c r="F15" i="11" s="1"/>
  <c r="F16" i="11" s="1"/>
  <c r="F17" i="11" s="1"/>
  <c r="F18" i="11" s="1"/>
  <c r="F19" i="11" s="1"/>
  <c r="F20" i="11" s="1"/>
  <c r="F21" i="11" s="1"/>
  <c r="F22" i="11" s="1"/>
  <c r="F23" i="11" s="1"/>
  <c r="F24" i="11" s="1"/>
  <c r="F25" i="11" s="1"/>
  <c r="F26" i="11" s="1"/>
  <c r="F27" i="11" s="1"/>
  <c r="F28" i="11" s="1"/>
  <c r="F29" i="11" s="1"/>
  <c r="F30" i="11" s="1"/>
  <c r="F31" i="11" s="1"/>
  <c r="F32" i="11" s="1"/>
  <c r="F33" i="11" s="1"/>
  <c r="F34" i="11" s="1"/>
  <c r="F35" i="11" s="1"/>
  <c r="F36" i="11" s="1"/>
  <c r="F37" i="11" s="1"/>
  <c r="F38" i="11" s="1"/>
  <c r="F39" i="11" s="1"/>
  <c r="F40" i="11" s="1"/>
  <c r="F41" i="11" s="1"/>
  <c r="F42" i="11" s="1"/>
  <c r="F43" i="11" s="1"/>
  <c r="F44" i="11" s="1"/>
  <c r="F45" i="11" s="1"/>
  <c r="F46" i="11" s="1"/>
  <c r="F47" i="11" s="1"/>
  <c r="F48" i="11" s="1"/>
  <c r="F49" i="11" s="1"/>
  <c r="F50" i="11" s="1"/>
  <c r="F51" i="11" s="1"/>
  <c r="F52" i="11" s="1"/>
  <c r="E62" i="10" l="1"/>
  <c r="E55" i="2" l="1"/>
  <c r="D55" i="2" l="1"/>
  <c r="D62" i="10"/>
  <c r="F6" i="10"/>
  <c r="F7" i="10" s="1"/>
  <c r="F8" i="10" s="1"/>
  <c r="F9" i="10" s="1"/>
  <c r="F10" i="10" s="1"/>
  <c r="F11" i="10" s="1"/>
  <c r="F12" i="10" s="1"/>
  <c r="F13" i="10" s="1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F29" i="10" s="1"/>
  <c r="F30" i="10" s="1"/>
  <c r="F31" i="10" s="1"/>
  <c r="F32" i="10" s="1"/>
  <c r="F33" i="10" s="1"/>
  <c r="F34" i="10" s="1"/>
  <c r="F35" i="10" s="1"/>
  <c r="F36" i="10" s="1"/>
  <c r="F37" i="10" s="1"/>
  <c r="F38" i="10" s="1"/>
  <c r="F39" i="10" s="1"/>
  <c r="F40" i="10" s="1"/>
  <c r="F41" i="10" s="1"/>
  <c r="F42" i="10" s="1"/>
  <c r="F43" i="10" s="1"/>
  <c r="F44" i="10" s="1"/>
  <c r="F45" i="10" s="1"/>
  <c r="F46" i="10" s="1"/>
  <c r="F47" i="10" s="1"/>
  <c r="F48" i="10" s="1"/>
  <c r="F49" i="10" s="1"/>
  <c r="F50" i="10" s="1"/>
  <c r="F51" i="10" s="1"/>
  <c r="F52" i="10" s="1"/>
  <c r="F53" i="10" s="1"/>
  <c r="F54" i="10" s="1"/>
  <c r="F55" i="10" s="1"/>
  <c r="F56" i="10" s="1"/>
  <c r="F57" i="10" s="1"/>
  <c r="F58" i="10" s="1"/>
  <c r="F59" i="10" s="1"/>
  <c r="F60" i="10" s="1"/>
  <c r="F61" i="10" s="1"/>
  <c r="E56" i="9" l="1"/>
  <c r="D56" i="9"/>
  <c r="F6" i="9"/>
  <c r="F7" i="9" s="1"/>
  <c r="F8" i="9" s="1"/>
  <c r="F9" i="9" s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F32" i="9" s="1"/>
  <c r="F33" i="9" s="1"/>
  <c r="F34" i="9" s="1"/>
  <c r="F35" i="9" s="1"/>
  <c r="F36" i="9" s="1"/>
  <c r="F37" i="9" s="1"/>
  <c r="F38" i="9" s="1"/>
  <c r="F39" i="9" s="1"/>
  <c r="F40" i="9" s="1"/>
  <c r="F41" i="9" s="1"/>
  <c r="F42" i="9" s="1"/>
  <c r="F43" i="9" s="1"/>
  <c r="F44" i="9" s="1"/>
  <c r="F45" i="9" s="1"/>
  <c r="F46" i="9" s="1"/>
  <c r="F47" i="9" s="1"/>
  <c r="F48" i="9" s="1"/>
  <c r="F49" i="9" s="1"/>
  <c r="F50" i="9" s="1"/>
  <c r="F51" i="9" s="1"/>
  <c r="F52" i="9" s="1"/>
  <c r="F53" i="9" s="1"/>
  <c r="F54" i="9" s="1"/>
  <c r="F55" i="9" s="1"/>
  <c r="E69" i="8" l="1"/>
  <c r="E65" i="8"/>
  <c r="D65" i="8"/>
  <c r="F15" i="8"/>
  <c r="F16" i="8" s="1"/>
  <c r="F17" i="8" s="1"/>
  <c r="F18" i="8" s="1"/>
  <c r="F19" i="8" s="1"/>
  <c r="F20" i="8" s="1"/>
  <c r="F21" i="8" s="1"/>
  <c r="F22" i="8" s="1"/>
  <c r="F23" i="8" s="1"/>
  <c r="F24" i="8" s="1"/>
  <c r="F25" i="8" s="1"/>
  <c r="F26" i="8" s="1"/>
  <c r="F27" i="8" s="1"/>
  <c r="F28" i="8" s="1"/>
  <c r="F29" i="8" s="1"/>
  <c r="F30" i="8" s="1"/>
  <c r="F31" i="8" s="1"/>
  <c r="F32" i="8" s="1"/>
  <c r="F33" i="8" s="1"/>
  <c r="F34" i="8" s="1"/>
  <c r="F35" i="8" s="1"/>
  <c r="F36" i="8" s="1"/>
  <c r="F37" i="8" s="1"/>
  <c r="F38" i="8" s="1"/>
  <c r="F39" i="8" s="1"/>
  <c r="F40" i="8" s="1"/>
  <c r="F41" i="8" s="1"/>
  <c r="F42" i="8" s="1"/>
  <c r="F43" i="8" s="1"/>
  <c r="F44" i="8" s="1"/>
  <c r="F45" i="8" s="1"/>
  <c r="F46" i="8" s="1"/>
  <c r="F47" i="8" s="1"/>
  <c r="F48" i="8" s="1"/>
  <c r="F49" i="8" s="1"/>
  <c r="F50" i="8" s="1"/>
  <c r="F51" i="8" s="1"/>
  <c r="F52" i="8" s="1"/>
  <c r="F53" i="8" s="1"/>
  <c r="F54" i="8" s="1"/>
  <c r="F55" i="8" s="1"/>
  <c r="F56" i="8" s="1"/>
  <c r="F57" i="8" s="1"/>
  <c r="F58" i="8" s="1"/>
  <c r="F59" i="8" s="1"/>
  <c r="F60" i="8" s="1"/>
  <c r="F61" i="8" s="1"/>
  <c r="F62" i="8" s="1"/>
  <c r="F63" i="8" s="1"/>
  <c r="F64" i="8" s="1"/>
  <c r="F7" i="7" l="1"/>
  <c r="E60" i="5" l="1"/>
  <c r="E47" i="4"/>
  <c r="E47" i="7" l="1"/>
  <c r="F6" i="6" l="1"/>
  <c r="F7" i="6" s="1"/>
  <c r="F8" i="6" s="1"/>
  <c r="F9" i="6" s="1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F38" i="6" s="1"/>
  <c r="F39" i="6" s="1"/>
  <c r="F40" i="6" s="1"/>
  <c r="F8" i="7"/>
  <c r="F9" i="7" s="1"/>
  <c r="F10" i="7" s="1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E43" i="4" l="1"/>
  <c r="E35" i="7" l="1"/>
  <c r="D35" i="7"/>
  <c r="E41" i="6"/>
  <c r="E64" i="6" s="1"/>
  <c r="D41" i="6"/>
  <c r="F7" i="4" l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6" i="5" l="1"/>
  <c r="F7" i="5" s="1"/>
  <c r="E55" i="5"/>
  <c r="D55" i="5"/>
  <c r="F8" i="5" l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F38" i="5" s="1"/>
  <c r="F39" i="5" s="1"/>
  <c r="F40" i="5" s="1"/>
  <c r="F41" i="5" s="1"/>
  <c r="F42" i="5" s="1"/>
  <c r="F43" i="5" s="1"/>
  <c r="F44" i="5" s="1"/>
  <c r="F45" i="5" s="1"/>
  <c r="F46" i="5" s="1"/>
  <c r="F47" i="5" s="1"/>
  <c r="F48" i="5" s="1"/>
  <c r="F49" i="5" s="1"/>
  <c r="F50" i="5" s="1"/>
  <c r="F51" i="5" s="1"/>
  <c r="F52" i="5" s="1"/>
  <c r="F53" i="5" s="1"/>
  <c r="F54" i="5" s="1"/>
  <c r="D43" i="4"/>
  <c r="B27" i="1" l="1"/>
</calcChain>
</file>

<file path=xl/sharedStrings.xml><?xml version="1.0" encoding="utf-8"?>
<sst xmlns="http://schemas.openxmlformats.org/spreadsheetml/2006/main" count="716" uniqueCount="505">
  <si>
    <t>GASTOS DEL MES DE FEBRERO 2014</t>
  </si>
  <si>
    <t>TOTAL</t>
  </si>
  <si>
    <t>Agua Electropura</t>
  </si>
  <si>
    <t>Copifaz</t>
  </si>
  <si>
    <t>Telmex</t>
  </si>
  <si>
    <t>Office Max</t>
  </si>
  <si>
    <t>Nueva Walmart de México, S. A de C. V.</t>
  </si>
  <si>
    <t>Office Depot</t>
  </si>
  <si>
    <t>SAT</t>
  </si>
  <si>
    <t>Advance Servicio y Computo</t>
  </si>
  <si>
    <t>Siegrist Contadores Públicos</t>
  </si>
  <si>
    <t>MD Gran Formato</t>
  </si>
  <si>
    <t>Olegario Vázquez</t>
  </si>
  <si>
    <t>Roberto Miranda</t>
  </si>
  <si>
    <t>Herreria, Plomería, Electricidad y Cerrajeria</t>
  </si>
  <si>
    <t>Artemio Mora 2a Quincena Febrero/14</t>
  </si>
  <si>
    <t>Guardias y Custodias Privadas Gama 1a Quincena Feb/14</t>
  </si>
  <si>
    <t>Guardias y Custodias Privadas Gama 2a Quincena Feb/14</t>
  </si>
  <si>
    <t>Artemio Mora 1a Quincena Febrero/14</t>
  </si>
  <si>
    <t>Gloria Mazzon</t>
  </si>
  <si>
    <t>FECHA</t>
  </si>
  <si>
    <t>CONCEPTO</t>
  </si>
  <si>
    <t>INGRESOS</t>
  </si>
  <si>
    <t>DIFERENCIA</t>
  </si>
  <si>
    <t>EGRESOS</t>
  </si>
  <si>
    <t>Costco compra varias para limpieza casetas</t>
  </si>
  <si>
    <t>Advanced Servicio CCTV corregir problemas de plumas</t>
  </si>
  <si>
    <t>Electropura S, de R.L., de CV. Agua para casetas</t>
  </si>
  <si>
    <t>Ferreteria Electrica Diaz material electrico</t>
  </si>
  <si>
    <t>Copifaz 190 copias para boletines</t>
  </si>
  <si>
    <t>Comercial Mexicana Compra artículos de limpieza casetas</t>
  </si>
  <si>
    <t>Artemio Mora Torres Sueldo 1a quincena de Marzo/14</t>
  </si>
  <si>
    <t>Comex Pinturas y artículos de pintura</t>
  </si>
  <si>
    <t>Apertura de chapa y reparación de la misma</t>
  </si>
  <si>
    <t>Gloria Mazzón Gastos administrativos semana 17-21 Marzo/14</t>
  </si>
  <si>
    <t>Gloria Mazzón Gastos administrativos semana 3-7 Marzo/14</t>
  </si>
  <si>
    <t>Advanced Servicio CCTV levantas inventario de cámaras y reporte</t>
  </si>
  <si>
    <t>Office Depot compra sobres para reconfiguracion de tarjetas</t>
  </si>
  <si>
    <t>Office Depot compra compra de 2 cartuchos de impresora Epson</t>
  </si>
  <si>
    <t>Oxxo compra de garrafón de agua</t>
  </si>
  <si>
    <t>P´kass papelería</t>
  </si>
  <si>
    <t>Gloria Mazzon Gastos administrativos semana 24-26 Marzo/14</t>
  </si>
  <si>
    <t xml:space="preserve">Electropura S, de R.L., de CV. Agua para casetas </t>
  </si>
  <si>
    <t>Copyfaz 460 copias para boletines</t>
  </si>
  <si>
    <t>Copyfax 450 copias</t>
  </si>
  <si>
    <t>Office Depot 2 cartuchos de tinta Epson</t>
  </si>
  <si>
    <t>Esteban Alejo anticipo a cuenta de trabajos de  pintura en Zinampa</t>
  </si>
  <si>
    <t>Cheque proporcionado a Baldemar Sala, fraude Ing Peláez</t>
  </si>
  <si>
    <t>Jorge de Ithurbide Cañizarez Grupo Gama cheque 61</t>
  </si>
  <si>
    <t>Entrega a Baldemar Sala para gastos varios</t>
  </si>
  <si>
    <t>INGRESOS Y EGRESOS DEL MES DE MARZO/14</t>
  </si>
  <si>
    <t>Repadigital, S.A. de C.V.</t>
  </si>
  <si>
    <t>INGRESOS Y EGRESOS DEL MES DE ABRIL/14</t>
  </si>
  <si>
    <t>Saldo del mes de Marzo/14</t>
  </si>
  <si>
    <t>Artemio Mora Torres Sueldo 2a quincena de Marzo/14</t>
  </si>
  <si>
    <t>Home Depot México, S de R.L. de C.V.</t>
  </si>
  <si>
    <t>Ciclo Vida Servicio mecanico mantenimiento pintura</t>
  </si>
  <si>
    <t>Electropura S, de R.L., de C.V.   Agua para casetas</t>
  </si>
  <si>
    <t>Roberto Mirada  Pago por recoger basura parque, Romeral y Hueso</t>
  </si>
  <si>
    <t>Saldo mes anterior-Febrero/14</t>
  </si>
  <si>
    <t>CONTROL OSCAR-BALDEMAR</t>
  </si>
  <si>
    <t>Saldo del mes de Enero/14</t>
  </si>
  <si>
    <t>INGRESOS Y EGRESOS DEL MES DE FEBRERO/14</t>
  </si>
  <si>
    <t>Saldo del mes de Diciembre/13</t>
  </si>
  <si>
    <t>Angel Razo bolsas para recoger hojarasca del parque</t>
  </si>
  <si>
    <t>Angel Razo Rastrillo para jardín</t>
  </si>
  <si>
    <t>Erick Christían Guerrero Ramiírez  gratificación especial renuncia</t>
  </si>
  <si>
    <t>Angel Razo Anticipo a/c limpieza del parque</t>
  </si>
  <si>
    <t>Angel Razo Anticipo trabajo de limpieza del parque</t>
  </si>
  <si>
    <t>David González saldo pendiente instalación  corpua puerta Landero</t>
  </si>
  <si>
    <t>Natalio Cruz Desazolve de la calle Estanzuela</t>
  </si>
  <si>
    <t>Electropura S. de R.L. de C.V. 3 garrafones</t>
  </si>
  <si>
    <t>José Francisco Soriano Cheque 52 gratificación especial renuncia</t>
  </si>
  <si>
    <t>Tiendas Chedraui, S.A. de C.V., Articulos de limpieza</t>
  </si>
  <si>
    <t>Horacio Campos mantenimiento chapa entrada Romeral</t>
  </si>
  <si>
    <t>Home Depot México, S. de R.L. de C.V. compra de basurero</t>
  </si>
  <si>
    <t>Roberto Miranda recoger y tirar basura del parque</t>
  </si>
  <si>
    <t>Artemio Mora Torres pago 1 er quincena mes de Ene/14</t>
  </si>
  <si>
    <t>Horacio Campos cortar candado por oxido en reja de calz hueso</t>
  </si>
  <si>
    <t>Roberto Miranda gratificación por recoger basura</t>
  </si>
  <si>
    <t>Office Depot de México, S.A. de C.V.,  material papeleria</t>
  </si>
  <si>
    <t>Electropura S. de R.L. de C.V. 2 garrafones</t>
  </si>
  <si>
    <t>Horacio Campos, servicio y ajuste de chapa</t>
  </si>
  <si>
    <t>Horacio Campos, cambio de soporte para pluma</t>
  </si>
  <si>
    <t>Cerrajeria Gran Sur, duplicado de 50 llaves</t>
  </si>
  <si>
    <t>Gratificación patrulla por servicio especial</t>
  </si>
  <si>
    <t>Electropura S. de R.L. de C.V.  2 garrafones</t>
  </si>
  <si>
    <t>Comercializadora Caspin, S.A. de C.V.</t>
  </si>
  <si>
    <t xml:space="preserve">Gloria Mazzón, pago por captura de recibos del mes de Ene/14 </t>
  </si>
  <si>
    <t>Cristino Cabrera, Poda y limpia del terreno abandonado</t>
  </si>
  <si>
    <t>Electropura, S. de R.L. de C.V. 5 garrafones</t>
  </si>
  <si>
    <t>Roberto Miranda, gratificaión por recoger basura</t>
  </si>
  <si>
    <t>Electropura, S. de R.L. de C.V.  1 garrafone</t>
  </si>
  <si>
    <t>Copifaz 1,800 copias</t>
  </si>
  <si>
    <t>Artemio Mora Torres, pago 1er quincena Feb/14</t>
  </si>
  <si>
    <t>OfficeMax,  compra de cartuchos</t>
  </si>
  <si>
    <t xml:space="preserve">Nueva Walmart de México, S. de R.L. de C.V.. Compra </t>
  </si>
  <si>
    <t>Office Depot de México, S.A. de C.V., Compra de cartuchos</t>
  </si>
  <si>
    <t>Electropura, S.de R.L. de C.V. 3 garrafones</t>
  </si>
  <si>
    <t>Gloria Mazzón Soto, Pago por concepto de captura de datos</t>
  </si>
  <si>
    <t>Advanced Servicio CCTV y cómputo, cambio de diversos materiales</t>
  </si>
  <si>
    <t>Office Depot de México, S.A. de C.V., Compra boligragos y sobres</t>
  </si>
  <si>
    <t>MD Gran Formato,S.A. DE C.V., Impresión de Lona</t>
  </si>
  <si>
    <t>Olegaro Vázquez, Pintura interna en la caseta de Romeral</t>
  </si>
  <si>
    <t>P.,kas, marcador</t>
  </si>
  <si>
    <t>Copyfaz, 22 copias</t>
  </si>
  <si>
    <t>Copifaz, 450 copias</t>
  </si>
  <si>
    <t>Artemio Mora Torres, pago 2 da. quincena Feb/14</t>
  </si>
  <si>
    <t>Electropura, S de R.L. de C.V., 3 garrafones</t>
  </si>
  <si>
    <t>Orange Bee, 2 Mantas para colocar en las puertas de entrada y salida</t>
  </si>
  <si>
    <t>Sistema de Seguridad Electronica, compra de 50 tarjetas procord</t>
  </si>
  <si>
    <t>Orange Bee, Lona Front</t>
  </si>
  <si>
    <t>Roberto Miranda, Gratificación por recoger la basura del parque</t>
  </si>
  <si>
    <t>Electropura, S. de R.L. de C.V., 2 garrafones</t>
  </si>
  <si>
    <t>Copyfaz, 460 copias</t>
  </si>
  <si>
    <t>Gloria Mazzón, pago por concepto de captura de recibos</t>
  </si>
  <si>
    <t xml:space="preserve">Nueva Walmart de México, S. de R.L. de C.V., compra productos </t>
  </si>
  <si>
    <t>Electropura, S. de R.L. de C.V., 3 garrafones</t>
  </si>
  <si>
    <t>Advanced Servicio CCTV y computo, activación de 50 tarjetas</t>
  </si>
  <si>
    <t>Telefonos de México, S.A.B. de C.V., pago mes de Marzo/14</t>
  </si>
  <si>
    <t>Office Depot de México, S.A. de C.V., compra de clip gotíco</t>
  </si>
  <si>
    <t>Víctor Manuel Sánchez, Servicios profecionales en la compra de mat.</t>
  </si>
  <si>
    <t>Electrónica Aragón, Compra de eliminador y rollo soldador</t>
  </si>
  <si>
    <t>Comercializadora Caspin, S.A. de C.V. compra de pintura y Thinner</t>
  </si>
  <si>
    <t>Esteban Alejo, Pintura a banquetas y topes, fachadas indicadora.</t>
  </si>
  <si>
    <t>Artemio Mora Torres, Pago correspondiente a 1a. Quincena Abril</t>
  </si>
  <si>
    <t>Herrería en General Janiel, Reparación Total puerta Estanzuela</t>
  </si>
  <si>
    <t>Office Depot de México, S.A. de C.V., compra de papel carta</t>
  </si>
  <si>
    <t>Cerrajeriía Díaz, Apertura y hechura a llave y chapa</t>
  </si>
  <si>
    <t>Electropura, S. de R.L. de C.V. 4 garrafones</t>
  </si>
  <si>
    <t>Luis Hernández, Enderezado de puerta</t>
  </si>
  <si>
    <t xml:space="preserve">Comercializadora Caspin, S.A. de C.V. compra de pintura </t>
  </si>
  <si>
    <t>Home Depot México, S. de R.L. de C.V., Compra de cable</t>
  </si>
  <si>
    <t>Electropura, S. de R.L. de C.V. 1 garrafón</t>
  </si>
  <si>
    <t>Advance Servicio CCTV y computo</t>
  </si>
  <si>
    <t>Office Depot de México, S.A. de C.V.,, Combra sujetadocumetos</t>
  </si>
  <si>
    <t>Aldan Electrónica, S.A. DE C.V., Compra de Telefono</t>
  </si>
  <si>
    <t>Comercializadora Caspin, S.A. de C.V., Compra pintura y accesorios</t>
  </si>
  <si>
    <t>Copyfaz, 1380 copias</t>
  </si>
  <si>
    <t>Advanced Servicio CCTV y computo, Reparación de circuito Romeral</t>
  </si>
  <si>
    <t>Artemio Mora Torres, Pago correspondiente a 2da. Quincena Abril</t>
  </si>
  <si>
    <t>Electronica Graly, Compra de Transeptores de vídeo</t>
  </si>
  <si>
    <t>Consumibles y Suministros Rosario Herrera, Compra de USB</t>
  </si>
  <si>
    <t>Advanced Servicio CCTV levantar inventario de cámaras y reporte</t>
  </si>
  <si>
    <t>Horacio Campos, caja para proteger candado en reja</t>
  </si>
  <si>
    <r>
      <t xml:space="preserve">Jorge de Ithurbide Cañizarez, Grupo Gama cheque </t>
    </r>
    <r>
      <rPr>
        <i/>
        <sz val="11"/>
        <color theme="1"/>
        <rFont val="Calibri"/>
        <family val="2"/>
        <scheme val="minor"/>
      </rPr>
      <t># 55 1a quincena</t>
    </r>
  </si>
  <si>
    <t>Francisco Razo Luquín gratificación especial renuncia che # 51</t>
  </si>
  <si>
    <t>Entrega a Baldemar Sala para gastos varios efectivo</t>
  </si>
  <si>
    <t>Entrega a Baldemar Sala para gastos varios cheque efectivo</t>
  </si>
  <si>
    <t>EFECTIVO</t>
  </si>
  <si>
    <t>CHEQUES</t>
  </si>
  <si>
    <t>Jorge de ithurbide Cañizarez, Grupo Gama che.#58 1a quincena/Feb</t>
  </si>
  <si>
    <r>
      <t>Jorge de Ithurbide Cañizarez, Grupo Gama che.#60 2</t>
    </r>
    <r>
      <rPr>
        <i/>
        <sz val="11"/>
        <color theme="1"/>
        <rFont val="Calibri"/>
        <family val="2"/>
        <scheme val="minor"/>
      </rPr>
      <t>a quincena/Feb</t>
    </r>
  </si>
  <si>
    <t>Floreria Lupita, Arreglo Aréa verde ubicado en fraccionamiento</t>
  </si>
  <si>
    <t>Jorge de Ithurbide Cañizarez Grupo Gama ch 62 2a quincena Marzo</t>
  </si>
  <si>
    <t>Jorge de Ithurbide Cañizarez Grupo Gama ch 63 1a quincena Abril</t>
  </si>
  <si>
    <t>Jorge de Ithurbide Cañizarez Grupo Gama ch 66 2a quincena Abril</t>
  </si>
  <si>
    <t>31/04/2014</t>
  </si>
  <si>
    <t>Saldo del mes de Abril/14</t>
  </si>
  <si>
    <t>Compumachos, nobreak zigor 45 min.</t>
  </si>
  <si>
    <t xml:space="preserve">Tecnoplaza, 4 pares de baluns y fuente 2 ampl 12 V CCTV </t>
  </si>
  <si>
    <t>Comercializadora, Caspin, S.A. de C.V. compra de pintura y thinner</t>
  </si>
  <si>
    <t xml:space="preserve">Comercializadora, Caspin, S.A. de C.V. compra de thinner y brochas </t>
  </si>
  <si>
    <t xml:space="preserve">Advance Servicio CCTV y Computo, activación de 50 tarjetas </t>
  </si>
  <si>
    <t>Luis Hernández, soldar el tubo que se encuentra en la calle del Hueso</t>
  </si>
  <si>
    <t>Office Depot de México, S.A. de C.V.  Compra de cartuchos</t>
  </si>
  <si>
    <t xml:space="preserve">Comercializadora, Caspin, S.A. de C.V. compra de pintura, brocha </t>
  </si>
  <si>
    <t>Electropura, S de R.L. de C.V.  4 garrafones</t>
  </si>
  <si>
    <t>Advance Servicio CCTV y Computo, reubicación de 2 camaras</t>
  </si>
  <si>
    <t>Catalino Arriaga Vázquez, pago de honorarios por pintura en puerta</t>
  </si>
  <si>
    <t>Jorge Lugo, pago de honorarios de jardineria  en cortar pasto y poda</t>
  </si>
  <si>
    <t>Esteban Alejo, pintura total en caseta de Zinampa</t>
  </si>
  <si>
    <t>Office Depot de México, S.A. de C.V.  Compra de cartuchos y block</t>
  </si>
  <si>
    <t>Comercializadora Caspin, S.A. de C.V. Compra Velmar y repuesto</t>
  </si>
  <si>
    <t>Victor Manuel Sánchez, cambio de material eléctrico de farola a otra</t>
  </si>
  <si>
    <t>Advance Servicio CCTV y Computo, reestructuración e instalación</t>
  </si>
  <si>
    <t>Electropura, S de R.L. de C.V.  3 garrafones</t>
  </si>
  <si>
    <t>Jorge de Ithurbide Cañizarez Grupo Gama ch 67 1a quincena Mayo</t>
  </si>
  <si>
    <t>Luis Hernández,  diseño y manufactura de un bastidor metalico</t>
  </si>
  <si>
    <t>Artemio Mora Torres, pago correspondiente a 1a quincena Mayo/14</t>
  </si>
  <si>
    <t>Roberto Medina, recoger, basura parque diariamente 1a. Quincena</t>
  </si>
  <si>
    <t>Advanced Servicio CCTV y Computo, respaldo de DVR de 2 evento</t>
  </si>
  <si>
    <t xml:space="preserve">Advance, cambio centro de carga de camara semiprofesional </t>
  </si>
  <si>
    <t>Jorge Lugo, desmontar la hieva y áboles</t>
  </si>
  <si>
    <t>Nueva Walmart de México, S. de R.L. de C.V. productos de limpieza</t>
  </si>
  <si>
    <t xml:space="preserve">Advance, disco duro nuevo 3.5 </t>
  </si>
  <si>
    <t>2000 recibos  de pago de vigilancia y mantenimiento</t>
  </si>
  <si>
    <t>Horacio Campos, desmontaje y reparación de la chapa de Recoveco</t>
  </si>
  <si>
    <t>Siegrist contadores publicos  pago del mes de Abril/Mayo/14</t>
  </si>
  <si>
    <t>Eletropura, S. de R.L. de C.V. 3 garrafones</t>
  </si>
  <si>
    <t>Comercializadora Caspin, S.A. de C.V. Compra thinner y estopa</t>
  </si>
  <si>
    <t>Horacio Campos, apertura y ajuste de la chapa en la entrada Romeral</t>
  </si>
  <si>
    <t>Advanced Servicio CCTV y Computo, restructuración e instalacion circuito</t>
  </si>
  <si>
    <t>Jorge de Ithurbide Cañizarez Grupo Gama ch 69 2a quincena Mayo</t>
  </si>
  <si>
    <t>Electropura, S. de R.L. de C.V. 3 garrafones</t>
  </si>
  <si>
    <t>Comercilizador Caspin, S.A. de C.V. Compra de thinner</t>
  </si>
  <si>
    <t>Elvira Cortez, Pago por gastos originados al golpe de su vehiculo</t>
  </si>
  <si>
    <t>Daniell Chávez Valdés, servicio de alimentos para personal delgación</t>
  </si>
  <si>
    <t>Artemio Mora Torres, pago correspondiente a 2a quincena Mayo/14</t>
  </si>
  <si>
    <t>INGRESOS Y EGRESOS DEL MES DE MAYO/14</t>
  </si>
  <si>
    <t>Saldo del mes de Mayo/14</t>
  </si>
  <si>
    <t>Roberto Miranda, limpieza parque, mas recoger basura en calles</t>
  </si>
  <si>
    <t>Roberto Miranda, recoger y tirar basura del predio en del hueso/cuchilla</t>
  </si>
  <si>
    <t>Office Depot de México, S.A. de C.V.</t>
  </si>
  <si>
    <t xml:space="preserve">Papeleria, enmicado de lista de claves </t>
  </si>
  <si>
    <t>Home Depot México, S. de R.L. de C.V.</t>
  </si>
  <si>
    <t>Daniel Chávez Valdés, servicio de alimentos p/personal delegación</t>
  </si>
  <si>
    <t>Horacio Ocampo, ajuste de contra-chapa en la puerta de acceso</t>
  </si>
  <si>
    <t xml:space="preserve">Electropura, S. de R.L. de C.V. 2 garrafones </t>
  </si>
  <si>
    <t>Esteban Alejo Hernández, pintar banquetas, pluma y señalizaciones</t>
  </si>
  <si>
    <t>PubliCarte, 2 lonas</t>
  </si>
  <si>
    <t>Copyfaz, 900 copias</t>
  </si>
  <si>
    <t>Gloria Mazzón, pago de honorarios por captura de datos</t>
  </si>
  <si>
    <t>Comercializadora Caspin, S.A. de C.V., compra de pintura, thinner etc</t>
  </si>
  <si>
    <t>Marco Cortes, desayunos p/peronal del la delegación</t>
  </si>
  <si>
    <t xml:space="preserve">Electropura, S. de R.L. de C.V. 4 garrafones </t>
  </si>
  <si>
    <t>Comercializadora Caspin, S.A. de C.V., compra via color señal</t>
  </si>
  <si>
    <t>Advanced Servicio CCTV y cómputo, respaldo de DVR a USB de 2 eventos</t>
  </si>
  <si>
    <t>Advanced Servicio CCTV y cómputo, reparación de pluma de salida</t>
  </si>
  <si>
    <t>Ferreteria, juego de llaves allen</t>
  </si>
  <si>
    <t>Olegario Vázquez, gratificación por reparación de pluma de zinamba</t>
  </si>
  <si>
    <t>Roberto Miranda, gratificación por recoger la basura del parque</t>
  </si>
  <si>
    <t>Jorge de Ithurbide Cañizarez.  Grupo Gama  1a quincena Junio/14</t>
  </si>
  <si>
    <t>Lic. Olivia, pago notaria para protocolización de la mesa directiva</t>
  </si>
  <si>
    <t>Dr. Oscar Roldán, gastos erogados en el globlo por juntas quincenales</t>
  </si>
  <si>
    <t>Olegario Vázquez, conexión eléctrica en caseta romeral</t>
  </si>
  <si>
    <t>Tlapalería Jaimes, conexión eléctrica en caseta romeral</t>
  </si>
  <si>
    <t>Víctor Manuel Sánchez, cambio de lámparas fundidas</t>
  </si>
  <si>
    <t>The home Depot México, S. de R.L. de C.V. compra de bote basura</t>
  </si>
  <si>
    <t>INGRESOS Y EGRESOS DEL MES DE JUNIO/14</t>
  </si>
  <si>
    <t xml:space="preserve">Tecnoplaza Electronica, S.A. de C.V. Sony 1200TVL, 30 W Single white </t>
  </si>
  <si>
    <t>Advanced, Servicio CCTV y Cómputo, intalacion de 2 camaras en romeral</t>
  </si>
  <si>
    <t>Sistemas y Comunicaciones Gaytan Medina, S.A. de C.V. Camara Bala</t>
  </si>
  <si>
    <t>Jorge de Ithurbide Cañizarez.  Grupo Gama  2a quincena Junio/14</t>
  </si>
  <si>
    <t>Artemio Mora Torres, pago correspondiente a la 2a quincena junio/14</t>
  </si>
  <si>
    <t>Artemio Mora Torres, pago correspondiente a la 1a quincena junio/14</t>
  </si>
  <si>
    <t>INGRESOS Y EGRESOS DEL MES DE JULIO/14</t>
  </si>
  <si>
    <t>Comercializadora CASPIN, S.A. de C.V. pintura/thinner/estopa y sellador</t>
  </si>
  <si>
    <t>Saldo del mes de junio/14</t>
  </si>
  <si>
    <t>Office Depot de México, S.A de .C.V. compra de 3 cartuchos</t>
  </si>
  <si>
    <t>Ferreteria Electrica Diaz, foco ahorrator ter 26 w</t>
  </si>
  <si>
    <t>Comercializadora Caspin, S.A. de C.V. pintura, thinner, estopa y rodillo</t>
  </si>
  <si>
    <t>Advanced servicio CCTV y cómputo, respaldo de 2 videos de incidentes</t>
  </si>
  <si>
    <t>Gloria Mazzón Soto, pago por concepto de captura de recibos</t>
  </si>
  <si>
    <t>Entrega a Baldemar Sala Bay para gastos varios</t>
  </si>
  <si>
    <t>Nueva Walmart de México, S. de R.L. de C.V. material de limpieza</t>
  </si>
  <si>
    <t>Radio Shack de México, S.A. de C.V., pila alcallina enercell</t>
  </si>
  <si>
    <t>Advanced servicio CCTV y cómputo, instalación de 2 camaras en circuito</t>
  </si>
  <si>
    <t>Comercializadora Caspin, S.A. de C.V. thinner</t>
  </si>
  <si>
    <t>Tecnoplaza Eléctronica, S.A. de C.V. bobina UTP 300 M recubrimiento</t>
  </si>
  <si>
    <t>Advanced servicio CCTV y cómputo, reparación y sellado de antenas</t>
  </si>
  <si>
    <t>Eguía impresos, 430 copias</t>
  </si>
  <si>
    <t>Telefonos de México, SAB de C.V. pago del mes de junio/14</t>
  </si>
  <si>
    <t>Home Depot México, S. de R.L. de C.V. 2 conos reforzados</t>
  </si>
  <si>
    <t>Jorge de Ithurbide Cañizare,  Grupo Gama pago  1a quincena julio/14</t>
  </si>
  <si>
    <t>Horacio Ocampo Tolentino, 50 duplicados llaves kales</t>
  </si>
  <si>
    <t>Home Depot México, S. de R.L. de C.V. bolsas rollo 20 93X119 lt neg</t>
  </si>
  <si>
    <t>Roberto Miranda, gratificación por recoger la basura cascajo</t>
  </si>
  <si>
    <t>Telefono de México, S.A.B., de C.V.  Pago mes de enero/14</t>
  </si>
  <si>
    <t>Telefono de México, S.A.B., de C.V.  Pago mes de febrero/14</t>
  </si>
  <si>
    <t>Telefonos de México, SAB. de C.V. Pago mes de abril/14</t>
  </si>
  <si>
    <t>Telefonos de México, SAB. de C.V. Pago mes de mayo/14</t>
  </si>
  <si>
    <t>Advanced, servicio CCTV y cómputo, inicio de reparación de circuito</t>
  </si>
  <si>
    <t>Arturo García, Instalación de tubos de protección en la calle del Hueso</t>
  </si>
  <si>
    <t>Tecnoplaza electrónica S.A. de C.V., 16 pares de baluns y 16 PM, fuente.</t>
  </si>
  <si>
    <t>Advanced, servicio CCTV y cómputo, anticipo de pago</t>
  </si>
  <si>
    <t>Electropura, S de R.L. de C.V. 3 garrafones de agua</t>
  </si>
  <si>
    <t>Horacio Campos, reparación de dos chapas en las rejas de acce. Peatonal</t>
  </si>
  <si>
    <t>Telefonos de México, SAB de C.V. pago del mes de julio/14</t>
  </si>
  <si>
    <t>Horacio Campos, cambio de una chapa en la entrada peatonal caseta</t>
  </si>
  <si>
    <t>Lona Hernández, 1 lona 1 x 1 m2</t>
  </si>
  <si>
    <t>Tecnoplaza electrónica S.A. de C.V., Lente varifocal de 1 a 60 mm</t>
  </si>
  <si>
    <t>Jorge de Ithurbide Cañizare,  Grupo Gama pago  2a quincena julio/14</t>
  </si>
  <si>
    <t>Artemio Mora Torres, pago correspondiente a la 2a quincena julio/14</t>
  </si>
  <si>
    <t>Artemio Mora Torres, pago correspondiente a la 1a quincena julio/14</t>
  </si>
  <si>
    <t>Advance, servicio CCTV y cómputo, respaldo de 2 videograbaciones</t>
  </si>
  <si>
    <t>Horacio Ocampo Tolentino, reparación de chapa y apertura de chapa</t>
  </si>
  <si>
    <t>Esteban Alejo Hernández, pintura en diferentes areas del frac.</t>
  </si>
  <si>
    <t>Raúl Flores, podado de pasto y árboles, en ambas casetas</t>
  </si>
  <si>
    <t>Office Depot de México, S.A de .C.V. compra de papelería</t>
  </si>
  <si>
    <t>Sistemas y Comunicacones Gaytan Medina, S.A. de C.V., camara prof.</t>
  </si>
  <si>
    <t>Sistemas y Comunicacones Gaytan Medina, S.A. de C.V.</t>
  </si>
  <si>
    <t>Francisco Raúl Flores Herrera,  poda del pasto, así como desyerbado</t>
  </si>
  <si>
    <t>31/06/2014</t>
  </si>
  <si>
    <t>Saldo del mes de julio/14</t>
  </si>
  <si>
    <t>Advance servicio CCTV y cómputo, liq. Honorarios circuito Zinampa</t>
  </si>
  <si>
    <t>Electropura S. de R.L. de C.V., 4 garrafones de agua</t>
  </si>
  <si>
    <t xml:space="preserve">Roberto Miranda, gratificación por recoger basura parque </t>
  </si>
  <si>
    <t>Advance servicio CCTV y cómputo, Gasos de tornilleria, herrajes y cintas</t>
  </si>
  <si>
    <t>Papelería, 2 impresiones a color</t>
  </si>
  <si>
    <t>Papelería, 12 impresiones a color</t>
  </si>
  <si>
    <t>Esteban Alejo, partir en trozos, la rama grande que se cayó de un árbol</t>
  </si>
  <si>
    <t>Herrería en general, Janiel, 4 bastidores para comuniación a los vecinos</t>
  </si>
  <si>
    <t>Eguía Impresos,7 juegos impresión en carta a color digital</t>
  </si>
  <si>
    <t>Eguía Impresos, 6 lonas .97 x 96</t>
  </si>
  <si>
    <t>Ferre Electrica Díaz, 30 cincho 35 cm.</t>
  </si>
  <si>
    <t>Electropura S. de R.L. de C.V., 3 garrafones de agua</t>
  </si>
  <si>
    <t>Víctor Manuel  Sánchez, compra de materiales eléctricos e instalación</t>
  </si>
  <si>
    <t>Pedro Cortes, recoger y tirar todo el pasto y ramas podadas en el parque</t>
  </si>
  <si>
    <t>Aldan Electrónica, S.A. de C.V. Telefono con identificaión de llamadas</t>
  </si>
  <si>
    <t>Tientas Comercial Mexicana S.A. de C.V. material de limpieza</t>
  </si>
  <si>
    <t>Artemio Mora Torres, pago correspondiente a la 1a. Quincena agosto/14</t>
  </si>
  <si>
    <t>Jorge de Ithurbide Cañizarez.  Grupo Gama  2a quincena agosto/14</t>
  </si>
  <si>
    <t>Advanced, Servicios CCTV y cómputo, respados de videogración en USB</t>
  </si>
  <si>
    <t>Tiendas Chedraui, S.A. de C.V. productos de limpieza</t>
  </si>
  <si>
    <t>Electropura, S. de R.L. de C.V., 3 garrafones de agua</t>
  </si>
  <si>
    <t>Cristóbal Pineda Méndez, servicio de impresión digital</t>
  </si>
  <si>
    <t>Electrropura S. de R.L. de C.V., 2 garragones</t>
  </si>
  <si>
    <t>Tecnoplaza Electrónica, S.A. de C.V., bobina UTP 300 M</t>
  </si>
  <si>
    <t>Horacio Campos, Apertura de chapa y reparación de la misma</t>
  </si>
  <si>
    <t>Honorarios Profesionales Siegrist Hernánez Federico febrero/14</t>
  </si>
  <si>
    <t>Siegrist Contadores Publicos, honorarios profesionales mes junio/14</t>
  </si>
  <si>
    <t>Siegrist Contadores Publicos, honorarios profesionales mes julio/14</t>
  </si>
  <si>
    <t>Siegrist Contadores Publicos, honorarios profesionales mes agosto/14</t>
  </si>
  <si>
    <t>Siegrist Contadores Publicos, Honorarios profesionales enero/14</t>
  </si>
  <si>
    <t>Advanced, Servicios CCTV y cómputo, anticipo de honorarios circuto</t>
  </si>
  <si>
    <t>Corporación Bran, S.A. de C.V. servicio de 2 wc de casetas</t>
  </si>
  <si>
    <t>Electropura, S. de R.L. de C.V., 2 garrafones de agua</t>
  </si>
  <si>
    <t>Raúl Flores, servicio de jardinería, area caseta Romeral</t>
  </si>
  <si>
    <t>Office Depot de México, S.A. de C.V. compra de papelería</t>
  </si>
  <si>
    <t>Tecnoplaza Electrónica, S.A. de C.V., Fuente y disco duro</t>
  </si>
  <si>
    <t>Jorge de Ithurbide Cañizare,  Grupo Gama pago  2a quincena agosto/14</t>
  </si>
  <si>
    <t>Artemio Mora Torres, pago correspondiente a la 2a quincena agosto/14</t>
  </si>
  <si>
    <t>INGRESOS Y EGRESOS DEL MES DE AGOSTO/14</t>
  </si>
  <si>
    <t>Saldo del mes de Agosto/14</t>
  </si>
  <si>
    <t>Office Depot de México, S.A. de C.V. compra de marc sharpie p/f negro</t>
  </si>
  <si>
    <t>Roberto Miranda, limpieza del parque y ambas calles del mismo</t>
  </si>
  <si>
    <t>Advanced servicio CCTV y cómputo, respado de una videograbación</t>
  </si>
  <si>
    <t>Electropura S de R.L. de C.V. 2 garrafones</t>
  </si>
  <si>
    <t xml:space="preserve">Antonio Martínez, gratificación por quitar la publicidad y anuncios </t>
  </si>
  <si>
    <t>Marco A. Vellada, reparacíon fuga de agua en la banqueta de Romeral</t>
  </si>
  <si>
    <t>Networks II Computer, 4 mouse genius</t>
  </si>
  <si>
    <t>Nueva Walmart de México, S de R.L. de C.V. compra productos limpieza</t>
  </si>
  <si>
    <t>Electropura S de R.L. de C.V. 3 garrafones</t>
  </si>
  <si>
    <t>Eguía Impresos, 460 bond carta juego 2 copias e impresiones carta color</t>
  </si>
  <si>
    <t>Copyfaz, 10 enmicados</t>
  </si>
  <si>
    <t>Advanced servicio CCTV y cómputo, respado de una videograbación USB</t>
  </si>
  <si>
    <t>Ferre electrica Diaz, 6 kg cemento gris</t>
  </si>
  <si>
    <t>J. Manuel Olivares, compra de bolsas de arena y trabajo de albañileria</t>
  </si>
  <si>
    <t>Pedro Cortes, recoger el pasto podado del parque y tirarlo</t>
  </si>
  <si>
    <t>Jose luis Hernández, desazolve calle Estanzuela</t>
  </si>
  <si>
    <t>Esteban Alejo, tapar hoyo en calle ZB y cortar ramas del árbol Ez</t>
  </si>
  <si>
    <t>Artemio Mora Torres, pago correspondiente a la 1° quincena sep/14</t>
  </si>
  <si>
    <t>Jorge Dithurbide Cañizares, Grupo Gama, pago 1° quincena sep/14</t>
  </si>
  <si>
    <t>Com. Franco, Envio grua para llevarse pipa en la puerta Hueso-Estanzue</t>
  </si>
  <si>
    <t>Víctor Manuel Sánchez, pago profesionales, en la compra de materiales</t>
  </si>
  <si>
    <t>Electropura, S de R.L. de C.V., 2 garrafones</t>
  </si>
  <si>
    <t>Francisco Raúl Flores Herrera, por concepto de poda de pasto</t>
  </si>
  <si>
    <t>Entrega a Baldemar Sala para gastos varios cheque 222</t>
  </si>
  <si>
    <t>Office Depot de México, S.A. de C.V. compra de  4 cartuchos epson</t>
  </si>
  <si>
    <t>Marco Antonio Medina Aragón</t>
  </si>
  <si>
    <t>Advanced Servicio CCTV y Cómputo, respaldo videograbacion UP</t>
  </si>
  <si>
    <t>Advanced Servicios CCTV y Cómputo, anticipo de honorarios ZB</t>
  </si>
  <si>
    <t>Office Depot de México, S.A. de C.V. par boligrafos y 3 cartuchos</t>
  </si>
  <si>
    <t>Electropura, S. de R.L. de C.V. 2 garrafones</t>
  </si>
  <si>
    <t>Cadena Comercial OXXO, S.A. de C.V. compra de USB 8 GB SONY</t>
  </si>
  <si>
    <t>Advanced Servicios CCTV y Cómputo, respaldo de videograbación USB</t>
  </si>
  <si>
    <t>Tecnoplaza Electrónica S.A. de C.V., monitor 19" y fuente 2 AMP 12V</t>
  </si>
  <si>
    <t>Artemio Mora Torres, pago correspondiente a la 2° quincena sep/14</t>
  </si>
  <si>
    <t>Jorge Dithurbide Cañizares, Grupo Gama, pago 2° quincena sep/14</t>
  </si>
  <si>
    <t>Telefonos de México, S.A.B. de C.V. pago dic/13</t>
  </si>
  <si>
    <t>Siegrist Contadores Publicos, honorarios profesionales mes sept/14</t>
  </si>
  <si>
    <t>INGRESOS Y EGRESOS DEL MES DE SEPTIEMBRE/14</t>
  </si>
  <si>
    <t>INGRESOS Y EGRESOS DEL MES DE OCTUBRE/14</t>
  </si>
  <si>
    <t>Saldo del mes de Septiembre/14</t>
  </si>
  <si>
    <t>Pedro Cortes, gratificación por la recoleción de basura de todo el fracc.</t>
  </si>
  <si>
    <t>Office Depot de México, S.A. de C.V. tabla de madera clip y marcador</t>
  </si>
  <si>
    <t>Eguía Impresos, copias bond  carta  460 juego 2 copias engrapados</t>
  </si>
  <si>
    <t>Roberto Medina, gratificación especial por recoger basura del parque</t>
  </si>
  <si>
    <t>Andrés Millán, Gratificación por apoyo de limpieza publica en colonia</t>
  </si>
  <si>
    <t>Entrega al Sr. Baldemar Sala Bay para gastos varios</t>
  </si>
  <si>
    <t>Dr. Oscar Roldan, pago de gastos erogados en el globo por juntas quinc.</t>
  </si>
  <si>
    <t>Tiendas Comercial Mexicana, S.A. de C.V. compra de productos limpieza</t>
  </si>
  <si>
    <t>Eguía Impresos, lona front 1 x 1</t>
  </si>
  <si>
    <t>Eguía Impresos, vunil adhesivo .84X.92 cms minimo un metro</t>
  </si>
  <si>
    <t>Office Depot de México, S.A. de C.V. folders, cartuchos y papel</t>
  </si>
  <si>
    <t>Advanced servicio CCTV y cómputo, 3 respaldos diferentes hechos</t>
  </si>
  <si>
    <t>Constantino Cabrera, servicio de jarninería en la entrada Romeral</t>
  </si>
  <si>
    <t>Horacio Campos, 50 duplicados kale</t>
  </si>
  <si>
    <t>Horacio Campos, reparación de chapa en la reda de acceso Estopila</t>
  </si>
  <si>
    <t>Jorge Dithurbide Cañizares, Grupo Gama, pago 1° quincena  oct/14</t>
  </si>
  <si>
    <t>Artemio Mora Torres, pago correspondiente a la 1° quincena oct/14</t>
  </si>
  <si>
    <t>Eguía impresos, copias bond carta juegos 4 copias engrapadas</t>
  </si>
  <si>
    <t>Sistemas y Comunicaciones Gaytan Medina, S.A. de C.V. camara prof.</t>
  </si>
  <si>
    <t>Tecnoplaza Electrónica S.A. de C.V., cable para intalación de camara</t>
  </si>
  <si>
    <t>Siegrist Contadores Publicos, honorarios profesionales mes oct/14</t>
  </si>
  <si>
    <t>Tecnoplaza Electrónica S.A. de C.V., fuente de 2 AMP, baluns y bullet</t>
  </si>
  <si>
    <t>Moises Gutierrez Olvera, 650 tarjetas impresas a una tinta plastificadas</t>
  </si>
  <si>
    <t>Materiales y Tlapaleria Metropolitana, bulto de cemento para baches</t>
  </si>
  <si>
    <t>Jorge Dithurbide Cañizares, Grupo Gama, pago 2° quincena  oct/14</t>
  </si>
  <si>
    <t>Artemio Mora Torres, pago correspondiente a la 2° quincena oct/14</t>
  </si>
  <si>
    <t>Telefonos de México, S.A.B. de C.V. pago correspondiente octubre/14</t>
  </si>
  <si>
    <t>Manuel Olivares, tapar 4 hoyos de la calle de Cuchilla y una grieta</t>
  </si>
  <si>
    <t>Advanced servicio CCTV y cómputo, 1 respaldo e instalación de camara</t>
  </si>
  <si>
    <t>Advanced servicio CCTV y cómputo, cableado nuevo en EZ y CL</t>
  </si>
  <si>
    <t>Constantino Cabrera, poda pasto y arbustos en calle y banqueta terreno</t>
  </si>
  <si>
    <t>Saldo del mes de Octubre/14</t>
  </si>
  <si>
    <t xml:space="preserve">Luis Hernández, anticipo de 2 bastidores para el parque </t>
  </si>
  <si>
    <t>Rafael Ugalde, anticipo de poda del parque</t>
  </si>
  <si>
    <t>Roberto Miranda, recoger basura ambas calles del parque</t>
  </si>
  <si>
    <t>Nueva Walmart de México,, S. de R.L. de C.V. material de limpieza</t>
  </si>
  <si>
    <t>Electropura,  S de R,L. de C.V. 1 garrafón de agua</t>
  </si>
  <si>
    <t>Eguía Impresos, 450 copias bond carta juego de 2 copias engrapadas</t>
  </si>
  <si>
    <t>Office Depot de México, S.A. de C.V. boligrafos y 3 cartuchos</t>
  </si>
  <si>
    <t>Constantino, poda pasto en Recoveco esq con Cafetales</t>
  </si>
  <si>
    <t>Electropura, S. de R.L. de C.V. 4 garrafones de agua</t>
  </si>
  <si>
    <t>Tecnoplaza electrónica, S.A. de C.V., Bullet 720 TVL 72 LED verif 2.8-12</t>
  </si>
  <si>
    <t>Artemio Mora Torres, pago de la 1° quincena de noviembre/14</t>
  </si>
  <si>
    <t>Manuel Olivares, quitar toda la propaganda y publicidad colocada rejas</t>
  </si>
  <si>
    <t>Jorge Dithurbide Cañizares, Grupo Gama, pago 1° quincena nov/14</t>
  </si>
  <si>
    <t>Roberto Miranda, gratificación por barrer las calles de RV, ZB, EZ</t>
  </si>
  <si>
    <t>Electropura, S. de R.L. de C.V. 1 garrafones de agua</t>
  </si>
  <si>
    <t>Dr. Oscar Roldan, gastos erogados globo juntas quincenales</t>
  </si>
  <si>
    <t>Electropura, S. de R.L. de C.V. 2 garrafones de agua</t>
  </si>
  <si>
    <t>Siegrist Contadores Publicos, honorarios profesionales mes nov/14</t>
  </si>
  <si>
    <t>Ferre Electrica Díaz, 10 kg cemento gris</t>
  </si>
  <si>
    <t>Advanced servicio CCTV y compúto, A/C de hon. 2da. Etapa ZB (8 cam.)</t>
  </si>
  <si>
    <t xml:space="preserve">Advance Servicio CCTV y Cómputo, intalación de lente en camara </t>
  </si>
  <si>
    <t>Sistemas y comunicaciones Gaytan Medina, S.A. de C.V. lente japones</t>
  </si>
  <si>
    <t>Constantino, transplante de las plantas que estaban cubriendo el paso</t>
  </si>
  <si>
    <t>Esteban Alejo, tapar con cemento la orilla de la banqueta en caseta ZB</t>
  </si>
  <si>
    <t>Home Depot México, S. de R.L. de C.V. 1 garrafon rojo para gasolina</t>
  </si>
  <si>
    <t>Pedro Cortes, gratificación por recopilación mensual de basura</t>
  </si>
  <si>
    <t>Constantino Cabrera, retirar plantas muertas y plegados en la calle ZB</t>
  </si>
  <si>
    <t>Eguía Impresos, 250 copias bond carta</t>
  </si>
  <si>
    <t>José Alberto González, concepto pago poda de pasto del parque fracc.</t>
  </si>
  <si>
    <t>Artemio Mora Torres, pago de la 2° quincena de noviembre/14</t>
  </si>
  <si>
    <t>Jorge Dithurbide Cañizares, Grupo Gama, pago 2° quincena nov/14</t>
  </si>
  <si>
    <t>INGRESOS Y EGRESOS DEL MES DE NOVIEMBRE/14</t>
  </si>
  <si>
    <t>INGRESOS Y EGRESOS DEL MES DE DICIEMBRE/14</t>
  </si>
  <si>
    <t>Saldo del mes de Noviembre/14</t>
  </si>
  <si>
    <t>Advanced servicio CCTV y compúto, 1 respado de videograbación USB</t>
  </si>
  <si>
    <t>Cadena Comercial Oxxo, S.A. de C.V., compra de refrescosy vasos</t>
  </si>
  <si>
    <t>Entrega al Sr.  Baldemar Sala Bay para gastos varios</t>
  </si>
  <si>
    <t xml:space="preserve">Office Depot de México, S.A. de C.V. clips,sujetadores,block,papel y USB </t>
  </si>
  <si>
    <t>Advanced Servicio CCTV y Cómputo hon.  de elaboración 2da etapa ZB</t>
  </si>
  <si>
    <t>Advanced Servicio CCTV y Cómputo revisión videogravación UP y EZ</t>
  </si>
  <si>
    <t>Roberto Miranda, Gratificación por barer RV, ZB y parque</t>
  </si>
  <si>
    <t>Gloria Mazzón, pago honorarios por captura de datos</t>
  </si>
  <si>
    <t>Roberto Miranda, recoger toda la basura del parque en la obra de la del.</t>
  </si>
  <si>
    <t>Sistemas de Seguridad Electrónica, 100 tarjetas procord tag syscom</t>
  </si>
  <si>
    <t>Pedro Cortes, recoger y tirar el pasto podado y ramas del parque</t>
  </si>
  <si>
    <t>Telefonos de México , SAB de C.V. pago el mes de noviembre/14</t>
  </si>
  <si>
    <t xml:space="preserve">Manuel Olivares, retiro de mantas colocadas en bardas y puertas </t>
  </si>
  <si>
    <t xml:space="preserve">Nueva Walmart de México, S. de R.L. de C.V. tarjetas electrónicas </t>
  </si>
  <si>
    <t>José Alberto González, encalado de todos los áboles del parque</t>
  </si>
  <si>
    <t>Herreria en General Janiel, revisión y reparacion 2 chapas EP y CL</t>
  </si>
  <si>
    <t>Herreria en General Janiel, reparación del trivolo de la puerta de EP</t>
  </si>
  <si>
    <t>Víctor Manuel Sánchez, cambio de balastra y luminarias de LD y UP</t>
  </si>
  <si>
    <t>Jorge Dithurbide Cañizares, Grupo Gama, pago 1° quincena diciembre/14</t>
  </si>
  <si>
    <t>Artemio Mora Torres, pago de la 1° quincena de diciembre/14</t>
  </si>
  <si>
    <t>Artemio Mora Torres, pago de aguinaldo correspondiente al año 2014</t>
  </si>
  <si>
    <t>Banquetes Cafetales, Eventos Sociales. 2 tablones/mantel y 2 meseros</t>
  </si>
  <si>
    <t>Tiendas Chedraui, S.A. de C.V. compra de refrescos y deshechables</t>
  </si>
  <si>
    <t>Eguía Impresos, 460 copias bond carta</t>
  </si>
  <si>
    <t>Nueva Walmart de México, S. de R.L. de C.V. compra de materiales limp.|</t>
  </si>
  <si>
    <t>Electropura S. de R.L. de C.V. 1 garrafon de agua</t>
  </si>
  <si>
    <t>Electropura S. de R.L. de C.V. 3 garrafones  de agua</t>
  </si>
  <si>
    <t>Panerías La Esperanza, S.A. de C.V. bocadillos personal deleg. Y vecinos</t>
  </si>
  <si>
    <t>Manuel Olivares, gratificación especial por ayuda reparto de avisos</t>
  </si>
  <si>
    <t xml:space="preserve">Pedro Cortes, gratificación anual por servicio de recoleccion basura </t>
  </si>
  <si>
    <t>El Bajio cocina mexicana, comina anual 2014 mesa directiva</t>
  </si>
  <si>
    <t>Ferre Electrica Diaz, cinta nitto material eléctrico para poste eléctrico</t>
  </si>
  <si>
    <t>Víctor Manuel Sánchez, cambio de balastra y luminarias de ZB,EZ,RV,CL</t>
  </si>
  <si>
    <t>Horacio Campos, reparación chapa en Estopila</t>
  </si>
  <si>
    <t>Artemio Mora Torres, pago de la 2° quincena de diciembre/14</t>
  </si>
  <si>
    <t>Jorge Dithurbide Cañizares, Grupo Gama, pago 2° quincena diciembre/14</t>
  </si>
  <si>
    <t>Ferreteria Electrica Diaz material eléctrico</t>
  </si>
  <si>
    <t>Roberto Miranda, Gratificación por sevicio de limpieza en el fracc.</t>
  </si>
  <si>
    <t>Telefonos de Mexico, SAB de C.V. pago del mes de agosto 14</t>
  </si>
  <si>
    <t>Telefonos de Mexico, SAB de C.V. pago del mes de  septiembre 14</t>
  </si>
  <si>
    <t>Artemio Mora Torres PAGO 2° quincena mes de ene/14</t>
  </si>
  <si>
    <t>SAT Servício de Adminitración Tributaria, retención Carmel, feb/14</t>
  </si>
  <si>
    <t>SAT Servicio de Administración Tríbutaria, retención Carmel, mar/14</t>
  </si>
  <si>
    <t>SAT Servicio de Administración Tríbutaría, retención Carmel abr/14</t>
  </si>
  <si>
    <t>SAT Servicio de Administración Tríbutaria, retención Carmel, may/14</t>
  </si>
  <si>
    <t>SAT Servicio de Administración Tributaria, retención Carmel, jun/14</t>
  </si>
  <si>
    <t>Esteban Alejo Hernández, Pintura en 2 pasos peatonales de CL y EP</t>
  </si>
  <si>
    <t>SAT Servicio de Administración Tríbutaria, retención Carmel, jul/14</t>
  </si>
  <si>
    <t>SAT Servicio de Administración Tríbutaría,  retención Carmel ago/14</t>
  </si>
  <si>
    <t>SAT Servicio de Administración Tributaria, retención Carmel, sep/14</t>
  </si>
  <si>
    <t>SAT servicio de administración tributaría, retención Carmel oct/14</t>
  </si>
  <si>
    <t>SAT Servicio de Administración Tributaría, retención Carmel nov/14</t>
  </si>
  <si>
    <t>SAT Servicio de Administración Tributaría, retención Carmel dic/14</t>
  </si>
  <si>
    <t>SAT Servicio de Administración Tributaría, retención  Carmel ene/14</t>
  </si>
  <si>
    <t>Entrega a Baldemar Sala para pago de la Sr. Olivia gastos notariales</t>
  </si>
  <si>
    <t>Entrega al Sr. Baldemar Sala Bay para gastos varios El Bajio cocina</t>
  </si>
  <si>
    <t>CAJA</t>
  </si>
  <si>
    <t xml:space="preserve">INGRESOS Y EGRESOS DEL MES DE ENERO/14                                                                  </t>
  </si>
  <si>
    <t>Banorte com. Che. Exp. + IVA</t>
  </si>
  <si>
    <t>Remanente identificador</t>
  </si>
  <si>
    <t>Remantente identificador</t>
  </si>
  <si>
    <t>Deposito en efectivo cuotas varias</t>
  </si>
  <si>
    <t>Transferencia bancaria fam Fuentes</t>
  </si>
  <si>
    <t>Transferencia Bancaria fam. Vega Sanchez</t>
  </si>
  <si>
    <t>Deposito en efectivo varias cuotas</t>
  </si>
  <si>
    <t>Deposito Chq. Banorte 728</t>
  </si>
  <si>
    <t>Deposito Chq. Local 1995</t>
  </si>
  <si>
    <t>Deposito Chq. Local 598</t>
  </si>
  <si>
    <t>Deposito Chq. Local 3389</t>
  </si>
  <si>
    <t>Deposito Chq. Local 663</t>
  </si>
  <si>
    <t>Deposito Chq. Local 839</t>
  </si>
  <si>
    <t>Deposito Chq. Local 2203</t>
  </si>
  <si>
    <t>Com. Chq. Exped.</t>
  </si>
  <si>
    <t>Diferencia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</si>
</sst>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8">
    <xf numFmtId="0" fontId="0" fillId="0" borderId="0" xfId="0"/>
    <xf numFmtId="4" fontId="0" fillId="0" borderId="0" xfId="0" applyNumberFormat="1"/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4" fontId="1" fillId="0" borderId="1" xfId="0" applyNumberFormat="1" applyFont="1" applyBorder="1" applyAlignment="1">
      <alignment horizontal="center"/>
    </xf>
    <xf numFmtId="4" fontId="1" fillId="0" borderId="0" xfId="0" applyNumberFormat="1" applyFont="1" applyAlignment="1">
      <alignment horizontal="center"/>
    </xf>
    <xf numFmtId="4" fontId="1" fillId="0" borderId="0" xfId="0" applyNumberFormat="1" applyFont="1" applyBorder="1" applyAlignment="1">
      <alignment horizontal="center"/>
    </xf>
    <xf numFmtId="14" fontId="0" fillId="0" borderId="0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0" fillId="0" borderId="0" xfId="0" applyBorder="1"/>
    <xf numFmtId="14" fontId="0" fillId="0" borderId="5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4" fontId="0" fillId="0" borderId="5" xfId="0" applyNumberFormat="1" applyBorder="1" applyAlignment="1">
      <alignment horizontal="right"/>
    </xf>
    <xf numFmtId="4" fontId="0" fillId="0" borderId="5" xfId="0" applyNumberFormat="1" applyBorder="1"/>
    <xf numFmtId="14" fontId="0" fillId="0" borderId="2" xfId="0" applyNumberFormat="1" applyFont="1" applyBorder="1" applyAlignment="1">
      <alignment horizontal="center"/>
    </xf>
    <xf numFmtId="4" fontId="1" fillId="0" borderId="8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0" fillId="0" borderId="5" xfId="0" applyFill="1" applyBorder="1"/>
    <xf numFmtId="0" fontId="0" fillId="0" borderId="5" xfId="0" applyBorder="1"/>
    <xf numFmtId="0" fontId="1" fillId="0" borderId="11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4" fontId="0" fillId="0" borderId="12" xfId="0" applyNumberFormat="1" applyBorder="1" applyAlignment="1">
      <alignment horizontal="right"/>
    </xf>
    <xf numFmtId="4" fontId="0" fillId="0" borderId="10" xfId="0" applyNumberFormat="1" applyBorder="1"/>
    <xf numFmtId="0" fontId="0" fillId="0" borderId="13" xfId="0" applyFont="1" applyBorder="1" applyAlignment="1">
      <alignment horizontal="left"/>
    </xf>
    <xf numFmtId="0" fontId="1" fillId="0" borderId="13" xfId="0" applyFont="1" applyBorder="1" applyAlignment="1">
      <alignment horizontal="center"/>
    </xf>
    <xf numFmtId="4" fontId="0" fillId="0" borderId="13" xfId="0" applyNumberFormat="1" applyBorder="1" applyAlignment="1">
      <alignment horizontal="right"/>
    </xf>
    <xf numFmtId="4" fontId="0" fillId="0" borderId="13" xfId="0" applyNumberFormat="1" applyBorder="1"/>
    <xf numFmtId="0" fontId="0" fillId="0" borderId="14" xfId="0" applyBorder="1"/>
    <xf numFmtId="4" fontId="0" fillId="0" borderId="14" xfId="0" applyNumberFormat="1" applyBorder="1"/>
    <xf numFmtId="0" fontId="0" fillId="0" borderId="13" xfId="0" applyBorder="1"/>
    <xf numFmtId="0" fontId="0" fillId="0" borderId="13" xfId="0" applyFill="1" applyBorder="1"/>
    <xf numFmtId="4" fontId="0" fillId="0" borderId="15" xfId="0" applyNumberFormat="1" applyBorder="1" applyAlignment="1">
      <alignment horizontal="right"/>
    </xf>
    <xf numFmtId="4" fontId="0" fillId="0" borderId="13" xfId="0" applyNumberFormat="1" applyFont="1" applyBorder="1" applyAlignment="1">
      <alignment horizontal="right"/>
    </xf>
    <xf numFmtId="4" fontId="0" fillId="0" borderId="16" xfId="0" applyNumberFormat="1" applyBorder="1" applyAlignment="1">
      <alignment horizontal="right"/>
    </xf>
    <xf numFmtId="4" fontId="0" fillId="0" borderId="10" xfId="0" applyNumberFormat="1" applyBorder="1" applyAlignment="1">
      <alignment horizontal="right"/>
    </xf>
    <xf numFmtId="0" fontId="0" fillId="0" borderId="16" xfId="0" applyBorder="1"/>
    <xf numFmtId="0" fontId="0" fillId="0" borderId="7" xfId="0" applyBorder="1"/>
    <xf numFmtId="4" fontId="1" fillId="0" borderId="18" xfId="0" applyNumberFormat="1" applyFont="1" applyBorder="1"/>
    <xf numFmtId="0" fontId="1" fillId="0" borderId="5" xfId="0" applyFont="1" applyFill="1" applyBorder="1" applyAlignment="1">
      <alignment horizontal="center"/>
    </xf>
    <xf numFmtId="14" fontId="0" fillId="0" borderId="20" xfId="0" applyNumberFormat="1" applyFont="1" applyBorder="1" applyAlignment="1">
      <alignment horizontal="center"/>
    </xf>
    <xf numFmtId="4" fontId="0" fillId="0" borderId="14" xfId="0" applyNumberFormat="1" applyBorder="1" applyAlignment="1">
      <alignment horizontal="right"/>
    </xf>
    <xf numFmtId="14" fontId="0" fillId="0" borderId="13" xfId="0" applyNumberFormat="1" applyFont="1" applyBorder="1" applyAlignment="1">
      <alignment horizontal="center"/>
    </xf>
    <xf numFmtId="0" fontId="0" fillId="0" borderId="21" xfId="0" applyBorder="1"/>
    <xf numFmtId="4" fontId="0" fillId="0" borderId="22" xfId="0" applyNumberFormat="1" applyBorder="1"/>
    <xf numFmtId="4" fontId="1" fillId="0" borderId="22" xfId="0" applyNumberFormat="1" applyFont="1" applyBorder="1"/>
    <xf numFmtId="4" fontId="1" fillId="0" borderId="10" xfId="0" applyNumberFormat="1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3" xfId="0" applyFont="1" applyFill="1" applyBorder="1" applyAlignment="1">
      <alignment horizontal="left"/>
    </xf>
    <xf numFmtId="14" fontId="0" fillId="0" borderId="10" xfId="0" applyNumberFormat="1" applyFont="1" applyBorder="1" applyAlignment="1">
      <alignment horizontal="center"/>
    </xf>
    <xf numFmtId="0" fontId="0" fillId="0" borderId="12" xfId="0" applyFont="1" applyBorder="1" applyAlignment="1">
      <alignment horizontal="left"/>
    </xf>
    <xf numFmtId="14" fontId="0" fillId="0" borderId="14" xfId="0" applyNumberFormat="1" applyFont="1" applyBorder="1" applyAlignment="1">
      <alignment horizontal="center"/>
    </xf>
    <xf numFmtId="0" fontId="0" fillId="0" borderId="15" xfId="0" applyBorder="1"/>
    <xf numFmtId="14" fontId="0" fillId="0" borderId="13" xfId="0" applyNumberFormat="1" applyFont="1" applyFill="1" applyBorder="1" applyAlignment="1">
      <alignment horizontal="center"/>
    </xf>
    <xf numFmtId="0" fontId="0" fillId="0" borderId="14" xfId="0" applyFill="1" applyBorder="1"/>
    <xf numFmtId="4" fontId="0" fillId="0" borderId="19" xfId="0" applyNumberFormat="1" applyBorder="1"/>
    <xf numFmtId="4" fontId="1" fillId="0" borderId="5" xfId="0" applyNumberFormat="1" applyFont="1" applyBorder="1"/>
    <xf numFmtId="4" fontId="1" fillId="0" borderId="4" xfId="0" applyNumberFormat="1" applyFont="1" applyBorder="1"/>
    <xf numFmtId="0" fontId="2" fillId="0" borderId="0" xfId="0" applyFont="1" applyAlignment="1">
      <alignment horizontal="center"/>
    </xf>
    <xf numFmtId="0" fontId="0" fillId="0" borderId="11" xfId="0" applyBorder="1" applyAlignment="1">
      <alignment horizontal="center"/>
    </xf>
    <xf numFmtId="0" fontId="0" fillId="0" borderId="23" xfId="0" applyBorder="1"/>
    <xf numFmtId="14" fontId="0" fillId="0" borderId="3" xfId="0" applyNumberFormat="1" applyFont="1" applyBorder="1" applyAlignment="1">
      <alignment horizontal="center"/>
    </xf>
    <xf numFmtId="14" fontId="0" fillId="0" borderId="24" xfId="0" applyNumberFormat="1" applyFont="1" applyBorder="1" applyAlignment="1">
      <alignment horizontal="center"/>
    </xf>
    <xf numFmtId="14" fontId="0" fillId="0" borderId="16" xfId="0" applyNumberFormat="1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4" fontId="0" fillId="0" borderId="20" xfId="0" applyNumberFormat="1" applyBorder="1" applyAlignment="1">
      <alignment horizontal="right"/>
    </xf>
    <xf numFmtId="0" fontId="0" fillId="0" borderId="2" xfId="0" applyBorder="1"/>
    <xf numFmtId="0" fontId="0" fillId="0" borderId="3" xfId="0" applyBorder="1"/>
    <xf numFmtId="4" fontId="0" fillId="0" borderId="3" xfId="0" applyNumberFormat="1" applyBorder="1" applyAlignment="1">
      <alignment horizontal="center"/>
    </xf>
    <xf numFmtId="4" fontId="1" fillId="0" borderId="3" xfId="0" applyNumberFormat="1" applyFont="1" applyBorder="1" applyAlignment="1">
      <alignment horizontal="right"/>
    </xf>
    <xf numFmtId="0" fontId="1" fillId="0" borderId="26" xfId="0" applyFont="1" applyBorder="1" applyAlignment="1">
      <alignment horizontal="left"/>
    </xf>
    <xf numFmtId="14" fontId="0" fillId="0" borderId="27" xfId="0" applyNumberFormat="1" applyFont="1" applyBorder="1" applyAlignment="1">
      <alignment horizontal="center"/>
    </xf>
    <xf numFmtId="14" fontId="1" fillId="0" borderId="0" xfId="0" applyNumberFormat="1" applyFont="1" applyBorder="1"/>
    <xf numFmtId="14" fontId="1" fillId="0" borderId="0" xfId="0" applyNumberFormat="1" applyFont="1"/>
    <xf numFmtId="0" fontId="1" fillId="0" borderId="22" xfId="0" applyFont="1" applyBorder="1" applyAlignment="1">
      <alignment horizontal="center"/>
    </xf>
    <xf numFmtId="0" fontId="0" fillId="0" borderId="13" xfId="0" applyFont="1" applyBorder="1"/>
    <xf numFmtId="4" fontId="0" fillId="0" borderId="6" xfId="0" applyNumberFormat="1" applyBorder="1" applyAlignment="1">
      <alignment horizontal="center"/>
    </xf>
    <xf numFmtId="0" fontId="0" fillId="0" borderId="6" xfId="0" applyBorder="1"/>
    <xf numFmtId="4" fontId="1" fillId="0" borderId="3" xfId="0" applyNumberFormat="1" applyFont="1" applyBorder="1" applyAlignment="1"/>
    <xf numFmtId="4" fontId="1" fillId="0" borderId="8" xfId="0" applyNumberFormat="1" applyFont="1" applyBorder="1" applyAlignment="1"/>
    <xf numFmtId="14" fontId="0" fillId="0" borderId="22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0" fillId="2" borderId="5" xfId="0" applyNumberFormat="1" applyFont="1" applyFill="1" applyBorder="1" applyAlignment="1">
      <alignment horizontal="center"/>
    </xf>
    <xf numFmtId="0" fontId="0" fillId="2" borderId="13" xfId="0" applyFill="1" applyBorder="1"/>
    <xf numFmtId="4" fontId="0" fillId="2" borderId="13" xfId="0" applyNumberFormat="1" applyFill="1" applyBorder="1" applyAlignment="1">
      <alignment horizontal="right"/>
    </xf>
    <xf numFmtId="14" fontId="0" fillId="2" borderId="13" xfId="0" applyNumberFormat="1" applyFont="1" applyFill="1" applyBorder="1" applyAlignment="1">
      <alignment horizontal="center"/>
    </xf>
    <xf numFmtId="0" fontId="0" fillId="3" borderId="13" xfId="0" applyFill="1" applyBorder="1"/>
    <xf numFmtId="0" fontId="1" fillId="0" borderId="0" xfId="0" applyFont="1" applyAlignment="1">
      <alignment horizontal="center"/>
    </xf>
    <xf numFmtId="14" fontId="0" fillId="3" borderId="13" xfId="0" applyNumberFormat="1" applyFont="1" applyFill="1" applyBorder="1" applyAlignment="1">
      <alignment horizontal="center"/>
    </xf>
    <xf numFmtId="0" fontId="0" fillId="3" borderId="13" xfId="0" applyFont="1" applyFill="1" applyBorder="1" applyAlignment="1">
      <alignment horizontal="left"/>
    </xf>
    <xf numFmtId="4" fontId="0" fillId="3" borderId="13" xfId="0" applyNumberFormat="1" applyFill="1" applyBorder="1" applyAlignment="1">
      <alignment horizontal="righ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29" xfId="0" applyBorder="1"/>
    <xf numFmtId="0" fontId="0" fillId="0" borderId="9" xfId="0" applyBorder="1"/>
    <xf numFmtId="4" fontId="0" fillId="0" borderId="28" xfId="0" applyNumberFormat="1" applyBorder="1" applyAlignment="1">
      <alignment horizontal="center"/>
    </xf>
    <xf numFmtId="4" fontId="1" fillId="0" borderId="28" xfId="0" applyNumberFormat="1" applyFont="1" applyBorder="1" applyAlignment="1">
      <alignment horizontal="right"/>
    </xf>
    <xf numFmtId="4" fontId="1" fillId="0" borderId="30" xfId="0" applyNumberFormat="1" applyFont="1" applyBorder="1"/>
    <xf numFmtId="4" fontId="1" fillId="0" borderId="31" xfId="0" applyNumberFormat="1" applyFont="1" applyBorder="1" applyAlignment="1">
      <alignment horizontal="right"/>
    </xf>
    <xf numFmtId="4" fontId="1" fillId="0" borderId="14" xfId="0" applyNumberFormat="1" applyFont="1" applyBorder="1" applyAlignment="1">
      <alignment horizontal="center"/>
    </xf>
    <xf numFmtId="14" fontId="0" fillId="0" borderId="17" xfId="0" applyNumberFormat="1" applyFont="1" applyBorder="1" applyAlignment="1">
      <alignment horizontal="center"/>
    </xf>
    <xf numFmtId="4" fontId="1" fillId="0" borderId="7" xfId="0" applyNumberFormat="1" applyFont="1" applyBorder="1" applyAlignment="1">
      <alignment horizontal="right"/>
    </xf>
    <xf numFmtId="0" fontId="1" fillId="0" borderId="22" xfId="0" applyFont="1" applyBorder="1" applyAlignment="1">
      <alignment horizontal="right"/>
    </xf>
    <xf numFmtId="4" fontId="1" fillId="0" borderId="2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17"/>
  <sheetViews>
    <sheetView workbookViewId="0">
      <selection activeCell="D28" sqref="D28"/>
    </sheetView>
  </sheetViews>
  <sheetFormatPr baseColWidth="10" defaultRowHeight="15" x14ac:dyDescent="0.25"/>
  <cols>
    <col min="1" max="1" width="52.140625" customWidth="1"/>
  </cols>
  <sheetData>
    <row r="2" spans="1:4" x14ac:dyDescent="0.25">
      <c r="A2" s="103" t="s">
        <v>0</v>
      </c>
      <c r="B2" s="103"/>
      <c r="C2" s="103"/>
    </row>
    <row r="3" spans="1:4" x14ac:dyDescent="0.25">
      <c r="A3" s="4"/>
    </row>
    <row r="4" spans="1:4" x14ac:dyDescent="0.25">
      <c r="A4" t="s">
        <v>2</v>
      </c>
      <c r="B4" s="2">
        <v>150</v>
      </c>
      <c r="C4" s="2"/>
      <c r="D4" s="3"/>
    </row>
    <row r="5" spans="1:4" x14ac:dyDescent="0.25">
      <c r="A5" t="s">
        <v>2</v>
      </c>
      <c r="B5" s="2">
        <v>30</v>
      </c>
      <c r="C5" s="2"/>
      <c r="D5" s="3"/>
    </row>
    <row r="6" spans="1:4" x14ac:dyDescent="0.25">
      <c r="A6" t="s">
        <v>3</v>
      </c>
      <c r="B6" s="2">
        <v>630</v>
      </c>
      <c r="C6" s="2"/>
      <c r="D6" s="3"/>
    </row>
    <row r="7" spans="1:4" x14ac:dyDescent="0.25">
      <c r="A7" t="s">
        <v>4</v>
      </c>
      <c r="B7" s="2">
        <v>798</v>
      </c>
      <c r="C7" s="2"/>
      <c r="D7" s="3"/>
    </row>
    <row r="8" spans="1:4" x14ac:dyDescent="0.25">
      <c r="A8" t="s">
        <v>16</v>
      </c>
      <c r="B8" s="2">
        <v>27900</v>
      </c>
      <c r="C8" s="2"/>
      <c r="D8" s="3"/>
    </row>
    <row r="9" spans="1:4" x14ac:dyDescent="0.25">
      <c r="A9" t="s">
        <v>18</v>
      </c>
      <c r="B9" s="2">
        <v>3200</v>
      </c>
      <c r="C9" s="2"/>
      <c r="D9" s="3"/>
    </row>
    <row r="10" spans="1:4" x14ac:dyDescent="0.25">
      <c r="A10" t="s">
        <v>5</v>
      </c>
      <c r="B10" s="2">
        <v>398</v>
      </c>
      <c r="C10" s="2"/>
      <c r="D10" s="3"/>
    </row>
    <row r="11" spans="1:4" x14ac:dyDescent="0.25">
      <c r="A11" t="s">
        <v>6</v>
      </c>
      <c r="B11" s="2">
        <v>253.7</v>
      </c>
      <c r="C11" s="2"/>
      <c r="D11" s="3"/>
    </row>
    <row r="12" spans="1:4" x14ac:dyDescent="0.25">
      <c r="A12" t="s">
        <v>7</v>
      </c>
      <c r="B12" s="2">
        <v>408</v>
      </c>
      <c r="C12" s="2"/>
      <c r="D12" s="3"/>
    </row>
    <row r="13" spans="1:4" x14ac:dyDescent="0.25">
      <c r="A13" t="s">
        <v>8</v>
      </c>
      <c r="B13" s="2">
        <v>1600</v>
      </c>
      <c r="C13" s="2"/>
      <c r="D13" s="3"/>
    </row>
    <row r="14" spans="1:4" x14ac:dyDescent="0.25">
      <c r="A14" t="s">
        <v>9</v>
      </c>
      <c r="B14" s="2">
        <v>2860</v>
      </c>
      <c r="C14" s="2"/>
      <c r="D14" s="3"/>
    </row>
    <row r="15" spans="1:4" x14ac:dyDescent="0.25">
      <c r="A15" t="s">
        <v>10</v>
      </c>
      <c r="B15" s="2">
        <v>1000</v>
      </c>
      <c r="C15" s="2"/>
      <c r="D15" s="3"/>
    </row>
    <row r="16" spans="1:4" x14ac:dyDescent="0.25">
      <c r="A16" t="s">
        <v>19</v>
      </c>
      <c r="B16" s="2">
        <v>400</v>
      </c>
      <c r="C16" s="2"/>
      <c r="D16" s="3"/>
    </row>
    <row r="17" spans="1:4" x14ac:dyDescent="0.25">
      <c r="A17" t="s">
        <v>11</v>
      </c>
      <c r="B17" s="2">
        <v>331.5</v>
      </c>
      <c r="C17" s="2"/>
      <c r="D17" s="3"/>
    </row>
    <row r="18" spans="1:4" x14ac:dyDescent="0.25">
      <c r="A18" t="s">
        <v>12</v>
      </c>
      <c r="B18" s="2">
        <v>300</v>
      </c>
      <c r="C18" s="2"/>
      <c r="D18" s="3"/>
    </row>
    <row r="19" spans="1:4" x14ac:dyDescent="0.25">
      <c r="A19" t="s">
        <v>3</v>
      </c>
      <c r="B19" s="2">
        <v>135</v>
      </c>
      <c r="C19" s="2"/>
      <c r="D19" s="3"/>
    </row>
    <row r="20" spans="1:4" x14ac:dyDescent="0.25">
      <c r="A20" t="s">
        <v>13</v>
      </c>
      <c r="B20" s="2">
        <v>200</v>
      </c>
      <c r="C20" s="2"/>
      <c r="D20" s="3"/>
    </row>
    <row r="21" spans="1:4" x14ac:dyDescent="0.25">
      <c r="A21" t="s">
        <v>14</v>
      </c>
      <c r="B21" s="2">
        <v>700</v>
      </c>
      <c r="C21" s="2"/>
      <c r="D21" s="3"/>
    </row>
    <row r="22" spans="1:4" x14ac:dyDescent="0.25">
      <c r="A22" t="s">
        <v>2</v>
      </c>
      <c r="B22" s="2">
        <v>90</v>
      </c>
      <c r="C22" s="2"/>
      <c r="D22" s="3"/>
    </row>
    <row r="23" spans="1:4" x14ac:dyDescent="0.25">
      <c r="A23" t="s">
        <v>15</v>
      </c>
      <c r="B23" s="2">
        <v>3200</v>
      </c>
      <c r="C23" s="2"/>
      <c r="D23" s="3"/>
    </row>
    <row r="24" spans="1:4" x14ac:dyDescent="0.25">
      <c r="A24" t="s">
        <v>17</v>
      </c>
      <c r="B24" s="2">
        <v>27900</v>
      </c>
      <c r="C24" s="2"/>
      <c r="D24" s="3"/>
    </row>
    <row r="25" spans="1:4" x14ac:dyDescent="0.25">
      <c r="A25" t="s">
        <v>2</v>
      </c>
      <c r="B25" s="2">
        <v>90</v>
      </c>
      <c r="C25" s="2"/>
      <c r="D25" s="3"/>
    </row>
    <row r="26" spans="1:4" x14ac:dyDescent="0.25">
      <c r="B26" s="2"/>
      <c r="C26" s="2"/>
      <c r="D26" s="3"/>
    </row>
    <row r="27" spans="1:4" x14ac:dyDescent="0.25">
      <c r="A27" s="5" t="s">
        <v>1</v>
      </c>
      <c r="B27" s="7">
        <f>SUM(B4:B26)</f>
        <v>72574.2</v>
      </c>
      <c r="C27" s="2"/>
      <c r="D27" s="3"/>
    </row>
    <row r="28" spans="1:4" x14ac:dyDescent="0.25">
      <c r="B28" s="6"/>
      <c r="C28" s="2"/>
      <c r="D28" s="3"/>
    </row>
    <row r="29" spans="1:4" x14ac:dyDescent="0.25">
      <c r="B29" s="2"/>
      <c r="C29" s="2"/>
      <c r="D29" s="3"/>
    </row>
    <row r="30" spans="1:4" x14ac:dyDescent="0.25">
      <c r="B30" s="2"/>
      <c r="C30" s="2"/>
      <c r="D30" s="3"/>
    </row>
    <row r="31" spans="1:4" x14ac:dyDescent="0.25">
      <c r="B31" s="2"/>
      <c r="C31" s="2"/>
      <c r="D31" s="3"/>
    </row>
    <row r="32" spans="1:4" x14ac:dyDescent="0.25">
      <c r="B32" s="2"/>
      <c r="C32" s="2"/>
      <c r="D32" s="3"/>
    </row>
    <row r="33" spans="2:4" x14ac:dyDescent="0.25">
      <c r="B33" s="2"/>
      <c r="C33" s="2"/>
      <c r="D33" s="3"/>
    </row>
    <row r="34" spans="2:4" x14ac:dyDescent="0.25">
      <c r="B34" s="2"/>
      <c r="C34" s="2"/>
      <c r="D34" s="3"/>
    </row>
    <row r="35" spans="2:4" x14ac:dyDescent="0.25">
      <c r="B35" s="2"/>
      <c r="C35" s="2"/>
      <c r="D35" s="3"/>
    </row>
    <row r="36" spans="2:4" x14ac:dyDescent="0.25">
      <c r="B36" s="2"/>
      <c r="C36" s="2"/>
      <c r="D36" s="3"/>
    </row>
    <row r="37" spans="2:4" x14ac:dyDescent="0.25">
      <c r="B37" s="2"/>
      <c r="C37" s="2"/>
      <c r="D37" s="3"/>
    </row>
    <row r="38" spans="2:4" x14ac:dyDescent="0.25">
      <c r="B38" s="2"/>
      <c r="C38" s="2"/>
      <c r="D38" s="3"/>
    </row>
    <row r="39" spans="2:4" x14ac:dyDescent="0.25">
      <c r="B39" s="2"/>
      <c r="C39" s="2"/>
      <c r="D39" s="3"/>
    </row>
    <row r="40" spans="2:4" x14ac:dyDescent="0.25">
      <c r="B40" s="2"/>
      <c r="C40" s="2"/>
      <c r="D40" s="3"/>
    </row>
    <row r="41" spans="2:4" x14ac:dyDescent="0.25">
      <c r="B41" s="2"/>
      <c r="C41" s="2"/>
      <c r="D41" s="3"/>
    </row>
    <row r="42" spans="2:4" x14ac:dyDescent="0.25">
      <c r="B42" s="2"/>
      <c r="C42" s="2"/>
      <c r="D42" s="3"/>
    </row>
    <row r="43" spans="2:4" x14ac:dyDescent="0.25">
      <c r="B43" s="2"/>
      <c r="C43" s="2"/>
      <c r="D43" s="3"/>
    </row>
    <row r="44" spans="2:4" x14ac:dyDescent="0.25">
      <c r="B44" s="2"/>
      <c r="C44" s="2"/>
      <c r="D44" s="3"/>
    </row>
    <row r="45" spans="2:4" x14ac:dyDescent="0.25">
      <c r="B45" s="2"/>
      <c r="C45" s="2"/>
      <c r="D45" s="3"/>
    </row>
    <row r="46" spans="2:4" x14ac:dyDescent="0.25">
      <c r="B46" s="2"/>
      <c r="C46" s="2"/>
      <c r="D46" s="3"/>
    </row>
    <row r="47" spans="2:4" x14ac:dyDescent="0.25">
      <c r="B47" s="2"/>
      <c r="C47" s="2"/>
      <c r="D47" s="3"/>
    </row>
    <row r="48" spans="2:4" x14ac:dyDescent="0.25">
      <c r="B48" s="2"/>
      <c r="C48" s="2"/>
      <c r="D48" s="3"/>
    </row>
    <row r="49" spans="2:4" x14ac:dyDescent="0.25">
      <c r="B49" s="2"/>
      <c r="C49" s="2"/>
      <c r="D49" s="3"/>
    </row>
    <row r="50" spans="2:4" x14ac:dyDescent="0.25">
      <c r="B50" s="2"/>
      <c r="C50" s="2"/>
      <c r="D50" s="3"/>
    </row>
    <row r="51" spans="2:4" x14ac:dyDescent="0.25">
      <c r="B51" s="2"/>
      <c r="C51" s="2"/>
      <c r="D51" s="3"/>
    </row>
    <row r="52" spans="2:4" x14ac:dyDescent="0.25">
      <c r="B52" s="2"/>
      <c r="C52" s="2"/>
      <c r="D52" s="3"/>
    </row>
    <row r="53" spans="2:4" x14ac:dyDescent="0.25">
      <c r="B53" s="2"/>
      <c r="C53" s="2"/>
      <c r="D53" s="3"/>
    </row>
    <row r="54" spans="2:4" x14ac:dyDescent="0.25">
      <c r="B54" s="2"/>
      <c r="C54" s="2"/>
      <c r="D54" s="3"/>
    </row>
    <row r="55" spans="2:4" x14ac:dyDescent="0.25">
      <c r="B55" s="2"/>
      <c r="C55" s="2"/>
      <c r="D55" s="3"/>
    </row>
    <row r="56" spans="2:4" x14ac:dyDescent="0.25">
      <c r="B56" s="1"/>
      <c r="C56" s="1"/>
    </row>
    <row r="57" spans="2:4" x14ac:dyDescent="0.25">
      <c r="B57" s="1"/>
      <c r="C57" s="1"/>
    </row>
    <row r="58" spans="2:4" x14ac:dyDescent="0.25">
      <c r="B58" s="1"/>
      <c r="C58" s="1"/>
    </row>
    <row r="59" spans="2:4" x14ac:dyDescent="0.25">
      <c r="B59" s="1"/>
      <c r="C59" s="1"/>
    </row>
    <row r="60" spans="2:4" x14ac:dyDescent="0.25">
      <c r="B60" s="1"/>
      <c r="C60" s="1"/>
    </row>
    <row r="61" spans="2:4" x14ac:dyDescent="0.25">
      <c r="B61" s="1"/>
      <c r="C61" s="1"/>
    </row>
    <row r="62" spans="2:4" x14ac:dyDescent="0.25">
      <c r="B62" s="1"/>
      <c r="C62" s="1"/>
    </row>
    <row r="63" spans="2:4" x14ac:dyDescent="0.25">
      <c r="B63" s="1"/>
      <c r="C63" s="1"/>
    </row>
    <row r="64" spans="2:4" x14ac:dyDescent="0.25">
      <c r="B64" s="1"/>
      <c r="C64" s="1"/>
    </row>
    <row r="65" spans="2:3" x14ac:dyDescent="0.25">
      <c r="B65" s="1"/>
      <c r="C65" s="1"/>
    </row>
    <row r="66" spans="2:3" x14ac:dyDescent="0.25">
      <c r="B66" s="1"/>
      <c r="C66" s="1"/>
    </row>
    <row r="67" spans="2:3" x14ac:dyDescent="0.25">
      <c r="B67" s="1"/>
      <c r="C67" s="1"/>
    </row>
    <row r="68" spans="2:3" x14ac:dyDescent="0.25">
      <c r="B68" s="1"/>
      <c r="C68" s="1"/>
    </row>
    <row r="69" spans="2:3" x14ac:dyDescent="0.25">
      <c r="B69" s="1"/>
      <c r="C69" s="1"/>
    </row>
    <row r="70" spans="2:3" x14ac:dyDescent="0.25">
      <c r="B70" s="1"/>
      <c r="C70" s="1"/>
    </row>
    <row r="71" spans="2:3" x14ac:dyDescent="0.25">
      <c r="B71" s="1"/>
      <c r="C71" s="1"/>
    </row>
    <row r="72" spans="2:3" x14ac:dyDescent="0.25">
      <c r="B72" s="1"/>
      <c r="C72" s="1"/>
    </row>
    <row r="73" spans="2:3" x14ac:dyDescent="0.25">
      <c r="B73" s="1"/>
      <c r="C73" s="1"/>
    </row>
    <row r="74" spans="2:3" x14ac:dyDescent="0.25">
      <c r="B74" s="1"/>
      <c r="C74" s="1"/>
    </row>
    <row r="75" spans="2:3" x14ac:dyDescent="0.25">
      <c r="B75" s="1"/>
      <c r="C75" s="1"/>
    </row>
    <row r="76" spans="2:3" x14ac:dyDescent="0.25">
      <c r="B76" s="1"/>
      <c r="C76" s="1"/>
    </row>
    <row r="77" spans="2:3" x14ac:dyDescent="0.25">
      <c r="B77" s="1"/>
      <c r="C77" s="1"/>
    </row>
    <row r="78" spans="2:3" x14ac:dyDescent="0.25">
      <c r="B78" s="1"/>
      <c r="C78" s="1"/>
    </row>
    <row r="79" spans="2:3" x14ac:dyDescent="0.25">
      <c r="B79" s="1"/>
      <c r="C79" s="1"/>
    </row>
    <row r="80" spans="2:3" x14ac:dyDescent="0.25">
      <c r="B80" s="1"/>
      <c r="C80" s="1"/>
    </row>
    <row r="81" spans="2:3" x14ac:dyDescent="0.25">
      <c r="B81" s="1"/>
      <c r="C81" s="1"/>
    </row>
    <row r="82" spans="2:3" x14ac:dyDescent="0.25">
      <c r="B82" s="1"/>
      <c r="C82" s="1"/>
    </row>
    <row r="83" spans="2:3" x14ac:dyDescent="0.25">
      <c r="B83" s="1"/>
      <c r="C83" s="1"/>
    </row>
    <row r="84" spans="2:3" x14ac:dyDescent="0.25">
      <c r="B84" s="1"/>
      <c r="C84" s="1"/>
    </row>
    <row r="85" spans="2:3" x14ac:dyDescent="0.25">
      <c r="B85" s="1"/>
      <c r="C85" s="1"/>
    </row>
    <row r="86" spans="2:3" x14ac:dyDescent="0.25">
      <c r="B86" s="1"/>
      <c r="C86" s="1"/>
    </row>
    <row r="87" spans="2:3" x14ac:dyDescent="0.25">
      <c r="B87" s="1"/>
      <c r="C87" s="1"/>
    </row>
    <row r="88" spans="2:3" x14ac:dyDescent="0.25">
      <c r="B88" s="1"/>
      <c r="C88" s="1"/>
    </row>
    <row r="89" spans="2:3" x14ac:dyDescent="0.25">
      <c r="B89" s="1"/>
      <c r="C89" s="1"/>
    </row>
    <row r="90" spans="2:3" x14ac:dyDescent="0.25">
      <c r="B90" s="1"/>
      <c r="C90" s="1"/>
    </row>
    <row r="91" spans="2:3" x14ac:dyDescent="0.25">
      <c r="B91" s="1"/>
      <c r="C91" s="1"/>
    </row>
    <row r="92" spans="2:3" x14ac:dyDescent="0.25">
      <c r="B92" s="1"/>
      <c r="C92" s="1"/>
    </row>
    <row r="93" spans="2:3" x14ac:dyDescent="0.25">
      <c r="B93" s="1"/>
      <c r="C93" s="1"/>
    </row>
    <row r="94" spans="2:3" x14ac:dyDescent="0.25">
      <c r="B94" s="1"/>
      <c r="C94" s="1"/>
    </row>
    <row r="95" spans="2:3" x14ac:dyDescent="0.25">
      <c r="B95" s="1"/>
      <c r="C95" s="1"/>
    </row>
    <row r="96" spans="2:3" x14ac:dyDescent="0.25">
      <c r="B96" s="1"/>
      <c r="C96" s="1"/>
    </row>
    <row r="97" spans="2:3" x14ac:dyDescent="0.25">
      <c r="B97" s="1"/>
      <c r="C97" s="1"/>
    </row>
    <row r="98" spans="2:3" x14ac:dyDescent="0.25">
      <c r="B98" s="1"/>
      <c r="C98" s="1"/>
    </row>
    <row r="99" spans="2:3" x14ac:dyDescent="0.25">
      <c r="B99" s="1"/>
      <c r="C99" s="1"/>
    </row>
    <row r="100" spans="2:3" x14ac:dyDescent="0.25">
      <c r="B100" s="1"/>
      <c r="C100" s="1"/>
    </row>
    <row r="101" spans="2:3" x14ac:dyDescent="0.25">
      <c r="B101" s="1"/>
      <c r="C101" s="1"/>
    </row>
    <row r="102" spans="2:3" x14ac:dyDescent="0.25">
      <c r="B102" s="1"/>
      <c r="C102" s="1"/>
    </row>
    <row r="103" spans="2:3" x14ac:dyDescent="0.25">
      <c r="B103" s="1"/>
      <c r="C103" s="1"/>
    </row>
    <row r="104" spans="2:3" x14ac:dyDescent="0.25">
      <c r="B104" s="1"/>
      <c r="C104" s="1"/>
    </row>
    <row r="105" spans="2:3" x14ac:dyDescent="0.25">
      <c r="B105" s="1"/>
      <c r="C105" s="1"/>
    </row>
    <row r="106" spans="2:3" x14ac:dyDescent="0.25">
      <c r="B106" s="1"/>
      <c r="C106" s="1"/>
    </row>
    <row r="107" spans="2:3" x14ac:dyDescent="0.25">
      <c r="B107" s="1"/>
      <c r="C107" s="1"/>
    </row>
    <row r="108" spans="2:3" x14ac:dyDescent="0.25">
      <c r="B108" s="1"/>
      <c r="C108" s="1"/>
    </row>
    <row r="109" spans="2:3" x14ac:dyDescent="0.25">
      <c r="B109" s="1"/>
      <c r="C109" s="1"/>
    </row>
    <row r="110" spans="2:3" x14ac:dyDescent="0.25">
      <c r="B110" s="1"/>
      <c r="C110" s="1"/>
    </row>
    <row r="111" spans="2:3" x14ac:dyDescent="0.25">
      <c r="B111" s="1"/>
      <c r="C111" s="1"/>
    </row>
    <row r="112" spans="2:3" x14ac:dyDescent="0.25">
      <c r="B112" s="1"/>
      <c r="C112" s="1"/>
    </row>
    <row r="113" spans="2:3" x14ac:dyDescent="0.25">
      <c r="B113" s="1"/>
      <c r="C113" s="1"/>
    </row>
    <row r="114" spans="2:3" x14ac:dyDescent="0.25">
      <c r="B114" s="1"/>
      <c r="C114" s="1"/>
    </row>
    <row r="115" spans="2:3" x14ac:dyDescent="0.25">
      <c r="B115" s="1"/>
      <c r="C115" s="1"/>
    </row>
    <row r="116" spans="2:3" x14ac:dyDescent="0.25">
      <c r="B116" s="1"/>
      <c r="C116" s="1"/>
    </row>
    <row r="117" spans="2:3" x14ac:dyDescent="0.25">
      <c r="B117" s="1"/>
      <c r="C117" s="1"/>
    </row>
  </sheetData>
  <mergeCells count="1">
    <mergeCell ref="A2:C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46"/>
  <sheetViews>
    <sheetView tabSelected="1" topLeftCell="A45" zoomScaleNormal="100" workbookViewId="0">
      <selection activeCell="C66" sqref="C66"/>
    </sheetView>
  </sheetViews>
  <sheetFormatPr baseColWidth="10" defaultRowHeight="15" x14ac:dyDescent="0.25"/>
  <cols>
    <col min="3" max="3" width="60.28515625" customWidth="1"/>
    <col min="5" max="5" width="13.140625" customWidth="1"/>
  </cols>
  <sheetData>
    <row r="1" spans="2:6" x14ac:dyDescent="0.25">
      <c r="B1" s="78">
        <v>41670</v>
      </c>
    </row>
    <row r="2" spans="2:6" ht="15.75" thickBot="1" x14ac:dyDescent="0.3">
      <c r="B2" s="104" t="s">
        <v>488</v>
      </c>
      <c r="C2" s="104"/>
      <c r="D2" s="104"/>
      <c r="E2" s="104"/>
      <c r="F2" s="104"/>
    </row>
    <row r="3" spans="2:6" ht="15.75" thickBot="1" x14ac:dyDescent="0.3">
      <c r="B3" s="99"/>
      <c r="C3" s="99"/>
      <c r="D3" s="99"/>
      <c r="E3" s="99"/>
      <c r="F3" s="80" t="s">
        <v>487</v>
      </c>
    </row>
    <row r="4" spans="2:6" ht="15.75" thickBot="1" x14ac:dyDescent="0.3">
      <c r="B4" s="11" t="s">
        <v>20</v>
      </c>
      <c r="C4" s="17" t="s">
        <v>21</v>
      </c>
      <c r="D4" s="11" t="s">
        <v>149</v>
      </c>
      <c r="E4" s="12" t="s">
        <v>24</v>
      </c>
      <c r="F4" s="13" t="s">
        <v>23</v>
      </c>
    </row>
    <row r="5" spans="2:6" x14ac:dyDescent="0.25">
      <c r="B5" s="55">
        <v>41639</v>
      </c>
      <c r="C5" s="26" t="s">
        <v>63</v>
      </c>
      <c r="D5" s="27"/>
      <c r="E5" s="28"/>
      <c r="F5" s="29">
        <v>8673</v>
      </c>
    </row>
    <row r="6" spans="2:6" x14ac:dyDescent="0.25">
      <c r="B6" s="48">
        <v>41641</v>
      </c>
      <c r="C6" s="30" t="s">
        <v>64</v>
      </c>
      <c r="D6" s="31"/>
      <c r="E6" s="32">
        <v>62.5</v>
      </c>
      <c r="F6" s="33">
        <f>+F5+D6-E6</f>
        <v>8610.5</v>
      </c>
    </row>
    <row r="7" spans="2:6" x14ac:dyDescent="0.25">
      <c r="B7" s="48">
        <v>41641</v>
      </c>
      <c r="C7" s="25" t="s">
        <v>65</v>
      </c>
      <c r="D7" s="18"/>
      <c r="E7" s="18">
        <v>210</v>
      </c>
      <c r="F7" s="33">
        <f t="shared" ref="F7:F40" si="0">+F6+D7-E7</f>
        <v>8400.5</v>
      </c>
    </row>
    <row r="8" spans="2:6" x14ac:dyDescent="0.25">
      <c r="B8" s="48">
        <v>41641</v>
      </c>
      <c r="C8" s="36" t="s">
        <v>66</v>
      </c>
      <c r="D8" s="32"/>
      <c r="E8" s="32">
        <v>1500</v>
      </c>
      <c r="F8" s="33">
        <f t="shared" si="0"/>
        <v>6900.5</v>
      </c>
    </row>
    <row r="9" spans="2:6" x14ac:dyDescent="0.25">
      <c r="B9" s="57">
        <v>37990</v>
      </c>
      <c r="C9" s="24" t="s">
        <v>67</v>
      </c>
      <c r="D9" s="18"/>
      <c r="E9" s="14">
        <v>300</v>
      </c>
      <c r="F9" s="33">
        <f t="shared" si="0"/>
        <v>6600.5</v>
      </c>
    </row>
    <row r="10" spans="2:6" x14ac:dyDescent="0.25">
      <c r="B10" s="48">
        <v>41644</v>
      </c>
      <c r="C10" s="37" t="s">
        <v>147</v>
      </c>
      <c r="D10" s="32">
        <v>5000</v>
      </c>
      <c r="E10" s="32"/>
      <c r="F10" s="33">
        <f t="shared" si="0"/>
        <v>11600.5</v>
      </c>
    </row>
    <row r="11" spans="2:6" x14ac:dyDescent="0.25">
      <c r="B11" s="48">
        <v>41644</v>
      </c>
      <c r="C11" s="36" t="s">
        <v>68</v>
      </c>
      <c r="D11" s="32"/>
      <c r="E11" s="32">
        <v>800</v>
      </c>
      <c r="F11" s="33">
        <f t="shared" si="0"/>
        <v>10800.5</v>
      </c>
    </row>
    <row r="12" spans="2:6" x14ac:dyDescent="0.25">
      <c r="B12" s="57">
        <v>41645</v>
      </c>
      <c r="C12" s="36" t="s">
        <v>69</v>
      </c>
      <c r="D12" s="32"/>
      <c r="E12" s="32">
        <v>550</v>
      </c>
      <c r="F12" s="33">
        <f t="shared" si="0"/>
        <v>10250.5</v>
      </c>
    </row>
    <row r="13" spans="2:6" x14ac:dyDescent="0.25">
      <c r="B13" s="57">
        <v>41645</v>
      </c>
      <c r="C13" s="36" t="s">
        <v>70</v>
      </c>
      <c r="D13" s="32"/>
      <c r="E13" s="32">
        <v>400</v>
      </c>
      <c r="F13" s="33">
        <f t="shared" si="0"/>
        <v>9850.5</v>
      </c>
    </row>
    <row r="14" spans="2:6" x14ac:dyDescent="0.25">
      <c r="B14" s="57">
        <v>41645</v>
      </c>
      <c r="C14" s="37" t="s">
        <v>71</v>
      </c>
      <c r="D14" s="32"/>
      <c r="E14" s="38">
        <v>90</v>
      </c>
      <c r="F14" s="33">
        <f t="shared" si="0"/>
        <v>9760.5</v>
      </c>
    </row>
    <row r="15" spans="2:6" x14ac:dyDescent="0.25">
      <c r="B15" s="57">
        <v>41646</v>
      </c>
      <c r="C15" s="36" t="s">
        <v>64</v>
      </c>
      <c r="D15" s="32"/>
      <c r="E15" s="32">
        <v>200</v>
      </c>
      <c r="F15" s="33">
        <f t="shared" si="0"/>
        <v>9560.5</v>
      </c>
    </row>
    <row r="16" spans="2:6" x14ac:dyDescent="0.25">
      <c r="B16" s="57">
        <v>41646</v>
      </c>
      <c r="C16" s="36" t="s">
        <v>73</v>
      </c>
      <c r="D16" s="32"/>
      <c r="E16" s="32">
        <v>150.4</v>
      </c>
      <c r="F16" s="33">
        <f t="shared" si="0"/>
        <v>9410.1</v>
      </c>
    </row>
    <row r="17" spans="2:6" x14ac:dyDescent="0.25">
      <c r="B17" s="57">
        <v>41647</v>
      </c>
      <c r="C17" s="36" t="s">
        <v>74</v>
      </c>
      <c r="D17" s="32"/>
      <c r="E17" s="32">
        <v>120</v>
      </c>
      <c r="F17" s="33">
        <f t="shared" si="0"/>
        <v>9290.1</v>
      </c>
    </row>
    <row r="18" spans="2:6" x14ac:dyDescent="0.25">
      <c r="B18" s="57">
        <v>41649</v>
      </c>
      <c r="C18" s="37" t="s">
        <v>360</v>
      </c>
      <c r="D18" s="32"/>
      <c r="E18" s="32">
        <v>786</v>
      </c>
      <c r="F18" s="33">
        <f t="shared" si="0"/>
        <v>8504.1</v>
      </c>
    </row>
    <row r="19" spans="2:6" x14ac:dyDescent="0.25">
      <c r="B19" s="57">
        <v>41650</v>
      </c>
      <c r="C19" s="36" t="s">
        <v>75</v>
      </c>
      <c r="D19" s="32"/>
      <c r="E19" s="32">
        <v>365.01</v>
      </c>
      <c r="F19" s="33">
        <f t="shared" si="0"/>
        <v>8139.09</v>
      </c>
    </row>
    <row r="20" spans="2:6" x14ac:dyDescent="0.25">
      <c r="B20" s="57">
        <v>41652</v>
      </c>
      <c r="C20" s="36" t="s">
        <v>71</v>
      </c>
      <c r="D20" s="32"/>
      <c r="E20" s="32">
        <v>90</v>
      </c>
      <c r="F20" s="33">
        <f t="shared" si="0"/>
        <v>8049.09</v>
      </c>
    </row>
    <row r="21" spans="2:6" x14ac:dyDescent="0.25">
      <c r="B21" s="57">
        <v>41653</v>
      </c>
      <c r="C21" s="36" t="s">
        <v>76</v>
      </c>
      <c r="D21" s="32"/>
      <c r="E21" s="32">
        <v>100</v>
      </c>
      <c r="F21" s="33">
        <f t="shared" si="0"/>
        <v>7949.09</v>
      </c>
    </row>
    <row r="22" spans="2:6" x14ac:dyDescent="0.25">
      <c r="B22" s="57">
        <v>41654</v>
      </c>
      <c r="C22" s="36" t="s">
        <v>77</v>
      </c>
      <c r="D22" s="32"/>
      <c r="E22" s="32">
        <v>3200</v>
      </c>
      <c r="F22" s="33">
        <f t="shared" si="0"/>
        <v>4749.09</v>
      </c>
    </row>
    <row r="23" spans="2:6" x14ac:dyDescent="0.25">
      <c r="B23" s="57">
        <v>41654</v>
      </c>
      <c r="C23" s="36" t="s">
        <v>78</v>
      </c>
      <c r="D23" s="32"/>
      <c r="E23" s="32">
        <v>240</v>
      </c>
      <c r="F23" s="33">
        <f t="shared" si="0"/>
        <v>4509.09</v>
      </c>
    </row>
    <row r="24" spans="2:6" x14ac:dyDescent="0.25">
      <c r="B24" s="57">
        <v>41655</v>
      </c>
      <c r="C24" s="36" t="s">
        <v>79</v>
      </c>
      <c r="D24" s="39"/>
      <c r="E24" s="32">
        <v>200</v>
      </c>
      <c r="F24" s="33">
        <f t="shared" si="0"/>
        <v>4309.09</v>
      </c>
    </row>
    <row r="25" spans="2:6" x14ac:dyDescent="0.25">
      <c r="B25" s="48">
        <v>41655</v>
      </c>
      <c r="C25" s="36" t="s">
        <v>89</v>
      </c>
      <c r="D25" s="32"/>
      <c r="E25" s="32">
        <v>150</v>
      </c>
      <c r="F25" s="33">
        <f t="shared" si="0"/>
        <v>4159.09</v>
      </c>
    </row>
    <row r="26" spans="2:6" x14ac:dyDescent="0.25">
      <c r="B26" s="57">
        <v>41658</v>
      </c>
      <c r="C26" s="36" t="s">
        <v>80</v>
      </c>
      <c r="D26" s="32"/>
      <c r="E26" s="32">
        <v>415.55</v>
      </c>
      <c r="F26" s="33">
        <f t="shared" si="0"/>
        <v>3743.54</v>
      </c>
    </row>
    <row r="27" spans="2:6" x14ac:dyDescent="0.25">
      <c r="B27" s="57">
        <v>41659</v>
      </c>
      <c r="C27" s="36" t="s">
        <v>81</v>
      </c>
      <c r="D27" s="32"/>
      <c r="E27" s="32">
        <v>60</v>
      </c>
      <c r="F27" s="33">
        <f t="shared" si="0"/>
        <v>3683.54</v>
      </c>
    </row>
    <row r="28" spans="2:6" x14ac:dyDescent="0.25">
      <c r="B28" s="57">
        <v>41661</v>
      </c>
      <c r="C28" s="36" t="s">
        <v>82</v>
      </c>
      <c r="D28" s="32"/>
      <c r="E28" s="32">
        <v>450</v>
      </c>
      <c r="F28" s="33">
        <f t="shared" si="0"/>
        <v>3233.54</v>
      </c>
    </row>
    <row r="29" spans="2:6" x14ac:dyDescent="0.25">
      <c r="B29" s="57">
        <v>41662</v>
      </c>
      <c r="C29" s="36" t="s">
        <v>148</v>
      </c>
      <c r="D29" s="32">
        <v>3000</v>
      </c>
      <c r="E29" s="32"/>
      <c r="F29" s="33">
        <f t="shared" si="0"/>
        <v>6233.54</v>
      </c>
    </row>
    <row r="30" spans="2:6" x14ac:dyDescent="0.25">
      <c r="B30" s="57">
        <v>41663</v>
      </c>
      <c r="C30" s="36" t="s">
        <v>83</v>
      </c>
      <c r="D30" s="32"/>
      <c r="E30" s="32">
        <v>550</v>
      </c>
      <c r="F30" s="33">
        <f t="shared" si="0"/>
        <v>5683.54</v>
      </c>
    </row>
    <row r="31" spans="2:6" x14ac:dyDescent="0.25">
      <c r="B31" s="57">
        <v>41663</v>
      </c>
      <c r="C31" s="36" t="s">
        <v>144</v>
      </c>
      <c r="D31" s="32"/>
      <c r="E31" s="32">
        <v>750</v>
      </c>
      <c r="F31" s="33">
        <f t="shared" si="0"/>
        <v>4933.54</v>
      </c>
    </row>
    <row r="32" spans="2:6" x14ac:dyDescent="0.25">
      <c r="B32" s="48">
        <v>41663</v>
      </c>
      <c r="C32" s="37" t="s">
        <v>84</v>
      </c>
      <c r="D32" s="32"/>
      <c r="E32" s="32">
        <v>6000</v>
      </c>
      <c r="F32" s="33">
        <f t="shared" si="0"/>
        <v>-1066.46</v>
      </c>
    </row>
    <row r="33" spans="2:8" x14ac:dyDescent="0.25">
      <c r="B33" s="57">
        <v>41665</v>
      </c>
      <c r="C33" s="36" t="s">
        <v>85</v>
      </c>
      <c r="D33" s="32"/>
      <c r="E33" s="32">
        <v>1000</v>
      </c>
      <c r="F33" s="33">
        <f t="shared" si="0"/>
        <v>-2066.46</v>
      </c>
    </row>
    <row r="34" spans="2:8" x14ac:dyDescent="0.25">
      <c r="B34" s="57">
        <v>41665</v>
      </c>
      <c r="C34" s="36" t="s">
        <v>147</v>
      </c>
      <c r="D34" s="32">
        <v>5000</v>
      </c>
      <c r="E34" s="38"/>
      <c r="F34" s="33">
        <f t="shared" si="0"/>
        <v>2933.54</v>
      </c>
    </row>
    <row r="35" spans="2:8" x14ac:dyDescent="0.25">
      <c r="B35" s="57">
        <v>41666</v>
      </c>
      <c r="C35" s="36" t="s">
        <v>86</v>
      </c>
      <c r="D35" s="32"/>
      <c r="E35" s="38">
        <v>60</v>
      </c>
      <c r="F35" s="33">
        <f t="shared" si="0"/>
        <v>2873.54</v>
      </c>
    </row>
    <row r="36" spans="2:8" x14ac:dyDescent="0.25">
      <c r="B36" s="57">
        <v>41669</v>
      </c>
      <c r="C36" s="36" t="s">
        <v>87</v>
      </c>
      <c r="D36" s="32"/>
      <c r="E36" s="32">
        <v>328</v>
      </c>
      <c r="F36" s="33">
        <f t="shared" si="0"/>
        <v>2545.54</v>
      </c>
    </row>
    <row r="37" spans="2:8" x14ac:dyDescent="0.25">
      <c r="B37" s="57">
        <v>41670</v>
      </c>
      <c r="C37" s="36" t="s">
        <v>87</v>
      </c>
      <c r="D37" s="39"/>
      <c r="E37" s="32">
        <v>75.5</v>
      </c>
      <c r="F37" s="33">
        <f t="shared" si="0"/>
        <v>2470.04</v>
      </c>
    </row>
    <row r="38" spans="2:8" x14ac:dyDescent="0.25">
      <c r="B38" s="57">
        <v>41670</v>
      </c>
      <c r="C38" s="36" t="s">
        <v>88</v>
      </c>
      <c r="D38" s="32"/>
      <c r="E38" s="38">
        <v>400</v>
      </c>
      <c r="F38" s="33">
        <f t="shared" si="0"/>
        <v>2070.04</v>
      </c>
    </row>
    <row r="39" spans="2:8" x14ac:dyDescent="0.25">
      <c r="B39" s="48">
        <v>41670</v>
      </c>
      <c r="C39" s="36" t="s">
        <v>471</v>
      </c>
      <c r="D39" s="32"/>
      <c r="E39" s="38">
        <v>3200</v>
      </c>
      <c r="F39" s="33">
        <f t="shared" si="0"/>
        <v>-1129.96</v>
      </c>
      <c r="G39" s="66"/>
    </row>
    <row r="40" spans="2:8" ht="15.75" thickBot="1" x14ac:dyDescent="0.3">
      <c r="B40" s="94">
        <v>41670</v>
      </c>
      <c r="C40" s="95" t="s">
        <v>484</v>
      </c>
      <c r="D40" s="96"/>
      <c r="E40" s="96">
        <v>1600</v>
      </c>
      <c r="F40" s="33">
        <f t="shared" si="0"/>
        <v>-2729.96</v>
      </c>
    </row>
    <row r="41" spans="2:8" ht="15.75" thickBot="1" x14ac:dyDescent="0.3">
      <c r="B41" s="67"/>
      <c r="C41" s="22" t="s">
        <v>1</v>
      </c>
      <c r="D41" s="21">
        <f>SUM(D5:D40)</f>
        <v>13000</v>
      </c>
      <c r="E41" s="21">
        <f>SUM(E5:E40)</f>
        <v>24402.959999999999</v>
      </c>
      <c r="F41" s="112"/>
    </row>
    <row r="42" spans="2:8" x14ac:dyDescent="0.25">
      <c r="B42" s="55"/>
      <c r="C42" s="45" t="s">
        <v>150</v>
      </c>
      <c r="D42" s="8"/>
      <c r="E42" s="65"/>
      <c r="F42" s="36"/>
      <c r="H42" s="15"/>
    </row>
    <row r="43" spans="2:8" x14ac:dyDescent="0.25">
      <c r="B43" s="48">
        <v>41642</v>
      </c>
      <c r="C43" s="36" t="s">
        <v>146</v>
      </c>
      <c r="D43" s="32"/>
      <c r="E43" s="32">
        <v>5000</v>
      </c>
      <c r="F43" s="33"/>
    </row>
    <row r="44" spans="2:8" x14ac:dyDescent="0.25">
      <c r="B44" s="48">
        <v>41646</v>
      </c>
      <c r="C44" s="36" t="s">
        <v>72</v>
      </c>
      <c r="D44" s="32"/>
      <c r="E44" s="32">
        <v>3000</v>
      </c>
      <c r="F44" s="33"/>
    </row>
    <row r="45" spans="2:8" x14ac:dyDescent="0.25">
      <c r="B45" s="48">
        <v>41647</v>
      </c>
      <c r="C45" s="42" t="s">
        <v>493</v>
      </c>
      <c r="D45" s="40">
        <v>300</v>
      </c>
      <c r="E45" s="40"/>
      <c r="F45" s="33"/>
    </row>
    <row r="46" spans="2:8" x14ac:dyDescent="0.25">
      <c r="B46" s="48">
        <v>41647</v>
      </c>
      <c r="C46" s="42" t="s">
        <v>490</v>
      </c>
      <c r="D46" s="40"/>
      <c r="E46" s="40">
        <v>-0.46</v>
      </c>
      <c r="F46" s="33"/>
    </row>
    <row r="47" spans="2:8" x14ac:dyDescent="0.25">
      <c r="B47" s="48">
        <v>41648</v>
      </c>
      <c r="C47" s="42" t="s">
        <v>494</v>
      </c>
      <c r="D47" s="40">
        <v>300</v>
      </c>
      <c r="E47" s="40"/>
      <c r="F47" s="33"/>
    </row>
    <row r="48" spans="2:8" x14ac:dyDescent="0.25">
      <c r="B48" s="48">
        <v>41653</v>
      </c>
      <c r="C48" s="42" t="s">
        <v>490</v>
      </c>
      <c r="D48" s="40"/>
      <c r="E48" s="40">
        <v>-0.28999999999999998</v>
      </c>
      <c r="F48" s="33"/>
    </row>
    <row r="49" spans="2:6" x14ac:dyDescent="0.25">
      <c r="B49" s="48">
        <v>41653</v>
      </c>
      <c r="C49" s="42" t="s">
        <v>495</v>
      </c>
      <c r="D49" s="40">
        <v>56500</v>
      </c>
      <c r="E49" s="40"/>
      <c r="F49" s="33"/>
    </row>
    <row r="50" spans="2:6" x14ac:dyDescent="0.25">
      <c r="B50" s="48">
        <v>41654</v>
      </c>
      <c r="C50" s="42" t="s">
        <v>496</v>
      </c>
      <c r="D50" s="40">
        <v>4400</v>
      </c>
      <c r="E50" s="40"/>
      <c r="F50" s="33"/>
    </row>
    <row r="51" spans="2:6" x14ac:dyDescent="0.25">
      <c r="B51" s="48">
        <v>42374</v>
      </c>
      <c r="C51" s="42" t="s">
        <v>497</v>
      </c>
      <c r="D51" s="40">
        <v>4400</v>
      </c>
      <c r="E51" s="40"/>
      <c r="F51" s="33"/>
    </row>
    <row r="52" spans="2:6" x14ac:dyDescent="0.25">
      <c r="B52" s="48">
        <v>41654</v>
      </c>
      <c r="C52" s="42" t="s">
        <v>145</v>
      </c>
      <c r="D52" s="40"/>
      <c r="E52" s="40">
        <v>27900</v>
      </c>
      <c r="F52" s="33"/>
    </row>
    <row r="53" spans="2:6" x14ac:dyDescent="0.25">
      <c r="B53" s="48">
        <v>41660</v>
      </c>
      <c r="C53" s="42" t="s">
        <v>495</v>
      </c>
      <c r="D53" s="40">
        <v>19200</v>
      </c>
      <c r="E53" s="40"/>
      <c r="F53" s="33"/>
    </row>
    <row r="54" spans="2:6" x14ac:dyDescent="0.25">
      <c r="B54" s="48">
        <v>41660</v>
      </c>
      <c r="C54" s="42" t="s">
        <v>498</v>
      </c>
      <c r="D54" s="40">
        <v>800</v>
      </c>
      <c r="E54" s="40"/>
      <c r="F54" s="33"/>
    </row>
    <row r="55" spans="2:6" x14ac:dyDescent="0.25">
      <c r="B55" s="48">
        <v>41666</v>
      </c>
      <c r="C55" s="42" t="s">
        <v>495</v>
      </c>
      <c r="D55" s="40">
        <v>19790</v>
      </c>
      <c r="E55" s="40"/>
      <c r="F55" s="33"/>
    </row>
    <row r="56" spans="2:6" x14ac:dyDescent="0.25">
      <c r="B56" s="48">
        <v>41666</v>
      </c>
      <c r="C56" s="42" t="s">
        <v>499</v>
      </c>
      <c r="D56" s="40">
        <v>1200</v>
      </c>
      <c r="E56" s="40"/>
      <c r="F56" s="33"/>
    </row>
    <row r="57" spans="2:6" x14ac:dyDescent="0.25">
      <c r="B57" s="48">
        <v>41666</v>
      </c>
      <c r="C57" s="42" t="s">
        <v>500</v>
      </c>
      <c r="D57" s="40">
        <v>4400</v>
      </c>
      <c r="E57" s="40"/>
      <c r="F57" s="33"/>
    </row>
    <row r="58" spans="2:6" x14ac:dyDescent="0.25">
      <c r="B58" s="48">
        <v>41666</v>
      </c>
      <c r="C58" s="42" t="s">
        <v>501</v>
      </c>
      <c r="D58" s="40">
        <v>4000</v>
      </c>
      <c r="E58" s="40"/>
      <c r="F58" s="33"/>
    </row>
    <row r="59" spans="2:6" x14ac:dyDescent="0.25">
      <c r="B59" s="48">
        <v>42396</v>
      </c>
      <c r="C59" s="42" t="s">
        <v>502</v>
      </c>
      <c r="D59" s="40">
        <v>4400</v>
      </c>
      <c r="E59" s="40"/>
      <c r="F59" s="33"/>
    </row>
    <row r="60" spans="2:6" x14ac:dyDescent="0.25">
      <c r="B60" s="48">
        <v>41670</v>
      </c>
      <c r="C60" s="42" t="s">
        <v>503</v>
      </c>
      <c r="D60" s="40"/>
      <c r="E60" s="40">
        <v>24</v>
      </c>
      <c r="F60" s="33"/>
    </row>
    <row r="61" spans="2:6" x14ac:dyDescent="0.25">
      <c r="B61" s="48">
        <v>41670</v>
      </c>
      <c r="C61" s="36" t="s">
        <v>489</v>
      </c>
      <c r="D61" s="32"/>
      <c r="E61" s="32">
        <v>3.84</v>
      </c>
      <c r="F61" s="33"/>
    </row>
    <row r="62" spans="2:6" ht="15.75" thickBot="1" x14ac:dyDescent="0.3">
      <c r="B62" s="107"/>
      <c r="C62" s="108"/>
      <c r="D62" s="109"/>
      <c r="E62" s="110">
        <f>SUM(E43:E61)</f>
        <v>35927.089999999997</v>
      </c>
      <c r="F62" s="111"/>
    </row>
    <row r="63" spans="2:6" ht="15.75" thickBot="1" x14ac:dyDescent="0.3">
      <c r="D63" s="2"/>
      <c r="E63" s="3"/>
    </row>
    <row r="64" spans="2:6" ht="15.75" thickBot="1" x14ac:dyDescent="0.3">
      <c r="D64" s="117">
        <f>SUM(D41:D62)</f>
        <v>132690</v>
      </c>
      <c r="E64" s="117">
        <f>SUM(E41+E62)</f>
        <v>60330.049999999996</v>
      </c>
    </row>
    <row r="65" spans="3:5" x14ac:dyDescent="0.25">
      <c r="D65" s="2"/>
      <c r="E65" s="2"/>
    </row>
    <row r="66" spans="3:5" x14ac:dyDescent="0.25">
      <c r="C66" s="3" t="s">
        <v>504</v>
      </c>
      <c r="D66" s="2">
        <v>3825</v>
      </c>
      <c r="E66" s="2"/>
    </row>
    <row r="67" spans="3:5" x14ac:dyDescent="0.25">
      <c r="D67" s="2"/>
      <c r="E67" s="3"/>
    </row>
    <row r="68" spans="3:5" x14ac:dyDescent="0.25">
      <c r="D68" s="2"/>
      <c r="E68" s="3"/>
    </row>
    <row r="69" spans="3:5" x14ac:dyDescent="0.25">
      <c r="D69" s="2"/>
      <c r="E69" s="3"/>
    </row>
    <row r="70" spans="3:5" x14ac:dyDescent="0.25">
      <c r="D70" s="2"/>
      <c r="E70" s="3"/>
    </row>
    <row r="71" spans="3:5" x14ac:dyDescent="0.25">
      <c r="D71" s="2"/>
      <c r="E71" s="3"/>
    </row>
    <row r="72" spans="3:5" x14ac:dyDescent="0.25">
      <c r="D72" s="2"/>
      <c r="E72" s="3"/>
    </row>
    <row r="73" spans="3:5" x14ac:dyDescent="0.25">
      <c r="D73" s="2"/>
      <c r="E73" s="3"/>
    </row>
    <row r="74" spans="3:5" x14ac:dyDescent="0.25">
      <c r="D74" s="2"/>
      <c r="E74" s="3"/>
    </row>
    <row r="75" spans="3:5" x14ac:dyDescent="0.25">
      <c r="D75" s="2"/>
      <c r="E75" s="3"/>
    </row>
    <row r="76" spans="3:5" x14ac:dyDescent="0.25">
      <c r="D76" s="2"/>
      <c r="E76" s="3"/>
    </row>
    <row r="77" spans="3:5" x14ac:dyDescent="0.25">
      <c r="D77" s="2"/>
      <c r="E77" s="3"/>
    </row>
    <row r="78" spans="3:5" x14ac:dyDescent="0.25">
      <c r="D78" s="2"/>
      <c r="E78" s="3"/>
    </row>
    <row r="79" spans="3:5" x14ac:dyDescent="0.25">
      <c r="D79" s="2"/>
      <c r="E79" s="3"/>
    </row>
    <row r="80" spans="3:5" x14ac:dyDescent="0.25">
      <c r="D80" s="2"/>
      <c r="E80" s="3"/>
    </row>
    <row r="81" spans="4:5" x14ac:dyDescent="0.25">
      <c r="D81" s="2"/>
      <c r="E81" s="3"/>
    </row>
    <row r="82" spans="4:5" x14ac:dyDescent="0.25">
      <c r="D82" s="2"/>
      <c r="E82" s="3"/>
    </row>
    <row r="83" spans="4:5" x14ac:dyDescent="0.25">
      <c r="D83" s="2"/>
      <c r="E83" s="3"/>
    </row>
    <row r="84" spans="4:5" x14ac:dyDescent="0.25">
      <c r="D84" s="2"/>
      <c r="E84" s="3"/>
    </row>
    <row r="85" spans="4:5" x14ac:dyDescent="0.25">
      <c r="D85" s="1"/>
    </row>
    <row r="86" spans="4:5" x14ac:dyDescent="0.25">
      <c r="D86" s="1"/>
    </row>
    <row r="87" spans="4:5" x14ac:dyDescent="0.25">
      <c r="D87" s="1"/>
    </row>
    <row r="88" spans="4:5" x14ac:dyDescent="0.25">
      <c r="D88" s="1"/>
    </row>
    <row r="89" spans="4:5" x14ac:dyDescent="0.25">
      <c r="D89" s="1"/>
    </row>
    <row r="90" spans="4:5" x14ac:dyDescent="0.25">
      <c r="D90" s="1"/>
    </row>
    <row r="91" spans="4:5" x14ac:dyDescent="0.25">
      <c r="D91" s="1"/>
    </row>
    <row r="92" spans="4:5" x14ac:dyDescent="0.25">
      <c r="D92" s="1"/>
    </row>
    <row r="93" spans="4:5" x14ac:dyDescent="0.25">
      <c r="D93" s="1"/>
    </row>
    <row r="94" spans="4:5" x14ac:dyDescent="0.25">
      <c r="D94" s="1"/>
    </row>
    <row r="95" spans="4:5" x14ac:dyDescent="0.25">
      <c r="D95" s="1"/>
    </row>
    <row r="96" spans="4:5" x14ac:dyDescent="0.25">
      <c r="D96" s="1"/>
    </row>
    <row r="97" spans="4:4" x14ac:dyDescent="0.25">
      <c r="D97" s="1"/>
    </row>
    <row r="98" spans="4:4" x14ac:dyDescent="0.25">
      <c r="D98" s="1"/>
    </row>
    <row r="99" spans="4:4" x14ac:dyDescent="0.25">
      <c r="D99" s="1"/>
    </row>
    <row r="100" spans="4:4" x14ac:dyDescent="0.25">
      <c r="D100" s="1"/>
    </row>
    <row r="101" spans="4:4" x14ac:dyDescent="0.25">
      <c r="D101" s="1"/>
    </row>
    <row r="102" spans="4:4" x14ac:dyDescent="0.25">
      <c r="D102" s="1"/>
    </row>
    <row r="103" spans="4:4" x14ac:dyDescent="0.25">
      <c r="D103" s="1"/>
    </row>
    <row r="104" spans="4:4" x14ac:dyDescent="0.25">
      <c r="D104" s="1"/>
    </row>
    <row r="105" spans="4:4" x14ac:dyDescent="0.25">
      <c r="D105" s="1"/>
    </row>
    <row r="106" spans="4:4" x14ac:dyDescent="0.25">
      <c r="D106" s="1"/>
    </row>
    <row r="107" spans="4:4" x14ac:dyDescent="0.25">
      <c r="D107" s="1"/>
    </row>
    <row r="108" spans="4:4" x14ac:dyDescent="0.25">
      <c r="D108" s="1"/>
    </row>
    <row r="109" spans="4:4" x14ac:dyDescent="0.25">
      <c r="D109" s="1"/>
    </row>
    <row r="110" spans="4:4" x14ac:dyDescent="0.25">
      <c r="D110" s="1"/>
    </row>
    <row r="111" spans="4:4" x14ac:dyDescent="0.25">
      <c r="D111" s="1"/>
    </row>
    <row r="112" spans="4:4" x14ac:dyDescent="0.25">
      <c r="D112" s="1"/>
    </row>
    <row r="113" spans="4:4" x14ac:dyDescent="0.25">
      <c r="D113" s="1"/>
    </row>
    <row r="114" spans="4:4" x14ac:dyDescent="0.25">
      <c r="D114" s="1"/>
    </row>
    <row r="115" spans="4:4" x14ac:dyDescent="0.25">
      <c r="D115" s="1"/>
    </row>
    <row r="116" spans="4:4" x14ac:dyDescent="0.25">
      <c r="D116" s="1"/>
    </row>
    <row r="117" spans="4:4" x14ac:dyDescent="0.25">
      <c r="D117" s="1"/>
    </row>
    <row r="118" spans="4:4" x14ac:dyDescent="0.25">
      <c r="D118" s="1"/>
    </row>
    <row r="119" spans="4:4" x14ac:dyDescent="0.25">
      <c r="D119" s="1"/>
    </row>
    <row r="120" spans="4:4" x14ac:dyDescent="0.25">
      <c r="D120" s="1"/>
    </row>
    <row r="121" spans="4:4" x14ac:dyDescent="0.25">
      <c r="D121" s="1"/>
    </row>
    <row r="122" spans="4:4" x14ac:dyDescent="0.25">
      <c r="D122" s="1"/>
    </row>
    <row r="123" spans="4:4" x14ac:dyDescent="0.25">
      <c r="D123" s="1"/>
    </row>
    <row r="124" spans="4:4" x14ac:dyDescent="0.25">
      <c r="D124" s="1"/>
    </row>
    <row r="125" spans="4:4" x14ac:dyDescent="0.25">
      <c r="D125" s="1"/>
    </row>
    <row r="126" spans="4:4" x14ac:dyDescent="0.25">
      <c r="D126" s="1"/>
    </row>
    <row r="127" spans="4:4" x14ac:dyDescent="0.25">
      <c r="D127" s="1"/>
    </row>
    <row r="128" spans="4:4" x14ac:dyDescent="0.25">
      <c r="D128" s="1"/>
    </row>
    <row r="129" spans="4:4" x14ac:dyDescent="0.25">
      <c r="D129" s="1"/>
    </row>
    <row r="130" spans="4:4" x14ac:dyDescent="0.25">
      <c r="D130" s="1"/>
    </row>
    <row r="131" spans="4:4" x14ac:dyDescent="0.25">
      <c r="D131" s="1"/>
    </row>
    <row r="132" spans="4:4" x14ac:dyDescent="0.25">
      <c r="D132" s="1"/>
    </row>
    <row r="133" spans="4:4" x14ac:dyDescent="0.25">
      <c r="D133" s="1"/>
    </row>
    <row r="134" spans="4:4" x14ac:dyDescent="0.25">
      <c r="D134" s="1"/>
    </row>
    <row r="135" spans="4:4" x14ac:dyDescent="0.25">
      <c r="D135" s="1"/>
    </row>
    <row r="136" spans="4:4" x14ac:dyDescent="0.25">
      <c r="D136" s="1"/>
    </row>
    <row r="137" spans="4:4" x14ac:dyDescent="0.25">
      <c r="D137" s="1"/>
    </row>
    <row r="138" spans="4:4" x14ac:dyDescent="0.25">
      <c r="D138" s="1"/>
    </row>
    <row r="139" spans="4:4" x14ac:dyDescent="0.25">
      <c r="D139" s="1"/>
    </row>
    <row r="140" spans="4:4" x14ac:dyDescent="0.25">
      <c r="D140" s="1"/>
    </row>
    <row r="141" spans="4:4" x14ac:dyDescent="0.25">
      <c r="D141" s="1"/>
    </row>
    <row r="142" spans="4:4" x14ac:dyDescent="0.25">
      <c r="D142" s="1"/>
    </row>
    <row r="143" spans="4:4" x14ac:dyDescent="0.25">
      <c r="D143" s="1"/>
    </row>
    <row r="144" spans="4:4" x14ac:dyDescent="0.25">
      <c r="D144" s="1"/>
    </row>
    <row r="145" spans="4:4" x14ac:dyDescent="0.25">
      <c r="D145" s="1"/>
    </row>
    <row r="146" spans="4:4" x14ac:dyDescent="0.25">
      <c r="D146" s="1"/>
    </row>
  </sheetData>
  <mergeCells count="1">
    <mergeCell ref="B2:F2"/>
  </mergeCells>
  <printOptions verticalCentered="1"/>
  <pageMargins left="0" right="0" top="0.74803149606299213" bottom="0.74803149606299213" header="0.31496062992125984" footer="0.31496062992125984"/>
  <pageSetup paperSize="9" scale="95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29"/>
  <sheetViews>
    <sheetView topLeftCell="A27" workbookViewId="0">
      <selection activeCell="D44" sqref="D44"/>
    </sheetView>
  </sheetViews>
  <sheetFormatPr baseColWidth="10" defaultRowHeight="15" x14ac:dyDescent="0.25"/>
  <cols>
    <col min="3" max="3" width="60.28515625" customWidth="1"/>
    <col min="5" max="5" width="13.140625" customWidth="1"/>
  </cols>
  <sheetData>
    <row r="1" spans="2:6" x14ac:dyDescent="0.25">
      <c r="B1" s="79">
        <v>41698</v>
      </c>
    </row>
    <row r="3" spans="2:6" x14ac:dyDescent="0.25">
      <c r="B3" s="104" t="s">
        <v>62</v>
      </c>
      <c r="C3" s="104"/>
      <c r="D3" s="104"/>
      <c r="E3" s="104"/>
      <c r="F3" s="104"/>
    </row>
    <row r="4" spans="2:6" ht="15.75" thickBot="1" x14ac:dyDescent="0.3">
      <c r="C4" s="23"/>
      <c r="D4" s="23"/>
    </row>
    <row r="5" spans="2:6" ht="15.75" thickBot="1" x14ac:dyDescent="0.3">
      <c r="B5" s="70" t="s">
        <v>20</v>
      </c>
      <c r="C5" s="17" t="s">
        <v>21</v>
      </c>
      <c r="D5" s="11" t="s">
        <v>22</v>
      </c>
      <c r="E5" s="12" t="s">
        <v>24</v>
      </c>
      <c r="F5" s="13" t="s">
        <v>23</v>
      </c>
    </row>
    <row r="6" spans="2:6" x14ac:dyDescent="0.25">
      <c r="B6" s="77">
        <v>41670</v>
      </c>
      <c r="C6" s="76" t="s">
        <v>61</v>
      </c>
      <c r="D6" s="27"/>
      <c r="E6" s="41"/>
      <c r="F6" s="29">
        <v>-2729.96</v>
      </c>
    </row>
    <row r="7" spans="2:6" x14ac:dyDescent="0.25">
      <c r="B7" s="57">
        <v>41675</v>
      </c>
      <c r="C7" s="30" t="s">
        <v>90</v>
      </c>
      <c r="D7" s="31"/>
      <c r="E7" s="32">
        <v>150</v>
      </c>
      <c r="F7" s="33">
        <f>+F6+D7-E7</f>
        <v>-2879.96</v>
      </c>
    </row>
    <row r="8" spans="2:6" x14ac:dyDescent="0.25">
      <c r="B8" s="48">
        <v>41675</v>
      </c>
      <c r="C8" s="36" t="s">
        <v>91</v>
      </c>
      <c r="D8" s="32"/>
      <c r="E8" s="32">
        <v>200</v>
      </c>
      <c r="F8" s="33">
        <f t="shared" ref="F8:F34" si="0">+F7+D8-E8</f>
        <v>-3079.96</v>
      </c>
    </row>
    <row r="9" spans="2:6" x14ac:dyDescent="0.25">
      <c r="B9" s="48">
        <v>41680</v>
      </c>
      <c r="C9" s="36" t="s">
        <v>92</v>
      </c>
      <c r="D9" s="32"/>
      <c r="E9" s="32">
        <v>30</v>
      </c>
      <c r="F9" s="33">
        <f t="shared" si="0"/>
        <v>-3109.96</v>
      </c>
    </row>
    <row r="10" spans="2:6" x14ac:dyDescent="0.25">
      <c r="B10" s="48">
        <v>41681</v>
      </c>
      <c r="C10" s="37" t="s">
        <v>258</v>
      </c>
      <c r="D10" s="32"/>
      <c r="E10" s="32">
        <v>798</v>
      </c>
      <c r="F10" s="33">
        <f t="shared" si="0"/>
        <v>-3907.96</v>
      </c>
    </row>
    <row r="11" spans="2:6" x14ac:dyDescent="0.25">
      <c r="B11" s="48">
        <v>41684</v>
      </c>
      <c r="C11" s="37" t="s">
        <v>93</v>
      </c>
      <c r="D11" s="32"/>
      <c r="E11" s="38">
        <v>630</v>
      </c>
      <c r="F11" s="33">
        <f t="shared" si="0"/>
        <v>-4537.96</v>
      </c>
    </row>
    <row r="12" spans="2:6" x14ac:dyDescent="0.25">
      <c r="B12" s="48">
        <v>42050</v>
      </c>
      <c r="C12" s="36" t="s">
        <v>94</v>
      </c>
      <c r="D12" s="32"/>
      <c r="E12" s="32">
        <v>3200</v>
      </c>
      <c r="F12" s="33">
        <f t="shared" si="0"/>
        <v>-7737.96</v>
      </c>
    </row>
    <row r="13" spans="2:6" x14ac:dyDescent="0.25">
      <c r="B13" s="48">
        <v>41686</v>
      </c>
      <c r="C13" s="36" t="s">
        <v>49</v>
      </c>
      <c r="D13" s="32">
        <v>3200</v>
      </c>
      <c r="E13" s="32"/>
      <c r="F13" s="33">
        <f t="shared" si="0"/>
        <v>-4537.96</v>
      </c>
    </row>
    <row r="14" spans="2:6" x14ac:dyDescent="0.25">
      <c r="B14" s="48">
        <v>41687</v>
      </c>
      <c r="C14" s="36" t="s">
        <v>95</v>
      </c>
      <c r="D14" s="32"/>
      <c r="E14" s="32">
        <v>398</v>
      </c>
      <c r="F14" s="33">
        <f t="shared" si="0"/>
        <v>-4935.96</v>
      </c>
    </row>
    <row r="15" spans="2:6" x14ac:dyDescent="0.25">
      <c r="B15" s="48">
        <v>41687</v>
      </c>
      <c r="C15" s="37" t="s">
        <v>96</v>
      </c>
      <c r="D15" s="32"/>
      <c r="E15" s="38">
        <v>253.7</v>
      </c>
      <c r="F15" s="33">
        <f t="shared" si="0"/>
        <v>-5189.66</v>
      </c>
    </row>
    <row r="16" spans="2:6" x14ac:dyDescent="0.25">
      <c r="B16" s="48">
        <v>41687</v>
      </c>
      <c r="C16" s="36" t="s">
        <v>97</v>
      </c>
      <c r="D16" s="32"/>
      <c r="E16" s="32">
        <v>408</v>
      </c>
      <c r="F16" s="33">
        <f t="shared" si="0"/>
        <v>-5597.66</v>
      </c>
    </row>
    <row r="17" spans="2:6" x14ac:dyDescent="0.25">
      <c r="B17" s="48">
        <v>41687</v>
      </c>
      <c r="C17" s="36" t="s">
        <v>98</v>
      </c>
      <c r="D17" s="32"/>
      <c r="E17" s="32">
        <v>90</v>
      </c>
      <c r="F17" s="33">
        <f t="shared" si="0"/>
        <v>-5687.66</v>
      </c>
    </row>
    <row r="18" spans="2:6" x14ac:dyDescent="0.25">
      <c r="B18" s="48">
        <v>41687</v>
      </c>
      <c r="C18" s="36" t="s">
        <v>49</v>
      </c>
      <c r="D18" s="32">
        <v>6000</v>
      </c>
      <c r="E18" s="32"/>
      <c r="F18" s="33">
        <f t="shared" si="0"/>
        <v>312.34000000000015</v>
      </c>
    </row>
    <row r="19" spans="2:6" x14ac:dyDescent="0.25">
      <c r="B19" s="97">
        <v>41688</v>
      </c>
      <c r="C19" s="95" t="s">
        <v>472</v>
      </c>
      <c r="D19" s="96"/>
      <c r="E19" s="96">
        <v>1600</v>
      </c>
      <c r="F19" s="33">
        <f t="shared" si="0"/>
        <v>-1287.6599999999999</v>
      </c>
    </row>
    <row r="20" spans="2:6" x14ac:dyDescent="0.25">
      <c r="B20" s="48">
        <v>41689</v>
      </c>
      <c r="C20" s="36" t="s">
        <v>99</v>
      </c>
      <c r="D20" s="32"/>
      <c r="E20" s="32">
        <v>400</v>
      </c>
      <c r="F20" s="33">
        <f t="shared" si="0"/>
        <v>-1687.6599999999999</v>
      </c>
    </row>
    <row r="21" spans="2:6" x14ac:dyDescent="0.25">
      <c r="B21" s="48">
        <v>41690</v>
      </c>
      <c r="C21" s="36" t="s">
        <v>100</v>
      </c>
      <c r="D21" s="32"/>
      <c r="E21" s="32">
        <v>2810</v>
      </c>
      <c r="F21" s="33">
        <f t="shared" si="0"/>
        <v>-4497.66</v>
      </c>
    </row>
    <row r="22" spans="2:6" x14ac:dyDescent="0.25">
      <c r="B22" s="48">
        <v>41690</v>
      </c>
      <c r="C22" s="36" t="s">
        <v>101</v>
      </c>
      <c r="D22" s="32"/>
      <c r="E22" s="32">
        <v>189.6</v>
      </c>
      <c r="F22" s="33">
        <f t="shared" si="0"/>
        <v>-4687.26</v>
      </c>
    </row>
    <row r="23" spans="2:6" x14ac:dyDescent="0.25">
      <c r="B23" s="48">
        <v>41690</v>
      </c>
      <c r="C23" s="36" t="s">
        <v>314</v>
      </c>
      <c r="D23" s="32"/>
      <c r="E23" s="32">
        <v>1000</v>
      </c>
      <c r="F23" s="33">
        <f t="shared" si="0"/>
        <v>-5687.26</v>
      </c>
    </row>
    <row r="24" spans="2:6" x14ac:dyDescent="0.25">
      <c r="B24" s="48">
        <v>41690</v>
      </c>
      <c r="C24" s="36" t="s">
        <v>102</v>
      </c>
      <c r="D24" s="32"/>
      <c r="E24" s="32">
        <v>331.3</v>
      </c>
      <c r="F24" s="33">
        <f t="shared" si="0"/>
        <v>-6018.56</v>
      </c>
    </row>
    <row r="25" spans="2:6" x14ac:dyDescent="0.25">
      <c r="B25" s="48">
        <v>41690</v>
      </c>
      <c r="C25" s="36" t="s">
        <v>103</v>
      </c>
      <c r="D25" s="32"/>
      <c r="E25" s="32">
        <v>300</v>
      </c>
      <c r="F25" s="33">
        <f t="shared" si="0"/>
        <v>-6318.56</v>
      </c>
    </row>
    <row r="26" spans="2:6" x14ac:dyDescent="0.25">
      <c r="B26" s="48">
        <v>41691</v>
      </c>
      <c r="C26" s="36" t="s">
        <v>106</v>
      </c>
      <c r="D26" s="32"/>
      <c r="E26" s="32">
        <v>135</v>
      </c>
      <c r="F26" s="33">
        <f t="shared" si="0"/>
        <v>-6453.56</v>
      </c>
    </row>
    <row r="27" spans="2:6" x14ac:dyDescent="0.25">
      <c r="B27" s="48">
        <v>41662</v>
      </c>
      <c r="C27" s="36" t="s">
        <v>49</v>
      </c>
      <c r="D27" s="32">
        <v>8000</v>
      </c>
      <c r="E27" s="32"/>
      <c r="F27" s="33">
        <f t="shared" si="0"/>
        <v>1546.4399999999996</v>
      </c>
    </row>
    <row r="28" spans="2:6" x14ac:dyDescent="0.25">
      <c r="B28" s="48">
        <v>41694</v>
      </c>
      <c r="C28" s="36" t="s">
        <v>104</v>
      </c>
      <c r="D28" s="32"/>
      <c r="E28" s="32">
        <v>22</v>
      </c>
      <c r="F28" s="33">
        <f t="shared" si="0"/>
        <v>1524.4399999999996</v>
      </c>
    </row>
    <row r="29" spans="2:6" x14ac:dyDescent="0.25">
      <c r="B29" s="48">
        <v>41696</v>
      </c>
      <c r="C29" s="36" t="s">
        <v>309</v>
      </c>
      <c r="D29" s="32"/>
      <c r="E29" s="32">
        <v>700</v>
      </c>
      <c r="F29" s="33">
        <f t="shared" si="0"/>
        <v>824.4399999999996</v>
      </c>
    </row>
    <row r="30" spans="2:6" x14ac:dyDescent="0.25">
      <c r="B30" s="69">
        <v>41697</v>
      </c>
      <c r="C30" s="36" t="s">
        <v>105</v>
      </c>
      <c r="D30" s="32"/>
      <c r="E30" s="32">
        <v>7.5</v>
      </c>
      <c r="F30" s="33">
        <f t="shared" si="0"/>
        <v>816.9399999999996</v>
      </c>
    </row>
    <row r="31" spans="2:6" x14ac:dyDescent="0.25">
      <c r="B31" s="48">
        <v>41698</v>
      </c>
      <c r="C31" s="36" t="s">
        <v>107</v>
      </c>
      <c r="D31" s="32"/>
      <c r="E31" s="32">
        <v>3200</v>
      </c>
      <c r="F31" s="33">
        <f t="shared" si="0"/>
        <v>-2383.0600000000004</v>
      </c>
    </row>
    <row r="32" spans="2:6" x14ac:dyDescent="0.25">
      <c r="B32" s="48">
        <v>38045</v>
      </c>
      <c r="C32" s="36" t="s">
        <v>108</v>
      </c>
      <c r="D32" s="32"/>
      <c r="E32" s="32">
        <v>90</v>
      </c>
      <c r="F32" s="33">
        <f t="shared" si="0"/>
        <v>-2473.0600000000004</v>
      </c>
    </row>
    <row r="33" spans="2:8" x14ac:dyDescent="0.25">
      <c r="B33" s="48">
        <v>41698</v>
      </c>
      <c r="C33" s="36" t="s">
        <v>91</v>
      </c>
      <c r="D33" s="32"/>
      <c r="E33" s="32">
        <v>200</v>
      </c>
      <c r="F33" s="33">
        <f t="shared" si="0"/>
        <v>-2673.0600000000004</v>
      </c>
    </row>
    <row r="34" spans="2:8" ht="15.75" thickBot="1" x14ac:dyDescent="0.3">
      <c r="B34" s="68">
        <v>41698</v>
      </c>
      <c r="C34" s="24" t="s">
        <v>109</v>
      </c>
      <c r="D34" s="18"/>
      <c r="E34" s="71">
        <v>435</v>
      </c>
      <c r="F34" s="62">
        <f t="shared" si="0"/>
        <v>-3108.0600000000004</v>
      </c>
      <c r="H34" s="1"/>
    </row>
    <row r="35" spans="2:8" ht="15.75" thickBot="1" x14ac:dyDescent="0.3">
      <c r="B35" s="114"/>
      <c r="C35" s="116" t="s">
        <v>1</v>
      </c>
      <c r="D35" s="115">
        <f>SUM(D6:D34)</f>
        <v>17200</v>
      </c>
      <c r="E35" s="21">
        <f>SUM(E6:E34)</f>
        <v>17578.099999999999</v>
      </c>
      <c r="F35" s="51"/>
      <c r="H35" s="1"/>
    </row>
    <row r="36" spans="2:8" x14ac:dyDescent="0.25">
      <c r="B36" s="57"/>
      <c r="C36" s="36"/>
      <c r="D36" s="113"/>
      <c r="E36" s="32"/>
      <c r="F36" s="34"/>
      <c r="H36" s="1"/>
    </row>
    <row r="37" spans="2:8" x14ac:dyDescent="0.25">
      <c r="B37" s="57"/>
      <c r="C37" s="36"/>
      <c r="D37" s="113"/>
      <c r="E37" s="32"/>
      <c r="F37" s="34"/>
    </row>
    <row r="38" spans="2:8" x14ac:dyDescent="0.25">
      <c r="B38" s="57"/>
      <c r="C38" s="36"/>
      <c r="D38" s="113"/>
      <c r="E38" s="32"/>
      <c r="F38" s="34"/>
    </row>
    <row r="39" spans="2:8" x14ac:dyDescent="0.25">
      <c r="B39" s="57"/>
      <c r="C39" s="36"/>
      <c r="D39" s="113"/>
      <c r="E39" s="32"/>
      <c r="F39" s="34"/>
    </row>
    <row r="40" spans="2:8" x14ac:dyDescent="0.25">
      <c r="B40" s="57"/>
      <c r="C40" s="36"/>
      <c r="D40" s="113"/>
      <c r="E40" s="32"/>
      <c r="F40" s="34"/>
    </row>
    <row r="41" spans="2:8" x14ac:dyDescent="0.25">
      <c r="B41" s="57"/>
      <c r="C41" s="36"/>
      <c r="D41" s="113"/>
      <c r="E41" s="32"/>
      <c r="F41" s="34"/>
    </row>
    <row r="42" spans="2:8" x14ac:dyDescent="0.25">
      <c r="B42" s="57">
        <v>41674</v>
      </c>
      <c r="C42" s="36" t="s">
        <v>151</v>
      </c>
      <c r="D42" s="113"/>
      <c r="E42" s="32">
        <v>27900</v>
      </c>
      <c r="F42" s="34"/>
    </row>
    <row r="43" spans="2:8" x14ac:dyDescent="0.25">
      <c r="B43" s="57">
        <v>41675</v>
      </c>
      <c r="C43" s="36" t="s">
        <v>491</v>
      </c>
      <c r="D43" s="113"/>
      <c r="E43" s="32">
        <v>-0.46</v>
      </c>
      <c r="F43" s="34"/>
    </row>
    <row r="44" spans="2:8" x14ac:dyDescent="0.25">
      <c r="B44" s="57">
        <v>41680</v>
      </c>
      <c r="C44" s="36" t="s">
        <v>492</v>
      </c>
      <c r="D44" s="113">
        <v>33200</v>
      </c>
      <c r="E44" s="32"/>
      <c r="F44" s="34"/>
    </row>
    <row r="45" spans="2:8" x14ac:dyDescent="0.25">
      <c r="B45" s="48">
        <v>41685</v>
      </c>
      <c r="C45" s="36" t="s">
        <v>151</v>
      </c>
      <c r="D45" s="32"/>
      <c r="E45" s="32">
        <v>27900</v>
      </c>
      <c r="F45" s="35"/>
    </row>
    <row r="46" spans="2:8" ht="15.75" thickBot="1" x14ac:dyDescent="0.3">
      <c r="B46" s="68">
        <v>41698</v>
      </c>
      <c r="C46" s="42" t="s">
        <v>152</v>
      </c>
      <c r="D46" s="40"/>
      <c r="E46" s="40">
        <v>27900</v>
      </c>
      <c r="F46" s="19"/>
    </row>
    <row r="47" spans="2:8" ht="15.75" thickBot="1" x14ac:dyDescent="0.3">
      <c r="B47" s="72"/>
      <c r="C47" s="73"/>
      <c r="D47" s="74"/>
      <c r="E47" s="75">
        <f>SUM(E45:E46)</f>
        <v>55800</v>
      </c>
      <c r="F47" s="44"/>
    </row>
    <row r="48" spans="2:8" x14ac:dyDescent="0.25">
      <c r="D48" s="2"/>
      <c r="E48" s="3"/>
    </row>
    <row r="49" spans="4:5" x14ac:dyDescent="0.25">
      <c r="D49" s="2"/>
      <c r="E49" s="3"/>
    </row>
    <row r="53" spans="4:5" x14ac:dyDescent="0.25">
      <c r="D53" s="2"/>
      <c r="E53" s="3"/>
    </row>
    <row r="54" spans="4:5" x14ac:dyDescent="0.25">
      <c r="D54" s="2"/>
      <c r="E54" s="3"/>
    </row>
    <row r="55" spans="4:5" x14ac:dyDescent="0.25">
      <c r="D55" s="2"/>
      <c r="E55" s="3"/>
    </row>
    <row r="56" spans="4:5" x14ac:dyDescent="0.25">
      <c r="D56" s="2"/>
      <c r="E56" s="3"/>
    </row>
    <row r="57" spans="4:5" x14ac:dyDescent="0.25">
      <c r="D57" s="2"/>
      <c r="E57" s="3"/>
    </row>
    <row r="58" spans="4:5" x14ac:dyDescent="0.25">
      <c r="D58" s="2"/>
      <c r="E58" s="3"/>
    </row>
    <row r="59" spans="4:5" x14ac:dyDescent="0.25">
      <c r="D59" s="2"/>
      <c r="E59" s="3"/>
    </row>
    <row r="60" spans="4:5" x14ac:dyDescent="0.25">
      <c r="D60" s="2"/>
      <c r="E60" s="3"/>
    </row>
    <row r="61" spans="4:5" x14ac:dyDescent="0.25">
      <c r="D61" s="2"/>
      <c r="E61" s="3"/>
    </row>
    <row r="62" spans="4:5" x14ac:dyDescent="0.25">
      <c r="D62" s="2"/>
      <c r="E62" s="3"/>
    </row>
    <row r="63" spans="4:5" x14ac:dyDescent="0.25">
      <c r="D63" s="2"/>
      <c r="E63" s="3"/>
    </row>
    <row r="64" spans="4:5" x14ac:dyDescent="0.25">
      <c r="D64" s="2"/>
      <c r="E64" s="3"/>
    </row>
    <row r="65" spans="4:5" x14ac:dyDescent="0.25">
      <c r="D65" s="2"/>
      <c r="E65" s="3"/>
    </row>
    <row r="66" spans="4:5" x14ac:dyDescent="0.25">
      <c r="D66" s="2"/>
      <c r="E66" s="3"/>
    </row>
    <row r="67" spans="4:5" x14ac:dyDescent="0.25">
      <c r="D67" s="2"/>
      <c r="E67" s="3"/>
    </row>
    <row r="68" spans="4:5" x14ac:dyDescent="0.25">
      <c r="D68" s="1"/>
    </row>
    <row r="69" spans="4:5" x14ac:dyDescent="0.25">
      <c r="D69" s="1"/>
    </row>
    <row r="70" spans="4:5" x14ac:dyDescent="0.25">
      <c r="D70" s="1"/>
    </row>
    <row r="71" spans="4:5" x14ac:dyDescent="0.25">
      <c r="D71" s="1"/>
    </row>
    <row r="72" spans="4:5" x14ac:dyDescent="0.25">
      <c r="D72" s="1"/>
    </row>
    <row r="73" spans="4:5" x14ac:dyDescent="0.25">
      <c r="D73" s="1"/>
    </row>
    <row r="74" spans="4:5" x14ac:dyDescent="0.25">
      <c r="D74" s="1"/>
    </row>
    <row r="75" spans="4:5" x14ac:dyDescent="0.25">
      <c r="D75" s="1"/>
    </row>
    <row r="76" spans="4:5" x14ac:dyDescent="0.25">
      <c r="D76" s="1"/>
    </row>
    <row r="77" spans="4:5" x14ac:dyDescent="0.25">
      <c r="D77" s="1"/>
    </row>
    <row r="78" spans="4:5" x14ac:dyDescent="0.25">
      <c r="D78" s="1"/>
    </row>
    <row r="79" spans="4:5" x14ac:dyDescent="0.25">
      <c r="D79" s="1"/>
    </row>
    <row r="80" spans="4:5" x14ac:dyDescent="0.25">
      <c r="D80" s="1"/>
    </row>
    <row r="81" spans="4:4" x14ac:dyDescent="0.25">
      <c r="D81" s="1"/>
    </row>
    <row r="82" spans="4:4" x14ac:dyDescent="0.25">
      <c r="D82" s="1"/>
    </row>
    <row r="83" spans="4:4" x14ac:dyDescent="0.25">
      <c r="D83" s="1"/>
    </row>
    <row r="84" spans="4:4" x14ac:dyDescent="0.25">
      <c r="D84" s="1"/>
    </row>
    <row r="85" spans="4:4" x14ac:dyDescent="0.25">
      <c r="D85" s="1"/>
    </row>
    <row r="86" spans="4:4" x14ac:dyDescent="0.25">
      <c r="D86" s="1"/>
    </row>
    <row r="87" spans="4:4" x14ac:dyDescent="0.25">
      <c r="D87" s="1"/>
    </row>
    <row r="88" spans="4:4" x14ac:dyDescent="0.25">
      <c r="D88" s="1"/>
    </row>
    <row r="89" spans="4:4" x14ac:dyDescent="0.25">
      <c r="D89" s="1"/>
    </row>
    <row r="90" spans="4:4" x14ac:dyDescent="0.25">
      <c r="D90" s="1"/>
    </row>
    <row r="91" spans="4:4" x14ac:dyDescent="0.25">
      <c r="D91" s="1"/>
    </row>
    <row r="92" spans="4:4" x14ac:dyDescent="0.25">
      <c r="D92" s="1"/>
    </row>
    <row r="93" spans="4:4" x14ac:dyDescent="0.25">
      <c r="D93" s="1"/>
    </row>
    <row r="94" spans="4:4" x14ac:dyDescent="0.25">
      <c r="D94" s="1"/>
    </row>
    <row r="95" spans="4:4" x14ac:dyDescent="0.25">
      <c r="D95" s="1"/>
    </row>
    <row r="96" spans="4:4" x14ac:dyDescent="0.25">
      <c r="D96" s="1"/>
    </row>
    <row r="97" spans="4:4" x14ac:dyDescent="0.25">
      <c r="D97" s="1"/>
    </row>
    <row r="98" spans="4:4" x14ac:dyDescent="0.25">
      <c r="D98" s="1"/>
    </row>
    <row r="99" spans="4:4" x14ac:dyDescent="0.25">
      <c r="D99" s="1"/>
    </row>
    <row r="100" spans="4:4" x14ac:dyDescent="0.25">
      <c r="D100" s="1"/>
    </row>
    <row r="101" spans="4:4" x14ac:dyDescent="0.25">
      <c r="D101" s="1"/>
    </row>
    <row r="102" spans="4:4" x14ac:dyDescent="0.25">
      <c r="D102" s="1"/>
    </row>
    <row r="103" spans="4:4" x14ac:dyDescent="0.25">
      <c r="D103" s="1"/>
    </row>
    <row r="104" spans="4:4" x14ac:dyDescent="0.25">
      <c r="D104" s="1"/>
    </row>
    <row r="105" spans="4:4" x14ac:dyDescent="0.25">
      <c r="D105" s="1"/>
    </row>
    <row r="106" spans="4:4" x14ac:dyDescent="0.25">
      <c r="D106" s="1"/>
    </row>
    <row r="107" spans="4:4" x14ac:dyDescent="0.25">
      <c r="D107" s="1"/>
    </row>
    <row r="108" spans="4:4" x14ac:dyDescent="0.25">
      <c r="D108" s="1"/>
    </row>
    <row r="109" spans="4:4" x14ac:dyDescent="0.25">
      <c r="D109" s="1"/>
    </row>
    <row r="110" spans="4:4" x14ac:dyDescent="0.25">
      <c r="D110" s="1"/>
    </row>
    <row r="111" spans="4:4" x14ac:dyDescent="0.25">
      <c r="D111" s="1"/>
    </row>
    <row r="112" spans="4:4" x14ac:dyDescent="0.25">
      <c r="D112" s="1"/>
    </row>
    <row r="113" spans="4:4" x14ac:dyDescent="0.25">
      <c r="D113" s="1"/>
    </row>
    <row r="114" spans="4:4" x14ac:dyDescent="0.25">
      <c r="D114" s="1"/>
    </row>
    <row r="115" spans="4:4" x14ac:dyDescent="0.25">
      <c r="D115" s="1"/>
    </row>
    <row r="116" spans="4:4" x14ac:dyDescent="0.25">
      <c r="D116" s="1"/>
    </row>
    <row r="117" spans="4:4" x14ac:dyDescent="0.25">
      <c r="D117" s="1"/>
    </row>
    <row r="118" spans="4:4" x14ac:dyDescent="0.25">
      <c r="D118" s="1"/>
    </row>
    <row r="119" spans="4:4" x14ac:dyDescent="0.25">
      <c r="D119" s="1"/>
    </row>
    <row r="120" spans="4:4" x14ac:dyDescent="0.25">
      <c r="D120" s="1"/>
    </row>
    <row r="121" spans="4:4" x14ac:dyDescent="0.25">
      <c r="D121" s="1"/>
    </row>
    <row r="122" spans="4:4" x14ac:dyDescent="0.25">
      <c r="D122" s="1"/>
    </row>
    <row r="123" spans="4:4" x14ac:dyDescent="0.25">
      <c r="D123" s="1"/>
    </row>
    <row r="124" spans="4:4" x14ac:dyDescent="0.25">
      <c r="D124" s="1"/>
    </row>
    <row r="125" spans="4:4" x14ac:dyDescent="0.25">
      <c r="D125" s="1"/>
    </row>
    <row r="126" spans="4:4" x14ac:dyDescent="0.25">
      <c r="D126" s="1"/>
    </row>
    <row r="127" spans="4:4" x14ac:dyDescent="0.25">
      <c r="D127" s="1"/>
    </row>
    <row r="128" spans="4:4" x14ac:dyDescent="0.25">
      <c r="D128" s="1"/>
    </row>
    <row r="129" spans="4:4" x14ac:dyDescent="0.25">
      <c r="D129" s="1"/>
    </row>
  </sheetData>
  <mergeCells count="1">
    <mergeCell ref="B3:F3"/>
  </mergeCells>
  <printOptions verticalCentered="1"/>
  <pageMargins left="0" right="0" top="0.74803149606299213" bottom="0.74803149606299213" header="0.31496062992125984" footer="0.31496062992125984"/>
  <pageSetup paperSize="9" scale="95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32"/>
  <sheetViews>
    <sheetView workbookViewId="0">
      <selection activeCell="B2" sqref="B2"/>
    </sheetView>
  </sheetViews>
  <sheetFormatPr baseColWidth="10" defaultRowHeight="15" x14ac:dyDescent="0.25"/>
  <cols>
    <col min="3" max="3" width="60.28515625" customWidth="1"/>
    <col min="5" max="5" width="13.140625" customWidth="1"/>
  </cols>
  <sheetData>
    <row r="1" spans="2:6" x14ac:dyDescent="0.25">
      <c r="B1" s="79">
        <v>41729</v>
      </c>
    </row>
    <row r="3" spans="2:6" x14ac:dyDescent="0.25">
      <c r="B3" s="104" t="s">
        <v>50</v>
      </c>
      <c r="C3" s="104"/>
      <c r="D3" s="104"/>
      <c r="E3" s="104"/>
      <c r="F3" s="104"/>
    </row>
    <row r="4" spans="2:6" ht="15.75" thickBot="1" x14ac:dyDescent="0.3">
      <c r="B4" s="105" t="s">
        <v>60</v>
      </c>
      <c r="C4" s="106"/>
      <c r="D4" s="106"/>
      <c r="E4" s="106"/>
      <c r="F4" s="106"/>
    </row>
    <row r="5" spans="2:6" ht="15.75" thickBot="1" x14ac:dyDescent="0.3">
      <c r="B5" s="80" t="s">
        <v>20</v>
      </c>
      <c r="C5" s="17" t="s">
        <v>21</v>
      </c>
      <c r="D5" s="11" t="s">
        <v>22</v>
      </c>
      <c r="E5" s="12" t="s">
        <v>24</v>
      </c>
      <c r="F5" s="13" t="s">
        <v>23</v>
      </c>
    </row>
    <row r="6" spans="2:6" x14ac:dyDescent="0.25">
      <c r="B6" s="55">
        <v>41698</v>
      </c>
      <c r="C6" s="56" t="s">
        <v>59</v>
      </c>
      <c r="D6" s="27"/>
      <c r="E6" s="28"/>
      <c r="F6" s="29">
        <v>-3158.06</v>
      </c>
    </row>
    <row r="7" spans="2:6" x14ac:dyDescent="0.25">
      <c r="B7" s="48">
        <v>41699</v>
      </c>
      <c r="C7" s="30" t="s">
        <v>25</v>
      </c>
      <c r="D7" s="31"/>
      <c r="E7" s="32">
        <v>317.5</v>
      </c>
      <c r="F7" s="33">
        <f>+F6+D7-E7</f>
        <v>-3475.56</v>
      </c>
    </row>
    <row r="8" spans="2:6" x14ac:dyDescent="0.25">
      <c r="B8" s="48">
        <v>41699</v>
      </c>
      <c r="C8" s="36" t="s">
        <v>26</v>
      </c>
      <c r="D8" s="32"/>
      <c r="E8" s="32">
        <v>3600</v>
      </c>
      <c r="F8" s="33">
        <f>+F7+D8-E8</f>
        <v>-7075.5599999999995</v>
      </c>
    </row>
    <row r="9" spans="2:6" x14ac:dyDescent="0.25">
      <c r="B9" s="48">
        <v>41701</v>
      </c>
      <c r="C9" s="36" t="s">
        <v>28</v>
      </c>
      <c r="D9" s="32"/>
      <c r="E9" s="32">
        <v>68.5</v>
      </c>
      <c r="F9" s="33">
        <f t="shared" ref="F9:F42" si="0">+F8+D9-E9</f>
        <v>-7144.0599999999995</v>
      </c>
    </row>
    <row r="10" spans="2:6" x14ac:dyDescent="0.25">
      <c r="B10" s="48">
        <v>41703</v>
      </c>
      <c r="C10" s="58" t="s">
        <v>57</v>
      </c>
      <c r="D10" s="32"/>
      <c r="E10" s="38">
        <v>60</v>
      </c>
      <c r="F10" s="33">
        <f t="shared" si="0"/>
        <v>-7204.0599999999995</v>
      </c>
    </row>
    <row r="11" spans="2:6" x14ac:dyDescent="0.25">
      <c r="B11" s="48">
        <v>41705</v>
      </c>
      <c r="C11" s="36" t="s">
        <v>29</v>
      </c>
      <c r="D11" s="32"/>
      <c r="E11" s="32">
        <v>57</v>
      </c>
      <c r="F11" s="33">
        <f t="shared" si="0"/>
        <v>-7261.0599999999995</v>
      </c>
    </row>
    <row r="12" spans="2:6" x14ac:dyDescent="0.25">
      <c r="B12" s="48">
        <v>41707</v>
      </c>
      <c r="C12" s="36" t="s">
        <v>49</v>
      </c>
      <c r="D12" s="32">
        <v>14000</v>
      </c>
      <c r="E12" s="32"/>
      <c r="F12" s="33">
        <f t="shared" si="0"/>
        <v>6738.9400000000005</v>
      </c>
    </row>
    <row r="13" spans="2:6" x14ac:dyDescent="0.25">
      <c r="B13" s="48">
        <v>41708</v>
      </c>
      <c r="C13" s="58" t="s">
        <v>35</v>
      </c>
      <c r="D13" s="32"/>
      <c r="E13" s="38">
        <v>400</v>
      </c>
      <c r="F13" s="33">
        <f t="shared" si="0"/>
        <v>6338.9400000000005</v>
      </c>
    </row>
    <row r="14" spans="2:6" x14ac:dyDescent="0.25">
      <c r="B14" s="48">
        <v>41710</v>
      </c>
      <c r="C14" s="37" t="s">
        <v>259</v>
      </c>
      <c r="D14" s="32"/>
      <c r="E14" s="32">
        <v>786</v>
      </c>
      <c r="F14" s="33">
        <f t="shared" si="0"/>
        <v>5552.9400000000005</v>
      </c>
    </row>
    <row r="15" spans="2:6" x14ac:dyDescent="0.25">
      <c r="B15" s="48">
        <v>41711</v>
      </c>
      <c r="C15" s="36" t="s">
        <v>30</v>
      </c>
      <c r="D15" s="32"/>
      <c r="E15" s="32">
        <v>156.15</v>
      </c>
      <c r="F15" s="33">
        <f t="shared" si="0"/>
        <v>5396.7900000000009</v>
      </c>
    </row>
    <row r="16" spans="2:6" x14ac:dyDescent="0.25">
      <c r="B16" s="48">
        <v>41712</v>
      </c>
      <c r="C16" s="36" t="s">
        <v>55</v>
      </c>
      <c r="D16" s="32"/>
      <c r="E16" s="32">
        <v>967</v>
      </c>
      <c r="F16" s="33">
        <f t="shared" si="0"/>
        <v>4429.7900000000009</v>
      </c>
    </row>
    <row r="17" spans="2:6" x14ac:dyDescent="0.25">
      <c r="B17" s="48">
        <v>41712</v>
      </c>
      <c r="C17" s="36" t="s">
        <v>27</v>
      </c>
      <c r="D17" s="32"/>
      <c r="E17" s="32">
        <v>120</v>
      </c>
      <c r="F17" s="33">
        <f t="shared" si="0"/>
        <v>4309.7900000000009</v>
      </c>
    </row>
    <row r="18" spans="2:6" x14ac:dyDescent="0.25">
      <c r="B18" s="48">
        <v>41713</v>
      </c>
      <c r="C18" s="36" t="s">
        <v>31</v>
      </c>
      <c r="D18" s="32"/>
      <c r="E18" s="32">
        <v>3200</v>
      </c>
      <c r="F18" s="33">
        <f t="shared" si="0"/>
        <v>1109.7900000000009</v>
      </c>
    </row>
    <row r="19" spans="2:6" x14ac:dyDescent="0.25">
      <c r="B19" s="48">
        <v>41715</v>
      </c>
      <c r="C19" s="36" t="s">
        <v>58</v>
      </c>
      <c r="D19" s="32"/>
      <c r="E19" s="32">
        <v>200</v>
      </c>
      <c r="F19" s="33">
        <f t="shared" si="0"/>
        <v>909.79000000000087</v>
      </c>
    </row>
    <row r="20" spans="2:6" x14ac:dyDescent="0.25">
      <c r="B20" s="57">
        <v>41715</v>
      </c>
      <c r="C20" s="34" t="s">
        <v>32</v>
      </c>
      <c r="D20" s="47"/>
      <c r="E20" s="47">
        <v>1882</v>
      </c>
      <c r="F20" s="35">
        <f t="shared" si="0"/>
        <v>-972.20999999999913</v>
      </c>
    </row>
    <row r="21" spans="2:6" x14ac:dyDescent="0.25">
      <c r="B21" s="48">
        <v>41718</v>
      </c>
      <c r="C21" s="36" t="s">
        <v>43</v>
      </c>
      <c r="D21" s="32"/>
      <c r="E21" s="32">
        <v>322</v>
      </c>
      <c r="F21" s="33">
        <f t="shared" si="0"/>
        <v>-1294.2099999999991</v>
      </c>
    </row>
    <row r="22" spans="2:6" x14ac:dyDescent="0.25">
      <c r="B22" s="48">
        <v>41718</v>
      </c>
      <c r="C22" s="36" t="s">
        <v>33</v>
      </c>
      <c r="D22" s="32"/>
      <c r="E22" s="32">
        <v>700</v>
      </c>
      <c r="F22" s="33">
        <f t="shared" si="0"/>
        <v>-1994.2099999999991</v>
      </c>
    </row>
    <row r="23" spans="2:6" x14ac:dyDescent="0.25">
      <c r="B23" s="48">
        <v>41719</v>
      </c>
      <c r="C23" s="81" t="s">
        <v>34</v>
      </c>
      <c r="D23" s="32"/>
      <c r="E23" s="32">
        <v>400</v>
      </c>
      <c r="F23" s="33">
        <f t="shared" si="0"/>
        <v>-2394.2099999999991</v>
      </c>
    </row>
    <row r="24" spans="2:6" x14ac:dyDescent="0.25">
      <c r="B24" s="97">
        <v>41719</v>
      </c>
      <c r="C24" s="95" t="s">
        <v>473</v>
      </c>
      <c r="D24" s="96"/>
      <c r="E24" s="96">
        <v>1600</v>
      </c>
      <c r="F24" s="33">
        <f t="shared" si="0"/>
        <v>-3994.2099999999991</v>
      </c>
    </row>
    <row r="25" spans="2:6" x14ac:dyDescent="0.25">
      <c r="B25" s="48">
        <v>41719</v>
      </c>
      <c r="C25" s="36" t="s">
        <v>36</v>
      </c>
      <c r="D25" s="32"/>
      <c r="E25" s="32">
        <v>3600</v>
      </c>
      <c r="F25" s="33">
        <f t="shared" si="0"/>
        <v>-7594.2099999999991</v>
      </c>
    </row>
    <row r="26" spans="2:6" x14ac:dyDescent="0.25">
      <c r="B26" s="48">
        <v>41720</v>
      </c>
      <c r="C26" s="36" t="s">
        <v>37</v>
      </c>
      <c r="D26" s="32"/>
      <c r="E26" s="32">
        <v>188.9</v>
      </c>
      <c r="F26" s="33">
        <f t="shared" si="0"/>
        <v>-7783.1099999999988</v>
      </c>
    </row>
    <row r="27" spans="2:6" x14ac:dyDescent="0.25">
      <c r="B27" s="48">
        <v>41720</v>
      </c>
      <c r="C27" s="36" t="s">
        <v>38</v>
      </c>
      <c r="D27" s="32"/>
      <c r="E27" s="32">
        <v>478</v>
      </c>
      <c r="F27" s="33">
        <f t="shared" si="0"/>
        <v>-8261.1099999999988</v>
      </c>
    </row>
    <row r="28" spans="2:6" x14ac:dyDescent="0.25">
      <c r="B28" s="48">
        <v>41721</v>
      </c>
      <c r="C28" s="36" t="s">
        <v>39</v>
      </c>
      <c r="D28" s="32"/>
      <c r="E28" s="32">
        <v>32</v>
      </c>
      <c r="F28" s="33">
        <f t="shared" si="0"/>
        <v>-8293.1099999999988</v>
      </c>
    </row>
    <row r="29" spans="2:6" x14ac:dyDescent="0.25">
      <c r="B29" s="48">
        <v>41723</v>
      </c>
      <c r="C29" s="36" t="s">
        <v>40</v>
      </c>
      <c r="D29" s="32"/>
      <c r="E29" s="32">
        <v>31</v>
      </c>
      <c r="F29" s="33">
        <f t="shared" si="0"/>
        <v>-8324.1099999999988</v>
      </c>
    </row>
    <row r="30" spans="2:6" x14ac:dyDescent="0.25">
      <c r="B30" s="48">
        <v>41723</v>
      </c>
      <c r="C30" s="36" t="s">
        <v>143</v>
      </c>
      <c r="D30" s="32"/>
      <c r="E30" s="32">
        <v>1000</v>
      </c>
      <c r="F30" s="33">
        <f t="shared" si="0"/>
        <v>-9324.1099999999988</v>
      </c>
    </row>
    <row r="31" spans="2:6" x14ac:dyDescent="0.25">
      <c r="B31" s="48">
        <v>41724</v>
      </c>
      <c r="C31" s="36" t="s">
        <v>42</v>
      </c>
      <c r="D31" s="32"/>
      <c r="E31" s="38">
        <v>120</v>
      </c>
      <c r="F31" s="33">
        <f t="shared" si="0"/>
        <v>-9444.1099999999988</v>
      </c>
    </row>
    <row r="32" spans="2:6" x14ac:dyDescent="0.25">
      <c r="B32" s="48">
        <v>41724</v>
      </c>
      <c r="C32" s="36" t="s">
        <v>41</v>
      </c>
      <c r="D32" s="32"/>
      <c r="E32" s="32">
        <v>200</v>
      </c>
      <c r="F32" s="33">
        <f t="shared" si="0"/>
        <v>-9644.1099999999988</v>
      </c>
    </row>
    <row r="33" spans="2:6" x14ac:dyDescent="0.25">
      <c r="B33" s="48">
        <v>41724</v>
      </c>
      <c r="C33" s="58" t="s">
        <v>310</v>
      </c>
      <c r="D33" s="32"/>
      <c r="E33" s="32">
        <v>1000</v>
      </c>
      <c r="F33" s="33">
        <f t="shared" si="0"/>
        <v>-10644.109999999999</v>
      </c>
    </row>
    <row r="34" spans="2:6" x14ac:dyDescent="0.25">
      <c r="B34" s="48">
        <v>41725</v>
      </c>
      <c r="C34" s="36" t="s">
        <v>40</v>
      </c>
      <c r="D34" s="32"/>
      <c r="E34" s="32">
        <v>28</v>
      </c>
      <c r="F34" s="33">
        <f t="shared" si="0"/>
        <v>-10672.109999999999</v>
      </c>
    </row>
    <row r="35" spans="2:6" x14ac:dyDescent="0.25">
      <c r="B35" s="48">
        <v>41725</v>
      </c>
      <c r="C35" s="36" t="s">
        <v>44</v>
      </c>
      <c r="D35" s="32"/>
      <c r="E35" s="38">
        <v>135</v>
      </c>
      <c r="F35" s="33">
        <f t="shared" si="0"/>
        <v>-10807.109999999999</v>
      </c>
    </row>
    <row r="36" spans="2:6" x14ac:dyDescent="0.25">
      <c r="B36" s="48">
        <v>41726</v>
      </c>
      <c r="C36" s="36" t="s">
        <v>467</v>
      </c>
      <c r="D36" s="32"/>
      <c r="E36" s="32">
        <v>17.5</v>
      </c>
      <c r="F36" s="33">
        <f t="shared" si="0"/>
        <v>-10824.609999999999</v>
      </c>
    </row>
    <row r="37" spans="2:6" x14ac:dyDescent="0.25">
      <c r="B37" s="48">
        <v>41726</v>
      </c>
      <c r="C37" s="36" t="s">
        <v>51</v>
      </c>
      <c r="D37" s="32"/>
      <c r="E37" s="38">
        <v>1000</v>
      </c>
      <c r="F37" s="33">
        <f t="shared" si="0"/>
        <v>-11824.609999999999</v>
      </c>
    </row>
    <row r="38" spans="2:6" x14ac:dyDescent="0.25">
      <c r="B38" s="48">
        <v>41727</v>
      </c>
      <c r="C38" s="36" t="s">
        <v>45</v>
      </c>
      <c r="D38" s="32"/>
      <c r="E38" s="32">
        <v>338</v>
      </c>
      <c r="F38" s="33">
        <f t="shared" si="0"/>
        <v>-12162.609999999999</v>
      </c>
    </row>
    <row r="39" spans="2:6" x14ac:dyDescent="0.25">
      <c r="B39" s="48">
        <v>41727</v>
      </c>
      <c r="C39" s="36" t="s">
        <v>56</v>
      </c>
      <c r="D39" s="32"/>
      <c r="E39" s="32">
        <v>3200</v>
      </c>
      <c r="F39" s="33">
        <f t="shared" si="0"/>
        <v>-15362.609999999999</v>
      </c>
    </row>
    <row r="40" spans="2:6" x14ac:dyDescent="0.25">
      <c r="B40" s="48">
        <v>41727</v>
      </c>
      <c r="C40" s="36" t="s">
        <v>49</v>
      </c>
      <c r="D40" s="32">
        <v>7400</v>
      </c>
      <c r="E40" s="32"/>
      <c r="F40" s="33">
        <f t="shared" si="0"/>
        <v>-7962.6099999999988</v>
      </c>
    </row>
    <row r="41" spans="2:6" x14ac:dyDescent="0.25">
      <c r="B41" s="48">
        <v>41729</v>
      </c>
      <c r="C41" s="36" t="s">
        <v>46</v>
      </c>
      <c r="D41" s="32"/>
      <c r="E41" s="32">
        <v>500</v>
      </c>
      <c r="F41" s="33">
        <f t="shared" si="0"/>
        <v>-8462.6099999999988</v>
      </c>
    </row>
    <row r="42" spans="2:6" ht="15.75" thickBot="1" x14ac:dyDescent="0.3">
      <c r="B42" s="16">
        <v>41729</v>
      </c>
      <c r="C42" s="25" t="s">
        <v>54</v>
      </c>
      <c r="D42" s="18"/>
      <c r="E42" s="18">
        <v>3200</v>
      </c>
      <c r="F42" s="62">
        <f t="shared" si="0"/>
        <v>-11662.609999999999</v>
      </c>
    </row>
    <row r="43" spans="2:6" ht="15.75" thickBot="1" x14ac:dyDescent="0.3">
      <c r="B43" s="20"/>
      <c r="C43" s="22" t="s">
        <v>1</v>
      </c>
      <c r="D43" s="21">
        <f>SUM(D6:D42)</f>
        <v>21400</v>
      </c>
      <c r="E43" s="21">
        <f>SUM(E6:E42)</f>
        <v>29904.550000000003</v>
      </c>
      <c r="F43" s="51"/>
    </row>
    <row r="44" spans="2:6" x14ac:dyDescent="0.25">
      <c r="B44" s="55"/>
      <c r="C44" s="45" t="s">
        <v>150</v>
      </c>
      <c r="D44" s="52"/>
      <c r="E44" s="53"/>
      <c r="F44" s="49"/>
    </row>
    <row r="45" spans="2:6" x14ac:dyDescent="0.25">
      <c r="B45" s="48">
        <v>41700</v>
      </c>
      <c r="C45" s="36" t="s">
        <v>47</v>
      </c>
      <c r="D45" s="32">
        <v>9443</v>
      </c>
      <c r="E45" s="32">
        <v>9443</v>
      </c>
      <c r="F45" s="35"/>
    </row>
    <row r="46" spans="2:6" ht="15.75" thickBot="1" x14ac:dyDescent="0.3">
      <c r="B46" s="46">
        <v>41700</v>
      </c>
      <c r="C46" s="36" t="s">
        <v>48</v>
      </c>
      <c r="D46" s="47">
        <v>27900</v>
      </c>
      <c r="E46" s="32">
        <v>27900</v>
      </c>
      <c r="F46" s="35"/>
    </row>
    <row r="47" spans="2:6" ht="15.75" thickBot="1" x14ac:dyDescent="0.3">
      <c r="B47" s="72"/>
      <c r="C47" s="83"/>
      <c r="D47" s="82"/>
      <c r="E47" s="84">
        <f>SUM(E45:E46)</f>
        <v>37343</v>
      </c>
      <c r="F47" s="44"/>
    </row>
    <row r="48" spans="2:6" x14ac:dyDescent="0.25">
      <c r="D48" s="2"/>
      <c r="E48" s="3"/>
    </row>
    <row r="49" spans="4:7" x14ac:dyDescent="0.25">
      <c r="D49" s="2"/>
      <c r="E49" s="3"/>
    </row>
    <row r="50" spans="4:7" x14ac:dyDescent="0.25">
      <c r="D50" s="2"/>
      <c r="E50" s="3"/>
    </row>
    <row r="51" spans="4:7" x14ac:dyDescent="0.25">
      <c r="D51" s="9"/>
      <c r="E51" s="15"/>
      <c r="F51" s="14"/>
    </row>
    <row r="52" spans="4:7" x14ac:dyDescent="0.25">
      <c r="D52" s="2"/>
      <c r="E52" s="3"/>
    </row>
    <row r="53" spans="4:7" x14ac:dyDescent="0.25">
      <c r="D53" s="2"/>
      <c r="E53" s="3"/>
    </row>
    <row r="54" spans="4:7" x14ac:dyDescent="0.25">
      <c r="D54" s="2"/>
      <c r="E54" s="3"/>
    </row>
    <row r="55" spans="4:7" x14ac:dyDescent="0.25">
      <c r="D55" s="2"/>
      <c r="E55" s="3"/>
    </row>
    <row r="56" spans="4:7" x14ac:dyDescent="0.25">
      <c r="D56" s="2"/>
      <c r="E56" s="3"/>
    </row>
    <row r="57" spans="4:7" x14ac:dyDescent="0.25">
      <c r="D57" s="2"/>
      <c r="E57" s="3"/>
      <c r="G57" s="14"/>
    </row>
    <row r="58" spans="4:7" x14ac:dyDescent="0.25">
      <c r="D58" s="2"/>
      <c r="E58" s="3"/>
    </row>
    <row r="59" spans="4:7" x14ac:dyDescent="0.25">
      <c r="D59" s="2"/>
      <c r="E59" s="3"/>
    </row>
    <row r="60" spans="4:7" x14ac:dyDescent="0.25">
      <c r="D60" s="2"/>
      <c r="E60" s="3"/>
    </row>
    <row r="61" spans="4:7" x14ac:dyDescent="0.25">
      <c r="D61" s="2"/>
      <c r="E61" s="3"/>
    </row>
    <row r="62" spans="4:7" x14ac:dyDescent="0.25">
      <c r="D62" s="2"/>
      <c r="E62" s="3"/>
    </row>
    <row r="63" spans="4:7" x14ac:dyDescent="0.25">
      <c r="D63" s="2"/>
      <c r="E63" s="3"/>
    </row>
    <row r="64" spans="4:7" x14ac:dyDescent="0.25">
      <c r="D64" s="2"/>
      <c r="E64" s="3"/>
    </row>
    <row r="65" spans="4:5" x14ac:dyDescent="0.25">
      <c r="D65" s="2"/>
      <c r="E65" s="3"/>
    </row>
    <row r="66" spans="4:5" x14ac:dyDescent="0.25">
      <c r="D66" s="2"/>
      <c r="E66" s="3"/>
    </row>
    <row r="67" spans="4:5" x14ac:dyDescent="0.25">
      <c r="D67" s="2"/>
      <c r="E67" s="3"/>
    </row>
    <row r="68" spans="4:5" x14ac:dyDescent="0.25">
      <c r="D68" s="2"/>
      <c r="E68" s="3"/>
    </row>
    <row r="69" spans="4:5" x14ac:dyDescent="0.25">
      <c r="D69" s="2"/>
      <c r="E69" s="3"/>
    </row>
    <row r="70" spans="4:5" x14ac:dyDescent="0.25">
      <c r="D70" s="2"/>
      <c r="E70" s="3"/>
    </row>
    <row r="71" spans="4:5" x14ac:dyDescent="0.25">
      <c r="D71" s="1"/>
    </row>
    <row r="72" spans="4:5" x14ac:dyDescent="0.25">
      <c r="D72" s="1"/>
    </row>
    <row r="73" spans="4:5" x14ac:dyDescent="0.25">
      <c r="D73" s="1"/>
    </row>
    <row r="74" spans="4:5" x14ac:dyDescent="0.25">
      <c r="D74" s="1"/>
    </row>
    <row r="75" spans="4:5" x14ac:dyDescent="0.25">
      <c r="D75" s="1"/>
    </row>
    <row r="76" spans="4:5" x14ac:dyDescent="0.25">
      <c r="D76" s="1"/>
    </row>
    <row r="77" spans="4:5" x14ac:dyDescent="0.25">
      <c r="D77" s="1"/>
    </row>
    <row r="78" spans="4:5" x14ac:dyDescent="0.25">
      <c r="D78" s="1"/>
    </row>
    <row r="79" spans="4:5" x14ac:dyDescent="0.25">
      <c r="D79" s="1"/>
    </row>
    <row r="80" spans="4:5" x14ac:dyDescent="0.25">
      <c r="D80" s="1"/>
    </row>
    <row r="81" spans="4:4" x14ac:dyDescent="0.25">
      <c r="D81" s="1"/>
    </row>
    <row r="82" spans="4:4" x14ac:dyDescent="0.25">
      <c r="D82" s="1"/>
    </row>
    <row r="83" spans="4:4" x14ac:dyDescent="0.25">
      <c r="D83" s="1"/>
    </row>
    <row r="84" spans="4:4" x14ac:dyDescent="0.25">
      <c r="D84" s="1"/>
    </row>
    <row r="85" spans="4:4" x14ac:dyDescent="0.25">
      <c r="D85" s="1"/>
    </row>
    <row r="86" spans="4:4" x14ac:dyDescent="0.25">
      <c r="D86" s="1"/>
    </row>
    <row r="87" spans="4:4" x14ac:dyDescent="0.25">
      <c r="D87" s="1"/>
    </row>
    <row r="88" spans="4:4" x14ac:dyDescent="0.25">
      <c r="D88" s="1"/>
    </row>
    <row r="89" spans="4:4" x14ac:dyDescent="0.25">
      <c r="D89" s="1"/>
    </row>
    <row r="90" spans="4:4" x14ac:dyDescent="0.25">
      <c r="D90" s="1"/>
    </row>
    <row r="91" spans="4:4" x14ac:dyDescent="0.25">
      <c r="D91" s="1"/>
    </row>
    <row r="92" spans="4:4" x14ac:dyDescent="0.25">
      <c r="D92" s="1"/>
    </row>
    <row r="93" spans="4:4" x14ac:dyDescent="0.25">
      <c r="D93" s="1"/>
    </row>
    <row r="94" spans="4:4" x14ac:dyDescent="0.25">
      <c r="D94" s="1"/>
    </row>
    <row r="95" spans="4:4" x14ac:dyDescent="0.25">
      <c r="D95" s="1"/>
    </row>
    <row r="96" spans="4:4" x14ac:dyDescent="0.25">
      <c r="D96" s="1"/>
    </row>
    <row r="97" spans="4:4" x14ac:dyDescent="0.25">
      <c r="D97" s="1"/>
    </row>
    <row r="98" spans="4:4" x14ac:dyDescent="0.25">
      <c r="D98" s="1"/>
    </row>
    <row r="99" spans="4:4" x14ac:dyDescent="0.25">
      <c r="D99" s="1"/>
    </row>
    <row r="100" spans="4:4" x14ac:dyDescent="0.25">
      <c r="D100" s="1"/>
    </row>
    <row r="101" spans="4:4" x14ac:dyDescent="0.25">
      <c r="D101" s="1"/>
    </row>
    <row r="102" spans="4:4" x14ac:dyDescent="0.25">
      <c r="D102" s="1"/>
    </row>
    <row r="103" spans="4:4" x14ac:dyDescent="0.25">
      <c r="D103" s="1"/>
    </row>
    <row r="104" spans="4:4" x14ac:dyDescent="0.25">
      <c r="D104" s="1"/>
    </row>
    <row r="105" spans="4:4" x14ac:dyDescent="0.25">
      <c r="D105" s="1"/>
    </row>
    <row r="106" spans="4:4" x14ac:dyDescent="0.25">
      <c r="D106" s="1"/>
    </row>
    <row r="107" spans="4:4" x14ac:dyDescent="0.25">
      <c r="D107" s="1"/>
    </row>
    <row r="108" spans="4:4" x14ac:dyDescent="0.25">
      <c r="D108" s="1"/>
    </row>
    <row r="109" spans="4:4" x14ac:dyDescent="0.25">
      <c r="D109" s="1"/>
    </row>
    <row r="110" spans="4:4" x14ac:dyDescent="0.25">
      <c r="D110" s="1"/>
    </row>
    <row r="111" spans="4:4" x14ac:dyDescent="0.25">
      <c r="D111" s="1"/>
    </row>
    <row r="112" spans="4:4" x14ac:dyDescent="0.25">
      <c r="D112" s="1"/>
    </row>
    <row r="113" spans="4:4" x14ac:dyDescent="0.25">
      <c r="D113" s="1"/>
    </row>
    <row r="114" spans="4:4" x14ac:dyDescent="0.25">
      <c r="D114" s="1"/>
    </row>
    <row r="115" spans="4:4" x14ac:dyDescent="0.25">
      <c r="D115" s="1"/>
    </row>
    <row r="116" spans="4:4" x14ac:dyDescent="0.25">
      <c r="D116" s="1"/>
    </row>
    <row r="117" spans="4:4" x14ac:dyDescent="0.25">
      <c r="D117" s="1"/>
    </row>
    <row r="118" spans="4:4" x14ac:dyDescent="0.25">
      <c r="D118" s="1"/>
    </row>
    <row r="119" spans="4:4" x14ac:dyDescent="0.25">
      <c r="D119" s="1"/>
    </row>
    <row r="120" spans="4:4" x14ac:dyDescent="0.25">
      <c r="D120" s="1"/>
    </row>
    <row r="121" spans="4:4" x14ac:dyDescent="0.25">
      <c r="D121" s="1"/>
    </row>
    <row r="122" spans="4:4" x14ac:dyDescent="0.25">
      <c r="D122" s="1"/>
    </row>
    <row r="123" spans="4:4" x14ac:dyDescent="0.25">
      <c r="D123" s="1"/>
    </row>
    <row r="124" spans="4:4" x14ac:dyDescent="0.25">
      <c r="D124" s="1"/>
    </row>
    <row r="125" spans="4:4" x14ac:dyDescent="0.25">
      <c r="D125" s="1"/>
    </row>
    <row r="126" spans="4:4" x14ac:dyDescent="0.25">
      <c r="D126" s="1"/>
    </row>
    <row r="127" spans="4:4" x14ac:dyDescent="0.25">
      <c r="D127" s="1"/>
    </row>
    <row r="128" spans="4:4" x14ac:dyDescent="0.25">
      <c r="D128" s="1"/>
    </row>
    <row r="129" spans="4:4" x14ac:dyDescent="0.25">
      <c r="D129" s="1"/>
    </row>
    <row r="130" spans="4:4" x14ac:dyDescent="0.25">
      <c r="D130" s="1"/>
    </row>
    <row r="131" spans="4:4" x14ac:dyDescent="0.25">
      <c r="D131" s="1"/>
    </row>
    <row r="132" spans="4:4" x14ac:dyDescent="0.25">
      <c r="D132" s="1"/>
    </row>
  </sheetData>
  <mergeCells count="2">
    <mergeCell ref="B3:F3"/>
    <mergeCell ref="B4:F4"/>
  </mergeCells>
  <printOptions verticalCentered="1"/>
  <pageMargins left="0" right="0" top="0.74803149606299213" bottom="0.74803149606299213" header="0.31496062992125984" footer="0.31496062992125984"/>
  <pageSetup paperSize="9" scale="95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F146"/>
  <sheetViews>
    <sheetView workbookViewId="0">
      <selection activeCell="B2" sqref="B2:F2"/>
    </sheetView>
  </sheetViews>
  <sheetFormatPr baseColWidth="10" defaultRowHeight="15" x14ac:dyDescent="0.25"/>
  <cols>
    <col min="3" max="3" width="60.28515625" customWidth="1"/>
    <col min="5" max="5" width="13.140625" customWidth="1"/>
  </cols>
  <sheetData>
    <row r="1" spans="2:6" x14ac:dyDescent="0.25">
      <c r="B1" s="79">
        <v>41759</v>
      </c>
    </row>
    <row r="2" spans="2:6" x14ac:dyDescent="0.25">
      <c r="B2" s="104" t="s">
        <v>52</v>
      </c>
      <c r="C2" s="104"/>
      <c r="D2" s="104"/>
      <c r="E2" s="104"/>
      <c r="F2" s="104"/>
    </row>
    <row r="3" spans="2:6" ht="15.75" thickBot="1" x14ac:dyDescent="0.3">
      <c r="C3" s="10"/>
      <c r="D3" s="10"/>
    </row>
    <row r="4" spans="2:6" ht="15.75" thickBot="1" x14ac:dyDescent="0.3">
      <c r="B4" s="11" t="s">
        <v>20</v>
      </c>
      <c r="C4" s="17" t="s">
        <v>21</v>
      </c>
      <c r="D4" s="11" t="s">
        <v>22</v>
      </c>
      <c r="E4" s="12" t="s">
        <v>24</v>
      </c>
      <c r="F4" s="13" t="s">
        <v>23</v>
      </c>
    </row>
    <row r="5" spans="2:6" x14ac:dyDescent="0.25">
      <c r="B5" s="55">
        <v>41728</v>
      </c>
      <c r="C5" s="26" t="s">
        <v>53</v>
      </c>
      <c r="D5" s="27"/>
      <c r="E5" s="28"/>
      <c r="F5" s="29">
        <v>-11662.61</v>
      </c>
    </row>
    <row r="6" spans="2:6" x14ac:dyDescent="0.25">
      <c r="B6" s="48">
        <v>42095</v>
      </c>
      <c r="C6" s="30" t="s">
        <v>110</v>
      </c>
      <c r="D6" s="31"/>
      <c r="E6" s="32">
        <v>5000</v>
      </c>
      <c r="F6" s="33">
        <f>+F5+D6-E6</f>
        <v>-16662.61</v>
      </c>
    </row>
    <row r="7" spans="2:6" x14ac:dyDescent="0.25">
      <c r="B7" s="48">
        <v>41730</v>
      </c>
      <c r="C7" s="36" t="s">
        <v>111</v>
      </c>
      <c r="D7" s="32"/>
      <c r="E7" s="32">
        <v>242.44</v>
      </c>
      <c r="F7" s="33">
        <f t="shared" ref="F7:F54" si="0">+F6+D7-E7</f>
        <v>-16905.05</v>
      </c>
    </row>
    <row r="8" spans="2:6" x14ac:dyDescent="0.25">
      <c r="B8" s="48">
        <v>41731</v>
      </c>
      <c r="C8" s="36" t="s">
        <v>153</v>
      </c>
      <c r="D8" s="32"/>
      <c r="E8" s="32">
        <v>11000</v>
      </c>
      <c r="F8" s="33">
        <f t="shared" si="0"/>
        <v>-27905.05</v>
      </c>
    </row>
    <row r="9" spans="2:6" x14ac:dyDescent="0.25">
      <c r="B9" s="48">
        <v>41731</v>
      </c>
      <c r="C9" s="36" t="s">
        <v>112</v>
      </c>
      <c r="D9" s="32"/>
      <c r="E9" s="32">
        <v>200</v>
      </c>
      <c r="F9" s="33">
        <f t="shared" si="0"/>
        <v>-28105.05</v>
      </c>
    </row>
    <row r="10" spans="2:6" x14ac:dyDescent="0.25">
      <c r="B10" s="48">
        <v>41731</v>
      </c>
      <c r="C10" s="37" t="s">
        <v>113</v>
      </c>
      <c r="D10" s="32"/>
      <c r="E10" s="38">
        <v>60</v>
      </c>
      <c r="F10" s="33">
        <f t="shared" si="0"/>
        <v>-28165.05</v>
      </c>
    </row>
    <row r="11" spans="2:6" x14ac:dyDescent="0.25">
      <c r="B11" s="48">
        <v>41731</v>
      </c>
      <c r="C11" s="37" t="s">
        <v>49</v>
      </c>
      <c r="D11" s="32">
        <v>5500</v>
      </c>
      <c r="E11" s="38"/>
      <c r="F11" s="33">
        <f t="shared" si="0"/>
        <v>-22665.05</v>
      </c>
    </row>
    <row r="12" spans="2:6" x14ac:dyDescent="0.25">
      <c r="B12" s="48">
        <v>41733</v>
      </c>
      <c r="C12" s="36" t="s">
        <v>114</v>
      </c>
      <c r="D12" s="32"/>
      <c r="E12" s="32">
        <v>138</v>
      </c>
      <c r="F12" s="33">
        <f t="shared" si="0"/>
        <v>-22803.05</v>
      </c>
    </row>
    <row r="13" spans="2:6" x14ac:dyDescent="0.25">
      <c r="B13" s="48">
        <v>41733</v>
      </c>
      <c r="C13" s="36" t="s">
        <v>115</v>
      </c>
      <c r="D13" s="32"/>
      <c r="E13" s="32">
        <v>400</v>
      </c>
      <c r="F13" s="33">
        <f t="shared" si="0"/>
        <v>-23203.05</v>
      </c>
    </row>
    <row r="14" spans="2:6" x14ac:dyDescent="0.25">
      <c r="B14" s="48">
        <v>41733</v>
      </c>
      <c r="C14" s="36" t="s">
        <v>49</v>
      </c>
      <c r="D14" s="32">
        <v>5000</v>
      </c>
      <c r="E14" s="32"/>
      <c r="F14" s="33">
        <f t="shared" si="0"/>
        <v>-18203.05</v>
      </c>
    </row>
    <row r="15" spans="2:6" x14ac:dyDescent="0.25">
      <c r="B15" s="48">
        <v>41734</v>
      </c>
      <c r="C15" s="36" t="s">
        <v>141</v>
      </c>
      <c r="D15" s="32"/>
      <c r="E15" s="32">
        <v>1200</v>
      </c>
      <c r="F15" s="33">
        <f t="shared" si="0"/>
        <v>-19403.05</v>
      </c>
    </row>
    <row r="16" spans="2:6" x14ac:dyDescent="0.25">
      <c r="B16" s="48">
        <v>41735</v>
      </c>
      <c r="C16" s="36" t="s">
        <v>116</v>
      </c>
      <c r="D16" s="32"/>
      <c r="E16" s="32">
        <v>139.69999999999999</v>
      </c>
      <c r="F16" s="33">
        <f t="shared" si="0"/>
        <v>-19542.75</v>
      </c>
    </row>
    <row r="17" spans="2:6" x14ac:dyDescent="0.25">
      <c r="B17" s="48">
        <v>41736</v>
      </c>
      <c r="C17" s="37" t="s">
        <v>117</v>
      </c>
      <c r="D17" s="32"/>
      <c r="E17" s="38">
        <v>90</v>
      </c>
      <c r="F17" s="33">
        <f t="shared" si="0"/>
        <v>-19632.75</v>
      </c>
    </row>
    <row r="18" spans="2:6" x14ac:dyDescent="0.25">
      <c r="B18" s="48">
        <v>41736</v>
      </c>
      <c r="C18" s="37" t="s">
        <v>49</v>
      </c>
      <c r="D18" s="32">
        <v>5000</v>
      </c>
      <c r="E18" s="38"/>
      <c r="F18" s="33">
        <f t="shared" si="0"/>
        <v>-14632.75</v>
      </c>
    </row>
    <row r="19" spans="2:6" x14ac:dyDescent="0.25">
      <c r="B19" s="48">
        <v>41737</v>
      </c>
      <c r="C19" s="37" t="s">
        <v>49</v>
      </c>
      <c r="D19" s="32">
        <v>8000</v>
      </c>
      <c r="E19" s="38"/>
      <c r="F19" s="33">
        <f t="shared" si="0"/>
        <v>-6632.75</v>
      </c>
    </row>
    <row r="20" spans="2:6" x14ac:dyDescent="0.25">
      <c r="B20" s="48">
        <v>41739</v>
      </c>
      <c r="C20" s="37" t="s">
        <v>142</v>
      </c>
      <c r="D20" s="32"/>
      <c r="E20" s="38">
        <v>330</v>
      </c>
      <c r="F20" s="33">
        <f t="shared" si="0"/>
        <v>-6962.75</v>
      </c>
    </row>
    <row r="21" spans="2:6" x14ac:dyDescent="0.25">
      <c r="B21" s="48">
        <v>41739</v>
      </c>
      <c r="C21" s="36" t="s">
        <v>118</v>
      </c>
      <c r="D21" s="32"/>
      <c r="E21" s="32">
        <v>500</v>
      </c>
      <c r="F21" s="33">
        <f t="shared" si="0"/>
        <v>-7462.75</v>
      </c>
    </row>
    <row r="22" spans="2:6" x14ac:dyDescent="0.25">
      <c r="B22" s="48">
        <v>41740</v>
      </c>
      <c r="C22" s="37" t="s">
        <v>119</v>
      </c>
      <c r="D22" s="32"/>
      <c r="E22" s="32">
        <v>786</v>
      </c>
      <c r="F22" s="33">
        <f t="shared" si="0"/>
        <v>-8248.75</v>
      </c>
    </row>
    <row r="23" spans="2:6" x14ac:dyDescent="0.25">
      <c r="B23" s="48">
        <v>41740</v>
      </c>
      <c r="C23" s="36" t="s">
        <v>115</v>
      </c>
      <c r="D23" s="32"/>
      <c r="E23" s="32">
        <v>400</v>
      </c>
      <c r="F23" s="33">
        <f t="shared" si="0"/>
        <v>-8648.75</v>
      </c>
    </row>
    <row r="24" spans="2:6" x14ac:dyDescent="0.25">
      <c r="B24" s="48">
        <v>41740</v>
      </c>
      <c r="C24" s="36" t="s">
        <v>120</v>
      </c>
      <c r="D24" s="32"/>
      <c r="E24" s="32">
        <v>19.399999999999999</v>
      </c>
      <c r="F24" s="33">
        <f t="shared" si="0"/>
        <v>-8668.15</v>
      </c>
    </row>
    <row r="25" spans="2:6" x14ac:dyDescent="0.25">
      <c r="B25" s="48">
        <v>41741</v>
      </c>
      <c r="C25" s="36" t="s">
        <v>121</v>
      </c>
      <c r="D25" s="32"/>
      <c r="E25" s="32">
        <v>6200</v>
      </c>
      <c r="F25" s="33">
        <f t="shared" si="0"/>
        <v>-14868.15</v>
      </c>
    </row>
    <row r="26" spans="2:6" x14ac:dyDescent="0.25">
      <c r="B26" s="48">
        <v>41741</v>
      </c>
      <c r="C26" s="36" t="s">
        <v>122</v>
      </c>
      <c r="D26" s="32"/>
      <c r="E26" s="32">
        <v>235</v>
      </c>
      <c r="F26" s="33">
        <f t="shared" si="0"/>
        <v>-15103.15</v>
      </c>
    </row>
    <row r="27" spans="2:6" x14ac:dyDescent="0.25">
      <c r="B27" s="48">
        <v>41742</v>
      </c>
      <c r="C27" s="36" t="s">
        <v>123</v>
      </c>
      <c r="D27" s="32"/>
      <c r="E27" s="32">
        <v>462</v>
      </c>
      <c r="F27" s="33">
        <f t="shared" si="0"/>
        <v>-15565.15</v>
      </c>
    </row>
    <row r="28" spans="2:6" x14ac:dyDescent="0.25">
      <c r="B28" s="48">
        <v>41743</v>
      </c>
      <c r="C28" s="36" t="s">
        <v>117</v>
      </c>
      <c r="D28" s="32"/>
      <c r="E28" s="32">
        <v>90</v>
      </c>
      <c r="F28" s="33">
        <f t="shared" si="0"/>
        <v>-15655.15</v>
      </c>
    </row>
    <row r="29" spans="2:6" x14ac:dyDescent="0.25">
      <c r="B29" s="48">
        <v>41743</v>
      </c>
      <c r="C29" s="36" t="s">
        <v>124</v>
      </c>
      <c r="D29" s="32"/>
      <c r="E29" s="32">
        <v>600</v>
      </c>
      <c r="F29" s="33">
        <f t="shared" si="0"/>
        <v>-16255.15</v>
      </c>
    </row>
    <row r="30" spans="2:6" x14ac:dyDescent="0.25">
      <c r="B30" s="48">
        <v>41743</v>
      </c>
      <c r="C30" s="36" t="s">
        <v>49</v>
      </c>
      <c r="D30" s="32">
        <v>10000</v>
      </c>
      <c r="E30" s="32"/>
      <c r="F30" s="33">
        <f t="shared" si="0"/>
        <v>-6255.15</v>
      </c>
    </row>
    <row r="31" spans="2:6" x14ac:dyDescent="0.25">
      <c r="B31" s="48">
        <v>41744</v>
      </c>
      <c r="C31" s="36" t="s">
        <v>125</v>
      </c>
      <c r="D31" s="32"/>
      <c r="E31" s="32">
        <v>3200</v>
      </c>
      <c r="F31" s="33">
        <f t="shared" si="0"/>
        <v>-9455.15</v>
      </c>
    </row>
    <row r="32" spans="2:6" x14ac:dyDescent="0.25">
      <c r="B32" s="48">
        <v>41745</v>
      </c>
      <c r="C32" s="36" t="s">
        <v>126</v>
      </c>
      <c r="D32" s="32"/>
      <c r="E32" s="32">
        <v>3200</v>
      </c>
      <c r="F32" s="33">
        <f t="shared" si="0"/>
        <v>-12655.15</v>
      </c>
    </row>
    <row r="33" spans="2:6" x14ac:dyDescent="0.25">
      <c r="B33" s="48">
        <v>41747</v>
      </c>
      <c r="C33" s="36" t="s">
        <v>115</v>
      </c>
      <c r="D33" s="32"/>
      <c r="E33" s="32">
        <v>400</v>
      </c>
      <c r="F33" s="33">
        <f t="shared" si="0"/>
        <v>-13055.15</v>
      </c>
    </row>
    <row r="34" spans="2:6" x14ac:dyDescent="0.25">
      <c r="B34" s="48">
        <v>41749</v>
      </c>
      <c r="C34" s="36" t="s">
        <v>127</v>
      </c>
      <c r="D34" s="32"/>
      <c r="E34" s="32">
        <v>54.9</v>
      </c>
      <c r="F34" s="33">
        <f t="shared" si="0"/>
        <v>-13110.05</v>
      </c>
    </row>
    <row r="35" spans="2:6" x14ac:dyDescent="0.25">
      <c r="B35" s="48">
        <v>41749</v>
      </c>
      <c r="C35" s="36" t="s">
        <v>49</v>
      </c>
      <c r="D35" s="32">
        <v>10000</v>
      </c>
      <c r="E35" s="32"/>
      <c r="F35" s="33">
        <f t="shared" si="0"/>
        <v>-3110.0499999999993</v>
      </c>
    </row>
    <row r="36" spans="2:6" x14ac:dyDescent="0.25">
      <c r="B36" s="97">
        <v>41750</v>
      </c>
      <c r="C36" s="95" t="s">
        <v>474</v>
      </c>
      <c r="D36" s="96"/>
      <c r="E36" s="96">
        <v>1600</v>
      </c>
      <c r="F36" s="33">
        <f t="shared" si="0"/>
        <v>-4710.0499999999993</v>
      </c>
    </row>
    <row r="37" spans="2:6" x14ac:dyDescent="0.25">
      <c r="B37" s="48">
        <v>41750</v>
      </c>
      <c r="C37" s="36" t="s">
        <v>128</v>
      </c>
      <c r="D37" s="32"/>
      <c r="E37" s="32">
        <v>350</v>
      </c>
      <c r="F37" s="33">
        <f t="shared" si="0"/>
        <v>-5060.0499999999993</v>
      </c>
    </row>
    <row r="38" spans="2:6" x14ac:dyDescent="0.25">
      <c r="B38" s="48">
        <v>41750</v>
      </c>
      <c r="C38" s="36" t="s">
        <v>129</v>
      </c>
      <c r="D38" s="32"/>
      <c r="E38" s="32">
        <v>120</v>
      </c>
      <c r="F38" s="33">
        <f t="shared" si="0"/>
        <v>-5180.0499999999993</v>
      </c>
    </row>
    <row r="39" spans="2:6" x14ac:dyDescent="0.25">
      <c r="B39" s="48">
        <v>41750</v>
      </c>
      <c r="C39" s="36" t="s">
        <v>49</v>
      </c>
      <c r="D39" s="32">
        <v>10000</v>
      </c>
      <c r="E39" s="32"/>
      <c r="F39" s="33">
        <f t="shared" si="0"/>
        <v>4819.9500000000007</v>
      </c>
    </row>
    <row r="40" spans="2:6" x14ac:dyDescent="0.25">
      <c r="B40" s="48">
        <v>41752</v>
      </c>
      <c r="C40" s="36" t="s">
        <v>130</v>
      </c>
      <c r="D40" s="32"/>
      <c r="E40" s="32">
        <v>250</v>
      </c>
      <c r="F40" s="33">
        <f t="shared" si="0"/>
        <v>4569.9500000000007</v>
      </c>
    </row>
    <row r="41" spans="2:6" x14ac:dyDescent="0.25">
      <c r="B41" s="48">
        <v>41752</v>
      </c>
      <c r="C41" s="60" t="s">
        <v>131</v>
      </c>
      <c r="D41" s="47"/>
      <c r="E41" s="47">
        <v>1013.4</v>
      </c>
      <c r="F41" s="33">
        <f t="shared" si="0"/>
        <v>3556.5500000000006</v>
      </c>
    </row>
    <row r="42" spans="2:6" x14ac:dyDescent="0.25">
      <c r="B42" s="57">
        <v>41752</v>
      </c>
      <c r="C42" s="36" t="s">
        <v>112</v>
      </c>
      <c r="D42" s="32"/>
      <c r="E42" s="32">
        <v>200</v>
      </c>
      <c r="F42" s="33">
        <f t="shared" si="0"/>
        <v>3356.5500000000006</v>
      </c>
    </row>
    <row r="43" spans="2:6" x14ac:dyDescent="0.25">
      <c r="B43" s="48">
        <v>41752</v>
      </c>
      <c r="C43" s="36" t="s">
        <v>132</v>
      </c>
      <c r="D43" s="32"/>
      <c r="E43" s="38">
        <v>599</v>
      </c>
      <c r="F43" s="33">
        <f t="shared" si="0"/>
        <v>2757.5500000000006</v>
      </c>
    </row>
    <row r="44" spans="2:6" x14ac:dyDescent="0.25">
      <c r="B44" s="48">
        <v>41754</v>
      </c>
      <c r="C44" s="36" t="s">
        <v>133</v>
      </c>
      <c r="D44" s="32"/>
      <c r="E44" s="32">
        <v>30</v>
      </c>
      <c r="F44" s="33">
        <f t="shared" si="0"/>
        <v>2727.5500000000006</v>
      </c>
    </row>
    <row r="45" spans="2:6" x14ac:dyDescent="0.25">
      <c r="B45" s="48">
        <v>41754</v>
      </c>
      <c r="C45" s="36" t="s">
        <v>134</v>
      </c>
      <c r="D45" s="32"/>
      <c r="E45" s="38">
        <v>1000</v>
      </c>
      <c r="F45" s="33">
        <f t="shared" si="0"/>
        <v>1727.5500000000006</v>
      </c>
    </row>
    <row r="46" spans="2:6" x14ac:dyDescent="0.25">
      <c r="B46" s="48">
        <v>41754</v>
      </c>
      <c r="C46" s="36" t="s">
        <v>115</v>
      </c>
      <c r="D46" s="32"/>
      <c r="E46" s="38">
        <v>400</v>
      </c>
      <c r="F46" s="33">
        <f t="shared" si="0"/>
        <v>1327.5500000000006</v>
      </c>
    </row>
    <row r="47" spans="2:6" x14ac:dyDescent="0.25">
      <c r="B47" s="48">
        <v>41755</v>
      </c>
      <c r="C47" s="36" t="s">
        <v>112</v>
      </c>
      <c r="D47" s="32"/>
      <c r="E47" s="32">
        <v>200</v>
      </c>
      <c r="F47" s="33">
        <f t="shared" si="0"/>
        <v>1127.5500000000006</v>
      </c>
    </row>
    <row r="48" spans="2:6" x14ac:dyDescent="0.25">
      <c r="B48" s="48">
        <v>41756</v>
      </c>
      <c r="C48" s="36" t="s">
        <v>135</v>
      </c>
      <c r="D48" s="32"/>
      <c r="E48" s="32">
        <v>181.4</v>
      </c>
      <c r="F48" s="33">
        <f t="shared" si="0"/>
        <v>946.15000000000066</v>
      </c>
    </row>
    <row r="49" spans="2:6" x14ac:dyDescent="0.25">
      <c r="B49" s="48">
        <v>41757</v>
      </c>
      <c r="C49" s="36" t="s">
        <v>117</v>
      </c>
      <c r="D49" s="32"/>
      <c r="E49" s="38">
        <v>90</v>
      </c>
      <c r="F49" s="33">
        <f t="shared" si="0"/>
        <v>856.15000000000066</v>
      </c>
    </row>
    <row r="50" spans="2:6" x14ac:dyDescent="0.25">
      <c r="B50" s="48">
        <v>41757</v>
      </c>
      <c r="C50" s="36" t="s">
        <v>136</v>
      </c>
      <c r="D50" s="32"/>
      <c r="E50" s="32">
        <v>430</v>
      </c>
      <c r="F50" s="33">
        <f t="shared" si="0"/>
        <v>426.15000000000066</v>
      </c>
    </row>
    <row r="51" spans="2:6" x14ac:dyDescent="0.25">
      <c r="B51" s="48">
        <v>41758</v>
      </c>
      <c r="C51" s="36" t="s">
        <v>137</v>
      </c>
      <c r="D51" s="32"/>
      <c r="E51" s="32">
        <v>578</v>
      </c>
      <c r="F51" s="33">
        <f t="shared" si="0"/>
        <v>-151.84999999999934</v>
      </c>
    </row>
    <row r="52" spans="2:6" x14ac:dyDescent="0.25">
      <c r="B52" s="48">
        <v>41758</v>
      </c>
      <c r="C52" s="36" t="s">
        <v>138</v>
      </c>
      <c r="D52" s="32"/>
      <c r="E52" s="32">
        <v>483</v>
      </c>
      <c r="F52" s="33">
        <f t="shared" si="0"/>
        <v>-634.84999999999934</v>
      </c>
    </row>
    <row r="53" spans="2:6" x14ac:dyDescent="0.25">
      <c r="B53" s="48">
        <v>41758</v>
      </c>
      <c r="C53" s="36" t="s">
        <v>139</v>
      </c>
      <c r="D53" s="32"/>
      <c r="E53" s="32">
        <v>4000</v>
      </c>
      <c r="F53" s="33">
        <f t="shared" si="0"/>
        <v>-4634.8499999999995</v>
      </c>
    </row>
    <row r="54" spans="2:6" ht="15.75" thickBot="1" x14ac:dyDescent="0.3">
      <c r="B54" s="16">
        <v>41759</v>
      </c>
      <c r="C54" s="34" t="s">
        <v>140</v>
      </c>
      <c r="D54" s="47"/>
      <c r="E54" s="47">
        <v>3200</v>
      </c>
      <c r="F54" s="33">
        <f t="shared" si="0"/>
        <v>-7834.8499999999995</v>
      </c>
    </row>
    <row r="55" spans="2:6" ht="15.75" thickBot="1" x14ac:dyDescent="0.3">
      <c r="B55" s="20"/>
      <c r="C55" s="22" t="s">
        <v>1</v>
      </c>
      <c r="D55" s="21">
        <f>SUM(D5:D54)</f>
        <v>53500</v>
      </c>
      <c r="E55" s="21">
        <f>SUM(E5:E54)</f>
        <v>49672.240000000005</v>
      </c>
      <c r="F55" s="50"/>
    </row>
    <row r="56" spans="2:6" x14ac:dyDescent="0.25">
      <c r="B56" s="55"/>
      <c r="C56" s="45" t="s">
        <v>150</v>
      </c>
      <c r="D56" s="52"/>
      <c r="E56" s="53"/>
      <c r="F56" s="49"/>
    </row>
    <row r="57" spans="2:6" x14ac:dyDescent="0.25">
      <c r="B57" s="48">
        <v>41731</v>
      </c>
      <c r="C57" s="54" t="s">
        <v>154</v>
      </c>
      <c r="D57" s="39">
        <v>27900</v>
      </c>
      <c r="E57" s="32">
        <v>27900</v>
      </c>
      <c r="F57" s="61"/>
    </row>
    <row r="58" spans="2:6" x14ac:dyDescent="0.25">
      <c r="B58" s="48">
        <v>41745</v>
      </c>
      <c r="C58" s="36" t="s">
        <v>155</v>
      </c>
      <c r="D58" s="32">
        <v>27900</v>
      </c>
      <c r="E58" s="32">
        <v>27900</v>
      </c>
      <c r="F58" s="33"/>
    </row>
    <row r="59" spans="2:6" ht="15.75" thickBot="1" x14ac:dyDescent="0.3">
      <c r="B59" s="46">
        <v>41758</v>
      </c>
      <c r="C59" s="36" t="s">
        <v>156</v>
      </c>
      <c r="D59" s="47">
        <v>27900</v>
      </c>
      <c r="E59" s="32">
        <v>27900</v>
      </c>
      <c r="F59" s="35"/>
    </row>
    <row r="60" spans="2:6" ht="15.75" thickBot="1" x14ac:dyDescent="0.3">
      <c r="B60" s="72"/>
      <c r="C60" s="43"/>
      <c r="D60" s="74"/>
      <c r="E60" s="85">
        <f>SUM(E57:E59)</f>
        <v>83700</v>
      </c>
      <c r="F60" s="63"/>
    </row>
    <row r="61" spans="2:6" x14ac:dyDescent="0.25">
      <c r="D61" s="2"/>
      <c r="E61" s="3"/>
    </row>
    <row r="62" spans="2:6" x14ac:dyDescent="0.25">
      <c r="D62" s="2"/>
      <c r="E62" s="3"/>
    </row>
    <row r="63" spans="2:6" x14ac:dyDescent="0.25">
      <c r="D63" s="2"/>
      <c r="E63" s="3"/>
    </row>
    <row r="64" spans="2:6" x14ac:dyDescent="0.25">
      <c r="D64" s="2"/>
      <c r="E64" s="3"/>
    </row>
    <row r="65" spans="4:5" x14ac:dyDescent="0.25">
      <c r="D65" s="2"/>
      <c r="E65" s="3"/>
    </row>
    <row r="66" spans="4:5" x14ac:dyDescent="0.25">
      <c r="D66" s="2"/>
      <c r="E66" s="3"/>
    </row>
    <row r="67" spans="4:5" x14ac:dyDescent="0.25">
      <c r="D67" s="2"/>
      <c r="E67" s="3"/>
    </row>
    <row r="68" spans="4:5" x14ac:dyDescent="0.25">
      <c r="D68" s="2"/>
      <c r="E68" s="3"/>
    </row>
    <row r="69" spans="4:5" x14ac:dyDescent="0.25">
      <c r="D69" s="2"/>
      <c r="E69" s="3"/>
    </row>
    <row r="70" spans="4:5" x14ac:dyDescent="0.25">
      <c r="D70" s="2"/>
      <c r="E70" s="3"/>
    </row>
    <row r="71" spans="4:5" x14ac:dyDescent="0.25">
      <c r="D71" s="2"/>
      <c r="E71" s="3"/>
    </row>
    <row r="72" spans="4:5" x14ac:dyDescent="0.25">
      <c r="D72" s="2"/>
      <c r="E72" s="3"/>
    </row>
    <row r="73" spans="4:5" x14ac:dyDescent="0.25">
      <c r="D73" s="2"/>
      <c r="E73" s="3"/>
    </row>
    <row r="74" spans="4:5" x14ac:dyDescent="0.25">
      <c r="D74" s="2"/>
      <c r="E74" s="3"/>
    </row>
    <row r="75" spans="4:5" x14ac:dyDescent="0.25">
      <c r="D75" s="2"/>
      <c r="E75" s="3"/>
    </row>
    <row r="76" spans="4:5" x14ac:dyDescent="0.25">
      <c r="D76" s="2"/>
      <c r="E76" s="3"/>
    </row>
    <row r="77" spans="4:5" x14ac:dyDescent="0.25">
      <c r="D77" s="2"/>
      <c r="E77" s="3"/>
    </row>
    <row r="78" spans="4:5" x14ac:dyDescent="0.25">
      <c r="D78" s="2"/>
      <c r="E78" s="3"/>
    </row>
    <row r="79" spans="4:5" x14ac:dyDescent="0.25">
      <c r="D79" s="2"/>
      <c r="E79" s="3"/>
    </row>
    <row r="80" spans="4:5" x14ac:dyDescent="0.25">
      <c r="D80" s="2"/>
      <c r="E80" s="3"/>
    </row>
    <row r="81" spans="4:5" x14ac:dyDescent="0.25">
      <c r="D81" s="2"/>
      <c r="E81" s="3"/>
    </row>
    <row r="82" spans="4:5" x14ac:dyDescent="0.25">
      <c r="D82" s="2"/>
      <c r="E82" s="3"/>
    </row>
    <row r="83" spans="4:5" x14ac:dyDescent="0.25">
      <c r="D83" s="2"/>
      <c r="E83" s="3"/>
    </row>
    <row r="84" spans="4:5" x14ac:dyDescent="0.25">
      <c r="D84" s="2"/>
      <c r="E84" s="3"/>
    </row>
    <row r="85" spans="4:5" x14ac:dyDescent="0.25">
      <c r="D85" s="1"/>
    </row>
    <row r="86" spans="4:5" x14ac:dyDescent="0.25">
      <c r="D86" s="1"/>
    </row>
    <row r="87" spans="4:5" x14ac:dyDescent="0.25">
      <c r="D87" s="1"/>
    </row>
    <row r="88" spans="4:5" x14ac:dyDescent="0.25">
      <c r="D88" s="1"/>
    </row>
    <row r="89" spans="4:5" x14ac:dyDescent="0.25">
      <c r="D89" s="1"/>
    </row>
    <row r="90" spans="4:5" x14ac:dyDescent="0.25">
      <c r="D90" s="1"/>
    </row>
    <row r="91" spans="4:5" x14ac:dyDescent="0.25">
      <c r="D91" s="1"/>
    </row>
    <row r="92" spans="4:5" x14ac:dyDescent="0.25">
      <c r="D92" s="1"/>
    </row>
    <row r="93" spans="4:5" x14ac:dyDescent="0.25">
      <c r="D93" s="1"/>
    </row>
    <row r="94" spans="4:5" x14ac:dyDescent="0.25">
      <c r="D94" s="1"/>
    </row>
    <row r="95" spans="4:5" x14ac:dyDescent="0.25">
      <c r="D95" s="1"/>
    </row>
    <row r="96" spans="4:5" x14ac:dyDescent="0.25">
      <c r="D96" s="1"/>
    </row>
    <row r="97" spans="4:4" x14ac:dyDescent="0.25">
      <c r="D97" s="1"/>
    </row>
    <row r="98" spans="4:4" x14ac:dyDescent="0.25">
      <c r="D98" s="1"/>
    </row>
    <row r="99" spans="4:4" x14ac:dyDescent="0.25">
      <c r="D99" s="1"/>
    </row>
    <row r="100" spans="4:4" x14ac:dyDescent="0.25">
      <c r="D100" s="1"/>
    </row>
    <row r="101" spans="4:4" x14ac:dyDescent="0.25">
      <c r="D101" s="1"/>
    </row>
    <row r="102" spans="4:4" x14ac:dyDescent="0.25">
      <c r="D102" s="1"/>
    </row>
    <row r="103" spans="4:4" x14ac:dyDescent="0.25">
      <c r="D103" s="1"/>
    </row>
    <row r="104" spans="4:4" x14ac:dyDescent="0.25">
      <c r="D104" s="1"/>
    </row>
    <row r="105" spans="4:4" x14ac:dyDescent="0.25">
      <c r="D105" s="1"/>
    </row>
    <row r="106" spans="4:4" x14ac:dyDescent="0.25">
      <c r="D106" s="1"/>
    </row>
    <row r="107" spans="4:4" x14ac:dyDescent="0.25">
      <c r="D107" s="1"/>
    </row>
    <row r="108" spans="4:4" x14ac:dyDescent="0.25">
      <c r="D108" s="1"/>
    </row>
    <row r="109" spans="4:4" x14ac:dyDescent="0.25">
      <c r="D109" s="1"/>
    </row>
    <row r="110" spans="4:4" x14ac:dyDescent="0.25">
      <c r="D110" s="1"/>
    </row>
    <row r="111" spans="4:4" x14ac:dyDescent="0.25">
      <c r="D111" s="1"/>
    </row>
    <row r="112" spans="4:4" x14ac:dyDescent="0.25">
      <c r="D112" s="1"/>
    </row>
    <row r="113" spans="4:4" x14ac:dyDescent="0.25">
      <c r="D113" s="1"/>
    </row>
    <row r="114" spans="4:4" x14ac:dyDescent="0.25">
      <c r="D114" s="1"/>
    </row>
    <row r="115" spans="4:4" x14ac:dyDescent="0.25">
      <c r="D115" s="1"/>
    </row>
    <row r="116" spans="4:4" x14ac:dyDescent="0.25">
      <c r="D116" s="1"/>
    </row>
    <row r="117" spans="4:4" x14ac:dyDescent="0.25">
      <c r="D117" s="1"/>
    </row>
    <row r="118" spans="4:4" x14ac:dyDescent="0.25">
      <c r="D118" s="1"/>
    </row>
    <row r="119" spans="4:4" x14ac:dyDescent="0.25">
      <c r="D119" s="1"/>
    </row>
    <row r="120" spans="4:4" x14ac:dyDescent="0.25">
      <c r="D120" s="1"/>
    </row>
    <row r="121" spans="4:4" x14ac:dyDescent="0.25">
      <c r="D121" s="1"/>
    </row>
    <row r="122" spans="4:4" x14ac:dyDescent="0.25">
      <c r="D122" s="1"/>
    </row>
    <row r="123" spans="4:4" x14ac:dyDescent="0.25">
      <c r="D123" s="1"/>
    </row>
    <row r="124" spans="4:4" x14ac:dyDescent="0.25">
      <c r="D124" s="1"/>
    </row>
    <row r="125" spans="4:4" x14ac:dyDescent="0.25">
      <c r="D125" s="1"/>
    </row>
    <row r="126" spans="4:4" x14ac:dyDescent="0.25">
      <c r="D126" s="1"/>
    </row>
    <row r="127" spans="4:4" x14ac:dyDescent="0.25">
      <c r="D127" s="1"/>
    </row>
    <row r="128" spans="4:4" x14ac:dyDescent="0.25">
      <c r="D128" s="1"/>
    </row>
    <row r="129" spans="4:4" x14ac:dyDescent="0.25">
      <c r="D129" s="1"/>
    </row>
    <row r="130" spans="4:4" x14ac:dyDescent="0.25">
      <c r="D130" s="1"/>
    </row>
    <row r="131" spans="4:4" x14ac:dyDescent="0.25">
      <c r="D131" s="1"/>
    </row>
    <row r="132" spans="4:4" x14ac:dyDescent="0.25">
      <c r="D132" s="1"/>
    </row>
    <row r="133" spans="4:4" x14ac:dyDescent="0.25">
      <c r="D133" s="1"/>
    </row>
    <row r="134" spans="4:4" x14ac:dyDescent="0.25">
      <c r="D134" s="1"/>
    </row>
    <row r="135" spans="4:4" x14ac:dyDescent="0.25">
      <c r="D135" s="1"/>
    </row>
    <row r="136" spans="4:4" x14ac:dyDescent="0.25">
      <c r="D136" s="1"/>
    </row>
    <row r="137" spans="4:4" x14ac:dyDescent="0.25">
      <c r="D137" s="1"/>
    </row>
    <row r="138" spans="4:4" x14ac:dyDescent="0.25">
      <c r="D138" s="1"/>
    </row>
    <row r="139" spans="4:4" x14ac:dyDescent="0.25">
      <c r="D139" s="1"/>
    </row>
    <row r="140" spans="4:4" x14ac:dyDescent="0.25">
      <c r="D140" s="1"/>
    </row>
    <row r="141" spans="4:4" x14ac:dyDescent="0.25">
      <c r="D141" s="1"/>
    </row>
    <row r="142" spans="4:4" x14ac:dyDescent="0.25">
      <c r="D142" s="1"/>
    </row>
    <row r="143" spans="4:4" x14ac:dyDescent="0.25">
      <c r="D143" s="1"/>
    </row>
    <row r="144" spans="4:4" x14ac:dyDescent="0.25">
      <c r="D144" s="1"/>
    </row>
    <row r="145" spans="4:4" x14ac:dyDescent="0.25">
      <c r="D145" s="1"/>
    </row>
    <row r="146" spans="4:4" x14ac:dyDescent="0.25">
      <c r="D146" s="1"/>
    </row>
  </sheetData>
  <mergeCells count="1">
    <mergeCell ref="B2:F2"/>
  </mergeCells>
  <printOptions verticalCentered="1"/>
  <pageMargins left="0" right="0" top="0.74803149606299213" bottom="0.74803149606299213" header="0.31496062992125984" footer="0.31496062992125984"/>
  <pageSetup paperSize="9" scale="84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F69"/>
  <sheetViews>
    <sheetView workbookViewId="0">
      <selection activeCell="B2" sqref="B2:F2"/>
    </sheetView>
  </sheetViews>
  <sheetFormatPr baseColWidth="10" defaultRowHeight="15" x14ac:dyDescent="0.25"/>
  <cols>
    <col min="2" max="2" width="11.42578125" customWidth="1"/>
    <col min="3" max="3" width="64.140625" customWidth="1"/>
    <col min="4" max="4" width="13" customWidth="1"/>
  </cols>
  <sheetData>
    <row r="1" spans="2:6" x14ac:dyDescent="0.25">
      <c r="B1" s="79">
        <v>41790</v>
      </c>
    </row>
    <row r="2" spans="2:6" x14ac:dyDescent="0.25">
      <c r="B2" s="104" t="s">
        <v>199</v>
      </c>
      <c r="C2" s="104"/>
      <c r="D2" s="104"/>
      <c r="E2" s="104"/>
      <c r="F2" s="104"/>
    </row>
    <row r="3" spans="2:6" ht="15.75" thickBot="1" x14ac:dyDescent="0.3">
      <c r="C3" s="87"/>
      <c r="D3" s="87"/>
    </row>
    <row r="4" spans="2:6" ht="15.75" thickBot="1" x14ac:dyDescent="0.3">
      <c r="B4" s="11" t="s">
        <v>20</v>
      </c>
      <c r="C4" s="17" t="s">
        <v>21</v>
      </c>
      <c r="D4" s="11" t="s">
        <v>22</v>
      </c>
      <c r="E4" s="12" t="s">
        <v>24</v>
      </c>
      <c r="F4" s="13" t="s">
        <v>23</v>
      </c>
    </row>
    <row r="5" spans="2:6" x14ac:dyDescent="0.25">
      <c r="B5" s="55" t="s">
        <v>157</v>
      </c>
      <c r="C5" s="26" t="s">
        <v>158</v>
      </c>
      <c r="D5" s="27"/>
      <c r="E5" s="28"/>
      <c r="F5" s="29">
        <v>-7834.85</v>
      </c>
    </row>
    <row r="6" spans="2:6" x14ac:dyDescent="0.25">
      <c r="B6" s="48">
        <v>41760</v>
      </c>
      <c r="C6" s="30" t="s">
        <v>159</v>
      </c>
      <c r="D6" s="31"/>
      <c r="E6" s="32">
        <v>1400</v>
      </c>
      <c r="F6" s="33">
        <f t="shared" ref="F6:F14" si="0">+F5+D6-E6</f>
        <v>-9234.85</v>
      </c>
    </row>
    <row r="7" spans="2:6" x14ac:dyDescent="0.25">
      <c r="B7" s="48">
        <v>41761</v>
      </c>
      <c r="C7" s="36" t="s">
        <v>115</v>
      </c>
      <c r="D7" s="32"/>
      <c r="E7" s="32">
        <v>400</v>
      </c>
      <c r="F7" s="33">
        <f t="shared" si="0"/>
        <v>-9634.85</v>
      </c>
    </row>
    <row r="8" spans="2:6" x14ac:dyDescent="0.25">
      <c r="B8" s="48">
        <v>41761</v>
      </c>
      <c r="C8" s="36" t="s">
        <v>171</v>
      </c>
      <c r="D8" s="32"/>
      <c r="E8" s="32">
        <v>600</v>
      </c>
      <c r="F8" s="33">
        <f t="shared" si="0"/>
        <v>-10234.85</v>
      </c>
    </row>
    <row r="9" spans="2:6" x14ac:dyDescent="0.25">
      <c r="B9" s="48">
        <v>41761</v>
      </c>
      <c r="C9" s="36" t="s">
        <v>160</v>
      </c>
      <c r="D9" s="32"/>
      <c r="E9" s="32">
        <v>1099.01</v>
      </c>
      <c r="F9" s="33">
        <f t="shared" si="0"/>
        <v>-11333.86</v>
      </c>
    </row>
    <row r="10" spans="2:6" x14ac:dyDescent="0.25">
      <c r="B10" s="48">
        <v>41763</v>
      </c>
      <c r="C10" s="36" t="s">
        <v>49</v>
      </c>
      <c r="D10" s="32">
        <v>10000</v>
      </c>
      <c r="E10" s="38"/>
      <c r="F10" s="33">
        <f t="shared" si="0"/>
        <v>-1333.8600000000006</v>
      </c>
    </row>
    <row r="11" spans="2:6" x14ac:dyDescent="0.25">
      <c r="B11" s="48">
        <v>41764</v>
      </c>
      <c r="C11" s="37" t="s">
        <v>161</v>
      </c>
      <c r="D11" s="32"/>
      <c r="E11" s="38">
        <v>1143.8</v>
      </c>
      <c r="F11" s="33">
        <f t="shared" si="0"/>
        <v>-2477.6600000000008</v>
      </c>
    </row>
    <row r="12" spans="2:6" x14ac:dyDescent="0.25">
      <c r="B12" s="48">
        <v>41764</v>
      </c>
      <c r="C12" s="37" t="s">
        <v>260</v>
      </c>
      <c r="D12" s="32"/>
      <c r="E12" s="38">
        <v>786</v>
      </c>
      <c r="F12" s="33">
        <f t="shared" si="0"/>
        <v>-3263.6600000000008</v>
      </c>
    </row>
    <row r="13" spans="2:6" x14ac:dyDescent="0.25">
      <c r="B13" s="48">
        <v>41765</v>
      </c>
      <c r="C13" s="36" t="s">
        <v>49</v>
      </c>
      <c r="D13" s="32">
        <v>10000</v>
      </c>
      <c r="E13" s="32"/>
      <c r="F13" s="33">
        <f t="shared" si="0"/>
        <v>6736.3399999999992</v>
      </c>
    </row>
    <row r="14" spans="2:6" x14ac:dyDescent="0.25">
      <c r="B14" s="48">
        <v>41765</v>
      </c>
      <c r="C14" s="36" t="s">
        <v>161</v>
      </c>
      <c r="D14" s="32"/>
      <c r="E14" s="32">
        <v>758.7</v>
      </c>
      <c r="F14" s="33">
        <f t="shared" si="0"/>
        <v>5977.6399999999994</v>
      </c>
    </row>
    <row r="15" spans="2:6" x14ac:dyDescent="0.25">
      <c r="B15" s="48">
        <v>41766</v>
      </c>
      <c r="C15" s="36" t="s">
        <v>162</v>
      </c>
      <c r="D15" s="32"/>
      <c r="E15" s="32">
        <v>2399.5</v>
      </c>
      <c r="F15" s="33">
        <f t="shared" ref="F15:F63" si="1">+F14+D15-E15</f>
        <v>3578.1399999999994</v>
      </c>
    </row>
    <row r="16" spans="2:6" x14ac:dyDescent="0.25">
      <c r="B16" s="48">
        <v>41767</v>
      </c>
      <c r="C16" s="36" t="s">
        <v>163</v>
      </c>
      <c r="D16" s="32"/>
      <c r="E16" s="32">
        <v>500</v>
      </c>
      <c r="F16" s="33">
        <f t="shared" si="1"/>
        <v>3078.1399999999994</v>
      </c>
    </row>
    <row r="17" spans="2:6" x14ac:dyDescent="0.25">
      <c r="B17" s="48">
        <v>41767</v>
      </c>
      <c r="C17" s="36" t="s">
        <v>165</v>
      </c>
      <c r="D17" s="32"/>
      <c r="E17" s="32">
        <v>478</v>
      </c>
      <c r="F17" s="33">
        <f t="shared" si="1"/>
        <v>2600.1399999999994</v>
      </c>
    </row>
    <row r="18" spans="2:6" x14ac:dyDescent="0.25">
      <c r="B18" s="48">
        <v>41768</v>
      </c>
      <c r="C18" s="36" t="s">
        <v>164</v>
      </c>
      <c r="D18" s="32"/>
      <c r="E18" s="32">
        <v>250</v>
      </c>
      <c r="F18" s="33">
        <f t="shared" si="1"/>
        <v>2350.1399999999994</v>
      </c>
    </row>
    <row r="19" spans="2:6" x14ac:dyDescent="0.25">
      <c r="B19" s="48">
        <v>41768</v>
      </c>
      <c r="C19" s="37" t="s">
        <v>166</v>
      </c>
      <c r="D19" s="32"/>
      <c r="E19" s="38">
        <v>335</v>
      </c>
      <c r="F19" s="33">
        <f t="shared" si="1"/>
        <v>2015.1399999999994</v>
      </c>
    </row>
    <row r="20" spans="2:6" x14ac:dyDescent="0.25">
      <c r="B20" s="48">
        <v>41768</v>
      </c>
      <c r="C20" s="37" t="s">
        <v>115</v>
      </c>
      <c r="D20" s="32"/>
      <c r="E20" s="38">
        <v>400</v>
      </c>
      <c r="F20" s="33">
        <f t="shared" si="1"/>
        <v>1615.1399999999994</v>
      </c>
    </row>
    <row r="21" spans="2:6" x14ac:dyDescent="0.25">
      <c r="B21" s="48">
        <v>41768</v>
      </c>
      <c r="C21" s="37" t="s">
        <v>167</v>
      </c>
      <c r="D21" s="32"/>
      <c r="E21" s="38">
        <v>120</v>
      </c>
      <c r="F21" s="33">
        <f t="shared" si="1"/>
        <v>1495.1399999999994</v>
      </c>
    </row>
    <row r="22" spans="2:6" x14ac:dyDescent="0.25">
      <c r="B22" s="48">
        <v>41768</v>
      </c>
      <c r="C22" s="37" t="s">
        <v>168</v>
      </c>
      <c r="D22" s="32"/>
      <c r="E22" s="38">
        <v>1200</v>
      </c>
      <c r="F22" s="33">
        <f t="shared" si="1"/>
        <v>295.13999999999942</v>
      </c>
    </row>
    <row r="23" spans="2:6" x14ac:dyDescent="0.25">
      <c r="B23" s="48">
        <v>41769</v>
      </c>
      <c r="C23" s="36" t="s">
        <v>169</v>
      </c>
      <c r="D23" s="32"/>
      <c r="E23" s="32">
        <v>3000</v>
      </c>
      <c r="F23" s="33">
        <f t="shared" si="1"/>
        <v>-2704.8600000000006</v>
      </c>
    </row>
    <row r="24" spans="2:6" x14ac:dyDescent="0.25">
      <c r="B24" s="48">
        <v>41769</v>
      </c>
      <c r="C24" s="36" t="s">
        <v>169</v>
      </c>
      <c r="D24" s="32"/>
      <c r="E24" s="32">
        <v>3500</v>
      </c>
      <c r="F24" s="33">
        <f t="shared" si="1"/>
        <v>-6204.8600000000006</v>
      </c>
    </row>
    <row r="25" spans="2:6" x14ac:dyDescent="0.25">
      <c r="B25" s="48">
        <v>41770</v>
      </c>
      <c r="C25" s="36" t="s">
        <v>49</v>
      </c>
      <c r="D25" s="32">
        <v>10000</v>
      </c>
      <c r="E25" s="32"/>
      <c r="F25" s="33">
        <f t="shared" si="1"/>
        <v>3795.1399999999994</v>
      </c>
    </row>
    <row r="26" spans="2:6" x14ac:dyDescent="0.25">
      <c r="B26" s="48">
        <v>41770</v>
      </c>
      <c r="C26" s="36" t="s">
        <v>170</v>
      </c>
      <c r="D26" s="32"/>
      <c r="E26" s="32">
        <v>650</v>
      </c>
      <c r="F26" s="33">
        <f t="shared" si="1"/>
        <v>3145.1399999999994</v>
      </c>
    </row>
    <row r="27" spans="2:6" x14ac:dyDescent="0.25">
      <c r="B27" s="48">
        <v>41770</v>
      </c>
      <c r="C27" s="36" t="s">
        <v>169</v>
      </c>
      <c r="D27" s="32"/>
      <c r="E27" s="32">
        <v>3000</v>
      </c>
      <c r="F27" s="33">
        <f t="shared" si="1"/>
        <v>145.13999999999942</v>
      </c>
    </row>
    <row r="28" spans="2:6" x14ac:dyDescent="0.25">
      <c r="B28" s="48">
        <v>41772</v>
      </c>
      <c r="C28" s="36" t="s">
        <v>172</v>
      </c>
      <c r="D28" s="32"/>
      <c r="E28" s="32">
        <v>373.9</v>
      </c>
      <c r="F28" s="33">
        <f t="shared" si="1"/>
        <v>-228.76000000000056</v>
      </c>
    </row>
    <row r="29" spans="2:6" x14ac:dyDescent="0.25">
      <c r="B29" s="48">
        <v>41772</v>
      </c>
      <c r="C29" s="36" t="s">
        <v>173</v>
      </c>
      <c r="D29" s="32"/>
      <c r="E29" s="32">
        <v>1529</v>
      </c>
      <c r="F29" s="33">
        <f t="shared" si="1"/>
        <v>-1757.7600000000007</v>
      </c>
    </row>
    <row r="30" spans="2:6" x14ac:dyDescent="0.25">
      <c r="B30" s="48">
        <v>41772</v>
      </c>
      <c r="C30" s="36" t="s">
        <v>169</v>
      </c>
      <c r="D30" s="32"/>
      <c r="E30" s="32">
        <v>3000</v>
      </c>
      <c r="F30" s="33">
        <f t="shared" si="1"/>
        <v>-4757.76</v>
      </c>
    </row>
    <row r="31" spans="2:6" x14ac:dyDescent="0.25">
      <c r="B31" s="48">
        <v>41772</v>
      </c>
      <c r="C31" s="36" t="s">
        <v>174</v>
      </c>
      <c r="D31" s="32"/>
      <c r="E31" s="32">
        <v>500</v>
      </c>
      <c r="F31" s="33">
        <f t="shared" si="1"/>
        <v>-5257.76</v>
      </c>
    </row>
    <row r="32" spans="2:6" x14ac:dyDescent="0.25">
      <c r="B32" s="48">
        <v>41773</v>
      </c>
      <c r="C32" s="36" t="s">
        <v>175</v>
      </c>
      <c r="D32" s="32"/>
      <c r="E32" s="32">
        <v>4200</v>
      </c>
      <c r="F32" s="33">
        <f t="shared" si="1"/>
        <v>-9457.76</v>
      </c>
    </row>
    <row r="33" spans="2:6" x14ac:dyDescent="0.25">
      <c r="B33" s="48">
        <v>41773</v>
      </c>
      <c r="C33" s="36" t="s">
        <v>176</v>
      </c>
      <c r="D33" s="32"/>
      <c r="E33" s="32">
        <v>90</v>
      </c>
      <c r="F33" s="33">
        <f t="shared" si="1"/>
        <v>-9547.76</v>
      </c>
    </row>
    <row r="34" spans="2:6" x14ac:dyDescent="0.25">
      <c r="B34" s="48">
        <v>41774</v>
      </c>
      <c r="C34" s="36" t="s">
        <v>49</v>
      </c>
      <c r="D34" s="32">
        <v>11000</v>
      </c>
      <c r="E34" s="32"/>
      <c r="F34" s="33">
        <f t="shared" si="1"/>
        <v>1452.2399999999998</v>
      </c>
    </row>
    <row r="35" spans="2:6" x14ac:dyDescent="0.25">
      <c r="B35" s="48">
        <v>41774</v>
      </c>
      <c r="C35" s="36" t="s">
        <v>178</v>
      </c>
      <c r="D35" s="32"/>
      <c r="E35" s="32">
        <v>900</v>
      </c>
      <c r="F35" s="33">
        <f t="shared" si="1"/>
        <v>552.23999999999978</v>
      </c>
    </row>
    <row r="36" spans="2:6" x14ac:dyDescent="0.25">
      <c r="B36" s="48">
        <v>41774</v>
      </c>
      <c r="C36" s="36" t="s">
        <v>179</v>
      </c>
      <c r="D36" s="32"/>
      <c r="E36" s="32">
        <v>3200</v>
      </c>
      <c r="F36" s="33">
        <f t="shared" si="1"/>
        <v>-2647.76</v>
      </c>
    </row>
    <row r="37" spans="2:6" x14ac:dyDescent="0.25">
      <c r="B37" s="48">
        <v>41775</v>
      </c>
      <c r="C37" s="36" t="s">
        <v>115</v>
      </c>
      <c r="D37" s="32"/>
      <c r="E37" s="32">
        <v>400</v>
      </c>
      <c r="F37" s="33">
        <f t="shared" si="1"/>
        <v>-3047.76</v>
      </c>
    </row>
    <row r="38" spans="2:6" x14ac:dyDescent="0.25">
      <c r="B38" s="48">
        <v>41775</v>
      </c>
      <c r="C38" s="36" t="s">
        <v>180</v>
      </c>
      <c r="D38" s="32"/>
      <c r="E38" s="32">
        <v>200</v>
      </c>
      <c r="F38" s="33">
        <f t="shared" si="1"/>
        <v>-3247.76</v>
      </c>
    </row>
    <row r="39" spans="2:6" x14ac:dyDescent="0.25">
      <c r="B39" s="48">
        <v>41776</v>
      </c>
      <c r="C39" s="36" t="s">
        <v>169</v>
      </c>
      <c r="D39" s="32"/>
      <c r="E39" s="32">
        <v>3000</v>
      </c>
      <c r="F39" s="33">
        <f t="shared" si="1"/>
        <v>-6247.76</v>
      </c>
    </row>
    <row r="40" spans="2:6" x14ac:dyDescent="0.25">
      <c r="B40" s="48">
        <v>41776</v>
      </c>
      <c r="C40" s="36" t="s">
        <v>169</v>
      </c>
      <c r="D40" s="32"/>
      <c r="E40" s="32">
        <v>3000</v>
      </c>
      <c r="F40" s="33">
        <f t="shared" si="1"/>
        <v>-9247.76</v>
      </c>
    </row>
    <row r="41" spans="2:6" x14ac:dyDescent="0.25">
      <c r="B41" s="48">
        <v>41777</v>
      </c>
      <c r="C41" s="36" t="s">
        <v>49</v>
      </c>
      <c r="D41" s="32">
        <v>15000</v>
      </c>
      <c r="E41" s="32"/>
      <c r="F41" s="33">
        <f t="shared" si="1"/>
        <v>5752.24</v>
      </c>
    </row>
    <row r="42" spans="2:6" x14ac:dyDescent="0.25">
      <c r="B42" s="48">
        <v>41778</v>
      </c>
      <c r="C42" s="36" t="s">
        <v>181</v>
      </c>
      <c r="D42" s="32"/>
      <c r="E42" s="32">
        <v>700</v>
      </c>
      <c r="F42" s="33">
        <f t="shared" si="1"/>
        <v>5052.24</v>
      </c>
    </row>
    <row r="43" spans="2:6" x14ac:dyDescent="0.25">
      <c r="B43" s="48">
        <v>41778</v>
      </c>
      <c r="C43" s="60" t="s">
        <v>182</v>
      </c>
      <c r="D43" s="47"/>
      <c r="E43" s="47">
        <v>700</v>
      </c>
      <c r="F43" s="33">
        <f t="shared" si="1"/>
        <v>4352.24</v>
      </c>
    </row>
    <row r="44" spans="2:6" x14ac:dyDescent="0.25">
      <c r="B44" s="48">
        <v>41778</v>
      </c>
      <c r="C44" s="36" t="s">
        <v>183</v>
      </c>
      <c r="D44" s="32"/>
      <c r="E44" s="32">
        <v>1000</v>
      </c>
      <c r="F44" s="33">
        <f t="shared" si="1"/>
        <v>3352.24</v>
      </c>
    </row>
    <row r="45" spans="2:6" x14ac:dyDescent="0.25">
      <c r="B45" s="48">
        <v>41778</v>
      </c>
      <c r="C45" s="36" t="s">
        <v>184</v>
      </c>
      <c r="D45" s="32"/>
      <c r="E45" s="38">
        <v>196.2</v>
      </c>
      <c r="F45" s="33">
        <f t="shared" si="1"/>
        <v>3156.04</v>
      </c>
    </row>
    <row r="46" spans="2:6" x14ac:dyDescent="0.25">
      <c r="B46" s="48">
        <v>41778</v>
      </c>
      <c r="C46" s="36" t="s">
        <v>185</v>
      </c>
      <c r="D46" s="32"/>
      <c r="E46" s="32">
        <v>1350</v>
      </c>
      <c r="F46" s="33">
        <f t="shared" si="1"/>
        <v>1806.04</v>
      </c>
    </row>
    <row r="47" spans="2:6" x14ac:dyDescent="0.25">
      <c r="B47" s="48">
        <v>41778</v>
      </c>
      <c r="C47" s="36" t="s">
        <v>186</v>
      </c>
      <c r="D47" s="32"/>
      <c r="E47" s="38">
        <v>1500</v>
      </c>
      <c r="F47" s="33">
        <f t="shared" si="1"/>
        <v>306.03999999999996</v>
      </c>
    </row>
    <row r="48" spans="2:6" x14ac:dyDescent="0.25">
      <c r="B48" s="48">
        <v>41779</v>
      </c>
      <c r="C48" s="36" t="s">
        <v>187</v>
      </c>
      <c r="D48" s="32"/>
      <c r="E48" s="38">
        <v>700</v>
      </c>
      <c r="F48" s="33">
        <f t="shared" si="1"/>
        <v>-393.96000000000004</v>
      </c>
    </row>
    <row r="49" spans="2:6" x14ac:dyDescent="0.25">
      <c r="B49" s="97">
        <v>41779</v>
      </c>
      <c r="C49" s="95" t="s">
        <v>475</v>
      </c>
      <c r="D49" s="96"/>
      <c r="E49" s="96">
        <v>1600</v>
      </c>
      <c r="F49" s="33">
        <f t="shared" si="1"/>
        <v>-1993.96</v>
      </c>
    </row>
    <row r="50" spans="2:6" x14ac:dyDescent="0.25">
      <c r="B50" s="48">
        <v>41780</v>
      </c>
      <c r="C50" s="36" t="s">
        <v>188</v>
      </c>
      <c r="D50" s="32"/>
      <c r="E50" s="32">
        <v>2000</v>
      </c>
      <c r="F50" s="33">
        <f t="shared" si="1"/>
        <v>-3993.96</v>
      </c>
    </row>
    <row r="51" spans="2:6" x14ac:dyDescent="0.25">
      <c r="B51" s="48">
        <v>41780</v>
      </c>
      <c r="C51" s="36" t="s">
        <v>189</v>
      </c>
      <c r="D51" s="32"/>
      <c r="E51" s="38">
        <v>90</v>
      </c>
      <c r="F51" s="33">
        <f t="shared" si="1"/>
        <v>-4083.96</v>
      </c>
    </row>
    <row r="52" spans="2:6" x14ac:dyDescent="0.25">
      <c r="B52" s="48">
        <v>41782</v>
      </c>
      <c r="C52" s="36" t="s">
        <v>115</v>
      </c>
      <c r="D52" s="32"/>
      <c r="E52" s="32">
        <v>400</v>
      </c>
      <c r="F52" s="33">
        <f t="shared" si="1"/>
        <v>-4483.96</v>
      </c>
    </row>
    <row r="53" spans="2:6" x14ac:dyDescent="0.25">
      <c r="B53" s="48">
        <v>41783</v>
      </c>
      <c r="C53" s="36" t="s">
        <v>190</v>
      </c>
      <c r="D53" s="32"/>
      <c r="E53" s="32">
        <v>153</v>
      </c>
      <c r="F53" s="33">
        <f t="shared" si="1"/>
        <v>-4636.96</v>
      </c>
    </row>
    <row r="54" spans="2:6" x14ac:dyDescent="0.25">
      <c r="B54" s="48">
        <v>41785</v>
      </c>
      <c r="C54" s="36" t="s">
        <v>49</v>
      </c>
      <c r="D54" s="32">
        <v>15000</v>
      </c>
      <c r="E54" s="32"/>
      <c r="F54" s="33">
        <f t="shared" si="1"/>
        <v>10363.040000000001</v>
      </c>
    </row>
    <row r="55" spans="2:6" x14ac:dyDescent="0.25">
      <c r="B55" s="48">
        <v>41785</v>
      </c>
      <c r="C55" s="36" t="s">
        <v>171</v>
      </c>
      <c r="D55" s="32"/>
      <c r="E55" s="32">
        <v>550</v>
      </c>
      <c r="F55" s="33">
        <f t="shared" si="1"/>
        <v>9813.0400000000009</v>
      </c>
    </row>
    <row r="56" spans="2:6" x14ac:dyDescent="0.25">
      <c r="B56" s="48">
        <v>41785</v>
      </c>
      <c r="C56" s="36" t="s">
        <v>191</v>
      </c>
      <c r="D56" s="32"/>
      <c r="E56" s="32">
        <v>570</v>
      </c>
      <c r="F56" s="33">
        <f t="shared" si="1"/>
        <v>9243.0400000000009</v>
      </c>
    </row>
    <row r="57" spans="2:6" x14ac:dyDescent="0.25">
      <c r="B57" s="48">
        <v>41786</v>
      </c>
      <c r="C57" s="36" t="s">
        <v>192</v>
      </c>
      <c r="D57" s="32"/>
      <c r="E57" s="32">
        <v>3320</v>
      </c>
      <c r="F57" s="33">
        <f t="shared" si="1"/>
        <v>5923.0400000000009</v>
      </c>
    </row>
    <row r="58" spans="2:6" x14ac:dyDescent="0.25">
      <c r="B58" s="48">
        <v>41787</v>
      </c>
      <c r="C58" s="36" t="s">
        <v>194</v>
      </c>
      <c r="D58" s="32"/>
      <c r="E58" s="32">
        <v>90</v>
      </c>
      <c r="F58" s="33">
        <f t="shared" si="1"/>
        <v>5833.0400000000009</v>
      </c>
    </row>
    <row r="59" spans="2:6" x14ac:dyDescent="0.25">
      <c r="B59" s="48">
        <v>41787</v>
      </c>
      <c r="C59" s="36" t="s">
        <v>195</v>
      </c>
      <c r="D59" s="32"/>
      <c r="E59" s="32">
        <v>108</v>
      </c>
      <c r="F59" s="33">
        <f t="shared" si="1"/>
        <v>5725.0400000000009</v>
      </c>
    </row>
    <row r="60" spans="2:6" x14ac:dyDescent="0.25">
      <c r="B60" s="48">
        <v>41788</v>
      </c>
      <c r="C60" s="36" t="s">
        <v>196</v>
      </c>
      <c r="D60" s="32"/>
      <c r="E60" s="32">
        <v>1200</v>
      </c>
      <c r="F60" s="33">
        <f t="shared" si="1"/>
        <v>4525.0400000000009</v>
      </c>
    </row>
    <row r="61" spans="2:6" x14ac:dyDescent="0.25">
      <c r="B61" s="48">
        <v>41789</v>
      </c>
      <c r="C61" s="37" t="s">
        <v>261</v>
      </c>
      <c r="D61" s="32"/>
      <c r="E61" s="32">
        <v>786</v>
      </c>
      <c r="F61" s="33">
        <f t="shared" si="1"/>
        <v>3739.0400000000009</v>
      </c>
    </row>
    <row r="62" spans="2:6" x14ac:dyDescent="0.25">
      <c r="B62" s="48">
        <v>41789</v>
      </c>
      <c r="C62" s="36" t="s">
        <v>115</v>
      </c>
      <c r="D62" s="32"/>
      <c r="E62" s="32">
        <v>400</v>
      </c>
      <c r="F62" s="33">
        <f t="shared" si="1"/>
        <v>3339.0400000000009</v>
      </c>
    </row>
    <row r="63" spans="2:6" x14ac:dyDescent="0.25">
      <c r="B63" s="48">
        <v>41789</v>
      </c>
      <c r="C63" s="36" t="s">
        <v>197</v>
      </c>
      <c r="D63" s="32"/>
      <c r="E63" s="32">
        <v>4560</v>
      </c>
      <c r="F63" s="33">
        <f t="shared" si="1"/>
        <v>-1220.9599999999991</v>
      </c>
    </row>
    <row r="64" spans="2:6" ht="15.75" thickBot="1" x14ac:dyDescent="0.3">
      <c r="B64" s="68">
        <v>41790</v>
      </c>
      <c r="C64" s="34" t="s">
        <v>198</v>
      </c>
      <c r="D64" s="47"/>
      <c r="E64" s="47">
        <v>3200</v>
      </c>
      <c r="F64" s="33">
        <f>+F63+D64-E64</f>
        <v>-4420.9599999999991</v>
      </c>
    </row>
    <row r="65" spans="2:6" ht="15.75" thickBot="1" x14ac:dyDescent="0.3">
      <c r="B65" s="86"/>
      <c r="C65" s="22" t="s">
        <v>1</v>
      </c>
      <c r="D65" s="21">
        <f>SUM(D5:D64)</f>
        <v>71000</v>
      </c>
      <c r="E65" s="21">
        <f>SUM(E5:E64)</f>
        <v>67586.11</v>
      </c>
      <c r="F65" s="50"/>
    </row>
    <row r="66" spans="2:6" x14ac:dyDescent="0.25">
      <c r="B66" s="55"/>
      <c r="C66" s="45" t="s">
        <v>150</v>
      </c>
      <c r="D66" s="52"/>
      <c r="E66" s="53"/>
      <c r="F66" s="49"/>
    </row>
    <row r="67" spans="2:6" x14ac:dyDescent="0.25">
      <c r="B67" s="48">
        <v>41774</v>
      </c>
      <c r="C67" s="54" t="s">
        <v>177</v>
      </c>
      <c r="D67" s="39">
        <v>27900</v>
      </c>
      <c r="E67" s="32">
        <v>27900</v>
      </c>
      <c r="F67" s="61"/>
    </row>
    <row r="68" spans="2:6" ht="15.75" thickBot="1" x14ac:dyDescent="0.3">
      <c r="B68" s="68">
        <v>41789</v>
      </c>
      <c r="C68" s="36" t="s">
        <v>193</v>
      </c>
      <c r="D68" s="32">
        <v>27900</v>
      </c>
      <c r="E68" s="32">
        <v>27900</v>
      </c>
      <c r="F68" s="33"/>
    </row>
    <row r="69" spans="2:6" ht="15.75" thickBot="1" x14ac:dyDescent="0.3">
      <c r="B69" s="72"/>
      <c r="C69" s="43"/>
      <c r="D69" s="74"/>
      <c r="E69" s="85">
        <f>SUM(E67:E68)</f>
        <v>55800</v>
      </c>
      <c r="F69" s="51"/>
    </row>
  </sheetData>
  <mergeCells count="1">
    <mergeCell ref="B2:F2"/>
  </mergeCells>
  <printOptions verticalCentered="1"/>
  <pageMargins left="0.70866141732283472" right="0.70866141732283472" top="0.74803149606299213" bottom="0.74803149606299213" header="0.31496062992125984" footer="0.31496062992125984"/>
  <pageSetup paperSize="9" scale="72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56"/>
  <sheetViews>
    <sheetView workbookViewId="0">
      <selection activeCell="C1" sqref="C1"/>
    </sheetView>
  </sheetViews>
  <sheetFormatPr baseColWidth="10" defaultRowHeight="15" x14ac:dyDescent="0.25"/>
  <cols>
    <col min="2" max="2" width="11.42578125" customWidth="1"/>
    <col min="3" max="3" width="64.140625" customWidth="1"/>
    <col min="4" max="4" width="13" customWidth="1"/>
  </cols>
  <sheetData>
    <row r="1" spans="2:6" x14ac:dyDescent="0.25">
      <c r="B1" s="79">
        <v>41820</v>
      </c>
    </row>
    <row r="2" spans="2:6" x14ac:dyDescent="0.25">
      <c r="B2" s="104" t="s">
        <v>229</v>
      </c>
      <c r="C2" s="104"/>
      <c r="D2" s="104"/>
      <c r="E2" s="104"/>
      <c r="F2" s="104"/>
    </row>
    <row r="3" spans="2:6" ht="15.75" thickBot="1" x14ac:dyDescent="0.3">
      <c r="C3" s="88"/>
      <c r="D3" s="88"/>
    </row>
    <row r="4" spans="2:6" ht="15.75" thickBot="1" x14ac:dyDescent="0.3">
      <c r="B4" s="11" t="s">
        <v>20</v>
      </c>
      <c r="C4" s="17" t="s">
        <v>21</v>
      </c>
      <c r="D4" s="11" t="s">
        <v>22</v>
      </c>
      <c r="E4" s="12" t="s">
        <v>24</v>
      </c>
      <c r="F4" s="13" t="s">
        <v>23</v>
      </c>
    </row>
    <row r="5" spans="2:6" x14ac:dyDescent="0.25">
      <c r="B5" s="55">
        <v>41790</v>
      </c>
      <c r="C5" s="26" t="s">
        <v>200</v>
      </c>
      <c r="D5" s="27"/>
      <c r="E5" s="28"/>
      <c r="F5" s="29">
        <v>-4420.96</v>
      </c>
    </row>
    <row r="6" spans="2:6" x14ac:dyDescent="0.25">
      <c r="B6" s="48">
        <v>41792</v>
      </c>
      <c r="C6" s="30" t="s">
        <v>201</v>
      </c>
      <c r="D6" s="31"/>
      <c r="E6" s="32">
        <v>250</v>
      </c>
      <c r="F6" s="33">
        <f>+F5+D6-E6</f>
        <v>-4670.96</v>
      </c>
    </row>
    <row r="7" spans="2:6" x14ac:dyDescent="0.25">
      <c r="B7" s="48">
        <v>41792</v>
      </c>
      <c r="C7" s="36" t="s">
        <v>202</v>
      </c>
      <c r="D7" s="32"/>
      <c r="E7" s="32">
        <v>50</v>
      </c>
      <c r="F7" s="33">
        <f t="shared" ref="F7:F55" si="0">+F6+D7-E7</f>
        <v>-4720.96</v>
      </c>
    </row>
    <row r="8" spans="2:6" x14ac:dyDescent="0.25">
      <c r="B8" s="48">
        <v>41792</v>
      </c>
      <c r="C8" s="36" t="s">
        <v>203</v>
      </c>
      <c r="D8" s="32"/>
      <c r="E8" s="32">
        <v>859.4</v>
      </c>
      <c r="F8" s="33">
        <f t="shared" si="0"/>
        <v>-5580.36</v>
      </c>
    </row>
    <row r="9" spans="2:6" x14ac:dyDescent="0.25">
      <c r="B9" s="48">
        <v>41792</v>
      </c>
      <c r="C9" s="36" t="s">
        <v>49</v>
      </c>
      <c r="D9" s="32">
        <v>10000</v>
      </c>
      <c r="E9" s="32"/>
      <c r="F9" s="33">
        <f t="shared" si="0"/>
        <v>4419.6400000000003</v>
      </c>
    </row>
    <row r="10" spans="2:6" x14ac:dyDescent="0.25">
      <c r="B10" s="48">
        <v>41793</v>
      </c>
      <c r="C10" s="36" t="s">
        <v>204</v>
      </c>
      <c r="D10" s="32"/>
      <c r="E10" s="32">
        <v>15</v>
      </c>
      <c r="F10" s="33">
        <f t="shared" si="0"/>
        <v>4404.6400000000003</v>
      </c>
    </row>
    <row r="11" spans="2:6" x14ac:dyDescent="0.25">
      <c r="B11" s="48">
        <v>41793</v>
      </c>
      <c r="C11" s="36" t="s">
        <v>205</v>
      </c>
      <c r="D11" s="32"/>
      <c r="E11" s="38">
        <v>580</v>
      </c>
      <c r="F11" s="33">
        <f t="shared" si="0"/>
        <v>3824.6400000000003</v>
      </c>
    </row>
    <row r="12" spans="2:6" x14ac:dyDescent="0.25">
      <c r="B12" s="48">
        <v>41793</v>
      </c>
      <c r="C12" s="37" t="s">
        <v>206</v>
      </c>
      <c r="D12" s="32"/>
      <c r="E12" s="38">
        <v>1072</v>
      </c>
      <c r="F12" s="33">
        <f t="shared" si="0"/>
        <v>2752.6400000000003</v>
      </c>
    </row>
    <row r="13" spans="2:6" x14ac:dyDescent="0.25">
      <c r="B13" s="48">
        <v>41793</v>
      </c>
      <c r="C13" s="36" t="s">
        <v>49</v>
      </c>
      <c r="D13" s="32">
        <v>32000</v>
      </c>
      <c r="E13" s="38"/>
      <c r="F13" s="33">
        <f t="shared" si="0"/>
        <v>34752.639999999999</v>
      </c>
    </row>
    <row r="14" spans="2:6" x14ac:dyDescent="0.25">
      <c r="B14" s="48">
        <v>41794</v>
      </c>
      <c r="C14" s="37" t="s">
        <v>207</v>
      </c>
      <c r="D14" s="32"/>
      <c r="E14" s="38">
        <v>450</v>
      </c>
      <c r="F14" s="33">
        <f t="shared" si="0"/>
        <v>34302.639999999999</v>
      </c>
    </row>
    <row r="15" spans="2:6" x14ac:dyDescent="0.25">
      <c r="B15" s="48">
        <v>41795</v>
      </c>
      <c r="C15" s="36" t="s">
        <v>208</v>
      </c>
      <c r="D15" s="32"/>
      <c r="E15" s="32">
        <v>60</v>
      </c>
      <c r="F15" s="33">
        <f t="shared" si="0"/>
        <v>34242.639999999999</v>
      </c>
    </row>
    <row r="16" spans="2:6" x14ac:dyDescent="0.25">
      <c r="B16" s="48">
        <v>41795</v>
      </c>
      <c r="C16" s="36" t="s">
        <v>209</v>
      </c>
      <c r="D16" s="32"/>
      <c r="E16" s="32">
        <v>3500</v>
      </c>
      <c r="F16" s="33">
        <f t="shared" si="0"/>
        <v>30742.639999999999</v>
      </c>
    </row>
    <row r="17" spans="2:7" x14ac:dyDescent="0.25">
      <c r="B17" s="48">
        <v>41796</v>
      </c>
      <c r="C17" s="36" t="s">
        <v>210</v>
      </c>
      <c r="D17" s="32"/>
      <c r="E17" s="32">
        <v>150</v>
      </c>
      <c r="F17" s="33">
        <f t="shared" si="0"/>
        <v>30592.639999999999</v>
      </c>
    </row>
    <row r="18" spans="2:7" x14ac:dyDescent="0.25">
      <c r="B18" s="48">
        <v>41796</v>
      </c>
      <c r="C18" s="36" t="s">
        <v>211</v>
      </c>
      <c r="D18" s="32"/>
      <c r="E18" s="32">
        <v>315</v>
      </c>
      <c r="F18" s="33">
        <f t="shared" si="0"/>
        <v>30277.64</v>
      </c>
    </row>
    <row r="19" spans="2:7" x14ac:dyDescent="0.25">
      <c r="B19" s="48">
        <v>41796</v>
      </c>
      <c r="C19" s="36" t="s">
        <v>212</v>
      </c>
      <c r="D19" s="32"/>
      <c r="E19" s="32">
        <v>400</v>
      </c>
      <c r="F19" s="33">
        <f t="shared" si="0"/>
        <v>29877.64</v>
      </c>
    </row>
    <row r="20" spans="2:7" x14ac:dyDescent="0.25">
      <c r="B20" s="48">
        <v>41799</v>
      </c>
      <c r="C20" s="36" t="s">
        <v>213</v>
      </c>
      <c r="D20" s="32"/>
      <c r="E20" s="32">
        <v>2086.3000000000002</v>
      </c>
      <c r="F20" s="33">
        <f t="shared" si="0"/>
        <v>27791.34</v>
      </c>
    </row>
    <row r="21" spans="2:7" x14ac:dyDescent="0.25">
      <c r="B21" s="48">
        <v>41800</v>
      </c>
      <c r="C21" s="37" t="s">
        <v>214</v>
      </c>
      <c r="D21" s="32"/>
      <c r="E21" s="38">
        <v>400</v>
      </c>
      <c r="F21" s="33">
        <f t="shared" si="0"/>
        <v>27391.34</v>
      </c>
    </row>
    <row r="22" spans="2:7" x14ac:dyDescent="0.25">
      <c r="B22" s="48">
        <v>41802</v>
      </c>
      <c r="C22" s="37" t="s">
        <v>215</v>
      </c>
      <c r="D22" s="32"/>
      <c r="E22" s="38">
        <v>120</v>
      </c>
      <c r="F22" s="33">
        <f t="shared" si="0"/>
        <v>27271.34</v>
      </c>
    </row>
    <row r="23" spans="2:7" x14ac:dyDescent="0.25">
      <c r="B23" s="48">
        <v>41802</v>
      </c>
      <c r="C23" s="37" t="s">
        <v>216</v>
      </c>
      <c r="D23" s="32"/>
      <c r="E23" s="38">
        <v>2083</v>
      </c>
      <c r="F23" s="33">
        <f t="shared" si="0"/>
        <v>25188.34</v>
      </c>
    </row>
    <row r="24" spans="2:7" x14ac:dyDescent="0.25">
      <c r="B24" s="48">
        <v>41803</v>
      </c>
      <c r="C24" s="54" t="s">
        <v>222</v>
      </c>
      <c r="D24" s="32"/>
      <c r="E24" s="38">
        <v>27900</v>
      </c>
      <c r="F24" s="33">
        <f t="shared" si="0"/>
        <v>-2711.66</v>
      </c>
    </row>
    <row r="25" spans="2:7" x14ac:dyDescent="0.25">
      <c r="B25" s="48">
        <v>41803</v>
      </c>
      <c r="C25" s="37" t="s">
        <v>217</v>
      </c>
      <c r="D25" s="32"/>
      <c r="E25" s="38">
        <v>700</v>
      </c>
      <c r="F25" s="33">
        <f t="shared" si="0"/>
        <v>-3411.66</v>
      </c>
    </row>
    <row r="26" spans="2:7" x14ac:dyDescent="0.25">
      <c r="B26" s="48">
        <v>41803</v>
      </c>
      <c r="C26" s="36" t="s">
        <v>218</v>
      </c>
      <c r="D26" s="32"/>
      <c r="E26" s="32">
        <v>800</v>
      </c>
      <c r="F26" s="33">
        <f t="shared" si="0"/>
        <v>-4211.66</v>
      </c>
    </row>
    <row r="27" spans="2:7" x14ac:dyDescent="0.25">
      <c r="B27" s="48">
        <v>41803</v>
      </c>
      <c r="C27" s="36" t="s">
        <v>212</v>
      </c>
      <c r="D27" s="32"/>
      <c r="E27" s="32">
        <v>400</v>
      </c>
      <c r="F27" s="33">
        <f t="shared" si="0"/>
        <v>-4611.66</v>
      </c>
    </row>
    <row r="28" spans="2:7" x14ac:dyDescent="0.25">
      <c r="B28" s="48">
        <v>41804</v>
      </c>
      <c r="C28" s="36" t="s">
        <v>219</v>
      </c>
      <c r="D28" s="32"/>
      <c r="E28" s="32">
        <v>50</v>
      </c>
      <c r="F28" s="33">
        <f t="shared" si="0"/>
        <v>-4661.66</v>
      </c>
    </row>
    <row r="29" spans="2:7" x14ac:dyDescent="0.25">
      <c r="B29" s="48">
        <v>41805</v>
      </c>
      <c r="C29" s="36" t="s">
        <v>49</v>
      </c>
      <c r="D29" s="32">
        <v>12900</v>
      </c>
      <c r="E29" s="32"/>
      <c r="F29" s="33">
        <f t="shared" si="0"/>
        <v>8238.34</v>
      </c>
      <c r="G29" s="1"/>
    </row>
    <row r="30" spans="2:7" x14ac:dyDescent="0.25">
      <c r="B30" s="48">
        <v>41805</v>
      </c>
      <c r="C30" s="36" t="s">
        <v>213</v>
      </c>
      <c r="D30" s="32"/>
      <c r="E30" s="32">
        <v>2628.8</v>
      </c>
      <c r="F30" s="33">
        <f t="shared" si="0"/>
        <v>5609.54</v>
      </c>
    </row>
    <row r="31" spans="2:7" x14ac:dyDescent="0.25">
      <c r="B31" s="48">
        <v>41805</v>
      </c>
      <c r="C31" s="36" t="s">
        <v>235</v>
      </c>
      <c r="D31" s="32"/>
      <c r="E31" s="32">
        <v>3200</v>
      </c>
      <c r="F31" s="33">
        <f t="shared" si="0"/>
        <v>2409.54</v>
      </c>
    </row>
    <row r="32" spans="2:7" x14ac:dyDescent="0.25">
      <c r="B32" s="48">
        <v>41806</v>
      </c>
      <c r="C32" s="36" t="s">
        <v>220</v>
      </c>
      <c r="D32" s="32"/>
      <c r="E32" s="32">
        <v>300</v>
      </c>
      <c r="F32" s="33">
        <f t="shared" si="0"/>
        <v>2109.54</v>
      </c>
    </row>
    <row r="33" spans="2:6" x14ac:dyDescent="0.25">
      <c r="B33" s="48">
        <v>41806</v>
      </c>
      <c r="C33" s="36" t="s">
        <v>221</v>
      </c>
      <c r="D33" s="32"/>
      <c r="E33" s="32">
        <v>300</v>
      </c>
      <c r="F33" s="33">
        <f t="shared" si="0"/>
        <v>1809.54</v>
      </c>
    </row>
    <row r="34" spans="2:6" x14ac:dyDescent="0.25">
      <c r="B34" s="48">
        <v>41808</v>
      </c>
      <c r="C34" s="36" t="s">
        <v>194</v>
      </c>
      <c r="D34" s="32"/>
      <c r="E34" s="32">
        <v>90</v>
      </c>
      <c r="F34" s="33">
        <f t="shared" si="0"/>
        <v>1719.54</v>
      </c>
    </row>
    <row r="35" spans="2:6" x14ac:dyDescent="0.25">
      <c r="B35" s="48">
        <v>41809</v>
      </c>
      <c r="C35" s="36" t="s">
        <v>485</v>
      </c>
      <c r="D35" s="32">
        <v>500</v>
      </c>
      <c r="E35" s="32"/>
      <c r="F35" s="33">
        <f t="shared" si="0"/>
        <v>2219.54</v>
      </c>
    </row>
    <row r="36" spans="2:6" x14ac:dyDescent="0.25">
      <c r="B36" s="48">
        <v>41809</v>
      </c>
      <c r="C36" s="36" t="s">
        <v>223</v>
      </c>
      <c r="D36" s="32"/>
      <c r="E36" s="32">
        <v>500</v>
      </c>
      <c r="F36" s="33">
        <f t="shared" si="0"/>
        <v>1719.54</v>
      </c>
    </row>
    <row r="37" spans="2:6" x14ac:dyDescent="0.25">
      <c r="B37" s="48">
        <v>41810</v>
      </c>
      <c r="C37" s="36" t="s">
        <v>49</v>
      </c>
      <c r="D37" s="32">
        <v>30000</v>
      </c>
      <c r="E37" s="32"/>
      <c r="F37" s="33">
        <f t="shared" si="0"/>
        <v>31719.54</v>
      </c>
    </row>
    <row r="38" spans="2:6" x14ac:dyDescent="0.25">
      <c r="B38" s="48">
        <v>41810</v>
      </c>
      <c r="C38" s="36" t="s">
        <v>224</v>
      </c>
      <c r="D38" s="32"/>
      <c r="E38" s="32">
        <v>1755</v>
      </c>
      <c r="F38" s="33">
        <f t="shared" si="0"/>
        <v>29964.54</v>
      </c>
    </row>
    <row r="39" spans="2:6" x14ac:dyDescent="0.25">
      <c r="B39" s="48">
        <v>41810</v>
      </c>
      <c r="C39" s="36" t="s">
        <v>225</v>
      </c>
      <c r="D39" s="32"/>
      <c r="E39" s="32">
        <v>150</v>
      </c>
      <c r="F39" s="33">
        <f t="shared" si="0"/>
        <v>29814.54</v>
      </c>
    </row>
    <row r="40" spans="2:6" x14ac:dyDescent="0.25">
      <c r="B40" s="48">
        <v>41810</v>
      </c>
      <c r="C40" s="36" t="s">
        <v>226</v>
      </c>
      <c r="D40" s="32"/>
      <c r="E40" s="32">
        <v>91</v>
      </c>
      <c r="F40" s="33">
        <f t="shared" si="0"/>
        <v>29723.54</v>
      </c>
    </row>
    <row r="41" spans="2:6" x14ac:dyDescent="0.25">
      <c r="B41" s="48">
        <v>41810</v>
      </c>
      <c r="C41" s="36" t="s">
        <v>212</v>
      </c>
      <c r="D41" s="32"/>
      <c r="E41" s="32">
        <v>400</v>
      </c>
      <c r="F41" s="33">
        <f t="shared" si="0"/>
        <v>29323.54</v>
      </c>
    </row>
    <row r="42" spans="2:6" x14ac:dyDescent="0.25">
      <c r="B42" s="48">
        <v>41810</v>
      </c>
      <c r="C42" s="36" t="s">
        <v>230</v>
      </c>
      <c r="D42" s="32"/>
      <c r="E42" s="32">
        <v>2038</v>
      </c>
      <c r="F42" s="33">
        <f t="shared" si="0"/>
        <v>27285.54</v>
      </c>
    </row>
    <row r="43" spans="2:6" x14ac:dyDescent="0.25">
      <c r="B43" s="48">
        <v>41811</v>
      </c>
      <c r="C43" s="36" t="s">
        <v>227</v>
      </c>
      <c r="D43" s="32"/>
      <c r="E43" s="32">
        <v>4000</v>
      </c>
      <c r="F43" s="33">
        <f t="shared" si="0"/>
        <v>23285.54</v>
      </c>
    </row>
    <row r="44" spans="2:6" x14ac:dyDescent="0.25">
      <c r="B44" s="48">
        <v>41812</v>
      </c>
      <c r="C44" s="36" t="s">
        <v>228</v>
      </c>
      <c r="D44" s="32"/>
      <c r="E44" s="32">
        <v>485</v>
      </c>
      <c r="F44" s="33">
        <f t="shared" si="0"/>
        <v>22800.54</v>
      </c>
    </row>
    <row r="45" spans="2:6" x14ac:dyDescent="0.25">
      <c r="B45" s="48">
        <v>41813</v>
      </c>
      <c r="C45" s="36" t="s">
        <v>49</v>
      </c>
      <c r="D45" s="32">
        <v>15000</v>
      </c>
      <c r="E45" s="32"/>
      <c r="F45" s="33">
        <f t="shared" si="0"/>
        <v>37800.54</v>
      </c>
    </row>
    <row r="46" spans="2:6" x14ac:dyDescent="0.25">
      <c r="B46" s="48">
        <v>41814</v>
      </c>
      <c r="C46" s="36" t="s">
        <v>311</v>
      </c>
      <c r="D46" s="32"/>
      <c r="E46" s="32">
        <v>1000</v>
      </c>
      <c r="F46" s="33">
        <f t="shared" si="0"/>
        <v>36800.54</v>
      </c>
    </row>
    <row r="47" spans="2:6" x14ac:dyDescent="0.25">
      <c r="B47" s="97">
        <v>41814</v>
      </c>
      <c r="C47" s="95" t="s">
        <v>476</v>
      </c>
      <c r="D47" s="96"/>
      <c r="E47" s="96">
        <v>1600</v>
      </c>
      <c r="F47" s="33">
        <f t="shared" si="0"/>
        <v>35200.54</v>
      </c>
    </row>
    <row r="48" spans="2:6" x14ac:dyDescent="0.25">
      <c r="B48" s="48">
        <v>41815</v>
      </c>
      <c r="C48" s="36" t="s">
        <v>231</v>
      </c>
      <c r="D48" s="32"/>
      <c r="E48" s="32">
        <v>2100</v>
      </c>
      <c r="F48" s="33">
        <f t="shared" si="0"/>
        <v>33100.54</v>
      </c>
    </row>
    <row r="49" spans="2:6" x14ac:dyDescent="0.25">
      <c r="B49" s="48">
        <v>41815</v>
      </c>
      <c r="C49" s="36" t="s">
        <v>232</v>
      </c>
      <c r="D49" s="32"/>
      <c r="E49" s="32">
        <v>1341.75</v>
      </c>
      <c r="F49" s="33">
        <f t="shared" si="0"/>
        <v>31758.79</v>
      </c>
    </row>
    <row r="50" spans="2:6" x14ac:dyDescent="0.25">
      <c r="B50" s="48">
        <v>41816</v>
      </c>
      <c r="C50" s="36" t="s">
        <v>194</v>
      </c>
      <c r="D50" s="32"/>
      <c r="E50" s="32">
        <v>90</v>
      </c>
      <c r="F50" s="33">
        <f t="shared" si="0"/>
        <v>31668.79</v>
      </c>
    </row>
    <row r="51" spans="2:6" x14ac:dyDescent="0.25">
      <c r="B51" s="48">
        <v>41817</v>
      </c>
      <c r="C51" s="36" t="s">
        <v>212</v>
      </c>
      <c r="D51" s="32"/>
      <c r="E51" s="32">
        <v>400</v>
      </c>
      <c r="F51" s="33">
        <f t="shared" si="0"/>
        <v>31268.79</v>
      </c>
    </row>
    <row r="52" spans="2:6" x14ac:dyDescent="0.25">
      <c r="B52" s="48">
        <v>41817</v>
      </c>
      <c r="C52" s="54" t="s">
        <v>233</v>
      </c>
      <c r="D52" s="47"/>
      <c r="E52" s="47">
        <v>27900</v>
      </c>
      <c r="F52" s="33">
        <f t="shared" si="0"/>
        <v>3368.7900000000009</v>
      </c>
    </row>
    <row r="53" spans="2:6" x14ac:dyDescent="0.25">
      <c r="B53" s="48">
        <v>41818</v>
      </c>
      <c r="C53" s="54" t="s">
        <v>237</v>
      </c>
      <c r="D53" s="47"/>
      <c r="E53" s="47">
        <v>140.5</v>
      </c>
      <c r="F53" s="33">
        <f t="shared" si="0"/>
        <v>3228.2900000000009</v>
      </c>
    </row>
    <row r="54" spans="2:6" x14ac:dyDescent="0.25">
      <c r="B54" s="48">
        <v>41820</v>
      </c>
      <c r="C54" s="36" t="s">
        <v>49</v>
      </c>
      <c r="D54" s="47">
        <v>25000</v>
      </c>
      <c r="E54" s="47"/>
      <c r="F54" s="33">
        <f t="shared" si="0"/>
        <v>28228.29</v>
      </c>
    </row>
    <row r="55" spans="2:6" ht="15.75" thickBot="1" x14ac:dyDescent="0.3">
      <c r="B55" s="48">
        <v>41820</v>
      </c>
      <c r="C55" s="36" t="s">
        <v>234</v>
      </c>
      <c r="D55" s="32"/>
      <c r="E55" s="32">
        <v>3200</v>
      </c>
      <c r="F55" s="33">
        <f t="shared" si="0"/>
        <v>25028.29</v>
      </c>
    </row>
    <row r="56" spans="2:6" ht="15.75" thickBot="1" x14ac:dyDescent="0.3">
      <c r="B56" s="86"/>
      <c r="C56" s="22" t="s">
        <v>1</v>
      </c>
      <c r="D56" s="21">
        <f>SUM(D5:D55)</f>
        <v>125400</v>
      </c>
      <c r="E56" s="21">
        <f>SUM(E5:E55)</f>
        <v>95950.75</v>
      </c>
      <c r="F56" s="50"/>
    </row>
  </sheetData>
  <mergeCells count="1">
    <mergeCell ref="B2:F2"/>
  </mergeCells>
  <printOptions verticalCentered="1"/>
  <pageMargins left="0.70866141732283472" right="0.70866141732283472" top="0.74803149606299213" bottom="0.74803149606299213" header="0.31496062992125984" footer="0.31496062992125984"/>
  <pageSetup paperSize="9" scale="78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62"/>
  <sheetViews>
    <sheetView workbookViewId="0">
      <selection activeCell="B2" sqref="B2:F2"/>
    </sheetView>
  </sheetViews>
  <sheetFormatPr baseColWidth="10" defaultRowHeight="15" x14ac:dyDescent="0.25"/>
  <cols>
    <col min="2" max="2" width="11.42578125" customWidth="1"/>
    <col min="3" max="3" width="64.140625" customWidth="1"/>
    <col min="4" max="4" width="13" customWidth="1"/>
  </cols>
  <sheetData>
    <row r="1" spans="2:6" x14ac:dyDescent="0.25">
      <c r="B1" s="79">
        <v>41851</v>
      </c>
    </row>
    <row r="2" spans="2:6" x14ac:dyDescent="0.25">
      <c r="B2" s="104" t="s">
        <v>236</v>
      </c>
      <c r="C2" s="104"/>
      <c r="D2" s="104"/>
      <c r="E2" s="104"/>
      <c r="F2" s="104"/>
    </row>
    <row r="3" spans="2:6" ht="15.75" thickBot="1" x14ac:dyDescent="0.3">
      <c r="C3" s="89"/>
      <c r="D3" s="89"/>
    </row>
    <row r="4" spans="2:6" ht="15.75" thickBot="1" x14ac:dyDescent="0.3">
      <c r="B4" s="11" t="s">
        <v>20</v>
      </c>
      <c r="C4" s="17" t="s">
        <v>21</v>
      </c>
      <c r="D4" s="11" t="s">
        <v>22</v>
      </c>
      <c r="E4" s="12" t="s">
        <v>24</v>
      </c>
      <c r="F4" s="13" t="s">
        <v>23</v>
      </c>
    </row>
    <row r="5" spans="2:6" x14ac:dyDescent="0.25">
      <c r="B5" s="55" t="s">
        <v>283</v>
      </c>
      <c r="C5" s="26" t="s">
        <v>238</v>
      </c>
      <c r="D5" s="27"/>
      <c r="E5" s="28"/>
      <c r="F5" s="29">
        <v>25028.29</v>
      </c>
    </row>
    <row r="6" spans="2:6" x14ac:dyDescent="0.25">
      <c r="B6" s="48">
        <v>41822</v>
      </c>
      <c r="C6" s="30" t="s">
        <v>71</v>
      </c>
      <c r="D6" s="31"/>
      <c r="E6" s="32">
        <v>90</v>
      </c>
      <c r="F6" s="33">
        <f>+F5+D6-E6</f>
        <v>24938.29</v>
      </c>
    </row>
    <row r="7" spans="2:6" x14ac:dyDescent="0.25">
      <c r="B7" s="48">
        <v>41822</v>
      </c>
      <c r="C7" s="36" t="s">
        <v>239</v>
      </c>
      <c r="D7" s="32"/>
      <c r="E7" s="32">
        <v>507</v>
      </c>
      <c r="F7" s="33">
        <f t="shared" ref="F7:F60" si="0">+F6+D7-E7</f>
        <v>24431.29</v>
      </c>
    </row>
    <row r="8" spans="2:6" x14ac:dyDescent="0.25">
      <c r="B8" s="48">
        <v>41822</v>
      </c>
      <c r="C8" s="36" t="s">
        <v>240</v>
      </c>
      <c r="D8" s="32"/>
      <c r="E8" s="32">
        <v>145</v>
      </c>
      <c r="F8" s="33">
        <f t="shared" si="0"/>
        <v>24286.29</v>
      </c>
    </row>
    <row r="9" spans="2:6" x14ac:dyDescent="0.25">
      <c r="B9" s="48">
        <v>41822</v>
      </c>
      <c r="C9" s="36" t="s">
        <v>241</v>
      </c>
      <c r="D9" s="32"/>
      <c r="E9" s="32">
        <v>4658</v>
      </c>
      <c r="F9" s="33">
        <f t="shared" si="0"/>
        <v>19628.29</v>
      </c>
    </row>
    <row r="10" spans="2:6" x14ac:dyDescent="0.25">
      <c r="B10" s="48">
        <v>41823</v>
      </c>
      <c r="C10" s="36" t="s">
        <v>281</v>
      </c>
      <c r="D10" s="32"/>
      <c r="E10" s="32">
        <v>6621.9</v>
      </c>
      <c r="F10" s="33">
        <f t="shared" si="0"/>
        <v>13006.390000000001</v>
      </c>
    </row>
    <row r="11" spans="2:6" x14ac:dyDescent="0.25">
      <c r="B11" s="48">
        <v>41823</v>
      </c>
      <c r="C11" s="36" t="s">
        <v>245</v>
      </c>
      <c r="D11" s="32"/>
      <c r="E11" s="32">
        <v>438.4</v>
      </c>
      <c r="F11" s="33">
        <f t="shared" si="0"/>
        <v>12567.990000000002</v>
      </c>
    </row>
    <row r="12" spans="2:6" x14ac:dyDescent="0.25">
      <c r="B12" s="48">
        <v>41824</v>
      </c>
      <c r="C12" s="36" t="s">
        <v>242</v>
      </c>
      <c r="D12" s="32"/>
      <c r="E12" s="32">
        <v>700</v>
      </c>
      <c r="F12" s="33">
        <f t="shared" si="0"/>
        <v>11867.990000000002</v>
      </c>
    </row>
    <row r="13" spans="2:6" x14ac:dyDescent="0.25">
      <c r="B13" s="48">
        <v>41824</v>
      </c>
      <c r="C13" s="37" t="s">
        <v>221</v>
      </c>
      <c r="D13" s="32"/>
      <c r="E13" s="32">
        <v>300</v>
      </c>
      <c r="F13" s="33">
        <f t="shared" si="0"/>
        <v>11567.990000000002</v>
      </c>
    </row>
    <row r="14" spans="2:6" x14ac:dyDescent="0.25">
      <c r="B14" s="48">
        <v>41824</v>
      </c>
      <c r="C14" s="36" t="s">
        <v>243</v>
      </c>
      <c r="D14" s="32"/>
      <c r="E14" s="32">
        <v>400</v>
      </c>
      <c r="F14" s="33">
        <f t="shared" si="0"/>
        <v>11167.990000000002</v>
      </c>
    </row>
    <row r="15" spans="2:6" x14ac:dyDescent="0.25">
      <c r="B15" s="48">
        <v>41824</v>
      </c>
      <c r="C15" s="37" t="s">
        <v>255</v>
      </c>
      <c r="D15" s="32"/>
      <c r="E15" s="32">
        <v>4500</v>
      </c>
      <c r="F15" s="33">
        <f t="shared" si="0"/>
        <v>6667.9900000000016</v>
      </c>
    </row>
    <row r="16" spans="2:6" x14ac:dyDescent="0.25">
      <c r="B16" s="48">
        <v>41824</v>
      </c>
      <c r="C16" s="36" t="s">
        <v>276</v>
      </c>
      <c r="D16" s="32"/>
      <c r="E16" s="32">
        <v>360</v>
      </c>
      <c r="F16" s="33">
        <f t="shared" si="0"/>
        <v>6307.9900000000016</v>
      </c>
    </row>
    <row r="17" spans="2:7" x14ac:dyDescent="0.25">
      <c r="B17" s="48">
        <v>41827</v>
      </c>
      <c r="C17" s="36" t="s">
        <v>244</v>
      </c>
      <c r="D17" s="32">
        <v>25000</v>
      </c>
      <c r="E17" s="32">
        <v>0</v>
      </c>
      <c r="F17" s="33">
        <f t="shared" si="0"/>
        <v>31307.99</v>
      </c>
    </row>
    <row r="18" spans="2:7" x14ac:dyDescent="0.25">
      <c r="B18" s="48">
        <v>41827</v>
      </c>
      <c r="C18" s="36" t="s">
        <v>246</v>
      </c>
      <c r="D18" s="32"/>
      <c r="E18" s="32">
        <v>149</v>
      </c>
      <c r="F18" s="33">
        <f t="shared" si="0"/>
        <v>31158.99</v>
      </c>
    </row>
    <row r="19" spans="2:7" x14ac:dyDescent="0.25">
      <c r="B19" s="48">
        <v>41828</v>
      </c>
      <c r="C19" s="36" t="s">
        <v>247</v>
      </c>
      <c r="D19" s="32"/>
      <c r="E19" s="32">
        <v>1210</v>
      </c>
      <c r="F19" s="33">
        <f t="shared" si="0"/>
        <v>29948.99</v>
      </c>
    </row>
    <row r="20" spans="2:7" x14ac:dyDescent="0.25">
      <c r="B20" s="48">
        <v>41829</v>
      </c>
      <c r="C20" s="36" t="s">
        <v>71</v>
      </c>
      <c r="D20" s="32"/>
      <c r="E20" s="32">
        <v>90</v>
      </c>
      <c r="F20" s="33">
        <f t="shared" si="0"/>
        <v>29858.99</v>
      </c>
    </row>
    <row r="21" spans="2:7" x14ac:dyDescent="0.25">
      <c r="B21" s="48">
        <v>41830</v>
      </c>
      <c r="C21" s="37" t="s">
        <v>248</v>
      </c>
      <c r="D21" s="32"/>
      <c r="E21" s="32">
        <v>108</v>
      </c>
      <c r="F21" s="33">
        <f t="shared" si="0"/>
        <v>29750.99</v>
      </c>
    </row>
    <row r="22" spans="2:7" x14ac:dyDescent="0.25">
      <c r="B22" s="48">
        <v>41830</v>
      </c>
      <c r="C22" s="37" t="s">
        <v>249</v>
      </c>
      <c r="D22" s="32"/>
      <c r="E22" s="32">
        <v>2469.08</v>
      </c>
      <c r="F22" s="33">
        <f t="shared" si="0"/>
        <v>27281.910000000003</v>
      </c>
    </row>
    <row r="23" spans="2:7" x14ac:dyDescent="0.25">
      <c r="B23" s="48">
        <v>41831</v>
      </c>
      <c r="C23" s="37" t="s">
        <v>250</v>
      </c>
      <c r="D23" s="32"/>
      <c r="E23" s="32">
        <v>700</v>
      </c>
      <c r="F23" s="33">
        <f t="shared" si="0"/>
        <v>26581.910000000003</v>
      </c>
    </row>
    <row r="24" spans="2:7" x14ac:dyDescent="0.25">
      <c r="B24" s="48">
        <v>41831</v>
      </c>
      <c r="C24" s="54" t="s">
        <v>243</v>
      </c>
      <c r="D24" s="32"/>
      <c r="E24" s="32">
        <v>400</v>
      </c>
      <c r="F24" s="33">
        <f t="shared" si="0"/>
        <v>26181.910000000003</v>
      </c>
    </row>
    <row r="25" spans="2:7" x14ac:dyDescent="0.25">
      <c r="B25" s="48">
        <v>41831</v>
      </c>
      <c r="C25" s="37" t="s">
        <v>277</v>
      </c>
      <c r="D25" s="32"/>
      <c r="E25" s="32">
        <v>3700</v>
      </c>
      <c r="F25" s="33">
        <f t="shared" si="0"/>
        <v>22481.910000000003</v>
      </c>
    </row>
    <row r="26" spans="2:7" x14ac:dyDescent="0.25">
      <c r="B26" s="48">
        <v>41831</v>
      </c>
      <c r="C26" s="36" t="s">
        <v>251</v>
      </c>
      <c r="D26" s="32"/>
      <c r="E26" s="32">
        <v>600</v>
      </c>
      <c r="F26" s="33">
        <f t="shared" si="0"/>
        <v>21881.910000000003</v>
      </c>
    </row>
    <row r="27" spans="2:7" x14ac:dyDescent="0.25">
      <c r="B27" s="48">
        <v>41834</v>
      </c>
      <c r="C27" s="36" t="s">
        <v>244</v>
      </c>
      <c r="D27" s="32">
        <v>5000</v>
      </c>
      <c r="E27" s="32">
        <v>0</v>
      </c>
      <c r="F27" s="33">
        <f t="shared" si="0"/>
        <v>26881.910000000003</v>
      </c>
    </row>
    <row r="28" spans="2:7" x14ac:dyDescent="0.25">
      <c r="B28" s="48">
        <v>41834</v>
      </c>
      <c r="C28" s="36" t="s">
        <v>278</v>
      </c>
      <c r="D28" s="32"/>
      <c r="E28" s="32">
        <v>400</v>
      </c>
      <c r="F28" s="33">
        <f t="shared" si="0"/>
        <v>26481.910000000003</v>
      </c>
    </row>
    <row r="29" spans="2:7" x14ac:dyDescent="0.25">
      <c r="B29" s="48">
        <v>41834</v>
      </c>
      <c r="C29" s="98" t="s">
        <v>252</v>
      </c>
      <c r="D29" s="32"/>
      <c r="E29" s="32">
        <v>786</v>
      </c>
      <c r="F29" s="33">
        <f t="shared" si="0"/>
        <v>25695.910000000003</v>
      </c>
      <c r="G29" s="1"/>
    </row>
    <row r="30" spans="2:7" x14ac:dyDescent="0.25">
      <c r="B30" s="48">
        <v>41835</v>
      </c>
      <c r="C30" s="36" t="s">
        <v>253</v>
      </c>
      <c r="D30" s="32"/>
      <c r="E30" s="32">
        <v>498.02</v>
      </c>
      <c r="F30" s="33">
        <f t="shared" si="0"/>
        <v>25197.890000000003</v>
      </c>
    </row>
    <row r="31" spans="2:7" x14ac:dyDescent="0.25">
      <c r="B31" s="48">
        <v>41835</v>
      </c>
      <c r="C31" s="54" t="s">
        <v>254</v>
      </c>
      <c r="D31" s="32"/>
      <c r="E31" s="32">
        <v>27900</v>
      </c>
      <c r="F31" s="33">
        <f t="shared" si="0"/>
        <v>-2702.1099999999969</v>
      </c>
    </row>
    <row r="32" spans="2:7" x14ac:dyDescent="0.25">
      <c r="B32" s="48">
        <v>41836</v>
      </c>
      <c r="C32" s="36" t="s">
        <v>274</v>
      </c>
      <c r="D32" s="32"/>
      <c r="E32" s="32">
        <v>3200</v>
      </c>
      <c r="F32" s="33">
        <f t="shared" si="0"/>
        <v>-5902.1099999999969</v>
      </c>
    </row>
    <row r="33" spans="2:6" x14ac:dyDescent="0.25">
      <c r="B33" s="48">
        <v>41836</v>
      </c>
      <c r="C33" s="36" t="s">
        <v>81</v>
      </c>
      <c r="D33" s="32"/>
      <c r="E33" s="32">
        <v>60</v>
      </c>
      <c r="F33" s="33">
        <f t="shared" si="0"/>
        <v>-5962.1099999999969</v>
      </c>
    </row>
    <row r="34" spans="2:6" x14ac:dyDescent="0.25">
      <c r="B34" s="48">
        <v>41838</v>
      </c>
      <c r="C34" s="36" t="s">
        <v>244</v>
      </c>
      <c r="D34" s="32">
        <v>21000</v>
      </c>
      <c r="E34" s="32">
        <v>0</v>
      </c>
      <c r="F34" s="33">
        <f t="shared" si="0"/>
        <v>15037.890000000003</v>
      </c>
    </row>
    <row r="35" spans="2:6" x14ac:dyDescent="0.25">
      <c r="B35" s="48">
        <v>41838</v>
      </c>
      <c r="C35" s="36" t="s">
        <v>256</v>
      </c>
      <c r="D35" s="32"/>
      <c r="E35" s="32">
        <v>66</v>
      </c>
      <c r="F35" s="33">
        <f t="shared" si="0"/>
        <v>14971.890000000003</v>
      </c>
    </row>
    <row r="36" spans="2:6" x14ac:dyDescent="0.25">
      <c r="B36" s="48">
        <v>41838</v>
      </c>
      <c r="C36" s="36" t="s">
        <v>243</v>
      </c>
      <c r="D36" s="32"/>
      <c r="E36" s="32">
        <v>400</v>
      </c>
      <c r="F36" s="33">
        <f t="shared" si="0"/>
        <v>14571.890000000003</v>
      </c>
    </row>
    <row r="37" spans="2:6" x14ac:dyDescent="0.25">
      <c r="B37" s="48">
        <v>41839</v>
      </c>
      <c r="C37" s="36" t="s">
        <v>221</v>
      </c>
      <c r="D37" s="32"/>
      <c r="E37" s="32">
        <v>300</v>
      </c>
      <c r="F37" s="33">
        <f t="shared" si="0"/>
        <v>14271.890000000003</v>
      </c>
    </row>
    <row r="38" spans="2:6" x14ac:dyDescent="0.25">
      <c r="B38" s="48">
        <v>41839</v>
      </c>
      <c r="C38" s="36" t="s">
        <v>257</v>
      </c>
      <c r="D38" s="32"/>
      <c r="E38" s="32">
        <v>300</v>
      </c>
      <c r="F38" s="33">
        <f t="shared" si="0"/>
        <v>13971.890000000003</v>
      </c>
    </row>
    <row r="39" spans="2:6" x14ac:dyDescent="0.25">
      <c r="B39" s="48">
        <v>41839</v>
      </c>
      <c r="C39" s="36" t="s">
        <v>262</v>
      </c>
      <c r="D39" s="32"/>
      <c r="E39" s="32">
        <v>800</v>
      </c>
      <c r="F39" s="33">
        <f t="shared" si="0"/>
        <v>13171.890000000003</v>
      </c>
    </row>
    <row r="40" spans="2:6" x14ac:dyDescent="0.25">
      <c r="B40" s="48">
        <v>41841</v>
      </c>
      <c r="C40" s="36" t="s">
        <v>244</v>
      </c>
      <c r="D40" s="32">
        <v>20000</v>
      </c>
      <c r="E40" s="32">
        <v>0</v>
      </c>
      <c r="F40" s="33">
        <f t="shared" si="0"/>
        <v>33171.89</v>
      </c>
    </row>
    <row r="41" spans="2:6" x14ac:dyDescent="0.25">
      <c r="B41" s="48">
        <v>41841</v>
      </c>
      <c r="C41" s="36" t="s">
        <v>81</v>
      </c>
      <c r="D41" s="32"/>
      <c r="E41" s="32">
        <v>60</v>
      </c>
      <c r="F41" s="33">
        <f t="shared" si="0"/>
        <v>33111.89</v>
      </c>
    </row>
    <row r="42" spans="2:6" x14ac:dyDescent="0.25">
      <c r="B42" s="97">
        <v>41841</v>
      </c>
      <c r="C42" s="95" t="s">
        <v>478</v>
      </c>
      <c r="D42" s="96"/>
      <c r="E42" s="96">
        <v>1600</v>
      </c>
      <c r="F42" s="33">
        <f t="shared" si="0"/>
        <v>31511.89</v>
      </c>
    </row>
    <row r="43" spans="2:6" x14ac:dyDescent="0.25">
      <c r="B43" s="48">
        <v>41841</v>
      </c>
      <c r="C43" s="36" t="s">
        <v>263</v>
      </c>
      <c r="D43" s="32"/>
      <c r="E43" s="32">
        <v>600</v>
      </c>
      <c r="F43" s="33">
        <f t="shared" si="0"/>
        <v>30911.89</v>
      </c>
    </row>
    <row r="44" spans="2:6" x14ac:dyDescent="0.25">
      <c r="B44" s="48">
        <v>41841</v>
      </c>
      <c r="C44" s="36" t="s">
        <v>264</v>
      </c>
      <c r="D44" s="32"/>
      <c r="E44" s="32">
        <v>1439</v>
      </c>
      <c r="F44" s="33">
        <f t="shared" si="0"/>
        <v>29472.89</v>
      </c>
    </row>
    <row r="45" spans="2:6" x14ac:dyDescent="0.25">
      <c r="B45" s="48">
        <v>41842</v>
      </c>
      <c r="C45" s="36" t="s">
        <v>275</v>
      </c>
      <c r="D45" s="32"/>
      <c r="E45" s="32">
        <v>700</v>
      </c>
      <c r="F45" s="33">
        <f t="shared" si="0"/>
        <v>28772.89</v>
      </c>
    </row>
    <row r="46" spans="2:6" x14ac:dyDescent="0.25">
      <c r="B46" s="48">
        <v>41845</v>
      </c>
      <c r="C46" s="36" t="s">
        <v>279</v>
      </c>
      <c r="D46" s="32"/>
      <c r="E46" s="32">
        <v>647.30999999999995</v>
      </c>
      <c r="F46" s="33">
        <f t="shared" si="0"/>
        <v>28125.579999999998</v>
      </c>
    </row>
    <row r="47" spans="2:6" x14ac:dyDescent="0.25">
      <c r="B47" s="48">
        <v>41845</v>
      </c>
      <c r="C47" s="36" t="s">
        <v>243</v>
      </c>
      <c r="D47" s="32"/>
      <c r="E47" s="32">
        <v>400</v>
      </c>
      <c r="F47" s="33">
        <f t="shared" si="0"/>
        <v>27725.579999999998</v>
      </c>
    </row>
    <row r="48" spans="2:6" x14ac:dyDescent="0.25">
      <c r="B48" s="48">
        <v>41846</v>
      </c>
      <c r="C48" s="36" t="s">
        <v>477</v>
      </c>
      <c r="D48" s="32"/>
      <c r="E48" s="32">
        <v>700</v>
      </c>
      <c r="F48" s="33">
        <f t="shared" si="0"/>
        <v>27025.579999999998</v>
      </c>
    </row>
    <row r="49" spans="2:6" x14ac:dyDescent="0.25">
      <c r="B49" s="48">
        <v>41846</v>
      </c>
      <c r="C49" s="36" t="s">
        <v>265</v>
      </c>
      <c r="D49" s="32"/>
      <c r="E49" s="32">
        <v>500</v>
      </c>
      <c r="F49" s="33">
        <f t="shared" si="0"/>
        <v>26525.579999999998</v>
      </c>
    </row>
    <row r="50" spans="2:6" x14ac:dyDescent="0.25">
      <c r="B50" s="48">
        <v>41848</v>
      </c>
      <c r="C50" s="36" t="s">
        <v>266</v>
      </c>
      <c r="D50" s="32"/>
      <c r="E50" s="32">
        <v>90</v>
      </c>
      <c r="F50" s="33">
        <f t="shared" si="0"/>
        <v>26435.579999999998</v>
      </c>
    </row>
    <row r="51" spans="2:6" x14ac:dyDescent="0.25">
      <c r="B51" s="48">
        <v>41848</v>
      </c>
      <c r="C51" s="36" t="s">
        <v>244</v>
      </c>
      <c r="D51" s="32">
        <v>20000</v>
      </c>
      <c r="E51" s="32">
        <v>0</v>
      </c>
      <c r="F51" s="33">
        <f t="shared" si="0"/>
        <v>46435.58</v>
      </c>
    </row>
    <row r="52" spans="2:6" x14ac:dyDescent="0.25">
      <c r="B52" s="48">
        <v>41849</v>
      </c>
      <c r="C52" s="36" t="s">
        <v>267</v>
      </c>
      <c r="D52" s="32"/>
      <c r="E52" s="32">
        <v>500</v>
      </c>
      <c r="F52" s="33">
        <f t="shared" si="0"/>
        <v>45935.58</v>
      </c>
    </row>
    <row r="53" spans="2:6" x14ac:dyDescent="0.25">
      <c r="B53" s="48">
        <v>41850</v>
      </c>
      <c r="C53" s="98" t="s">
        <v>268</v>
      </c>
      <c r="D53" s="32"/>
      <c r="E53" s="32">
        <v>895</v>
      </c>
      <c r="F53" s="33">
        <f t="shared" si="0"/>
        <v>45040.58</v>
      </c>
    </row>
    <row r="54" spans="2:6" x14ac:dyDescent="0.25">
      <c r="B54" s="48">
        <v>41850</v>
      </c>
      <c r="C54" s="36" t="s">
        <v>269</v>
      </c>
      <c r="D54" s="32"/>
      <c r="E54" s="32">
        <v>2500</v>
      </c>
      <c r="F54" s="33">
        <f t="shared" si="0"/>
        <v>42540.58</v>
      </c>
    </row>
    <row r="55" spans="2:6" x14ac:dyDescent="0.25">
      <c r="B55" s="48">
        <v>41851</v>
      </c>
      <c r="C55" s="36" t="s">
        <v>270</v>
      </c>
      <c r="D55" s="32"/>
      <c r="E55" s="32">
        <v>45</v>
      </c>
      <c r="F55" s="33">
        <f t="shared" si="0"/>
        <v>42495.58</v>
      </c>
    </row>
    <row r="56" spans="2:6" x14ac:dyDescent="0.25">
      <c r="B56" s="48">
        <v>41851</v>
      </c>
      <c r="C56" s="36" t="s">
        <v>280</v>
      </c>
      <c r="D56" s="32"/>
      <c r="E56" s="32">
        <v>5519.98</v>
      </c>
      <c r="F56" s="33">
        <f t="shared" si="0"/>
        <v>36975.600000000006</v>
      </c>
    </row>
    <row r="57" spans="2:6" x14ac:dyDescent="0.25">
      <c r="B57" s="48">
        <v>41851</v>
      </c>
      <c r="C57" s="36" t="s">
        <v>271</v>
      </c>
      <c r="D57" s="32"/>
      <c r="E57" s="32">
        <v>3779.98</v>
      </c>
      <c r="F57" s="33">
        <f t="shared" si="0"/>
        <v>33195.620000000003</v>
      </c>
    </row>
    <row r="58" spans="2:6" x14ac:dyDescent="0.25">
      <c r="B58" s="48">
        <v>41851</v>
      </c>
      <c r="C58" s="54" t="s">
        <v>272</v>
      </c>
      <c r="D58" s="32"/>
      <c r="E58" s="32">
        <v>27900</v>
      </c>
      <c r="F58" s="33">
        <f t="shared" si="0"/>
        <v>5295.6200000000026</v>
      </c>
    </row>
    <row r="59" spans="2:6" x14ac:dyDescent="0.25">
      <c r="B59" s="48">
        <v>41851</v>
      </c>
      <c r="C59" s="36" t="s">
        <v>273</v>
      </c>
      <c r="D59" s="32"/>
      <c r="E59" s="32">
        <v>3200</v>
      </c>
      <c r="F59" s="33">
        <f t="shared" si="0"/>
        <v>2095.6200000000026</v>
      </c>
    </row>
    <row r="60" spans="2:6" x14ac:dyDescent="0.25">
      <c r="B60" s="48">
        <v>41851</v>
      </c>
      <c r="C60" s="36" t="s">
        <v>282</v>
      </c>
      <c r="D60" s="32"/>
      <c r="E60" s="32">
        <v>4600</v>
      </c>
      <c r="F60" s="33">
        <f t="shared" si="0"/>
        <v>-2504.3799999999974</v>
      </c>
    </row>
    <row r="61" spans="2:6" ht="15.75" thickBot="1" x14ac:dyDescent="0.3">
      <c r="B61" s="48">
        <v>41851</v>
      </c>
      <c r="C61" s="36" t="s">
        <v>312</v>
      </c>
      <c r="D61" s="32"/>
      <c r="E61" s="32">
        <v>1000</v>
      </c>
      <c r="F61" s="33">
        <f t="shared" ref="F61" si="1">+F60+D61-E61</f>
        <v>-3504.3799999999974</v>
      </c>
    </row>
    <row r="62" spans="2:6" ht="15.75" thickBot="1" x14ac:dyDescent="0.3">
      <c r="B62" s="86"/>
      <c r="C62" s="22" t="s">
        <v>1</v>
      </c>
      <c r="D62" s="21">
        <f>SUM(D5:D60)</f>
        <v>91000</v>
      </c>
      <c r="E62" s="21">
        <f>SUM(E6:E61)</f>
        <v>119532.66999999998</v>
      </c>
      <c r="F62" s="50"/>
    </row>
  </sheetData>
  <mergeCells count="1">
    <mergeCell ref="B2:F2"/>
  </mergeCells>
  <printOptions verticalCentered="1"/>
  <pageMargins left="0.70866141732283472" right="0.70866141732283472" top="0.74803149606299213" bottom="0.74803149606299213" header="0.31496062992125984" footer="0.31496062992125984"/>
  <pageSetup paperSize="9" scale="78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53"/>
  <sheetViews>
    <sheetView workbookViewId="0">
      <selection activeCell="F1" sqref="F1"/>
    </sheetView>
  </sheetViews>
  <sheetFormatPr baseColWidth="10" defaultRowHeight="15" x14ac:dyDescent="0.25"/>
  <cols>
    <col min="2" max="2" width="11.42578125" customWidth="1"/>
    <col min="3" max="3" width="64.140625" customWidth="1"/>
    <col min="4" max="4" width="13" customWidth="1"/>
  </cols>
  <sheetData>
    <row r="1" spans="2:6" x14ac:dyDescent="0.25">
      <c r="B1" s="79">
        <v>41882</v>
      </c>
    </row>
    <row r="2" spans="2:6" x14ac:dyDescent="0.25">
      <c r="B2" s="104" t="s">
        <v>323</v>
      </c>
      <c r="C2" s="104"/>
      <c r="D2" s="104"/>
      <c r="E2" s="104"/>
      <c r="F2" s="104"/>
    </row>
    <row r="3" spans="2:6" ht="15.75" thickBot="1" x14ac:dyDescent="0.3">
      <c r="C3" s="90"/>
      <c r="D3" s="90"/>
    </row>
    <row r="4" spans="2:6" ht="15.75" thickBot="1" x14ac:dyDescent="0.3">
      <c r="B4" s="11" t="s">
        <v>20</v>
      </c>
      <c r="C4" s="17" t="s">
        <v>21</v>
      </c>
      <c r="D4" s="11" t="s">
        <v>22</v>
      </c>
      <c r="E4" s="12" t="s">
        <v>24</v>
      </c>
      <c r="F4" s="13" t="s">
        <v>23</v>
      </c>
    </row>
    <row r="5" spans="2:6" x14ac:dyDescent="0.25">
      <c r="B5" s="55">
        <v>41851</v>
      </c>
      <c r="C5" s="26" t="s">
        <v>284</v>
      </c>
      <c r="D5" s="27"/>
      <c r="E5" s="28"/>
      <c r="F5" s="29">
        <v>-3504.38</v>
      </c>
    </row>
    <row r="6" spans="2:6" x14ac:dyDescent="0.25">
      <c r="B6" s="48">
        <v>41852</v>
      </c>
      <c r="C6" s="36" t="s">
        <v>244</v>
      </c>
      <c r="D6" s="32">
        <v>3000</v>
      </c>
      <c r="E6" s="32"/>
      <c r="F6" s="33">
        <f t="shared" ref="F6:F52" si="0">+F5+D6-E6</f>
        <v>-504.38000000000011</v>
      </c>
    </row>
    <row r="7" spans="2:6" x14ac:dyDescent="0.25">
      <c r="B7" s="48">
        <v>41852</v>
      </c>
      <c r="C7" s="30" t="s">
        <v>285</v>
      </c>
      <c r="D7" s="31"/>
      <c r="E7" s="32">
        <v>5700</v>
      </c>
      <c r="F7" s="33">
        <f t="shared" si="0"/>
        <v>-6204.38</v>
      </c>
    </row>
    <row r="8" spans="2:6" x14ac:dyDescent="0.25">
      <c r="B8" s="48">
        <v>41852</v>
      </c>
      <c r="C8" s="36" t="s">
        <v>212</v>
      </c>
      <c r="D8" s="32"/>
      <c r="E8" s="32">
        <v>400</v>
      </c>
      <c r="F8" s="33">
        <f t="shared" si="0"/>
        <v>-6604.38</v>
      </c>
    </row>
    <row r="9" spans="2:6" x14ac:dyDescent="0.25">
      <c r="B9" s="48">
        <v>41854</v>
      </c>
      <c r="C9" s="36" t="s">
        <v>244</v>
      </c>
      <c r="D9" s="32">
        <v>32000</v>
      </c>
      <c r="E9" s="32"/>
      <c r="F9" s="33">
        <f t="shared" si="0"/>
        <v>25395.62</v>
      </c>
    </row>
    <row r="10" spans="2:6" x14ac:dyDescent="0.25">
      <c r="B10" s="48">
        <v>41855</v>
      </c>
      <c r="C10" s="36" t="s">
        <v>286</v>
      </c>
      <c r="D10" s="32"/>
      <c r="E10" s="32">
        <v>120</v>
      </c>
      <c r="F10" s="33">
        <f t="shared" si="0"/>
        <v>25275.62</v>
      </c>
    </row>
    <row r="11" spans="2:6" x14ac:dyDescent="0.25">
      <c r="B11" s="48">
        <v>41855</v>
      </c>
      <c r="C11" s="36" t="s">
        <v>287</v>
      </c>
      <c r="D11" s="32"/>
      <c r="E11" s="32">
        <v>300</v>
      </c>
      <c r="F11" s="33">
        <f t="shared" si="0"/>
        <v>24975.62</v>
      </c>
    </row>
    <row r="12" spans="2:6" x14ac:dyDescent="0.25">
      <c r="B12" s="48">
        <v>41856</v>
      </c>
      <c r="C12" s="36" t="s">
        <v>288</v>
      </c>
      <c r="D12" s="32"/>
      <c r="E12" s="32">
        <v>1200</v>
      </c>
      <c r="F12" s="33">
        <f t="shared" si="0"/>
        <v>23775.62</v>
      </c>
    </row>
    <row r="13" spans="2:6" x14ac:dyDescent="0.25">
      <c r="B13" s="48">
        <v>41856</v>
      </c>
      <c r="C13" s="36" t="s">
        <v>289</v>
      </c>
      <c r="D13" s="32"/>
      <c r="E13" s="32">
        <v>16</v>
      </c>
      <c r="F13" s="33">
        <f t="shared" si="0"/>
        <v>23759.62</v>
      </c>
    </row>
    <row r="14" spans="2:6" x14ac:dyDescent="0.25">
      <c r="B14" s="48">
        <v>41857</v>
      </c>
      <c r="C14" s="37" t="s">
        <v>290</v>
      </c>
      <c r="D14" s="32"/>
      <c r="E14" s="32">
        <v>96</v>
      </c>
      <c r="F14" s="33">
        <f t="shared" si="0"/>
        <v>23663.62</v>
      </c>
    </row>
    <row r="15" spans="2:6" x14ac:dyDescent="0.25">
      <c r="B15" s="48">
        <v>41857</v>
      </c>
      <c r="C15" s="36" t="s">
        <v>291</v>
      </c>
      <c r="D15" s="32"/>
      <c r="E15" s="32">
        <v>200</v>
      </c>
      <c r="F15" s="33">
        <f t="shared" si="0"/>
        <v>23463.62</v>
      </c>
    </row>
    <row r="16" spans="2:6" x14ac:dyDescent="0.25">
      <c r="B16" s="48">
        <v>41857</v>
      </c>
      <c r="C16" s="37" t="s">
        <v>292</v>
      </c>
      <c r="D16" s="32"/>
      <c r="E16" s="32">
        <v>3600</v>
      </c>
      <c r="F16" s="33">
        <f t="shared" si="0"/>
        <v>19863.62</v>
      </c>
    </row>
    <row r="17" spans="2:7" x14ac:dyDescent="0.25">
      <c r="B17" s="48">
        <v>41858</v>
      </c>
      <c r="C17" s="36" t="s">
        <v>293</v>
      </c>
      <c r="D17" s="32"/>
      <c r="E17" s="32">
        <v>490</v>
      </c>
      <c r="F17" s="33">
        <f t="shared" si="0"/>
        <v>19373.62</v>
      </c>
    </row>
    <row r="18" spans="2:7" x14ac:dyDescent="0.25">
      <c r="B18" s="48">
        <v>41859</v>
      </c>
      <c r="C18" s="36" t="s">
        <v>294</v>
      </c>
      <c r="D18" s="32"/>
      <c r="E18" s="32">
        <v>270</v>
      </c>
      <c r="F18" s="33">
        <f t="shared" si="0"/>
        <v>19103.62</v>
      </c>
    </row>
    <row r="19" spans="2:7" x14ac:dyDescent="0.25">
      <c r="B19" s="48">
        <v>41859</v>
      </c>
      <c r="C19" s="36" t="s">
        <v>295</v>
      </c>
      <c r="D19" s="32"/>
      <c r="E19" s="32">
        <v>46.5</v>
      </c>
      <c r="F19" s="33">
        <f t="shared" si="0"/>
        <v>19057.12</v>
      </c>
    </row>
    <row r="20" spans="2:7" x14ac:dyDescent="0.25">
      <c r="B20" s="48">
        <v>41859</v>
      </c>
      <c r="C20" s="36" t="s">
        <v>212</v>
      </c>
      <c r="D20" s="32"/>
      <c r="E20" s="32">
        <v>400</v>
      </c>
      <c r="F20" s="33">
        <f t="shared" si="0"/>
        <v>18657.12</v>
      </c>
    </row>
    <row r="21" spans="2:7" x14ac:dyDescent="0.25">
      <c r="B21" s="48">
        <v>41862</v>
      </c>
      <c r="C21" s="36" t="s">
        <v>296</v>
      </c>
      <c r="D21" s="32"/>
      <c r="E21" s="32">
        <v>90</v>
      </c>
      <c r="F21" s="33">
        <f t="shared" si="0"/>
        <v>18567.12</v>
      </c>
    </row>
    <row r="22" spans="2:7" x14ac:dyDescent="0.25">
      <c r="B22" s="48">
        <v>41863</v>
      </c>
      <c r="C22" s="36" t="s">
        <v>244</v>
      </c>
      <c r="D22" s="32">
        <v>16000</v>
      </c>
      <c r="E22" s="32"/>
      <c r="F22" s="33">
        <f t="shared" si="0"/>
        <v>34567.119999999995</v>
      </c>
    </row>
    <row r="23" spans="2:7" x14ac:dyDescent="0.25">
      <c r="B23" s="48">
        <v>41864</v>
      </c>
      <c r="C23" s="37" t="s">
        <v>297</v>
      </c>
      <c r="D23" s="32"/>
      <c r="E23" s="32">
        <v>5000</v>
      </c>
      <c r="F23" s="33">
        <f t="shared" si="0"/>
        <v>29567.119999999995</v>
      </c>
    </row>
    <row r="24" spans="2:7" x14ac:dyDescent="0.25">
      <c r="B24" s="48">
        <v>41864</v>
      </c>
      <c r="C24" s="37" t="s">
        <v>298</v>
      </c>
      <c r="D24" s="32"/>
      <c r="E24" s="32">
        <v>400</v>
      </c>
      <c r="F24" s="33">
        <f t="shared" si="0"/>
        <v>29167.119999999995</v>
      </c>
    </row>
    <row r="25" spans="2:7" x14ac:dyDescent="0.25">
      <c r="B25" s="48">
        <v>41864</v>
      </c>
      <c r="C25" s="37" t="s">
        <v>308</v>
      </c>
      <c r="D25" s="32"/>
      <c r="E25" s="32">
        <v>2597.9899999999998</v>
      </c>
      <c r="F25" s="33">
        <f t="shared" si="0"/>
        <v>26569.129999999997</v>
      </c>
    </row>
    <row r="26" spans="2:7" x14ac:dyDescent="0.25">
      <c r="B26" s="48">
        <v>41865</v>
      </c>
      <c r="C26" s="37" t="s">
        <v>299</v>
      </c>
      <c r="D26" s="32"/>
      <c r="E26" s="32">
        <v>250</v>
      </c>
      <c r="F26" s="33">
        <f t="shared" si="0"/>
        <v>26319.129999999997</v>
      </c>
    </row>
    <row r="27" spans="2:7" x14ac:dyDescent="0.25">
      <c r="B27" s="48">
        <v>41865</v>
      </c>
      <c r="C27" s="54" t="s">
        <v>300</v>
      </c>
      <c r="D27" s="32"/>
      <c r="E27" s="32">
        <v>497.23</v>
      </c>
      <c r="F27" s="33">
        <f t="shared" si="0"/>
        <v>25821.899999999998</v>
      </c>
    </row>
    <row r="28" spans="2:7" x14ac:dyDescent="0.25">
      <c r="B28" s="48">
        <v>41866</v>
      </c>
      <c r="C28" s="36" t="s">
        <v>313</v>
      </c>
      <c r="D28" s="32"/>
      <c r="E28" s="32">
        <v>1000</v>
      </c>
      <c r="F28" s="33">
        <f t="shared" si="0"/>
        <v>24821.899999999998</v>
      </c>
    </row>
    <row r="29" spans="2:7" x14ac:dyDescent="0.25">
      <c r="B29" s="97">
        <v>41866</v>
      </c>
      <c r="C29" s="95" t="s">
        <v>479</v>
      </c>
      <c r="D29" s="96"/>
      <c r="E29" s="96">
        <v>1600</v>
      </c>
      <c r="F29" s="33">
        <f t="shared" si="0"/>
        <v>23221.899999999998</v>
      </c>
      <c r="G29" s="1"/>
    </row>
    <row r="30" spans="2:7" x14ac:dyDescent="0.25">
      <c r="B30" s="48">
        <v>41866</v>
      </c>
      <c r="C30" s="36" t="s">
        <v>212</v>
      </c>
      <c r="D30" s="32"/>
      <c r="E30" s="32">
        <v>400</v>
      </c>
      <c r="F30" s="33">
        <f t="shared" si="0"/>
        <v>22821.899999999998</v>
      </c>
    </row>
    <row r="31" spans="2:7" x14ac:dyDescent="0.25">
      <c r="B31" s="48">
        <v>41866</v>
      </c>
      <c r="C31" s="36" t="s">
        <v>301</v>
      </c>
      <c r="D31" s="32"/>
      <c r="E31" s="32">
        <v>3200</v>
      </c>
      <c r="F31" s="33">
        <f t="shared" si="0"/>
        <v>19621.899999999998</v>
      </c>
    </row>
    <row r="32" spans="2:7" x14ac:dyDescent="0.25">
      <c r="B32" s="48">
        <v>41866</v>
      </c>
      <c r="C32" s="54" t="s">
        <v>302</v>
      </c>
      <c r="D32" s="32"/>
      <c r="E32" s="32">
        <v>27900</v>
      </c>
      <c r="F32" s="33">
        <f t="shared" si="0"/>
        <v>-8278.1000000000022</v>
      </c>
    </row>
    <row r="33" spans="2:6" x14ac:dyDescent="0.25">
      <c r="B33" s="48">
        <v>41866</v>
      </c>
      <c r="C33" s="36" t="s">
        <v>303</v>
      </c>
      <c r="D33" s="32"/>
      <c r="E33" s="32">
        <v>1050</v>
      </c>
      <c r="F33" s="33">
        <f t="shared" si="0"/>
        <v>-9328.1000000000022</v>
      </c>
    </row>
    <row r="34" spans="2:6" x14ac:dyDescent="0.25">
      <c r="B34" s="48">
        <v>41867</v>
      </c>
      <c r="C34" s="36" t="s">
        <v>304</v>
      </c>
      <c r="D34" s="32"/>
      <c r="E34" s="32">
        <v>182</v>
      </c>
      <c r="F34" s="33">
        <f t="shared" si="0"/>
        <v>-9510.1000000000022</v>
      </c>
    </row>
    <row r="35" spans="2:6" x14ac:dyDescent="0.25">
      <c r="B35" s="48">
        <v>41868</v>
      </c>
      <c r="C35" s="36" t="s">
        <v>244</v>
      </c>
      <c r="D35" s="32">
        <v>22000</v>
      </c>
      <c r="E35" s="32"/>
      <c r="F35" s="33">
        <f t="shared" si="0"/>
        <v>12489.899999999998</v>
      </c>
    </row>
    <row r="36" spans="2:6" x14ac:dyDescent="0.25">
      <c r="B36" s="48">
        <v>41869</v>
      </c>
      <c r="C36" s="36" t="s">
        <v>303</v>
      </c>
      <c r="D36" s="32"/>
      <c r="E36" s="32">
        <v>350</v>
      </c>
      <c r="F36" s="33">
        <f t="shared" si="0"/>
        <v>12139.899999999998</v>
      </c>
    </row>
    <row r="37" spans="2:6" x14ac:dyDescent="0.25">
      <c r="B37" s="48">
        <v>41869</v>
      </c>
      <c r="C37" s="36" t="s">
        <v>305</v>
      </c>
      <c r="D37" s="32"/>
      <c r="E37" s="32">
        <v>90</v>
      </c>
      <c r="F37" s="33">
        <f t="shared" si="0"/>
        <v>12049.899999999998</v>
      </c>
    </row>
    <row r="38" spans="2:6" x14ac:dyDescent="0.25">
      <c r="B38" s="48">
        <v>41871</v>
      </c>
      <c r="C38" s="36" t="s">
        <v>306</v>
      </c>
      <c r="D38" s="32"/>
      <c r="E38" s="32">
        <v>426.88</v>
      </c>
      <c r="F38" s="33">
        <f>+F37+D38-E38</f>
        <v>11623.019999999999</v>
      </c>
    </row>
    <row r="39" spans="2:6" x14ac:dyDescent="0.25">
      <c r="B39" s="48">
        <v>41873</v>
      </c>
      <c r="C39" s="36" t="s">
        <v>307</v>
      </c>
      <c r="D39" s="32"/>
      <c r="E39" s="32">
        <v>60</v>
      </c>
      <c r="F39" s="33">
        <f t="shared" si="0"/>
        <v>11563.019999999999</v>
      </c>
    </row>
    <row r="40" spans="2:6" x14ac:dyDescent="0.25">
      <c r="B40" s="48">
        <v>41873</v>
      </c>
      <c r="C40" s="36" t="s">
        <v>212</v>
      </c>
      <c r="D40" s="32"/>
      <c r="E40" s="32">
        <v>400</v>
      </c>
      <c r="F40" s="33">
        <f t="shared" si="0"/>
        <v>11163.019999999999</v>
      </c>
    </row>
    <row r="41" spans="2:6" x14ac:dyDescent="0.25">
      <c r="B41" s="48">
        <v>41873</v>
      </c>
      <c r="C41" s="36" t="s">
        <v>315</v>
      </c>
      <c r="D41" s="32"/>
      <c r="E41" s="32">
        <v>2000</v>
      </c>
      <c r="F41" s="33">
        <f t="shared" si="0"/>
        <v>9163.0199999999986</v>
      </c>
    </row>
    <row r="42" spans="2:6" x14ac:dyDescent="0.25">
      <c r="B42" s="48">
        <v>41875</v>
      </c>
      <c r="C42" s="36" t="s">
        <v>244</v>
      </c>
      <c r="D42" s="32">
        <v>20000</v>
      </c>
      <c r="E42" s="32"/>
      <c r="F42" s="33">
        <f t="shared" si="0"/>
        <v>29163.019999999997</v>
      </c>
    </row>
    <row r="43" spans="2:6" x14ac:dyDescent="0.25">
      <c r="B43" s="48">
        <v>41877</v>
      </c>
      <c r="C43" s="36" t="s">
        <v>316</v>
      </c>
      <c r="D43" s="32"/>
      <c r="E43" s="32">
        <v>300</v>
      </c>
      <c r="F43" s="33">
        <f t="shared" si="0"/>
        <v>28863.019999999997</v>
      </c>
    </row>
    <row r="44" spans="2:6" x14ac:dyDescent="0.25">
      <c r="B44" s="48">
        <v>41878</v>
      </c>
      <c r="C44" s="36" t="s">
        <v>317</v>
      </c>
      <c r="D44" s="32"/>
      <c r="E44" s="32">
        <v>60</v>
      </c>
      <c r="F44" s="33">
        <f t="shared" si="0"/>
        <v>28803.019999999997</v>
      </c>
    </row>
    <row r="45" spans="2:6" x14ac:dyDescent="0.25">
      <c r="B45" s="48">
        <v>41879</v>
      </c>
      <c r="C45" s="36" t="s">
        <v>318</v>
      </c>
      <c r="D45" s="32"/>
      <c r="E45" s="32">
        <v>300</v>
      </c>
      <c r="F45" s="33">
        <f t="shared" si="0"/>
        <v>28503.019999999997</v>
      </c>
    </row>
    <row r="46" spans="2:6" x14ac:dyDescent="0.25">
      <c r="B46" s="48">
        <v>41879</v>
      </c>
      <c r="C46" s="36" t="s">
        <v>319</v>
      </c>
      <c r="D46" s="32"/>
      <c r="E46" s="32">
        <v>474.7</v>
      </c>
      <c r="F46" s="33">
        <f t="shared" si="0"/>
        <v>28028.319999999996</v>
      </c>
    </row>
    <row r="47" spans="2:6" x14ac:dyDescent="0.25">
      <c r="B47" s="48">
        <v>41879</v>
      </c>
      <c r="C47" s="36" t="s">
        <v>320</v>
      </c>
      <c r="D47" s="32"/>
      <c r="E47" s="32">
        <v>8335.89</v>
      </c>
      <c r="F47" s="33">
        <f t="shared" si="0"/>
        <v>19692.429999999997</v>
      </c>
    </row>
    <row r="48" spans="2:6" x14ac:dyDescent="0.25">
      <c r="B48" s="48">
        <v>41880</v>
      </c>
      <c r="C48" s="36" t="s">
        <v>319</v>
      </c>
      <c r="D48" s="32"/>
      <c r="E48" s="32">
        <v>905</v>
      </c>
      <c r="F48" s="33">
        <f t="shared" si="0"/>
        <v>18787.429999999997</v>
      </c>
    </row>
    <row r="49" spans="2:6" x14ac:dyDescent="0.25">
      <c r="B49" s="48">
        <v>41880</v>
      </c>
      <c r="C49" s="36" t="s">
        <v>212</v>
      </c>
      <c r="D49" s="32"/>
      <c r="E49" s="32">
        <v>400</v>
      </c>
      <c r="F49" s="33">
        <f t="shared" si="0"/>
        <v>18387.429999999997</v>
      </c>
    </row>
    <row r="50" spans="2:6" x14ac:dyDescent="0.25">
      <c r="B50" s="48">
        <v>41882</v>
      </c>
      <c r="C50" s="54" t="s">
        <v>321</v>
      </c>
      <c r="D50" s="32"/>
      <c r="E50" s="32">
        <v>27900</v>
      </c>
      <c r="F50" s="33">
        <f t="shared" si="0"/>
        <v>-9512.5700000000033</v>
      </c>
    </row>
    <row r="51" spans="2:6" x14ac:dyDescent="0.25">
      <c r="B51" s="48">
        <v>41882</v>
      </c>
      <c r="C51" s="36" t="s">
        <v>322</v>
      </c>
      <c r="D51" s="32"/>
      <c r="E51" s="32">
        <v>3200</v>
      </c>
      <c r="F51" s="33">
        <f t="shared" si="0"/>
        <v>-12712.570000000003</v>
      </c>
    </row>
    <row r="52" spans="2:6" ht="15.75" thickBot="1" x14ac:dyDescent="0.3">
      <c r="B52" s="48">
        <v>41882</v>
      </c>
      <c r="C52" s="36" t="s">
        <v>244</v>
      </c>
      <c r="D52" s="32">
        <v>16000</v>
      </c>
      <c r="E52" s="32"/>
      <c r="F52" s="33">
        <f t="shared" si="0"/>
        <v>3287.4299999999967</v>
      </c>
    </row>
    <row r="53" spans="2:6" ht="15.75" thickBot="1" x14ac:dyDescent="0.3">
      <c r="B53" s="86"/>
      <c r="C53" s="22" t="s">
        <v>1</v>
      </c>
      <c r="D53" s="21">
        <f>SUM(D5:D52)</f>
        <v>109000</v>
      </c>
      <c r="E53" s="21">
        <f>SUM(E5:E52)</f>
        <v>102208.19</v>
      </c>
      <c r="F53" s="50"/>
    </row>
  </sheetData>
  <mergeCells count="1">
    <mergeCell ref="B2:F2"/>
  </mergeCells>
  <printOptions verticalCentered="1"/>
  <pageMargins left="0.70866141732283472" right="0.70866141732283472" top="0.74803149606299213" bottom="0.74803149606299213" header="0.31496062992125984" footer="0.31496062992125984"/>
  <pageSetup paperSize="9" scale="78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57"/>
  <sheetViews>
    <sheetView workbookViewId="0">
      <selection activeCell="E1" sqref="E1"/>
    </sheetView>
  </sheetViews>
  <sheetFormatPr baseColWidth="10" defaultRowHeight="15" x14ac:dyDescent="0.25"/>
  <cols>
    <col min="2" max="2" width="11.42578125" customWidth="1"/>
    <col min="3" max="3" width="64.140625" customWidth="1"/>
    <col min="4" max="4" width="13" customWidth="1"/>
  </cols>
  <sheetData>
    <row r="1" spans="2:6" x14ac:dyDescent="0.25">
      <c r="B1" s="79">
        <v>41912</v>
      </c>
    </row>
    <row r="2" spans="2:6" x14ac:dyDescent="0.25">
      <c r="B2" s="104" t="s">
        <v>362</v>
      </c>
      <c r="C2" s="104"/>
      <c r="D2" s="104"/>
      <c r="E2" s="104"/>
      <c r="F2" s="104"/>
    </row>
    <row r="3" spans="2:6" ht="15.75" thickBot="1" x14ac:dyDescent="0.3">
      <c r="C3" s="91"/>
      <c r="D3" s="91"/>
    </row>
    <row r="4" spans="2:6" ht="15.75" thickBot="1" x14ac:dyDescent="0.3">
      <c r="B4" s="11" t="s">
        <v>20</v>
      </c>
      <c r="C4" s="17" t="s">
        <v>21</v>
      </c>
      <c r="D4" s="11" t="s">
        <v>22</v>
      </c>
      <c r="E4" s="12" t="s">
        <v>24</v>
      </c>
      <c r="F4" s="13" t="s">
        <v>23</v>
      </c>
    </row>
    <row r="5" spans="2:6" x14ac:dyDescent="0.25">
      <c r="B5" s="55">
        <v>41882</v>
      </c>
      <c r="C5" s="26" t="s">
        <v>324</v>
      </c>
      <c r="D5" s="27"/>
      <c r="E5" s="28"/>
      <c r="F5" s="29">
        <v>3287.43</v>
      </c>
    </row>
    <row r="6" spans="2:6" x14ac:dyDescent="0.25">
      <c r="B6" s="48">
        <v>41883</v>
      </c>
      <c r="C6" s="36" t="s">
        <v>350</v>
      </c>
      <c r="D6" s="32"/>
      <c r="E6" s="32">
        <v>3132</v>
      </c>
      <c r="F6" s="33">
        <f t="shared" ref="F6:F56" si="0">+F5+D6-E6</f>
        <v>155.42999999999984</v>
      </c>
    </row>
    <row r="7" spans="2:6" x14ac:dyDescent="0.25">
      <c r="B7" s="48">
        <v>41883</v>
      </c>
      <c r="C7" s="36" t="s">
        <v>328</v>
      </c>
      <c r="D7" s="32"/>
      <c r="E7" s="32">
        <v>60</v>
      </c>
      <c r="F7" s="33">
        <f t="shared" si="0"/>
        <v>95.429999999999836</v>
      </c>
    </row>
    <row r="8" spans="2:6" x14ac:dyDescent="0.25">
      <c r="B8" s="48">
        <v>41883</v>
      </c>
      <c r="C8" s="30" t="s">
        <v>325</v>
      </c>
      <c r="D8" s="31"/>
      <c r="E8" s="32">
        <v>24.9</v>
      </c>
      <c r="F8" s="33">
        <f t="shared" si="0"/>
        <v>70.529999999999831</v>
      </c>
    </row>
    <row r="9" spans="2:6" x14ac:dyDescent="0.25">
      <c r="B9" s="48">
        <v>41885</v>
      </c>
      <c r="C9" s="36" t="s">
        <v>326</v>
      </c>
      <c r="D9" s="32"/>
      <c r="E9" s="32">
        <v>300</v>
      </c>
      <c r="F9" s="33">
        <f t="shared" si="0"/>
        <v>-229.47000000000017</v>
      </c>
    </row>
    <row r="10" spans="2:6" x14ac:dyDescent="0.25">
      <c r="B10" s="48">
        <v>41885</v>
      </c>
      <c r="C10" s="36" t="s">
        <v>327</v>
      </c>
      <c r="D10" s="32"/>
      <c r="E10" s="32">
        <v>250</v>
      </c>
      <c r="F10" s="33">
        <f t="shared" si="0"/>
        <v>-479.47000000000014</v>
      </c>
    </row>
    <row r="11" spans="2:6" x14ac:dyDescent="0.25">
      <c r="B11" s="48">
        <v>41885</v>
      </c>
      <c r="C11" s="36" t="s">
        <v>328</v>
      </c>
      <c r="D11" s="32"/>
      <c r="E11" s="32">
        <v>60</v>
      </c>
      <c r="F11" s="33">
        <f t="shared" si="0"/>
        <v>-539.47000000000014</v>
      </c>
    </row>
    <row r="12" spans="2:6" x14ac:dyDescent="0.25">
      <c r="B12" s="48">
        <v>41886</v>
      </c>
      <c r="C12" s="36" t="s">
        <v>329</v>
      </c>
      <c r="D12" s="32"/>
      <c r="E12" s="32">
        <v>150</v>
      </c>
      <c r="F12" s="33">
        <f t="shared" si="0"/>
        <v>-689.47000000000014</v>
      </c>
    </row>
    <row r="13" spans="2:6" x14ac:dyDescent="0.25">
      <c r="B13" s="48">
        <v>41886</v>
      </c>
      <c r="C13" s="36" t="s">
        <v>330</v>
      </c>
      <c r="D13" s="32"/>
      <c r="E13" s="32">
        <v>1800</v>
      </c>
      <c r="F13" s="33">
        <f t="shared" si="0"/>
        <v>-2489.4700000000003</v>
      </c>
    </row>
    <row r="14" spans="2:6" x14ac:dyDescent="0.25">
      <c r="B14" s="48">
        <v>41887</v>
      </c>
      <c r="C14" s="36" t="s">
        <v>212</v>
      </c>
      <c r="D14" s="32"/>
      <c r="E14" s="32">
        <v>400</v>
      </c>
      <c r="F14" s="33">
        <f t="shared" si="0"/>
        <v>-2889.4700000000003</v>
      </c>
    </row>
    <row r="15" spans="2:6" x14ac:dyDescent="0.25">
      <c r="B15" s="48">
        <v>41889</v>
      </c>
      <c r="C15" s="36" t="s">
        <v>331</v>
      </c>
      <c r="D15" s="32"/>
      <c r="E15" s="32">
        <v>560</v>
      </c>
      <c r="F15" s="33">
        <f t="shared" si="0"/>
        <v>-3449.4700000000003</v>
      </c>
    </row>
    <row r="16" spans="2:6" x14ac:dyDescent="0.25">
      <c r="B16" s="48">
        <v>41890</v>
      </c>
      <c r="C16" s="37" t="s">
        <v>49</v>
      </c>
      <c r="D16" s="32">
        <v>25000</v>
      </c>
      <c r="E16" s="32"/>
      <c r="F16" s="33">
        <f t="shared" si="0"/>
        <v>21550.53</v>
      </c>
    </row>
    <row r="17" spans="2:7" x14ac:dyDescent="0.25">
      <c r="B17" s="48">
        <v>41891</v>
      </c>
      <c r="C17" s="36" t="s">
        <v>332</v>
      </c>
      <c r="D17" s="32"/>
      <c r="E17" s="32">
        <v>206.5</v>
      </c>
      <c r="F17" s="33">
        <f t="shared" si="0"/>
        <v>21344.03</v>
      </c>
    </row>
    <row r="18" spans="2:7" x14ac:dyDescent="0.25">
      <c r="B18" s="48">
        <v>41891</v>
      </c>
      <c r="C18" s="98" t="s">
        <v>469</v>
      </c>
      <c r="D18" s="32"/>
      <c r="E18" s="32">
        <v>940</v>
      </c>
      <c r="F18" s="33">
        <f t="shared" si="0"/>
        <v>20404.03</v>
      </c>
    </row>
    <row r="19" spans="2:7" x14ac:dyDescent="0.25">
      <c r="B19" s="48">
        <v>41892</v>
      </c>
      <c r="C19" s="36" t="s">
        <v>333</v>
      </c>
      <c r="D19" s="32"/>
      <c r="E19" s="32">
        <v>90</v>
      </c>
      <c r="F19" s="33">
        <f t="shared" si="0"/>
        <v>20314.03</v>
      </c>
    </row>
    <row r="20" spans="2:7" x14ac:dyDescent="0.25">
      <c r="B20" s="48">
        <v>41892</v>
      </c>
      <c r="C20" s="36" t="s">
        <v>334</v>
      </c>
      <c r="D20" s="32"/>
      <c r="E20" s="32">
        <v>346</v>
      </c>
      <c r="F20" s="33">
        <f t="shared" si="0"/>
        <v>19968.03</v>
      </c>
    </row>
    <row r="21" spans="2:7" x14ac:dyDescent="0.25">
      <c r="B21" s="48">
        <v>41894</v>
      </c>
      <c r="C21" s="36" t="s">
        <v>335</v>
      </c>
      <c r="D21" s="32"/>
      <c r="E21" s="32">
        <v>80</v>
      </c>
      <c r="F21" s="33">
        <f t="shared" si="0"/>
        <v>19888.03</v>
      </c>
    </row>
    <row r="22" spans="2:7" x14ac:dyDescent="0.25">
      <c r="B22" s="48">
        <v>41894</v>
      </c>
      <c r="C22" s="36" t="s">
        <v>336</v>
      </c>
      <c r="D22" s="32"/>
      <c r="E22" s="32">
        <v>600</v>
      </c>
      <c r="F22" s="33">
        <f t="shared" si="0"/>
        <v>19288.03</v>
      </c>
    </row>
    <row r="23" spans="2:7" x14ac:dyDescent="0.25">
      <c r="B23" s="48">
        <v>41895</v>
      </c>
      <c r="C23" s="37" t="s">
        <v>337</v>
      </c>
      <c r="D23" s="32"/>
      <c r="E23" s="32">
        <v>42</v>
      </c>
      <c r="F23" s="33">
        <f t="shared" si="0"/>
        <v>19246.03</v>
      </c>
    </row>
    <row r="24" spans="2:7" x14ac:dyDescent="0.25">
      <c r="B24" s="48">
        <v>41895</v>
      </c>
      <c r="C24" s="37" t="s">
        <v>338</v>
      </c>
      <c r="D24" s="32"/>
      <c r="E24" s="32">
        <v>225</v>
      </c>
      <c r="F24" s="33">
        <f t="shared" si="0"/>
        <v>19021.03</v>
      </c>
    </row>
    <row r="25" spans="2:7" x14ac:dyDescent="0.25">
      <c r="B25" s="48">
        <v>41895</v>
      </c>
      <c r="C25" s="36" t="s">
        <v>212</v>
      </c>
      <c r="D25" s="32"/>
      <c r="E25" s="32">
        <v>500</v>
      </c>
      <c r="F25" s="33">
        <f t="shared" si="0"/>
        <v>18521.03</v>
      </c>
    </row>
    <row r="26" spans="2:7" x14ac:dyDescent="0.25">
      <c r="B26" s="48">
        <v>41896</v>
      </c>
      <c r="C26" s="37" t="s">
        <v>339</v>
      </c>
      <c r="D26" s="32"/>
      <c r="E26" s="32">
        <v>400</v>
      </c>
      <c r="F26" s="33">
        <f t="shared" si="0"/>
        <v>18121.03</v>
      </c>
    </row>
    <row r="27" spans="2:7" x14ac:dyDescent="0.25">
      <c r="B27" s="48">
        <v>41896</v>
      </c>
      <c r="C27" s="37" t="s">
        <v>340</v>
      </c>
      <c r="D27" s="32"/>
      <c r="E27" s="32">
        <v>400</v>
      </c>
      <c r="F27" s="33">
        <f t="shared" si="0"/>
        <v>17721.03</v>
      </c>
    </row>
    <row r="28" spans="2:7" x14ac:dyDescent="0.25">
      <c r="B28" s="48">
        <v>41897</v>
      </c>
      <c r="C28" s="54" t="s">
        <v>49</v>
      </c>
      <c r="D28" s="32">
        <v>24000</v>
      </c>
      <c r="E28" s="32"/>
      <c r="F28" s="33">
        <f t="shared" si="0"/>
        <v>41721.03</v>
      </c>
    </row>
    <row r="29" spans="2:7" x14ac:dyDescent="0.25">
      <c r="B29" s="48">
        <v>41897</v>
      </c>
      <c r="C29" s="36" t="s">
        <v>341</v>
      </c>
      <c r="D29" s="32"/>
      <c r="E29" s="32">
        <v>500</v>
      </c>
      <c r="F29" s="33">
        <f t="shared" si="0"/>
        <v>41221.03</v>
      </c>
      <c r="G29" s="1"/>
    </row>
    <row r="30" spans="2:7" x14ac:dyDescent="0.25">
      <c r="B30" s="48">
        <v>41897</v>
      </c>
      <c r="C30" s="36" t="s">
        <v>342</v>
      </c>
      <c r="D30" s="32"/>
      <c r="E30" s="32">
        <v>3200</v>
      </c>
      <c r="F30" s="33">
        <f t="shared" si="0"/>
        <v>38021.03</v>
      </c>
    </row>
    <row r="31" spans="2:7" x14ac:dyDescent="0.25">
      <c r="B31" s="48">
        <v>41897</v>
      </c>
      <c r="C31" s="36" t="s">
        <v>343</v>
      </c>
      <c r="D31" s="32"/>
      <c r="E31" s="32">
        <v>27900</v>
      </c>
      <c r="F31" s="33">
        <f t="shared" si="0"/>
        <v>10121.029999999999</v>
      </c>
    </row>
    <row r="32" spans="2:7" x14ac:dyDescent="0.25">
      <c r="B32" s="48">
        <v>41898</v>
      </c>
      <c r="C32" s="36" t="s">
        <v>344</v>
      </c>
      <c r="D32" s="32"/>
      <c r="E32" s="32">
        <v>400</v>
      </c>
      <c r="F32" s="33">
        <f t="shared" si="0"/>
        <v>9721.0299999999988</v>
      </c>
    </row>
    <row r="33" spans="2:6" x14ac:dyDescent="0.25">
      <c r="B33" s="48">
        <v>41898</v>
      </c>
      <c r="C33" s="54" t="s">
        <v>345</v>
      </c>
      <c r="D33" s="32"/>
      <c r="E33" s="32">
        <v>5500</v>
      </c>
      <c r="F33" s="33">
        <f t="shared" si="0"/>
        <v>4221.0299999999988</v>
      </c>
    </row>
    <row r="34" spans="2:6" x14ac:dyDescent="0.25">
      <c r="B34" s="48">
        <v>41899</v>
      </c>
      <c r="C34" s="30" t="s">
        <v>110</v>
      </c>
      <c r="D34" s="32"/>
      <c r="E34" s="32">
        <v>5000</v>
      </c>
      <c r="F34" s="33">
        <f t="shared" si="0"/>
        <v>-778.97000000000116</v>
      </c>
    </row>
    <row r="35" spans="2:6" x14ac:dyDescent="0.25">
      <c r="B35" s="48">
        <v>41899</v>
      </c>
      <c r="C35" s="36" t="s">
        <v>346</v>
      </c>
      <c r="D35" s="32"/>
      <c r="E35" s="32">
        <v>60</v>
      </c>
      <c r="F35" s="33">
        <f t="shared" si="0"/>
        <v>-838.97000000000116</v>
      </c>
    </row>
    <row r="36" spans="2:6" x14ac:dyDescent="0.25">
      <c r="B36" s="48">
        <v>41899</v>
      </c>
      <c r="C36" s="36" t="s">
        <v>347</v>
      </c>
      <c r="D36" s="32"/>
      <c r="E36" s="32">
        <v>4000</v>
      </c>
      <c r="F36" s="33">
        <f t="shared" si="0"/>
        <v>-4838.9700000000012</v>
      </c>
    </row>
    <row r="37" spans="2:6" x14ac:dyDescent="0.25">
      <c r="B37" s="97">
        <v>41899</v>
      </c>
      <c r="C37" s="95" t="s">
        <v>480</v>
      </c>
      <c r="D37" s="96"/>
      <c r="E37" s="96">
        <v>1600</v>
      </c>
      <c r="F37" s="33">
        <f t="shared" si="0"/>
        <v>-6438.9700000000012</v>
      </c>
    </row>
    <row r="38" spans="2:6" x14ac:dyDescent="0.25">
      <c r="B38" s="48">
        <v>41900</v>
      </c>
      <c r="C38" s="36" t="s">
        <v>348</v>
      </c>
      <c r="D38" s="32">
        <v>15000</v>
      </c>
      <c r="E38" s="32"/>
      <c r="F38" s="33">
        <f t="shared" si="0"/>
        <v>8561.0299999999988</v>
      </c>
    </row>
    <row r="39" spans="2:6" x14ac:dyDescent="0.25">
      <c r="B39" s="48">
        <v>41900</v>
      </c>
      <c r="C39" s="36" t="s">
        <v>351</v>
      </c>
      <c r="D39" s="32"/>
      <c r="E39" s="32">
        <v>750</v>
      </c>
      <c r="F39" s="33">
        <f t="shared" si="0"/>
        <v>7811.0299999999988</v>
      </c>
    </row>
    <row r="40" spans="2:6" x14ac:dyDescent="0.25">
      <c r="B40" s="48">
        <v>41901</v>
      </c>
      <c r="C40" s="36" t="s">
        <v>346</v>
      </c>
      <c r="D40" s="32"/>
      <c r="E40" s="32">
        <v>60</v>
      </c>
      <c r="F40" s="33">
        <f t="shared" si="0"/>
        <v>7751.0299999999988</v>
      </c>
    </row>
    <row r="41" spans="2:6" x14ac:dyDescent="0.25">
      <c r="B41" s="48">
        <v>41901</v>
      </c>
      <c r="C41" s="36" t="s">
        <v>212</v>
      </c>
      <c r="D41" s="32"/>
      <c r="E41" s="32">
        <v>500</v>
      </c>
      <c r="F41" s="33">
        <f t="shared" si="0"/>
        <v>7251.0299999999988</v>
      </c>
    </row>
    <row r="42" spans="2:6" x14ac:dyDescent="0.25">
      <c r="B42" s="48">
        <v>41901</v>
      </c>
      <c r="C42" s="36" t="s">
        <v>349</v>
      </c>
      <c r="D42" s="32"/>
      <c r="E42" s="32">
        <v>695</v>
      </c>
      <c r="F42" s="33">
        <f t="shared" si="0"/>
        <v>6556.0299999999988</v>
      </c>
    </row>
    <row r="43" spans="2:6" x14ac:dyDescent="0.25">
      <c r="B43" s="48">
        <v>41901</v>
      </c>
      <c r="C43" s="36" t="s">
        <v>352</v>
      </c>
      <c r="D43" s="32"/>
      <c r="E43" s="32">
        <v>1000</v>
      </c>
      <c r="F43" s="33">
        <f t="shared" si="0"/>
        <v>5556.0299999999988</v>
      </c>
    </row>
    <row r="44" spans="2:6" x14ac:dyDescent="0.25">
      <c r="B44" s="48">
        <v>41901</v>
      </c>
      <c r="C44" s="36" t="s">
        <v>353</v>
      </c>
      <c r="D44" s="32"/>
      <c r="E44" s="32">
        <v>695</v>
      </c>
      <c r="F44" s="33">
        <f t="shared" si="0"/>
        <v>4861.0299999999988</v>
      </c>
    </row>
    <row r="45" spans="2:6" x14ac:dyDescent="0.25">
      <c r="B45" s="48">
        <v>41903</v>
      </c>
      <c r="C45" s="36" t="s">
        <v>49</v>
      </c>
      <c r="D45" s="32">
        <v>27000</v>
      </c>
      <c r="E45" s="32"/>
      <c r="F45" s="33">
        <f t="shared" si="0"/>
        <v>31861.03</v>
      </c>
    </row>
    <row r="46" spans="2:6" x14ac:dyDescent="0.25">
      <c r="B46" s="48">
        <v>41904</v>
      </c>
      <c r="C46" s="36" t="s">
        <v>354</v>
      </c>
      <c r="D46" s="32"/>
      <c r="E46" s="32">
        <v>60</v>
      </c>
      <c r="F46" s="33">
        <f t="shared" si="0"/>
        <v>31801.03</v>
      </c>
    </row>
    <row r="47" spans="2:6" x14ac:dyDescent="0.25">
      <c r="B47" s="48">
        <v>41908</v>
      </c>
      <c r="C47" s="36" t="s">
        <v>355</v>
      </c>
      <c r="D47" s="32"/>
      <c r="E47" s="32">
        <v>129.5</v>
      </c>
      <c r="F47" s="33">
        <f t="shared" si="0"/>
        <v>31671.53</v>
      </c>
    </row>
    <row r="48" spans="2:6" x14ac:dyDescent="0.25">
      <c r="B48" s="48">
        <v>41908</v>
      </c>
      <c r="C48" s="36" t="s">
        <v>212</v>
      </c>
      <c r="D48" s="32"/>
      <c r="E48" s="32">
        <v>400</v>
      </c>
      <c r="F48" s="33">
        <f t="shared" si="0"/>
        <v>31271.53</v>
      </c>
    </row>
    <row r="49" spans="2:6" x14ac:dyDescent="0.25">
      <c r="B49" s="48">
        <v>41909</v>
      </c>
      <c r="C49" s="36" t="s">
        <v>356</v>
      </c>
      <c r="D49" s="32"/>
      <c r="E49" s="32">
        <v>900</v>
      </c>
      <c r="F49" s="33">
        <f t="shared" si="0"/>
        <v>30371.53</v>
      </c>
    </row>
    <row r="50" spans="2:6" x14ac:dyDescent="0.25">
      <c r="B50" s="48">
        <v>41909</v>
      </c>
      <c r="C50" s="36" t="s">
        <v>357</v>
      </c>
      <c r="D50" s="32"/>
      <c r="E50" s="32">
        <v>1999</v>
      </c>
      <c r="F50" s="33">
        <f t="shared" si="0"/>
        <v>28372.53</v>
      </c>
    </row>
    <row r="51" spans="2:6" x14ac:dyDescent="0.25">
      <c r="B51" s="48">
        <v>41911</v>
      </c>
      <c r="C51" s="36" t="s">
        <v>354</v>
      </c>
      <c r="D51" s="32"/>
      <c r="E51" s="32">
        <v>60</v>
      </c>
      <c r="F51" s="33">
        <f t="shared" si="0"/>
        <v>28312.53</v>
      </c>
    </row>
    <row r="52" spans="2:6" x14ac:dyDescent="0.25">
      <c r="B52" s="48">
        <v>41911</v>
      </c>
      <c r="C52" s="36" t="s">
        <v>49</v>
      </c>
      <c r="D52" s="32">
        <v>26000</v>
      </c>
      <c r="E52" s="32"/>
      <c r="F52" s="33">
        <f t="shared" si="0"/>
        <v>54312.53</v>
      </c>
    </row>
    <row r="53" spans="2:6" x14ac:dyDescent="0.25">
      <c r="B53" s="48">
        <v>41911</v>
      </c>
      <c r="C53" s="98" t="s">
        <v>470</v>
      </c>
      <c r="D53" s="32"/>
      <c r="E53" s="32">
        <v>934</v>
      </c>
      <c r="F53" s="33">
        <f t="shared" si="0"/>
        <v>53378.53</v>
      </c>
    </row>
    <row r="54" spans="2:6" x14ac:dyDescent="0.25">
      <c r="B54" s="48">
        <v>41912</v>
      </c>
      <c r="C54" s="36" t="s">
        <v>358</v>
      </c>
      <c r="D54" s="32"/>
      <c r="E54" s="32">
        <v>3200</v>
      </c>
      <c r="F54" s="33">
        <f t="shared" si="0"/>
        <v>50178.53</v>
      </c>
    </row>
    <row r="55" spans="2:6" x14ac:dyDescent="0.25">
      <c r="B55" s="48">
        <v>41912</v>
      </c>
      <c r="C55" s="36" t="s">
        <v>359</v>
      </c>
      <c r="D55" s="32"/>
      <c r="E55" s="32">
        <v>27900</v>
      </c>
      <c r="F55" s="33">
        <f t="shared" si="0"/>
        <v>22278.53</v>
      </c>
    </row>
    <row r="56" spans="2:6" ht="15.75" thickBot="1" x14ac:dyDescent="0.3">
      <c r="B56" s="48">
        <v>41912</v>
      </c>
      <c r="C56" s="36" t="s">
        <v>361</v>
      </c>
      <c r="D56" s="32"/>
      <c r="E56" s="32">
        <v>1000</v>
      </c>
      <c r="F56" s="33">
        <f t="shared" si="0"/>
        <v>21278.53</v>
      </c>
    </row>
    <row r="57" spans="2:6" ht="15.75" thickBot="1" x14ac:dyDescent="0.3">
      <c r="B57" s="86"/>
      <c r="C57" s="22" t="s">
        <v>1</v>
      </c>
      <c r="D57" s="21">
        <f>SUM(D5:D56)</f>
        <v>117000</v>
      </c>
      <c r="E57" s="21">
        <f>SUM(E5:E56)</f>
        <v>99008.9</v>
      </c>
      <c r="F57" s="50"/>
    </row>
  </sheetData>
  <mergeCells count="1">
    <mergeCell ref="B2:F2"/>
  </mergeCells>
  <printOptions verticalCentered="1"/>
  <pageMargins left="0.70866141732283472" right="0.70866141732283472" top="0.74803149606299213" bottom="0.74803149606299213" header="0.31496062992125984" footer="0.31496062992125984"/>
  <pageSetup paperSize="9" scale="78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54"/>
  <sheetViews>
    <sheetView workbookViewId="0">
      <selection activeCell="F1" sqref="F1"/>
    </sheetView>
  </sheetViews>
  <sheetFormatPr baseColWidth="10" defaultRowHeight="15" x14ac:dyDescent="0.25"/>
  <cols>
    <col min="2" max="2" width="11.42578125" customWidth="1"/>
    <col min="3" max="3" width="64.140625" customWidth="1"/>
    <col min="4" max="4" width="13" customWidth="1"/>
  </cols>
  <sheetData>
    <row r="1" spans="2:6" x14ac:dyDescent="0.25">
      <c r="B1" s="79">
        <v>41943</v>
      </c>
    </row>
    <row r="2" spans="2:6" x14ac:dyDescent="0.25">
      <c r="B2" s="104" t="s">
        <v>363</v>
      </c>
      <c r="C2" s="104"/>
      <c r="D2" s="104"/>
      <c r="E2" s="104"/>
      <c r="F2" s="104"/>
    </row>
    <row r="3" spans="2:6" ht="15.75" thickBot="1" x14ac:dyDescent="0.3">
      <c r="C3" s="92"/>
      <c r="D3" s="92"/>
    </row>
    <row r="4" spans="2:6" ht="15.75" thickBot="1" x14ac:dyDescent="0.3">
      <c r="B4" s="11" t="s">
        <v>20</v>
      </c>
      <c r="C4" s="17" t="s">
        <v>21</v>
      </c>
      <c r="D4" s="11" t="s">
        <v>22</v>
      </c>
      <c r="E4" s="12" t="s">
        <v>24</v>
      </c>
      <c r="F4" s="13" t="s">
        <v>23</v>
      </c>
    </row>
    <row r="5" spans="2:6" x14ac:dyDescent="0.25">
      <c r="B5" s="55">
        <v>41912</v>
      </c>
      <c r="C5" s="26" t="s">
        <v>364</v>
      </c>
      <c r="D5" s="27"/>
      <c r="E5" s="28"/>
      <c r="F5" s="29">
        <v>21278.53</v>
      </c>
    </row>
    <row r="6" spans="2:6" x14ac:dyDescent="0.25">
      <c r="B6" s="48">
        <v>41913</v>
      </c>
      <c r="C6" s="36" t="s">
        <v>365</v>
      </c>
      <c r="D6" s="32"/>
      <c r="E6" s="32">
        <v>500</v>
      </c>
      <c r="F6" s="33">
        <f t="shared" ref="F6:F53" si="0">+F5+D6-E6</f>
        <v>20778.53</v>
      </c>
    </row>
    <row r="7" spans="2:6" x14ac:dyDescent="0.25">
      <c r="B7" s="48">
        <v>41913</v>
      </c>
      <c r="C7" s="36" t="s">
        <v>366</v>
      </c>
      <c r="D7" s="32"/>
      <c r="E7" s="32">
        <v>76.900000000000006</v>
      </c>
      <c r="F7" s="33">
        <f t="shared" si="0"/>
        <v>20701.629999999997</v>
      </c>
    </row>
    <row r="8" spans="2:6" x14ac:dyDescent="0.25">
      <c r="B8" s="48">
        <v>41913</v>
      </c>
      <c r="C8" s="30" t="s">
        <v>367</v>
      </c>
      <c r="D8" s="31"/>
      <c r="E8" s="32">
        <v>322</v>
      </c>
      <c r="F8" s="33">
        <f t="shared" si="0"/>
        <v>20379.629999999997</v>
      </c>
    </row>
    <row r="9" spans="2:6" x14ac:dyDescent="0.25">
      <c r="B9" s="48">
        <v>41914</v>
      </c>
      <c r="C9" s="36" t="s">
        <v>194</v>
      </c>
      <c r="D9" s="32"/>
      <c r="E9" s="32">
        <v>90</v>
      </c>
      <c r="F9" s="33">
        <f t="shared" si="0"/>
        <v>20289.629999999997</v>
      </c>
    </row>
    <row r="10" spans="2:6" x14ac:dyDescent="0.25">
      <c r="B10" s="48">
        <v>41915</v>
      </c>
      <c r="C10" s="36" t="s">
        <v>368</v>
      </c>
      <c r="D10" s="32"/>
      <c r="E10" s="32">
        <v>300</v>
      </c>
      <c r="F10" s="33">
        <f t="shared" si="0"/>
        <v>19989.629999999997</v>
      </c>
    </row>
    <row r="11" spans="2:6" x14ac:dyDescent="0.25">
      <c r="B11" s="48">
        <v>41915</v>
      </c>
      <c r="C11" s="36" t="s">
        <v>212</v>
      </c>
      <c r="D11" s="32"/>
      <c r="E11" s="32">
        <v>400</v>
      </c>
      <c r="F11" s="33">
        <f t="shared" si="0"/>
        <v>19589.629999999997</v>
      </c>
    </row>
    <row r="12" spans="2:6" x14ac:dyDescent="0.25">
      <c r="B12" s="48">
        <v>41917</v>
      </c>
      <c r="C12" s="36" t="s">
        <v>370</v>
      </c>
      <c r="D12" s="32">
        <v>31000</v>
      </c>
      <c r="E12" s="32"/>
      <c r="F12" s="33">
        <f t="shared" si="0"/>
        <v>50589.63</v>
      </c>
    </row>
    <row r="13" spans="2:6" x14ac:dyDescent="0.25">
      <c r="B13" s="48">
        <v>41918</v>
      </c>
      <c r="C13" s="36" t="s">
        <v>369</v>
      </c>
      <c r="D13" s="32"/>
      <c r="E13" s="32">
        <v>3000</v>
      </c>
      <c r="F13" s="33">
        <f t="shared" si="0"/>
        <v>47589.63</v>
      </c>
    </row>
    <row r="14" spans="2:6" x14ac:dyDescent="0.25">
      <c r="B14" s="48">
        <v>41918</v>
      </c>
      <c r="C14" s="36" t="s">
        <v>371</v>
      </c>
      <c r="D14" s="32"/>
      <c r="E14" s="32">
        <v>697</v>
      </c>
      <c r="F14" s="33">
        <f t="shared" si="0"/>
        <v>46892.63</v>
      </c>
    </row>
    <row r="15" spans="2:6" x14ac:dyDescent="0.25">
      <c r="B15" s="48">
        <v>41918</v>
      </c>
      <c r="C15" s="36" t="s">
        <v>372</v>
      </c>
      <c r="D15" s="32"/>
      <c r="E15" s="32">
        <v>167.9</v>
      </c>
      <c r="F15" s="33">
        <f t="shared" si="0"/>
        <v>46724.729999999996</v>
      </c>
    </row>
    <row r="16" spans="2:6" x14ac:dyDescent="0.25">
      <c r="B16" s="48">
        <v>41919</v>
      </c>
      <c r="C16" s="37" t="s">
        <v>373</v>
      </c>
      <c r="D16" s="32"/>
      <c r="E16" s="32">
        <v>45</v>
      </c>
      <c r="F16" s="33">
        <f t="shared" si="0"/>
        <v>46679.729999999996</v>
      </c>
    </row>
    <row r="17" spans="2:7" x14ac:dyDescent="0.25">
      <c r="B17" s="48">
        <v>41919</v>
      </c>
      <c r="C17" s="36" t="s">
        <v>374</v>
      </c>
      <c r="D17" s="32"/>
      <c r="E17" s="32">
        <v>1600</v>
      </c>
      <c r="F17" s="33">
        <f t="shared" si="0"/>
        <v>45079.729999999996</v>
      </c>
    </row>
    <row r="18" spans="2:7" x14ac:dyDescent="0.25">
      <c r="B18" s="48">
        <v>41919</v>
      </c>
      <c r="C18" s="36" t="s">
        <v>375</v>
      </c>
      <c r="D18" s="32"/>
      <c r="E18" s="32">
        <v>596.79999999999995</v>
      </c>
      <c r="F18" s="33">
        <f t="shared" si="0"/>
        <v>44482.929999999993</v>
      </c>
    </row>
    <row r="19" spans="2:7" x14ac:dyDescent="0.25">
      <c r="B19" s="48">
        <v>41920</v>
      </c>
      <c r="C19" s="36" t="s">
        <v>354</v>
      </c>
      <c r="D19" s="32"/>
      <c r="E19" s="32">
        <v>60</v>
      </c>
      <c r="F19" s="33">
        <f t="shared" si="0"/>
        <v>44422.929999999993</v>
      </c>
    </row>
    <row r="20" spans="2:7" x14ac:dyDescent="0.25">
      <c r="B20" s="48">
        <v>41921</v>
      </c>
      <c r="C20" s="36" t="s">
        <v>376</v>
      </c>
      <c r="D20" s="32"/>
      <c r="E20" s="32">
        <v>1050</v>
      </c>
      <c r="F20" s="33">
        <f t="shared" si="0"/>
        <v>43372.929999999993</v>
      </c>
    </row>
    <row r="21" spans="2:7" x14ac:dyDescent="0.25">
      <c r="B21" s="48">
        <v>41922</v>
      </c>
      <c r="C21" s="36" t="s">
        <v>377</v>
      </c>
      <c r="D21" s="32"/>
      <c r="E21" s="32">
        <v>100</v>
      </c>
      <c r="F21" s="33">
        <f t="shared" si="0"/>
        <v>43272.929999999993</v>
      </c>
    </row>
    <row r="22" spans="2:7" x14ac:dyDescent="0.25">
      <c r="B22" s="48">
        <v>41922</v>
      </c>
      <c r="C22" s="36" t="s">
        <v>212</v>
      </c>
      <c r="D22" s="32"/>
      <c r="E22" s="32">
        <v>400</v>
      </c>
      <c r="F22" s="33">
        <f t="shared" si="0"/>
        <v>42872.929999999993</v>
      </c>
    </row>
    <row r="23" spans="2:7" x14ac:dyDescent="0.25">
      <c r="B23" s="48">
        <v>41923</v>
      </c>
      <c r="C23" s="37" t="s">
        <v>378</v>
      </c>
      <c r="D23" s="32"/>
      <c r="E23" s="32">
        <v>5000</v>
      </c>
      <c r="F23" s="33">
        <f t="shared" si="0"/>
        <v>37872.929999999993</v>
      </c>
    </row>
    <row r="24" spans="2:7" x14ac:dyDescent="0.25">
      <c r="B24" s="48">
        <v>41923</v>
      </c>
      <c r="C24" s="37" t="s">
        <v>379</v>
      </c>
      <c r="D24" s="32"/>
      <c r="E24" s="32">
        <v>250</v>
      </c>
      <c r="F24" s="33">
        <f t="shared" si="0"/>
        <v>37622.929999999993</v>
      </c>
    </row>
    <row r="25" spans="2:7" x14ac:dyDescent="0.25">
      <c r="B25" s="48">
        <v>41925</v>
      </c>
      <c r="C25" s="36" t="s">
        <v>370</v>
      </c>
      <c r="D25" s="32">
        <v>15000</v>
      </c>
      <c r="E25" s="32"/>
      <c r="F25" s="33">
        <f t="shared" si="0"/>
        <v>52622.929999999993</v>
      </c>
    </row>
    <row r="26" spans="2:7" x14ac:dyDescent="0.25">
      <c r="B26" s="48">
        <v>41925</v>
      </c>
      <c r="C26" s="37" t="s">
        <v>133</v>
      </c>
      <c r="D26" s="32"/>
      <c r="E26" s="32">
        <v>30</v>
      </c>
      <c r="F26" s="33">
        <f t="shared" si="0"/>
        <v>52592.929999999993</v>
      </c>
    </row>
    <row r="27" spans="2:7" x14ac:dyDescent="0.25">
      <c r="B27" s="48">
        <v>41927</v>
      </c>
      <c r="C27" s="36" t="s">
        <v>380</v>
      </c>
      <c r="D27" s="32"/>
      <c r="E27" s="32">
        <v>27900</v>
      </c>
      <c r="F27" s="33">
        <f t="shared" si="0"/>
        <v>24692.929999999993</v>
      </c>
    </row>
    <row r="28" spans="2:7" x14ac:dyDescent="0.25">
      <c r="B28" s="48">
        <v>41927</v>
      </c>
      <c r="C28" s="54" t="s">
        <v>381</v>
      </c>
      <c r="D28" s="32"/>
      <c r="E28" s="32">
        <v>3200</v>
      </c>
      <c r="F28" s="33">
        <f t="shared" si="0"/>
        <v>21492.929999999993</v>
      </c>
    </row>
    <row r="29" spans="2:7" x14ac:dyDescent="0.25">
      <c r="B29" s="48">
        <v>41929</v>
      </c>
      <c r="C29" s="36" t="s">
        <v>382</v>
      </c>
      <c r="D29" s="32"/>
      <c r="E29" s="32">
        <v>644</v>
      </c>
      <c r="F29" s="33">
        <f t="shared" si="0"/>
        <v>20848.929999999993</v>
      </c>
      <c r="G29" s="1"/>
    </row>
    <row r="30" spans="2:7" x14ac:dyDescent="0.25">
      <c r="B30" s="48">
        <v>41929</v>
      </c>
      <c r="C30" s="36" t="s">
        <v>212</v>
      </c>
      <c r="D30" s="32"/>
      <c r="E30" s="32">
        <v>400</v>
      </c>
      <c r="F30" s="33">
        <f t="shared" si="0"/>
        <v>20448.929999999993</v>
      </c>
    </row>
    <row r="31" spans="2:7" x14ac:dyDescent="0.25">
      <c r="B31" s="48">
        <v>41931</v>
      </c>
      <c r="C31" s="36" t="s">
        <v>370</v>
      </c>
      <c r="D31" s="32">
        <v>21000</v>
      </c>
      <c r="E31" s="32"/>
      <c r="F31" s="33">
        <f t="shared" si="0"/>
        <v>41448.929999999993</v>
      </c>
    </row>
    <row r="32" spans="2:7" x14ac:dyDescent="0.25">
      <c r="B32" s="48">
        <v>41932</v>
      </c>
      <c r="C32" s="36" t="s">
        <v>129</v>
      </c>
      <c r="D32" s="32"/>
      <c r="E32" s="32">
        <v>120</v>
      </c>
      <c r="F32" s="33">
        <f t="shared" si="0"/>
        <v>41328.929999999993</v>
      </c>
    </row>
    <row r="33" spans="2:6" x14ac:dyDescent="0.25">
      <c r="B33" s="48">
        <v>41934</v>
      </c>
      <c r="C33" s="54" t="s">
        <v>383</v>
      </c>
      <c r="D33" s="32"/>
      <c r="E33" s="32">
        <v>8898.2099999999991</v>
      </c>
      <c r="F33" s="33">
        <f t="shared" si="0"/>
        <v>32430.719999999994</v>
      </c>
    </row>
    <row r="34" spans="2:6" x14ac:dyDescent="0.25">
      <c r="B34" s="48">
        <v>41934</v>
      </c>
      <c r="C34" s="30" t="s">
        <v>384</v>
      </c>
      <c r="D34" s="32"/>
      <c r="E34" s="32">
        <v>1138.99</v>
      </c>
      <c r="F34" s="33">
        <f t="shared" si="0"/>
        <v>31291.729999999992</v>
      </c>
    </row>
    <row r="35" spans="2:6" x14ac:dyDescent="0.25">
      <c r="B35" s="48">
        <v>41935</v>
      </c>
      <c r="C35" s="36" t="s">
        <v>385</v>
      </c>
      <c r="D35" s="32"/>
      <c r="E35" s="32">
        <v>1000</v>
      </c>
      <c r="F35" s="33">
        <f t="shared" si="0"/>
        <v>30291.729999999992</v>
      </c>
    </row>
    <row r="36" spans="2:6" x14ac:dyDescent="0.25">
      <c r="B36" s="97">
        <v>41935</v>
      </c>
      <c r="C36" s="95" t="s">
        <v>481</v>
      </c>
      <c r="D36" s="96"/>
      <c r="E36" s="96">
        <v>1600</v>
      </c>
      <c r="F36" s="33">
        <f t="shared" si="0"/>
        <v>28691.729999999992</v>
      </c>
    </row>
    <row r="37" spans="2:6" x14ac:dyDescent="0.25">
      <c r="B37" s="48">
        <v>41935</v>
      </c>
      <c r="C37" s="36" t="s">
        <v>386</v>
      </c>
      <c r="D37" s="32"/>
      <c r="E37" s="32">
        <v>3434.01</v>
      </c>
      <c r="F37" s="33">
        <f t="shared" si="0"/>
        <v>25257.719999999994</v>
      </c>
    </row>
    <row r="38" spans="2:6" x14ac:dyDescent="0.25">
      <c r="B38" s="48">
        <v>41663</v>
      </c>
      <c r="C38" s="36" t="s">
        <v>212</v>
      </c>
      <c r="D38" s="32"/>
      <c r="E38" s="32">
        <v>400</v>
      </c>
      <c r="F38" s="33">
        <f t="shared" si="0"/>
        <v>24857.719999999994</v>
      </c>
    </row>
    <row r="39" spans="2:6" x14ac:dyDescent="0.25">
      <c r="B39" s="48">
        <v>41936</v>
      </c>
      <c r="C39" s="36" t="s">
        <v>387</v>
      </c>
      <c r="D39" s="32"/>
      <c r="E39" s="32">
        <v>750</v>
      </c>
      <c r="F39" s="33">
        <f t="shared" si="0"/>
        <v>24107.719999999994</v>
      </c>
    </row>
    <row r="40" spans="2:6" x14ac:dyDescent="0.25">
      <c r="B40" s="48">
        <v>41937</v>
      </c>
      <c r="C40" s="36" t="s">
        <v>388</v>
      </c>
      <c r="D40" s="32"/>
      <c r="E40" s="32">
        <v>75</v>
      </c>
      <c r="F40" s="33">
        <f t="shared" si="0"/>
        <v>24032.719999999994</v>
      </c>
    </row>
    <row r="41" spans="2:6" x14ac:dyDescent="0.25">
      <c r="B41" s="48">
        <v>41937</v>
      </c>
      <c r="C41" s="36" t="s">
        <v>393</v>
      </c>
      <c r="D41" s="32"/>
      <c r="E41" s="32">
        <v>950</v>
      </c>
      <c r="F41" s="33">
        <f t="shared" si="0"/>
        <v>23082.719999999994</v>
      </c>
    </row>
    <row r="42" spans="2:6" x14ac:dyDescent="0.25">
      <c r="B42" s="48">
        <v>41939</v>
      </c>
      <c r="C42" s="36" t="s">
        <v>194</v>
      </c>
      <c r="D42" s="32"/>
      <c r="E42" s="32">
        <v>90</v>
      </c>
      <c r="F42" s="33">
        <f t="shared" si="0"/>
        <v>22992.719999999994</v>
      </c>
    </row>
    <row r="43" spans="2:6" x14ac:dyDescent="0.25">
      <c r="B43" s="48">
        <v>41939</v>
      </c>
      <c r="C43" s="36" t="s">
        <v>370</v>
      </c>
      <c r="D43" s="32">
        <v>15000</v>
      </c>
      <c r="E43" s="32"/>
      <c r="F43" s="33">
        <f t="shared" si="0"/>
        <v>37992.719999999994</v>
      </c>
    </row>
    <row r="44" spans="2:6" x14ac:dyDescent="0.25">
      <c r="B44" s="48">
        <v>41939</v>
      </c>
      <c r="C44" s="36" t="s">
        <v>394</v>
      </c>
      <c r="D44" s="32"/>
      <c r="E44" s="32">
        <v>1000</v>
      </c>
      <c r="F44" s="33">
        <f t="shared" si="0"/>
        <v>36992.719999999994</v>
      </c>
    </row>
    <row r="45" spans="2:6" x14ac:dyDescent="0.25">
      <c r="B45" s="48">
        <v>41941</v>
      </c>
      <c r="C45" s="36" t="s">
        <v>133</v>
      </c>
      <c r="D45" s="32"/>
      <c r="E45" s="32">
        <v>30</v>
      </c>
      <c r="F45" s="33">
        <f t="shared" si="0"/>
        <v>36962.719999999994</v>
      </c>
    </row>
    <row r="46" spans="2:6" x14ac:dyDescent="0.25">
      <c r="B46" s="48">
        <v>41943</v>
      </c>
      <c r="C46" s="36" t="s">
        <v>133</v>
      </c>
      <c r="D46" s="32"/>
      <c r="E46" s="32">
        <v>30</v>
      </c>
      <c r="F46" s="33">
        <f t="shared" si="0"/>
        <v>36932.719999999994</v>
      </c>
    </row>
    <row r="47" spans="2:6" x14ac:dyDescent="0.25">
      <c r="B47" s="48">
        <v>41943</v>
      </c>
      <c r="C47" s="36" t="s">
        <v>212</v>
      </c>
      <c r="D47" s="32"/>
      <c r="E47" s="32">
        <v>400</v>
      </c>
      <c r="F47" s="33">
        <f t="shared" si="0"/>
        <v>36532.719999999994</v>
      </c>
    </row>
    <row r="48" spans="2:6" x14ac:dyDescent="0.25">
      <c r="B48" s="48">
        <v>41943</v>
      </c>
      <c r="C48" s="98" t="s">
        <v>391</v>
      </c>
      <c r="D48" s="32"/>
      <c r="E48" s="32">
        <v>863</v>
      </c>
      <c r="F48" s="33">
        <f t="shared" si="0"/>
        <v>35669.719999999994</v>
      </c>
    </row>
    <row r="49" spans="2:6" x14ac:dyDescent="0.25">
      <c r="B49" s="48">
        <v>41943</v>
      </c>
      <c r="C49" s="36" t="s">
        <v>392</v>
      </c>
      <c r="D49" s="32"/>
      <c r="E49" s="32">
        <v>400</v>
      </c>
      <c r="F49" s="33">
        <f t="shared" si="0"/>
        <v>35269.719999999994</v>
      </c>
    </row>
    <row r="50" spans="2:6" x14ac:dyDescent="0.25">
      <c r="B50" s="48">
        <v>41943</v>
      </c>
      <c r="C50" s="36" t="s">
        <v>389</v>
      </c>
      <c r="D50" s="32"/>
      <c r="E50" s="32">
        <v>27900</v>
      </c>
      <c r="F50" s="33">
        <f t="shared" si="0"/>
        <v>7369.7199999999939</v>
      </c>
    </row>
    <row r="51" spans="2:6" x14ac:dyDescent="0.25">
      <c r="B51" s="48">
        <v>41943</v>
      </c>
      <c r="C51" s="54" t="s">
        <v>390</v>
      </c>
      <c r="D51" s="32"/>
      <c r="E51" s="32">
        <v>3200</v>
      </c>
      <c r="F51" s="33">
        <f t="shared" si="0"/>
        <v>4169.7199999999939</v>
      </c>
    </row>
    <row r="52" spans="2:6" x14ac:dyDescent="0.25">
      <c r="B52" s="48">
        <v>41943</v>
      </c>
      <c r="C52" s="36" t="s">
        <v>395</v>
      </c>
      <c r="D52" s="32"/>
      <c r="E52" s="32">
        <v>300</v>
      </c>
      <c r="F52" s="33">
        <f t="shared" si="0"/>
        <v>3869.7199999999939</v>
      </c>
    </row>
    <row r="53" spans="2:6" ht="15.75" thickBot="1" x14ac:dyDescent="0.3">
      <c r="B53" s="48">
        <v>41943</v>
      </c>
      <c r="C53" s="36" t="s">
        <v>365</v>
      </c>
      <c r="D53" s="32"/>
      <c r="E53" s="32">
        <v>500</v>
      </c>
      <c r="F53" s="33">
        <f t="shared" si="0"/>
        <v>3369.7199999999939</v>
      </c>
    </row>
    <row r="54" spans="2:6" ht="15.75" thickBot="1" x14ac:dyDescent="0.3">
      <c r="B54" s="86"/>
      <c r="C54" s="22" t="s">
        <v>1</v>
      </c>
      <c r="D54" s="21">
        <f>SUM(D5:D53)</f>
        <v>82000</v>
      </c>
      <c r="E54" s="21">
        <f>SUM(E5:E53)</f>
        <v>99908.81</v>
      </c>
      <c r="F54" s="50"/>
    </row>
  </sheetData>
  <mergeCells count="1">
    <mergeCell ref="B2:F2"/>
  </mergeCells>
  <printOptions verticalCentered="1"/>
  <pageMargins left="0.70866141732283472" right="0.70866141732283472" top="0.74803149606299213" bottom="0.74803149606299213" header="0.31496062992125984" footer="0.31496062992125984"/>
  <pageSetup paperSize="9" scale="78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54"/>
  <sheetViews>
    <sheetView topLeftCell="A38" workbookViewId="0">
      <selection activeCell="F53" sqref="F53"/>
    </sheetView>
  </sheetViews>
  <sheetFormatPr baseColWidth="10" defaultRowHeight="15" x14ac:dyDescent="0.25"/>
  <cols>
    <col min="2" max="2" width="11.42578125" customWidth="1"/>
    <col min="3" max="3" width="64.140625" customWidth="1"/>
    <col min="4" max="4" width="13" customWidth="1"/>
  </cols>
  <sheetData>
    <row r="1" spans="2:6" x14ac:dyDescent="0.25">
      <c r="B1" s="79">
        <v>41973</v>
      </c>
    </row>
    <row r="2" spans="2:6" x14ac:dyDescent="0.25">
      <c r="B2" s="104" t="s">
        <v>428</v>
      </c>
      <c r="C2" s="104"/>
      <c r="D2" s="104"/>
      <c r="E2" s="104"/>
      <c r="F2" s="104"/>
    </row>
    <row r="3" spans="2:6" ht="15.75" thickBot="1" x14ac:dyDescent="0.3">
      <c r="C3" s="93"/>
      <c r="D3" s="93"/>
    </row>
    <row r="4" spans="2:6" ht="15.75" thickBot="1" x14ac:dyDescent="0.3">
      <c r="B4" s="11" t="s">
        <v>20</v>
      </c>
      <c r="C4" s="17" t="s">
        <v>21</v>
      </c>
      <c r="D4" s="11" t="s">
        <v>22</v>
      </c>
      <c r="E4" s="12" t="s">
        <v>24</v>
      </c>
      <c r="F4" s="13" t="s">
        <v>23</v>
      </c>
    </row>
    <row r="5" spans="2:6" x14ac:dyDescent="0.25">
      <c r="B5" s="55">
        <v>41943</v>
      </c>
      <c r="C5" s="26" t="s">
        <v>396</v>
      </c>
      <c r="D5" s="27"/>
      <c r="E5" s="28"/>
      <c r="F5" s="29">
        <v>3369.72</v>
      </c>
    </row>
    <row r="6" spans="2:6" x14ac:dyDescent="0.25">
      <c r="B6" s="48">
        <v>41946</v>
      </c>
      <c r="C6" s="36" t="s">
        <v>433</v>
      </c>
      <c r="D6" s="32">
        <v>23000</v>
      </c>
      <c r="E6" s="32"/>
      <c r="F6" s="33">
        <f t="shared" ref="F6:F53" si="0">+F5+D6-E6</f>
        <v>26369.72</v>
      </c>
    </row>
    <row r="7" spans="2:6" x14ac:dyDescent="0.25">
      <c r="B7" s="48">
        <v>41857</v>
      </c>
      <c r="C7" s="36" t="s">
        <v>397</v>
      </c>
      <c r="D7" s="32"/>
      <c r="E7" s="32">
        <v>500</v>
      </c>
      <c r="F7" s="33">
        <f t="shared" si="0"/>
        <v>25869.72</v>
      </c>
    </row>
    <row r="8" spans="2:6" x14ac:dyDescent="0.25">
      <c r="B8" s="48">
        <v>41937</v>
      </c>
      <c r="C8" s="30" t="s">
        <v>398</v>
      </c>
      <c r="D8" s="31"/>
      <c r="E8" s="32">
        <v>1500</v>
      </c>
      <c r="F8" s="33">
        <f t="shared" si="0"/>
        <v>24369.72</v>
      </c>
    </row>
    <row r="9" spans="2:6" x14ac:dyDescent="0.25">
      <c r="B9" s="48">
        <v>41941</v>
      </c>
      <c r="C9" s="36" t="s">
        <v>398</v>
      </c>
      <c r="D9" s="32"/>
      <c r="E9" s="32">
        <v>1000</v>
      </c>
      <c r="F9" s="33">
        <f t="shared" si="0"/>
        <v>23369.72</v>
      </c>
    </row>
    <row r="10" spans="2:6" x14ac:dyDescent="0.25">
      <c r="B10" s="48">
        <v>41946</v>
      </c>
      <c r="C10" s="36" t="s">
        <v>399</v>
      </c>
      <c r="D10" s="32"/>
      <c r="E10" s="32">
        <v>300</v>
      </c>
      <c r="F10" s="33">
        <f t="shared" si="0"/>
        <v>23069.72</v>
      </c>
    </row>
    <row r="11" spans="2:6" x14ac:dyDescent="0.25">
      <c r="B11" s="48">
        <v>41946</v>
      </c>
      <c r="C11" s="36" t="s">
        <v>400</v>
      </c>
      <c r="D11" s="32"/>
      <c r="E11" s="32">
        <v>465.8</v>
      </c>
      <c r="F11" s="33">
        <f t="shared" si="0"/>
        <v>22603.920000000002</v>
      </c>
    </row>
    <row r="12" spans="2:6" x14ac:dyDescent="0.25">
      <c r="B12" s="48">
        <v>41948</v>
      </c>
      <c r="C12" s="36" t="s">
        <v>401</v>
      </c>
      <c r="D12" s="32"/>
      <c r="E12" s="32">
        <v>30</v>
      </c>
      <c r="F12" s="33">
        <f t="shared" si="0"/>
        <v>22573.920000000002</v>
      </c>
    </row>
    <row r="13" spans="2:6" x14ac:dyDescent="0.25">
      <c r="B13" s="48">
        <v>41949</v>
      </c>
      <c r="C13" s="36" t="s">
        <v>402</v>
      </c>
      <c r="D13" s="32"/>
      <c r="E13" s="32">
        <v>315</v>
      </c>
      <c r="F13" s="33">
        <f t="shared" si="0"/>
        <v>22258.920000000002</v>
      </c>
    </row>
    <row r="14" spans="2:6" x14ac:dyDescent="0.25">
      <c r="B14" s="48">
        <v>41949</v>
      </c>
      <c r="C14" s="54" t="s">
        <v>415</v>
      </c>
      <c r="D14" s="32"/>
      <c r="E14" s="32">
        <v>70</v>
      </c>
      <c r="F14" s="33">
        <f t="shared" si="0"/>
        <v>22188.920000000002</v>
      </c>
    </row>
    <row r="15" spans="2:6" x14ac:dyDescent="0.25">
      <c r="B15" s="48">
        <v>41950</v>
      </c>
      <c r="C15" s="36" t="s">
        <v>212</v>
      </c>
      <c r="D15" s="32"/>
      <c r="E15" s="32">
        <v>400</v>
      </c>
      <c r="F15" s="33">
        <f t="shared" si="0"/>
        <v>21788.920000000002</v>
      </c>
    </row>
    <row r="16" spans="2:6" x14ac:dyDescent="0.25">
      <c r="B16" s="48">
        <v>41950</v>
      </c>
      <c r="C16" s="36" t="s">
        <v>431</v>
      </c>
      <c r="D16" s="32"/>
      <c r="E16" s="32">
        <v>950</v>
      </c>
      <c r="F16" s="33">
        <f t="shared" si="0"/>
        <v>20838.920000000002</v>
      </c>
    </row>
    <row r="17" spans="2:7" x14ac:dyDescent="0.25">
      <c r="B17" s="48">
        <v>41950</v>
      </c>
      <c r="C17" s="37" t="s">
        <v>403</v>
      </c>
      <c r="D17" s="32"/>
      <c r="E17" s="32">
        <v>625</v>
      </c>
      <c r="F17" s="33">
        <f t="shared" si="0"/>
        <v>20213.920000000002</v>
      </c>
    </row>
    <row r="18" spans="2:7" x14ac:dyDescent="0.25">
      <c r="B18" s="48">
        <v>41953</v>
      </c>
      <c r="C18" s="36" t="s">
        <v>404</v>
      </c>
      <c r="D18" s="32"/>
      <c r="E18" s="32">
        <v>150</v>
      </c>
      <c r="F18" s="33">
        <f t="shared" si="0"/>
        <v>20063.920000000002</v>
      </c>
    </row>
    <row r="19" spans="2:7" x14ac:dyDescent="0.25">
      <c r="B19" s="48">
        <v>41953</v>
      </c>
      <c r="C19" s="36" t="s">
        <v>405</v>
      </c>
      <c r="D19" s="32"/>
      <c r="E19" s="32">
        <v>120</v>
      </c>
      <c r="F19" s="33">
        <f t="shared" si="0"/>
        <v>19943.920000000002</v>
      </c>
    </row>
    <row r="20" spans="2:7" x14ac:dyDescent="0.25">
      <c r="B20" s="48">
        <v>41953</v>
      </c>
      <c r="C20" s="36" t="s">
        <v>432</v>
      </c>
      <c r="D20" s="32"/>
      <c r="E20" s="32">
        <v>190.5</v>
      </c>
      <c r="F20" s="33">
        <f t="shared" si="0"/>
        <v>19753.420000000002</v>
      </c>
    </row>
    <row r="21" spans="2:7" x14ac:dyDescent="0.25">
      <c r="B21" s="48">
        <v>41953</v>
      </c>
      <c r="C21" s="36" t="s">
        <v>433</v>
      </c>
      <c r="D21" s="32">
        <v>30000</v>
      </c>
      <c r="E21" s="32"/>
      <c r="F21" s="33">
        <f t="shared" si="0"/>
        <v>49753.42</v>
      </c>
    </row>
    <row r="22" spans="2:7" x14ac:dyDescent="0.25">
      <c r="B22" s="48">
        <v>41954</v>
      </c>
      <c r="C22" s="36" t="s">
        <v>406</v>
      </c>
      <c r="D22" s="32"/>
      <c r="E22" s="32">
        <v>5400</v>
      </c>
      <c r="F22" s="33">
        <f t="shared" si="0"/>
        <v>44353.42</v>
      </c>
    </row>
    <row r="23" spans="2:7" x14ac:dyDescent="0.25">
      <c r="B23" s="48">
        <v>41957</v>
      </c>
      <c r="C23" s="36" t="s">
        <v>212</v>
      </c>
      <c r="D23" s="32"/>
      <c r="E23" s="32">
        <v>400</v>
      </c>
      <c r="F23" s="33">
        <f t="shared" si="0"/>
        <v>43953.42</v>
      </c>
    </row>
    <row r="24" spans="2:7" x14ac:dyDescent="0.25">
      <c r="B24" s="48">
        <v>41957</v>
      </c>
      <c r="C24" s="54" t="s">
        <v>416</v>
      </c>
      <c r="D24" s="32"/>
      <c r="E24" s="32">
        <v>2000</v>
      </c>
      <c r="F24" s="33">
        <f t="shared" si="0"/>
        <v>41953.42</v>
      </c>
    </row>
    <row r="25" spans="2:7" x14ac:dyDescent="0.25">
      <c r="B25" s="48">
        <v>41958</v>
      </c>
      <c r="C25" s="37" t="s">
        <v>407</v>
      </c>
      <c r="D25" s="32"/>
      <c r="E25" s="32">
        <v>3200</v>
      </c>
      <c r="F25" s="33">
        <f t="shared" si="0"/>
        <v>38753.42</v>
      </c>
    </row>
    <row r="26" spans="2:7" x14ac:dyDescent="0.25">
      <c r="B26" s="48">
        <v>41958</v>
      </c>
      <c r="C26" s="37" t="s">
        <v>408</v>
      </c>
      <c r="D26" s="32"/>
      <c r="E26" s="32">
        <v>200</v>
      </c>
      <c r="F26" s="33">
        <f t="shared" si="0"/>
        <v>38553.42</v>
      </c>
    </row>
    <row r="27" spans="2:7" x14ac:dyDescent="0.25">
      <c r="B27" s="48">
        <v>41959</v>
      </c>
      <c r="C27" s="36" t="s">
        <v>409</v>
      </c>
      <c r="D27" s="32"/>
      <c r="E27" s="32">
        <v>27900</v>
      </c>
      <c r="F27" s="33">
        <f t="shared" si="0"/>
        <v>10653.419999999998</v>
      </c>
    </row>
    <row r="28" spans="2:7" x14ac:dyDescent="0.25">
      <c r="B28" s="48">
        <v>41960</v>
      </c>
      <c r="C28" s="37" t="s">
        <v>410</v>
      </c>
      <c r="D28" s="32"/>
      <c r="E28" s="32">
        <v>300</v>
      </c>
      <c r="F28" s="33">
        <f t="shared" si="0"/>
        <v>10353.419999999998</v>
      </c>
    </row>
    <row r="29" spans="2:7" x14ac:dyDescent="0.25">
      <c r="B29" s="48">
        <v>41960</v>
      </c>
      <c r="C29" s="36" t="s">
        <v>411</v>
      </c>
      <c r="D29" s="32"/>
      <c r="E29" s="32">
        <v>30</v>
      </c>
      <c r="F29" s="33">
        <f t="shared" si="0"/>
        <v>10323.419999999998</v>
      </c>
      <c r="G29" s="1"/>
    </row>
    <row r="30" spans="2:7" x14ac:dyDescent="0.25">
      <c r="B30" s="48">
        <v>41960</v>
      </c>
      <c r="C30" s="54" t="s">
        <v>433</v>
      </c>
      <c r="D30" s="32">
        <v>22000</v>
      </c>
      <c r="E30" s="32"/>
      <c r="F30" s="33">
        <f t="shared" si="0"/>
        <v>32323.42</v>
      </c>
    </row>
    <row r="31" spans="2:7" x14ac:dyDescent="0.25">
      <c r="B31" s="48">
        <v>41960</v>
      </c>
      <c r="C31" s="36" t="s">
        <v>412</v>
      </c>
      <c r="D31" s="32"/>
      <c r="E31" s="32">
        <v>690</v>
      </c>
      <c r="F31" s="33">
        <f t="shared" si="0"/>
        <v>31633.42</v>
      </c>
    </row>
    <row r="32" spans="2:7" x14ac:dyDescent="0.25">
      <c r="B32" s="48">
        <v>41962</v>
      </c>
      <c r="C32" s="36" t="s">
        <v>413</v>
      </c>
      <c r="D32" s="32"/>
      <c r="E32" s="32">
        <v>60</v>
      </c>
      <c r="F32" s="33">
        <f t="shared" si="0"/>
        <v>31573.42</v>
      </c>
    </row>
    <row r="33" spans="2:6" x14ac:dyDescent="0.25">
      <c r="B33" s="48">
        <v>41964</v>
      </c>
      <c r="C33" s="36" t="s">
        <v>212</v>
      </c>
      <c r="D33" s="32"/>
      <c r="E33" s="32">
        <v>400</v>
      </c>
      <c r="F33" s="33">
        <f t="shared" si="0"/>
        <v>31173.42</v>
      </c>
    </row>
    <row r="34" spans="2:6" x14ac:dyDescent="0.25">
      <c r="B34" s="48">
        <v>41964</v>
      </c>
      <c r="C34" s="36" t="s">
        <v>414</v>
      </c>
      <c r="D34" s="32"/>
      <c r="E34" s="32">
        <v>1000</v>
      </c>
      <c r="F34" s="33">
        <f t="shared" si="0"/>
        <v>30173.42</v>
      </c>
    </row>
    <row r="35" spans="2:6" x14ac:dyDescent="0.25">
      <c r="B35" s="48">
        <v>41964</v>
      </c>
      <c r="C35" s="54" t="s">
        <v>411</v>
      </c>
      <c r="D35" s="32"/>
      <c r="E35" s="32">
        <v>30</v>
      </c>
      <c r="F35" s="33">
        <f t="shared" si="0"/>
        <v>30143.42</v>
      </c>
    </row>
    <row r="36" spans="2:6" x14ac:dyDescent="0.25">
      <c r="B36" s="48">
        <v>41964</v>
      </c>
      <c r="C36" s="30" t="s">
        <v>417</v>
      </c>
      <c r="D36" s="32"/>
      <c r="E36" s="32">
        <v>800</v>
      </c>
      <c r="F36" s="33">
        <f t="shared" si="0"/>
        <v>29343.42</v>
      </c>
    </row>
    <row r="37" spans="2:6" x14ac:dyDescent="0.25">
      <c r="B37" s="48">
        <v>41964</v>
      </c>
      <c r="C37" s="36" t="s">
        <v>418</v>
      </c>
      <c r="D37" s="32"/>
      <c r="E37" s="32">
        <v>1461.6</v>
      </c>
      <c r="F37" s="33">
        <f t="shared" si="0"/>
        <v>27881.82</v>
      </c>
    </row>
    <row r="38" spans="2:6" x14ac:dyDescent="0.25">
      <c r="B38" s="97">
        <v>41964</v>
      </c>
      <c r="C38" s="95" t="s">
        <v>482</v>
      </c>
      <c r="D38" s="96"/>
      <c r="E38" s="96">
        <v>1600</v>
      </c>
      <c r="F38" s="33">
        <f t="shared" si="0"/>
        <v>26281.82</v>
      </c>
    </row>
    <row r="39" spans="2:6" x14ac:dyDescent="0.25">
      <c r="B39" s="48">
        <v>41965</v>
      </c>
      <c r="C39" s="36" t="s">
        <v>419</v>
      </c>
      <c r="D39" s="32"/>
      <c r="E39" s="32">
        <v>500</v>
      </c>
      <c r="F39" s="33">
        <f t="shared" si="0"/>
        <v>25781.82</v>
      </c>
    </row>
    <row r="40" spans="2:6" x14ac:dyDescent="0.25">
      <c r="B40" s="48">
        <v>41965</v>
      </c>
      <c r="C40" s="36" t="s">
        <v>424</v>
      </c>
      <c r="D40" s="32"/>
      <c r="E40" s="32">
        <v>87.5</v>
      </c>
      <c r="F40" s="33">
        <f t="shared" si="0"/>
        <v>25694.32</v>
      </c>
    </row>
    <row r="41" spans="2:6" x14ac:dyDescent="0.25">
      <c r="B41" s="48">
        <v>41967</v>
      </c>
      <c r="C41" s="36" t="s">
        <v>420</v>
      </c>
      <c r="D41" s="32"/>
      <c r="E41" s="32">
        <v>150</v>
      </c>
      <c r="F41" s="33">
        <f t="shared" si="0"/>
        <v>25544.32</v>
      </c>
    </row>
    <row r="42" spans="2:6" x14ac:dyDescent="0.25">
      <c r="B42" s="48">
        <v>41967</v>
      </c>
      <c r="C42" s="36" t="s">
        <v>400</v>
      </c>
      <c r="D42" s="32"/>
      <c r="E42" s="32">
        <v>261.27999999999997</v>
      </c>
      <c r="F42" s="33">
        <f t="shared" si="0"/>
        <v>25283.040000000001</v>
      </c>
    </row>
    <row r="43" spans="2:6" x14ac:dyDescent="0.25">
      <c r="B43" s="48">
        <v>41967</v>
      </c>
      <c r="C43" s="36" t="s">
        <v>434</v>
      </c>
      <c r="D43" s="32"/>
      <c r="E43" s="32">
        <v>595.6</v>
      </c>
      <c r="F43" s="33">
        <f t="shared" si="0"/>
        <v>24687.440000000002</v>
      </c>
    </row>
    <row r="44" spans="2:6" x14ac:dyDescent="0.25">
      <c r="B44" s="48">
        <v>41967</v>
      </c>
      <c r="C44" s="36" t="s">
        <v>433</v>
      </c>
      <c r="D44" s="32">
        <v>11000</v>
      </c>
      <c r="E44" s="32"/>
      <c r="F44" s="33">
        <f t="shared" si="0"/>
        <v>35687.440000000002</v>
      </c>
    </row>
    <row r="45" spans="2:6" x14ac:dyDescent="0.25">
      <c r="B45" s="48">
        <v>41969</v>
      </c>
      <c r="C45" s="36" t="s">
        <v>405</v>
      </c>
      <c r="D45" s="32"/>
      <c r="E45" s="32">
        <v>120</v>
      </c>
      <c r="F45" s="33">
        <f t="shared" si="0"/>
        <v>35567.440000000002</v>
      </c>
    </row>
    <row r="46" spans="2:6" x14ac:dyDescent="0.25">
      <c r="B46" s="48">
        <v>41971</v>
      </c>
      <c r="C46" s="36" t="s">
        <v>212</v>
      </c>
      <c r="D46" s="32"/>
      <c r="E46" s="32">
        <v>400</v>
      </c>
      <c r="F46" s="33">
        <f t="shared" si="0"/>
        <v>35167.440000000002</v>
      </c>
    </row>
    <row r="47" spans="2:6" x14ac:dyDescent="0.25">
      <c r="B47" s="48">
        <v>41971</v>
      </c>
      <c r="C47" s="36" t="s">
        <v>421</v>
      </c>
      <c r="D47" s="32"/>
      <c r="E47" s="32">
        <v>36</v>
      </c>
      <c r="F47" s="33">
        <f t="shared" si="0"/>
        <v>35131.440000000002</v>
      </c>
    </row>
    <row r="48" spans="2:6" x14ac:dyDescent="0.25">
      <c r="B48" s="48">
        <v>41973</v>
      </c>
      <c r="C48" s="36" t="s">
        <v>422</v>
      </c>
      <c r="D48" s="32"/>
      <c r="E48" s="32">
        <v>600</v>
      </c>
      <c r="F48" s="33">
        <f t="shared" si="0"/>
        <v>34531.440000000002</v>
      </c>
    </row>
    <row r="49" spans="2:6" x14ac:dyDescent="0.25">
      <c r="B49" s="48">
        <v>41973</v>
      </c>
      <c r="C49" s="36" t="s">
        <v>423</v>
      </c>
      <c r="D49" s="32"/>
      <c r="E49" s="32">
        <v>100</v>
      </c>
      <c r="F49" s="33">
        <f t="shared" si="0"/>
        <v>34431.440000000002</v>
      </c>
    </row>
    <row r="50" spans="2:6" x14ac:dyDescent="0.25">
      <c r="B50" s="48">
        <v>41973</v>
      </c>
      <c r="C50" s="36" t="s">
        <v>425</v>
      </c>
      <c r="D50" s="32"/>
      <c r="E50" s="32">
        <v>5500</v>
      </c>
      <c r="F50" s="33">
        <f t="shared" si="0"/>
        <v>28931.440000000002</v>
      </c>
    </row>
    <row r="51" spans="2:6" x14ac:dyDescent="0.25">
      <c r="B51" s="48">
        <v>41973</v>
      </c>
      <c r="C51" s="36" t="s">
        <v>426</v>
      </c>
      <c r="D51" s="32"/>
      <c r="E51" s="32">
        <v>3200</v>
      </c>
      <c r="F51" s="33">
        <f t="shared" si="0"/>
        <v>25731.440000000002</v>
      </c>
    </row>
    <row r="52" spans="2:6" x14ac:dyDescent="0.25">
      <c r="B52" s="48">
        <v>41973</v>
      </c>
      <c r="C52" s="36" t="s">
        <v>427</v>
      </c>
      <c r="D52" s="32"/>
      <c r="E52" s="32">
        <v>27900</v>
      </c>
      <c r="F52" s="33">
        <f t="shared" si="0"/>
        <v>-2168.5599999999977</v>
      </c>
    </row>
    <row r="53" spans="2:6" ht="15.75" thickBot="1" x14ac:dyDescent="0.3">
      <c r="B53" s="48">
        <v>41973</v>
      </c>
      <c r="C53" s="36" t="s">
        <v>433</v>
      </c>
      <c r="D53" s="32">
        <v>24410</v>
      </c>
      <c r="E53" s="32"/>
      <c r="F53" s="33">
        <f t="shared" si="0"/>
        <v>22241.440000000002</v>
      </c>
    </row>
    <row r="54" spans="2:6" ht="15.75" thickBot="1" x14ac:dyDescent="0.3">
      <c r="B54" s="86"/>
      <c r="C54" s="22" t="s">
        <v>1</v>
      </c>
      <c r="D54" s="21">
        <f>SUM(D5:D53)</f>
        <v>110410</v>
      </c>
      <c r="E54" s="21">
        <f>SUM(E5:E53)</f>
        <v>91538.28</v>
      </c>
      <c r="F54" s="50"/>
    </row>
  </sheetData>
  <mergeCells count="1">
    <mergeCell ref="B2:F2"/>
  </mergeCells>
  <printOptions verticalCentered="1"/>
  <pageMargins left="0.70866141732283472" right="0.70866141732283472" top="0.74803149606299213" bottom="0.74803149606299213" header="0.31496062992125984" footer="0.31496062992125984"/>
  <pageSetup paperSize="9" scale="78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55"/>
  <sheetViews>
    <sheetView topLeftCell="A31" workbookViewId="0">
      <selection activeCell="E57" sqref="E57"/>
    </sheetView>
  </sheetViews>
  <sheetFormatPr baseColWidth="10" defaultRowHeight="15" x14ac:dyDescent="0.25"/>
  <cols>
    <col min="2" max="2" width="11.42578125" customWidth="1"/>
    <col min="3" max="3" width="64.140625" customWidth="1"/>
    <col min="4" max="4" width="13" customWidth="1"/>
  </cols>
  <sheetData>
    <row r="1" spans="2:6" x14ac:dyDescent="0.25">
      <c r="B1" s="79">
        <v>42004</v>
      </c>
    </row>
    <row r="2" spans="2:6" x14ac:dyDescent="0.25">
      <c r="B2" s="104" t="s">
        <v>429</v>
      </c>
      <c r="C2" s="104"/>
      <c r="D2" s="104"/>
      <c r="E2" s="104"/>
      <c r="F2" s="104"/>
    </row>
    <row r="3" spans="2:6" ht="15.75" thickBot="1" x14ac:dyDescent="0.3">
      <c r="C3" s="64"/>
      <c r="D3" s="64"/>
    </row>
    <row r="4" spans="2:6" ht="15.75" thickBot="1" x14ac:dyDescent="0.3">
      <c r="B4" s="11" t="s">
        <v>20</v>
      </c>
      <c r="C4" s="17" t="s">
        <v>21</v>
      </c>
      <c r="D4" s="11" t="s">
        <v>22</v>
      </c>
      <c r="E4" s="12" t="s">
        <v>24</v>
      </c>
      <c r="F4" s="13" t="s">
        <v>23</v>
      </c>
    </row>
    <row r="5" spans="2:6" x14ac:dyDescent="0.25">
      <c r="B5" s="55">
        <v>41973</v>
      </c>
      <c r="C5" s="26" t="s">
        <v>430</v>
      </c>
      <c r="D5" s="27"/>
      <c r="E5" s="28"/>
      <c r="F5" s="29">
        <v>22241.439999999999</v>
      </c>
    </row>
    <row r="6" spans="2:6" x14ac:dyDescent="0.25">
      <c r="B6" s="48">
        <v>41976</v>
      </c>
      <c r="C6" s="36" t="s">
        <v>194</v>
      </c>
      <c r="D6" s="32"/>
      <c r="E6" s="32">
        <v>90</v>
      </c>
      <c r="F6" s="33">
        <f>+F5+D6-E6</f>
        <v>22151.439999999999</v>
      </c>
    </row>
    <row r="7" spans="2:6" x14ac:dyDescent="0.25">
      <c r="B7" s="48">
        <v>41976</v>
      </c>
      <c r="C7" s="36" t="s">
        <v>435</v>
      </c>
      <c r="D7" s="32"/>
      <c r="E7" s="32">
        <v>5000</v>
      </c>
      <c r="F7" s="33">
        <f t="shared" ref="F7:F54" si="0">+F6+D7-E7</f>
        <v>17151.439999999999</v>
      </c>
    </row>
    <row r="8" spans="2:6" x14ac:dyDescent="0.25">
      <c r="B8" s="48">
        <v>41977</v>
      </c>
      <c r="C8" s="30" t="s">
        <v>436</v>
      </c>
      <c r="D8" s="31"/>
      <c r="E8" s="32">
        <v>500</v>
      </c>
      <c r="F8" s="33">
        <f t="shared" si="0"/>
        <v>16651.439999999999</v>
      </c>
    </row>
    <row r="9" spans="2:6" x14ac:dyDescent="0.25">
      <c r="B9" s="48">
        <v>41978</v>
      </c>
      <c r="C9" s="36" t="s">
        <v>437</v>
      </c>
      <c r="D9" s="32"/>
      <c r="E9" s="32">
        <v>300</v>
      </c>
      <c r="F9" s="33">
        <f t="shared" si="0"/>
        <v>16351.439999999999</v>
      </c>
    </row>
    <row r="10" spans="2:6" x14ac:dyDescent="0.25">
      <c r="B10" s="48">
        <v>41978</v>
      </c>
      <c r="C10" s="36" t="s">
        <v>438</v>
      </c>
      <c r="D10" s="32"/>
      <c r="E10" s="32">
        <v>500</v>
      </c>
      <c r="F10" s="33">
        <f t="shared" si="0"/>
        <v>15851.439999999999</v>
      </c>
    </row>
    <row r="11" spans="2:6" x14ac:dyDescent="0.25">
      <c r="B11" s="48">
        <v>41980</v>
      </c>
      <c r="C11" s="36" t="s">
        <v>439</v>
      </c>
      <c r="D11" s="32"/>
      <c r="E11" s="32">
        <v>200</v>
      </c>
      <c r="F11" s="33">
        <f t="shared" si="0"/>
        <v>15651.439999999999</v>
      </c>
    </row>
    <row r="12" spans="2:6" x14ac:dyDescent="0.25">
      <c r="B12" s="48">
        <v>41980</v>
      </c>
      <c r="C12" s="36" t="s">
        <v>370</v>
      </c>
      <c r="D12" s="32">
        <v>26475</v>
      </c>
      <c r="E12" s="32"/>
      <c r="F12" s="33">
        <f t="shared" si="0"/>
        <v>42126.44</v>
      </c>
    </row>
    <row r="13" spans="2:6" x14ac:dyDescent="0.25">
      <c r="B13" s="48">
        <v>41981</v>
      </c>
      <c r="C13" s="36" t="s">
        <v>133</v>
      </c>
      <c r="D13" s="32"/>
      <c r="E13" s="32">
        <v>30</v>
      </c>
      <c r="F13" s="33">
        <f t="shared" si="0"/>
        <v>42096.44</v>
      </c>
    </row>
    <row r="14" spans="2:6" x14ac:dyDescent="0.25">
      <c r="B14" s="48">
        <v>41983</v>
      </c>
      <c r="C14" s="36" t="s">
        <v>194</v>
      </c>
      <c r="D14" s="32"/>
      <c r="E14" s="32">
        <v>90</v>
      </c>
      <c r="F14" s="33">
        <f t="shared" si="0"/>
        <v>42006.44</v>
      </c>
    </row>
    <row r="15" spans="2:6" x14ac:dyDescent="0.25">
      <c r="B15" s="48">
        <v>41983</v>
      </c>
      <c r="C15" s="54" t="s">
        <v>440</v>
      </c>
      <c r="D15" s="32"/>
      <c r="E15" s="32">
        <v>10500</v>
      </c>
      <c r="F15" s="33">
        <f t="shared" si="0"/>
        <v>31506.440000000002</v>
      </c>
    </row>
    <row r="16" spans="2:6" x14ac:dyDescent="0.25">
      <c r="B16" s="48">
        <v>41983</v>
      </c>
      <c r="C16" s="36" t="s">
        <v>441</v>
      </c>
      <c r="D16" s="32"/>
      <c r="E16" s="32">
        <v>500</v>
      </c>
      <c r="F16" s="33">
        <f t="shared" si="0"/>
        <v>31006.440000000002</v>
      </c>
    </row>
    <row r="17" spans="2:7" x14ac:dyDescent="0.25">
      <c r="B17" s="48">
        <v>41983</v>
      </c>
      <c r="C17" s="37" t="s">
        <v>442</v>
      </c>
      <c r="D17" s="32"/>
      <c r="E17" s="32">
        <v>816</v>
      </c>
      <c r="F17" s="33">
        <f t="shared" si="0"/>
        <v>30190.440000000002</v>
      </c>
    </row>
    <row r="18" spans="2:7" x14ac:dyDescent="0.25">
      <c r="B18" s="48">
        <v>41985</v>
      </c>
      <c r="C18" s="37" t="s">
        <v>443</v>
      </c>
      <c r="D18" s="32"/>
      <c r="E18" s="32">
        <v>100</v>
      </c>
      <c r="F18" s="33">
        <f t="shared" si="0"/>
        <v>30090.440000000002</v>
      </c>
    </row>
    <row r="19" spans="2:7" x14ac:dyDescent="0.25">
      <c r="B19" s="48">
        <v>41985</v>
      </c>
      <c r="C19" s="36" t="s">
        <v>444</v>
      </c>
      <c r="D19" s="32"/>
      <c r="E19" s="32">
        <v>18250</v>
      </c>
      <c r="F19" s="33">
        <f t="shared" si="0"/>
        <v>11840.440000000002</v>
      </c>
    </row>
    <row r="20" spans="2:7" x14ac:dyDescent="0.25">
      <c r="B20" s="48">
        <v>41985</v>
      </c>
      <c r="C20" s="37" t="s">
        <v>438</v>
      </c>
      <c r="D20" s="32"/>
      <c r="E20" s="32">
        <v>500</v>
      </c>
      <c r="F20" s="33">
        <f t="shared" si="0"/>
        <v>11340.440000000002</v>
      </c>
    </row>
    <row r="21" spans="2:7" x14ac:dyDescent="0.25">
      <c r="B21" s="48">
        <v>41987</v>
      </c>
      <c r="C21" s="36" t="s">
        <v>370</v>
      </c>
      <c r="D21" s="32">
        <v>16470</v>
      </c>
      <c r="E21" s="32"/>
      <c r="F21" s="33">
        <f t="shared" si="0"/>
        <v>27810.440000000002</v>
      </c>
    </row>
    <row r="22" spans="2:7" x14ac:dyDescent="0.25">
      <c r="B22" s="48">
        <v>41987</v>
      </c>
      <c r="C22" s="36" t="s">
        <v>445</v>
      </c>
      <c r="D22" s="32"/>
      <c r="E22" s="32">
        <v>3500</v>
      </c>
      <c r="F22" s="33">
        <f t="shared" si="0"/>
        <v>24310.440000000002</v>
      </c>
    </row>
    <row r="23" spans="2:7" x14ac:dyDescent="0.25">
      <c r="B23" s="48">
        <v>41988</v>
      </c>
      <c r="C23" s="36" t="s">
        <v>354</v>
      </c>
      <c r="D23" s="32"/>
      <c r="E23" s="32">
        <v>60</v>
      </c>
      <c r="F23" s="33">
        <f t="shared" si="0"/>
        <v>24250.440000000002</v>
      </c>
    </row>
    <row r="24" spans="2:7" x14ac:dyDescent="0.25">
      <c r="B24" s="48">
        <v>41988</v>
      </c>
      <c r="C24" s="36" t="s">
        <v>449</v>
      </c>
      <c r="D24" s="32"/>
      <c r="E24" s="32">
        <v>27900</v>
      </c>
      <c r="F24" s="33">
        <f t="shared" si="0"/>
        <v>-3649.5599999999977</v>
      </c>
    </row>
    <row r="25" spans="2:7" x14ac:dyDescent="0.25">
      <c r="B25" s="48">
        <v>41988</v>
      </c>
      <c r="C25" s="36" t="s">
        <v>450</v>
      </c>
      <c r="D25" s="32"/>
      <c r="E25" s="32">
        <v>3200</v>
      </c>
      <c r="F25" s="33">
        <f t="shared" si="0"/>
        <v>-6849.5599999999977</v>
      </c>
    </row>
    <row r="26" spans="2:7" x14ac:dyDescent="0.25">
      <c r="B26" s="48">
        <v>41988</v>
      </c>
      <c r="C26" s="37" t="s">
        <v>451</v>
      </c>
      <c r="D26" s="32"/>
      <c r="E26" s="32">
        <v>3200</v>
      </c>
      <c r="F26" s="33">
        <f t="shared" si="0"/>
        <v>-10049.559999999998</v>
      </c>
    </row>
    <row r="27" spans="2:7" x14ac:dyDescent="0.25">
      <c r="B27" s="48">
        <v>41989</v>
      </c>
      <c r="C27" s="36" t="s">
        <v>446</v>
      </c>
      <c r="D27" s="32"/>
      <c r="E27" s="32">
        <v>300</v>
      </c>
      <c r="F27" s="33">
        <f t="shared" si="0"/>
        <v>-10349.559999999998</v>
      </c>
    </row>
    <row r="28" spans="2:7" x14ac:dyDescent="0.25">
      <c r="B28" s="48">
        <v>41989</v>
      </c>
      <c r="C28" s="36" t="s">
        <v>447</v>
      </c>
      <c r="D28" s="32"/>
      <c r="E28" s="32">
        <v>1100</v>
      </c>
      <c r="F28" s="33">
        <f t="shared" si="0"/>
        <v>-11449.559999999998</v>
      </c>
    </row>
    <row r="29" spans="2:7" x14ac:dyDescent="0.25">
      <c r="B29" s="48">
        <v>41989</v>
      </c>
      <c r="C29" s="36" t="s">
        <v>468</v>
      </c>
      <c r="D29" s="32"/>
      <c r="E29" s="32">
        <v>300</v>
      </c>
      <c r="F29" s="33">
        <f t="shared" si="0"/>
        <v>-11749.559999999998</v>
      </c>
      <c r="G29" s="1"/>
    </row>
    <row r="30" spans="2:7" x14ac:dyDescent="0.25">
      <c r="B30" s="59">
        <v>41990</v>
      </c>
      <c r="C30" s="54" t="s">
        <v>448</v>
      </c>
      <c r="D30" s="32"/>
      <c r="E30" s="32">
        <v>4000</v>
      </c>
      <c r="F30" s="33">
        <f t="shared" si="0"/>
        <v>-15749.559999999998</v>
      </c>
    </row>
    <row r="31" spans="2:7" x14ac:dyDescent="0.25">
      <c r="B31" s="48">
        <v>41992</v>
      </c>
      <c r="C31" s="37" t="s">
        <v>438</v>
      </c>
      <c r="D31" s="32"/>
      <c r="E31" s="32">
        <v>500</v>
      </c>
      <c r="F31" s="33">
        <f t="shared" si="0"/>
        <v>-16249.559999999998</v>
      </c>
    </row>
    <row r="32" spans="2:7" x14ac:dyDescent="0.25">
      <c r="B32" s="48">
        <v>41992</v>
      </c>
      <c r="C32" s="36" t="s">
        <v>370</v>
      </c>
      <c r="D32" s="32">
        <v>45000</v>
      </c>
      <c r="E32" s="32"/>
      <c r="F32" s="33">
        <f t="shared" si="0"/>
        <v>28750.440000000002</v>
      </c>
    </row>
    <row r="33" spans="2:6" x14ac:dyDescent="0.25">
      <c r="B33" s="48">
        <v>41994</v>
      </c>
      <c r="C33" s="37" t="s">
        <v>370</v>
      </c>
      <c r="D33" s="32">
        <v>14000</v>
      </c>
      <c r="E33" s="32"/>
      <c r="F33" s="33">
        <f t="shared" si="0"/>
        <v>42750.44</v>
      </c>
    </row>
    <row r="34" spans="2:6" x14ac:dyDescent="0.25">
      <c r="B34" s="48">
        <v>41995</v>
      </c>
      <c r="C34" s="37" t="s">
        <v>453</v>
      </c>
      <c r="D34" s="32"/>
      <c r="E34" s="32">
        <v>417.6</v>
      </c>
      <c r="F34" s="33">
        <f t="shared" si="0"/>
        <v>42332.840000000004</v>
      </c>
    </row>
    <row r="35" spans="2:6" x14ac:dyDescent="0.25">
      <c r="B35" s="48">
        <v>41996</v>
      </c>
      <c r="C35" s="37" t="s">
        <v>452</v>
      </c>
      <c r="D35" s="32"/>
      <c r="E35" s="32">
        <v>900</v>
      </c>
      <c r="F35" s="33">
        <f t="shared" si="0"/>
        <v>41432.840000000004</v>
      </c>
    </row>
    <row r="36" spans="2:6" x14ac:dyDescent="0.25">
      <c r="B36" s="48">
        <v>41996</v>
      </c>
      <c r="C36" s="36" t="s">
        <v>454</v>
      </c>
      <c r="D36" s="32"/>
      <c r="E36" s="32">
        <v>161</v>
      </c>
      <c r="F36" s="33">
        <f t="shared" si="0"/>
        <v>41271.840000000004</v>
      </c>
    </row>
    <row r="37" spans="2:6" x14ac:dyDescent="0.25">
      <c r="B37" s="48">
        <v>41996</v>
      </c>
      <c r="C37" s="36" t="s">
        <v>458</v>
      </c>
      <c r="D37" s="32"/>
      <c r="E37" s="32">
        <v>3600</v>
      </c>
      <c r="F37" s="33">
        <f t="shared" si="0"/>
        <v>37671.840000000004</v>
      </c>
    </row>
    <row r="38" spans="2:6" x14ac:dyDescent="0.25">
      <c r="B38" s="48">
        <v>41997</v>
      </c>
      <c r="C38" s="37" t="s">
        <v>455</v>
      </c>
      <c r="D38" s="32"/>
      <c r="E38" s="32">
        <v>332.4</v>
      </c>
      <c r="F38" s="33">
        <f t="shared" si="0"/>
        <v>37339.440000000002</v>
      </c>
    </row>
    <row r="39" spans="2:6" x14ac:dyDescent="0.25">
      <c r="B39" s="48">
        <v>41997</v>
      </c>
      <c r="C39" s="36" t="s">
        <v>266</v>
      </c>
      <c r="D39" s="32"/>
      <c r="E39" s="32">
        <v>90</v>
      </c>
      <c r="F39" s="33">
        <f t="shared" si="0"/>
        <v>37249.440000000002</v>
      </c>
    </row>
    <row r="40" spans="2:6" x14ac:dyDescent="0.25">
      <c r="B40" s="48">
        <v>41997</v>
      </c>
      <c r="C40" s="54" t="s">
        <v>459</v>
      </c>
      <c r="D40" s="32"/>
      <c r="E40" s="32">
        <v>200</v>
      </c>
      <c r="F40" s="33">
        <f t="shared" si="0"/>
        <v>37049.440000000002</v>
      </c>
    </row>
    <row r="41" spans="2:6" x14ac:dyDescent="0.25">
      <c r="B41" s="48">
        <v>41997</v>
      </c>
      <c r="C41" s="36" t="s">
        <v>460</v>
      </c>
      <c r="D41" s="32"/>
      <c r="E41" s="32">
        <v>500</v>
      </c>
      <c r="F41" s="33">
        <f t="shared" si="0"/>
        <v>36549.440000000002</v>
      </c>
    </row>
    <row r="42" spans="2:6" x14ac:dyDescent="0.25">
      <c r="B42" s="48">
        <v>41999</v>
      </c>
      <c r="C42" s="36" t="s">
        <v>456</v>
      </c>
      <c r="D42" s="32"/>
      <c r="E42" s="32">
        <v>30</v>
      </c>
      <c r="F42" s="33">
        <f t="shared" si="0"/>
        <v>36519.440000000002</v>
      </c>
    </row>
    <row r="43" spans="2:6" x14ac:dyDescent="0.25">
      <c r="B43" s="48">
        <v>41999</v>
      </c>
      <c r="C43" s="36" t="s">
        <v>438</v>
      </c>
      <c r="D43" s="32"/>
      <c r="E43" s="32">
        <v>500</v>
      </c>
      <c r="F43" s="33">
        <f t="shared" si="0"/>
        <v>36019.440000000002</v>
      </c>
    </row>
    <row r="44" spans="2:6" x14ac:dyDescent="0.25">
      <c r="B44" s="48">
        <v>42001</v>
      </c>
      <c r="C44" s="36" t="s">
        <v>370</v>
      </c>
      <c r="D44" s="32">
        <v>16000</v>
      </c>
      <c r="E44" s="32"/>
      <c r="F44" s="33">
        <f t="shared" si="0"/>
        <v>52019.44</v>
      </c>
    </row>
    <row r="45" spans="2:6" x14ac:dyDescent="0.25">
      <c r="B45" s="48">
        <v>42002</v>
      </c>
      <c r="C45" s="54" t="s">
        <v>457</v>
      </c>
      <c r="D45" s="32"/>
      <c r="E45" s="32">
        <v>90</v>
      </c>
      <c r="F45" s="33">
        <f t="shared" si="0"/>
        <v>51929.440000000002</v>
      </c>
    </row>
    <row r="46" spans="2:6" x14ac:dyDescent="0.25">
      <c r="B46" s="48">
        <v>42002</v>
      </c>
      <c r="C46" s="54" t="s">
        <v>486</v>
      </c>
      <c r="D46" s="32">
        <v>4620.9399999999996</v>
      </c>
      <c r="E46" s="32"/>
      <c r="F46" s="33">
        <f t="shared" si="0"/>
        <v>56550.380000000005</v>
      </c>
    </row>
    <row r="47" spans="2:6" x14ac:dyDescent="0.25">
      <c r="B47" s="100">
        <v>42002</v>
      </c>
      <c r="C47" s="101" t="s">
        <v>461</v>
      </c>
      <c r="D47" s="102"/>
      <c r="E47" s="102">
        <v>4620.9399999999996</v>
      </c>
      <c r="F47" s="33">
        <f t="shared" si="0"/>
        <v>51929.440000000002</v>
      </c>
    </row>
    <row r="48" spans="2:6" x14ac:dyDescent="0.25">
      <c r="B48" s="48">
        <v>42002</v>
      </c>
      <c r="C48" s="36" t="s">
        <v>370</v>
      </c>
      <c r="D48" s="32">
        <v>25000</v>
      </c>
      <c r="E48" s="32"/>
      <c r="F48" s="33">
        <f t="shared" si="0"/>
        <v>76929.440000000002</v>
      </c>
    </row>
    <row r="49" spans="2:6" x14ac:dyDescent="0.25">
      <c r="B49" s="48">
        <v>42003</v>
      </c>
      <c r="C49" s="36" t="s">
        <v>462</v>
      </c>
      <c r="D49" s="32"/>
      <c r="E49" s="32">
        <v>22.5</v>
      </c>
      <c r="F49" s="33">
        <f t="shared" si="0"/>
        <v>76906.94</v>
      </c>
    </row>
    <row r="50" spans="2:6" x14ac:dyDescent="0.25">
      <c r="B50" s="48">
        <v>42003</v>
      </c>
      <c r="C50" s="36" t="s">
        <v>463</v>
      </c>
      <c r="D50" s="32"/>
      <c r="E50" s="32">
        <v>5000</v>
      </c>
      <c r="F50" s="33">
        <f t="shared" si="0"/>
        <v>71906.94</v>
      </c>
    </row>
    <row r="51" spans="2:6" x14ac:dyDescent="0.25">
      <c r="B51" s="48">
        <v>42003</v>
      </c>
      <c r="C51" s="36" t="s">
        <v>464</v>
      </c>
      <c r="D51" s="32"/>
      <c r="E51" s="32">
        <v>250</v>
      </c>
      <c r="F51" s="33">
        <f t="shared" si="0"/>
        <v>71656.94</v>
      </c>
    </row>
    <row r="52" spans="2:6" x14ac:dyDescent="0.25">
      <c r="B52" s="48">
        <v>42004</v>
      </c>
      <c r="C52" s="36" t="s">
        <v>465</v>
      </c>
      <c r="D52" s="32"/>
      <c r="E52" s="32">
        <v>3200</v>
      </c>
      <c r="F52" s="33">
        <f t="shared" si="0"/>
        <v>68456.94</v>
      </c>
    </row>
    <row r="53" spans="2:6" x14ac:dyDescent="0.25">
      <c r="B53" s="48">
        <v>42004</v>
      </c>
      <c r="C53" s="36" t="s">
        <v>466</v>
      </c>
      <c r="D53" s="32"/>
      <c r="E53" s="32">
        <v>27900</v>
      </c>
      <c r="F53" s="33">
        <f t="shared" si="0"/>
        <v>40556.94</v>
      </c>
    </row>
    <row r="54" spans="2:6" ht="15.75" thickBot="1" x14ac:dyDescent="0.3">
      <c r="B54" s="100">
        <v>42004</v>
      </c>
      <c r="C54" s="98" t="s">
        <v>483</v>
      </c>
      <c r="D54" s="102"/>
      <c r="E54" s="102">
        <v>1600</v>
      </c>
      <c r="F54" s="33">
        <f t="shared" si="0"/>
        <v>38956.94</v>
      </c>
    </row>
    <row r="55" spans="2:6" ht="15.75" thickBot="1" x14ac:dyDescent="0.3">
      <c r="B55" s="86"/>
      <c r="C55" s="22" t="s">
        <v>1</v>
      </c>
      <c r="D55" s="21">
        <f>SUM(D5:D54)</f>
        <v>147565.94</v>
      </c>
      <c r="E55" s="21">
        <f>SUM(E5:E54)</f>
        <v>130850.44</v>
      </c>
      <c r="F55" s="50"/>
    </row>
  </sheetData>
  <mergeCells count="1">
    <mergeCell ref="B2:F2"/>
  </mergeCells>
  <printOptions verticalCentered="1"/>
  <pageMargins left="0.70866141732283472" right="0.70866141732283472" top="0.74803149606299213" bottom="0.74803149606299213" header="0.31496062992125984" footer="0.31496062992125984"/>
  <pageSetup paperSize="9" scale="78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13</vt:i4>
      </vt:variant>
    </vt:vector>
  </HeadingPairs>
  <TitlesOfParts>
    <vt:vector size="27" baseType="lpstr">
      <vt:lpstr>FEBRERO-14_1</vt:lpstr>
      <vt:lpstr>ENERO-14)</vt:lpstr>
      <vt:lpstr>FEBRERO-14</vt:lpstr>
      <vt:lpstr>MARZO-14</vt:lpstr>
      <vt:lpstr>ABRIL-14 </vt:lpstr>
      <vt:lpstr>MAYO-14 (2)</vt:lpstr>
      <vt:lpstr>JUNIO-14 (2)</vt:lpstr>
      <vt:lpstr>JULIO-14 (2)</vt:lpstr>
      <vt:lpstr>AGOSTO-14 (2)</vt:lpstr>
      <vt:lpstr>SEPT-14 (2)</vt:lpstr>
      <vt:lpstr>OCTUBRE-14 (2)</vt:lpstr>
      <vt:lpstr>NOVIEMBRE-14 (2)</vt:lpstr>
      <vt:lpstr>DICIEMBRE-14</vt:lpstr>
      <vt:lpstr>Hoja3</vt:lpstr>
      <vt:lpstr>'ABRIL-14 '!Área_de_impresión</vt:lpstr>
      <vt:lpstr>'AGOSTO-14 (2)'!Área_de_impresión</vt:lpstr>
      <vt:lpstr>'DICIEMBRE-14'!Área_de_impresión</vt:lpstr>
      <vt:lpstr>'ENERO-14)'!Área_de_impresión</vt:lpstr>
      <vt:lpstr>'FEBRERO-14'!Área_de_impresión</vt:lpstr>
      <vt:lpstr>'FEBRERO-14_1'!Área_de_impresión</vt:lpstr>
      <vt:lpstr>'JULIO-14 (2)'!Área_de_impresión</vt:lpstr>
      <vt:lpstr>'JUNIO-14 (2)'!Área_de_impresión</vt:lpstr>
      <vt:lpstr>'MARZO-14'!Área_de_impresión</vt:lpstr>
      <vt:lpstr>'MAYO-14 (2)'!Área_de_impresión</vt:lpstr>
      <vt:lpstr>'NOVIEMBRE-14 (2)'!Área_de_impresión</vt:lpstr>
      <vt:lpstr>'OCTUBRE-14 (2)'!Área_de_impresión</vt:lpstr>
      <vt:lpstr>'SEPT-14 (2)'!Área_de_impresión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Baldemar Sala Bay</dc:creator>
  <cp:lastModifiedBy>Bsala</cp:lastModifiedBy>
  <cp:lastPrinted>2016-03-09T18:49:30Z</cp:lastPrinted>
  <dcterms:created xsi:type="dcterms:W3CDTF">2014-03-03T21:03:38Z</dcterms:created>
  <dcterms:modified xsi:type="dcterms:W3CDTF">2016-03-09T20:20:28Z</dcterms:modified>
</cp:coreProperties>
</file>