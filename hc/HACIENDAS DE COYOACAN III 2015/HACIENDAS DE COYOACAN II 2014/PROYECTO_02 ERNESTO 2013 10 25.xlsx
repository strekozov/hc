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680" yWindow="-15" windowWidth="7725" windowHeight="7770" tabRatio="576" activeTab="4"/>
  </bookViews>
  <sheets>
    <sheet name="base" sheetId="1" r:id="rId1"/>
    <sheet name="recibos" sheetId="2" r:id="rId2"/>
    <sheet name="criterios" sheetId="3" r:id="rId3"/>
    <sheet name="cobranza 2013" sheetId="4" r:id="rId4"/>
    <sheet name="financiero" sheetId="5" r:id="rId5"/>
    <sheet name="estadística" sheetId="7" r:id="rId6"/>
    <sheet name="consulta" sheetId="6" r:id="rId7"/>
    <sheet name="chequera" sheetId="9" r:id="rId8"/>
    <sheet name="conciliaciones" sheetId="10" r:id="rId9"/>
    <sheet name="Gastos" sheetId="11" r:id="rId10"/>
    <sheet name="Nómina" sheetId="12" r:id="rId11"/>
  </sheets>
  <definedNames>
    <definedName name="_xlnm._FilterDatabase" localSheetId="0" hidden="1">base!$B$5:$K$446</definedName>
    <definedName name="_xlnm._FilterDatabase" localSheetId="7" hidden="1">chequera!$B$3:$J$96</definedName>
    <definedName name="_xlnm._FilterDatabase" localSheetId="3" hidden="1">'cobranza 2013'!$A$6:$V$448</definedName>
    <definedName name="_xlnm._FilterDatabase" localSheetId="9" hidden="1">Gastos!$A$3:$H$214</definedName>
    <definedName name="_xlnm._FilterDatabase" localSheetId="1" hidden="1">recibos!$A$4:$AM$2155</definedName>
    <definedName name="AA">recibos!$W$4</definedName>
    <definedName name="ABR_2013">recibos!$B$978:$AI$1162</definedName>
    <definedName name="AGO">8</definedName>
    <definedName name="AGO_2013">recibos!$B$1763:$AI$1933</definedName>
    <definedName name="AGO_2013_A">recibos!$B$4:$AI$1933</definedName>
    <definedName name="_xlnm.Print_Area" localSheetId="0">base!$H$5:$K$317</definedName>
    <definedName name="_xlnm.Print_Area" localSheetId="3">'cobranza 2013'!$C$8:$V$448</definedName>
    <definedName name="_xlnm.Print_Area" localSheetId="6">consulta!$D$4:$I$31</definedName>
    <definedName name="_xlnm.Print_Area" localSheetId="5">estadística!$B$1:$L$48</definedName>
    <definedName name="_xlnm.Print_Area" localSheetId="4">financiero!$B$1:$L$71</definedName>
    <definedName name="BASE_A" comment="Es la base de datos de la hoja base">base!$B$5:$K$446</definedName>
    <definedName name="BASE_B" comment="Son las columnas A y B de la hoja base y se utilizan para el reporte de la hoja consulta">base!$A$5:$B$446</definedName>
    <definedName name="BCO_ABR13">chequera!$B$52:$J$59</definedName>
    <definedName name="BCO_AGO13">chequera!$B$91:$J$96</definedName>
    <definedName name="BCO_AGO13_A">chequera!$B$3:$J$96</definedName>
    <definedName name="BCO_ENE13">chequera!$B$3:$J$22</definedName>
    <definedName name="BCO_FEB13">chequera!$B$23:$J$39</definedName>
    <definedName name="BCO_JUL13">chequera!$B$83:$J$90</definedName>
    <definedName name="BCO_JUL13_A">chequera!$B$3:$J$90</definedName>
    <definedName name="BCO_JUN13">chequera!$B$74:$J$82</definedName>
    <definedName name="BCO_JUN13_A">chequera!$B$3:$J$82</definedName>
    <definedName name="BCO_MAR13">chequera!$B$40:$J$51</definedName>
    <definedName name="BCO_MAY13">chequera!$B$61:$J$73</definedName>
    <definedName name="BCO_MAY13_A">chequera!$B$3:$J$73</definedName>
    <definedName name="BCO_SEP13">chequera!$B$97:$J$100</definedName>
    <definedName name="BCO_SEP13_A">chequera!$B$3:$J$100</definedName>
    <definedName name="Cafetales">criterios!$D$135:$E$136</definedName>
    <definedName name="CALLES" comment="Es la base de datos de la hoja cobranza 2013">'cobranza 2013'!$B$6:$J$448</definedName>
    <definedName name="Calzada_del_Hueso">criterios!$D$138:$E$139</definedName>
    <definedName name="Carmel">criterios!$FI$8:$FI$9</definedName>
    <definedName name="CL" comment="Lee de la hoja cobranza 2013 el nombre de la calle y la reporta en reportes (2) como cuotas cobradas el año 2013">criterios!$HS$2:$HS$3</definedName>
    <definedName name="CL_101_">criterios!$FF$2:$FG$3</definedName>
    <definedName name="CL_107_">criterios!$FH$2:$FI$3</definedName>
    <definedName name="CL_11_">criterios!$N$2:$O$3</definedName>
    <definedName name="CL_110_">criterios!$FJ$2:$FK$3</definedName>
    <definedName name="CL_111_">criterios!$FL$2:$FM$3</definedName>
    <definedName name="CL_112_PA">criterios!$FN$2:$FO$3</definedName>
    <definedName name="CL_112_PB">criterios!$FP$2:$FQ$3</definedName>
    <definedName name="CL_115_">criterios!$FR$2:$FS$3</definedName>
    <definedName name="CL_116_">criterios!$FT$2:$FU$3</definedName>
    <definedName name="CL_117_">criterios!$FV$2:$FW$3</definedName>
    <definedName name="CL_118_">criterios!$FX$2:$FY$3</definedName>
    <definedName name="CL_119_">criterios!$FZ$2:$GA$3</definedName>
    <definedName name="CL_12_">criterios!$P$2:$Q$3</definedName>
    <definedName name="CL_120_">criterios!$GB$2:$GC$3</definedName>
    <definedName name="CL_121_">criterios!$GD$2:$GE$3</definedName>
    <definedName name="CL_122_">criterios!$GF$2:$GG$3</definedName>
    <definedName name="CL_125_">criterios!$GH$2:$GI$3</definedName>
    <definedName name="CL_127_">criterios!$GJ$2:$GK$3</definedName>
    <definedName name="CL_129_">criterios!$GL$2:$GM$3</definedName>
    <definedName name="CL_13_">criterios!$R$2:$S$3</definedName>
    <definedName name="CL_130_">criterios!$GN$2:$GO$3</definedName>
    <definedName name="CL_131_">criterios!$GP$2:$GQ$3</definedName>
    <definedName name="CL_132_">criterios!$GR$2:$GS$3</definedName>
    <definedName name="CL_133_">criterios!$GT$2:$GU$3</definedName>
    <definedName name="CL_134_">criterios!$GV$2:$GW$3</definedName>
    <definedName name="CL_135_">criterios!$GX$2:$GY$3</definedName>
    <definedName name="CL_137_">criterios!$GZ$2:$HA$3</definedName>
    <definedName name="CL_139_">criterios!$HB$2:$HC$3</definedName>
    <definedName name="CL_14_">criterios!$T$2:$U$3</definedName>
    <definedName name="CL_141_">criterios!$HD$2:$HE$3</definedName>
    <definedName name="CL_144_">criterios!$HF$2:$HG$3</definedName>
    <definedName name="CL_145_">criterios!$HH$2:$HI$3</definedName>
    <definedName name="CL_147_">criterios!$HJ$2:$HK$3</definedName>
    <definedName name="CL_148_">criterios!$HL$2:$HM$3</definedName>
    <definedName name="CL_149_">criterios!$HN$2:$HO$3</definedName>
    <definedName name="CL_15_">criterios!$V$2:$W$3</definedName>
    <definedName name="CL_18_">criterios!$X$2:$Y$3</definedName>
    <definedName name="CL_19_">criterios!$Z$2:$AA$3</definedName>
    <definedName name="CL_20_">criterios!$AB$2:$AC$3</definedName>
    <definedName name="CL_21_">criterios!$AD$2:$AE$3</definedName>
    <definedName name="CL_23_">criterios!$AF$2:$AG$3</definedName>
    <definedName name="CL_25_">criterios!$AH$2:$AI$3</definedName>
    <definedName name="CL_27_">criterios!$AJ$2:$AK$3</definedName>
    <definedName name="CL_28_">criterios!$AL$2:$AM$3</definedName>
    <definedName name="CL_29_">criterios!$AN$2:$AO$3</definedName>
    <definedName name="CL_30_">criterios!$AP$2:$AQ$3</definedName>
    <definedName name="CL_31_">criterios!$AR$2:$AS$3</definedName>
    <definedName name="CL_32_">criterios!$AT$2:$AU$3</definedName>
    <definedName name="CL_33_">criterios!$AV$2:$AW$3</definedName>
    <definedName name="CL_35_">criterios!$AX$2:$AY$3</definedName>
    <definedName name="CL_36_">criterios!$AZ$2:$BA$3</definedName>
    <definedName name="CL_38_">criterios!$BB$2:$BC$3</definedName>
    <definedName name="CL_39_">criterios!$BD$2:$BE$3</definedName>
    <definedName name="CL_40_">criterios!$BF$2:$BG$3</definedName>
    <definedName name="CL_41_">criterios!$BH$2:$BI$3</definedName>
    <definedName name="CL_42_">criterios!$BJ$2:$BK$3</definedName>
    <definedName name="CL_43_A">criterios!$BL$2:$BM$3</definedName>
    <definedName name="CL_43_B">criterios!$BN$2:$BO$3</definedName>
    <definedName name="CL_44_">criterios!$BP$2:$BQ$3</definedName>
    <definedName name="CL_45_">criterios!$BR$2:$BS$3</definedName>
    <definedName name="CL_46_">criterios!$BT$2:$BU$3</definedName>
    <definedName name="CL_47_">criterios!$BV$2:$BW$3</definedName>
    <definedName name="CL_49_">criterios!$BX$2:$BY$3</definedName>
    <definedName name="CL_52_">criterios!$BZ$2:$CA$3</definedName>
    <definedName name="CL_53_">criterios!$CD$2:$CE$3</definedName>
    <definedName name="CL_54_">criterios!$CB$2:$CC$3</definedName>
    <definedName name="CL_55_">criterios!$CF$2:$CG$3</definedName>
    <definedName name="CL_57_">criterios!$CH$2:$CI$3</definedName>
    <definedName name="CL_58_">criterios!$CJ$2:$CK$3</definedName>
    <definedName name="CL_59_">criterios!$CL$2:$CM$3</definedName>
    <definedName name="CL_60_">criterios!$CN$2:$CO$3</definedName>
    <definedName name="CL_61_">criterios!$CP$2:$CQ$3</definedName>
    <definedName name="CL_62_">criterios!$CR$2:$CS$3</definedName>
    <definedName name="CL_63_">criterios!$CT$2:$CU$3</definedName>
    <definedName name="CL_65_">criterios!$CV$2:$CW$3</definedName>
    <definedName name="CL_66_">criterios!$CX$2:$CY$3</definedName>
    <definedName name="CL_67_">criterios!$CZ$2:$DA$3</definedName>
    <definedName name="CL_68_">criterios!$DB$2:$DC$3</definedName>
    <definedName name="CL_69_">criterios!$DD$2:$DE$3</definedName>
    <definedName name="CL_7_101">criterios!$D$2:$E$3</definedName>
    <definedName name="CL_7_102">criterios!$F$2:$G$3</definedName>
    <definedName name="CL_7_201">criterios!$H$2:$I$3</definedName>
    <definedName name="CL_7_202">criterios!$J$2:$K$3</definedName>
    <definedName name="CL_70_">criterios!$DF$2:$DG$3</definedName>
    <definedName name="CL_71_">criterios!$DH$2:$DI$3</definedName>
    <definedName name="CL_72_">criterios!$DJ$2:$DK$3</definedName>
    <definedName name="CL_73_">criterios!$DL$2:$DM$3</definedName>
    <definedName name="CL_74_">criterios!$DN$2:$DO$3</definedName>
    <definedName name="CL_75_">criterios!$DP$2:$DQ$3</definedName>
    <definedName name="CL_76_">criterios!$DR$2:$DS$3</definedName>
    <definedName name="CL_77_">criterios!$DT$2:$DU$3</definedName>
    <definedName name="CL_79_">criterios!$DV$2:$DW$3</definedName>
    <definedName name="CL_80_">criterios!$DX$2:$DY$3</definedName>
    <definedName name="CL_81_A">criterios!$DZ$2:$EA$3</definedName>
    <definedName name="CL_81_B">criterios!$EB$2:$EC$3</definedName>
    <definedName name="CL_82_">criterios!$ED$2:$EE$3</definedName>
    <definedName name="CL_83_">criterios!$EF$2:$EG$3</definedName>
    <definedName name="CL_86_">criterios!$EH$2:$EI$3</definedName>
    <definedName name="CL_87_">criterios!$EJ$2:$EK$3</definedName>
    <definedName name="CL_88_">criterios!$EL$2:$EM$3</definedName>
    <definedName name="CL_89_">criterios!$EN$2:$EO$3</definedName>
    <definedName name="CL_9_">criterios!$L$2:$M$3</definedName>
    <definedName name="CL_90_">criterios!$EP$2:$EQ$3</definedName>
    <definedName name="CL_91_">criterios!$ER$2:$ES$3</definedName>
    <definedName name="CL_92_">criterios!$ET$2:$EU$3</definedName>
    <definedName name="CL_93_">criterios!$EV$2:$EW$3</definedName>
    <definedName name="CL_94_">criterios!$EX$2:$EY$3</definedName>
    <definedName name="CL_95_">criterios!$EZ$2:$FA$3</definedName>
    <definedName name="CL_96_">criterios!$FB$2:$FC$3</definedName>
    <definedName name="CL_97_">criterios!$FD$2:$FE$3</definedName>
    <definedName name="CL_PAGA">criterios!$D$44:$E$45</definedName>
    <definedName name="CL_terreno_">criterios!$HP$2:$HQ$3</definedName>
    <definedName name="CL_TODO">criterios!$D$40:$E$41</definedName>
    <definedName name="CM">criterios!$FH$8:$FH$9</definedName>
    <definedName name="CM_130_A">criterios!$DN$8:$DO$9</definedName>
    <definedName name="CM_PAGA">criterios!$X$44:$Y$45</definedName>
    <definedName name="CM_TODO">criterios!$X$40:$Y$41</definedName>
    <definedName name="CT_PAGA">criterios!$F$44:$G$45</definedName>
    <definedName name="CT_TODO">criterios!$F$40:$G$41</definedName>
    <definedName name="CUCHILLA">criterios!$HR$2:$HR$3</definedName>
    <definedName name="CUOTA">base!$J$5</definedName>
    <definedName name="CZ_AGO_2013">recibos!$A$1763:$H$2054</definedName>
    <definedName name="deposito">chequera!$H$3</definedName>
    <definedName name="DIC_2012">recibos!$B$4:$AI$263</definedName>
    <definedName name="DTE_01">criterios!$D$49:$D$50</definedName>
    <definedName name="DTE_02">criterios!$E$49:$E$50</definedName>
    <definedName name="DTE_03">criterios!$F$49:$F$50</definedName>
    <definedName name="DTE_04">criterios!$G$49:$G$50</definedName>
    <definedName name="DTE_05">criterios!$H$49:$H$50</definedName>
    <definedName name="ENE_2013">recibos!$B$264:$AI$519</definedName>
    <definedName name="EP">criterios!$N$5:$N$6</definedName>
    <definedName name="EP_15_">criterios!$D$5:$E$6</definedName>
    <definedName name="EP_18_">criterios!$F$5:$G$6</definedName>
    <definedName name="EP_22_A">criterios!$H$5:$I$6</definedName>
    <definedName name="EP_22_B">criterios!$J$5:$K$6</definedName>
    <definedName name="EP_44_">criterios!$L$5:$M$6</definedName>
    <definedName name="EP_PAGA">criterios!$H$44:$I$45</definedName>
    <definedName name="EP_TODO">criterios!$H$40:$I$41</definedName>
    <definedName name="ESTANZUELA">criterios!$FG$8:$FG$9</definedName>
    <definedName name="ESTOPILA">criterios!$O$5:$O$6</definedName>
    <definedName name="EZ">criterios!$FF$8:$FF$9</definedName>
    <definedName name="EZ_100_">criterios!$CN$8:$CO$9</definedName>
    <definedName name="EZ_101_">criterios!$CP$8:$CQ$9</definedName>
    <definedName name="EZ_103_">criterios!$CR$8:$CS$9</definedName>
    <definedName name="EZ_105_">criterios!$CT$8:$CU$9</definedName>
    <definedName name="EZ_11_A">criterios!$R$8:$S$9</definedName>
    <definedName name="EZ_11_B">criterios!$T$8:$U$9</definedName>
    <definedName name="EZ_111_">criterios!$CV$8:$CW$9</definedName>
    <definedName name="EZ_115_">criterios!$CX$8:$CY$9</definedName>
    <definedName name="EZ_117_">criterios!$CZ$8:$DA$9</definedName>
    <definedName name="EZ_119_0">criterios!$DD$8:$DE$9</definedName>
    <definedName name="EZ_119_2">criterios!$DB$8:$DC$9</definedName>
    <definedName name="EZ_121_">criterios!$DF$8:$DG$9</definedName>
    <definedName name="EZ_123_">criterios!$DH$8:$DI$9</definedName>
    <definedName name="EZ_127_">criterios!$DJ$8:$DK$9</definedName>
    <definedName name="EZ_129_">criterios!$DL$8:$DM$9</definedName>
    <definedName name="EZ_130_B">criterios!$DP$8:$DQ$9</definedName>
    <definedName name="EZ_133_">criterios!$DR$8:$DS$9</definedName>
    <definedName name="EZ_135_">criterios!$DT$8:$DU$9</definedName>
    <definedName name="EZ_139_">criterios!$DV$8:$DW$9</definedName>
    <definedName name="EZ_141_">criterios!$DX$8:$DY$9</definedName>
    <definedName name="EZ_147_1">criterios!$DZ$8:$EA$9</definedName>
    <definedName name="EZ_147_2">criterios!$EB$8:$EC$9</definedName>
    <definedName name="EZ_147_3">criterios!$ED$8:$EE$9</definedName>
    <definedName name="EZ_149_">criterios!$EF$8:$EG$9</definedName>
    <definedName name="EZ_15_A">criterios!$V$8:$W$9</definedName>
    <definedName name="EZ_15_B">criterios!$X$8:$Y$9</definedName>
    <definedName name="EZ_151_">criterios!$EH$8:$EI$9</definedName>
    <definedName name="EZ_153_">criterios!$EJ$8:$EK$9</definedName>
    <definedName name="EZ_155_">criterios!$EL$8:$EM$9</definedName>
    <definedName name="EZ_157_1">criterios!$EN$8:$EO$9</definedName>
    <definedName name="EZ_157_2">criterios!$EP$8:$EQ$9</definedName>
    <definedName name="EZ_157_3">criterios!$ER$8:$ES$9</definedName>
    <definedName name="EZ_159_">criterios!$ET$8:$EU$9</definedName>
    <definedName name="EZ_161_1">criterios!$EV$8:$EW$9</definedName>
    <definedName name="EZ_161_B">criterios!$EX$8:$EY$9</definedName>
    <definedName name="EZ_163_">criterios!$EZ$8:$FA$9</definedName>
    <definedName name="EZ_165_A">criterios!$FB$8:$FC$9</definedName>
    <definedName name="EZ_165_B">criterios!$FD$8:$FE$9</definedName>
    <definedName name="EZ_17_">criterios!$Z$8:$AA$9</definedName>
    <definedName name="EZ_19_">criterios!$AB$8:$AC$9</definedName>
    <definedName name="EZ_21_">criterios!$AD$8:$AE$9</definedName>
    <definedName name="EZ_25_">criterios!$AF$8:$AG$9</definedName>
    <definedName name="EZ_3_">criterios!$D$8:$E$9</definedName>
    <definedName name="EZ_31_">criterios!$AH$8:$AI$9</definedName>
    <definedName name="EZ_33_">criterios!$AJ$8:$AK$9</definedName>
    <definedName name="EZ_35_">criterios!$AL$8:$AM$9</definedName>
    <definedName name="EZ_37_">criterios!$AN$8:$AO$9</definedName>
    <definedName name="EZ_41_">criterios!$AP$8:$AQ$9</definedName>
    <definedName name="EZ_43_">criterios!$AR$8:$AS$9</definedName>
    <definedName name="EZ_45_">criterios!$AT$8:$AU$9</definedName>
    <definedName name="EZ_47_">criterios!$AV$8:$AW$9</definedName>
    <definedName name="EZ_49_">criterios!$AX$8:$AY$9</definedName>
    <definedName name="EZ_5_A">criterios!$F$8:$G$9</definedName>
    <definedName name="EZ_5_B">criterios!$H$8:$I$9</definedName>
    <definedName name="EZ_53_">criterios!$AZ$8:$BA$9</definedName>
    <definedName name="EZ_55_">criterios!$BB$8:$BC$9</definedName>
    <definedName name="EZ_57_">criterios!$BD$8:$BE$9</definedName>
    <definedName name="EZ_59_">criterios!$BF$8:$BG$9</definedName>
    <definedName name="EZ_61_">criterios!$BH$8:$BI$9</definedName>
    <definedName name="EZ_63_">criterios!$BJ$8:$BK$9</definedName>
    <definedName name="EZ_65_">criterios!$BL$8:$BM$9</definedName>
    <definedName name="EZ_67_">criterios!$BN$8:$BO$9</definedName>
    <definedName name="EZ_69_">criterios!$BP$8:$BQ$9</definedName>
    <definedName name="EZ_7_A">criterios!$J$8:$K$9</definedName>
    <definedName name="EZ_7_B">criterios!$L$8:$M$9</definedName>
    <definedName name="EZ_71_">criterios!$BR$8:$BS$9</definedName>
    <definedName name="EZ_73_">criterios!$BT$8:$BU$9</definedName>
    <definedName name="EZ_75_">criterios!$BV$8:$BW$9</definedName>
    <definedName name="EZ_77_">criterios!$BX$8:$BY$9</definedName>
    <definedName name="EZ_79_">criterios!$BZ$8:$CA$9</definedName>
    <definedName name="EZ_89_">criterios!$CB$8:$CC$9</definedName>
    <definedName name="EZ_9_A">criterios!$N$8:$O$9</definedName>
    <definedName name="EZ_9_B">criterios!$P$8:$Q$9</definedName>
    <definedName name="EZ_91_">criterios!$CD$8:$CE$9</definedName>
    <definedName name="EZ_93_">criterios!$CF$8:$CG$9</definedName>
    <definedName name="EZ_95_">criterios!$CH$8:$CI$9</definedName>
    <definedName name="EZ_97_">criterios!$CJ$8:$CK$9</definedName>
    <definedName name="EZ_99_">criterios!$CL$8:$CM$9</definedName>
    <definedName name="EZ_PAGA">criterios!$J$44:$K$45</definedName>
    <definedName name="EZ_TODO">criterios!$J$40:$K$41</definedName>
    <definedName name="FEB_2013">recibos!$B$520:$AI$740</definedName>
    <definedName name="G_ABR_2013">Gastos!$A$56:$H$72</definedName>
    <definedName name="G_ADQ">criterios!$D$85:$D$86</definedName>
    <definedName name="G_AGO_2013">Gastos!$A$171:$H$214</definedName>
    <definedName name="G_AGUA">criterios!$D$58:$D$59</definedName>
    <definedName name="G_ALMVG">criterios!$D$61:$D$62</definedName>
    <definedName name="G_ASLE">criterios!$D$121:$D$122</definedName>
    <definedName name="G_CBR">criterios!$D$112:$D$113</definedName>
    <definedName name="G_DIF">criterios!$D$127:$D$128</definedName>
    <definedName name="G_ENE_2013">Gastos!$A$3:$H$22</definedName>
    <definedName name="G_FEB_2013">Gastos!$A$23:$H$39</definedName>
    <definedName name="G_HCTB">criterios!$D$115:$D$116</definedName>
    <definedName name="G_HJRD">criterios!$D$118:$D$119</definedName>
    <definedName name="G_INFRA">criterios!$D$76:$D$77</definedName>
    <definedName name="G_JDN">criterios!$D$88:$D$89</definedName>
    <definedName name="G_JUL_2013">Gastos!$A$118:$H$170</definedName>
    <definedName name="G_JUN_2013">Gastos!$A$95:$H$117</definedName>
    <definedName name="G_MAR_2013">Gastos!$A$40:$H$55</definedName>
    <definedName name="G_MAY_2013">Gastos!$A$73:$H$94</definedName>
    <definedName name="G_MDC">criterios!$D$67:$D$68</definedName>
    <definedName name="G_MTCBQ">criterios!$D$100:$D$101</definedName>
    <definedName name="G_MTCST">criterios!$D$94:$D$95</definedName>
    <definedName name="G_MTCYP">criterios!$D$91:$D$92</definedName>
    <definedName name="G_MTILM">criterios!$D$97:$D$98</definedName>
    <definedName name="G_MTLPZ">criterios!$D$73:$D$74</definedName>
    <definedName name="G_MTPTA">criterios!$D$103:$D$104</definedName>
    <definedName name="G_NMNVG">criterios!$D$55:$D$56</definedName>
    <definedName name="G_ORG">criterios!$D$124:$D$125</definedName>
    <definedName name="G_P_Fin">criterios!$D$130:$D$131</definedName>
    <definedName name="G_PAPE">criterios!$D$106:$D$107</definedName>
    <definedName name="G_SÑ">criterios!$D$79:$D$80</definedName>
    <definedName name="G_TLF">criterios!$D$109:$D$110</definedName>
    <definedName name="G_TOTAL">criterios!$D$133:$D$134</definedName>
    <definedName name="G_TRSP">criterios!$D$70:$D$71</definedName>
    <definedName name="G_UNF">criterios!$D$64:$D$65</definedName>
    <definedName name="G_USB">criterios!$D$82:$D$83</definedName>
    <definedName name="GASTO">Gastos!$F$95</definedName>
    <definedName name="HJRD">criterios!$D$139:$D$140</definedName>
    <definedName name="HS">criterios!$N$11:$N$12</definedName>
    <definedName name="HS_828_">criterios!$D$11:$E$12</definedName>
    <definedName name="HS_840_">criterios!$F$11:$G$12</definedName>
    <definedName name="HS_A_">criterios!$H$11:$I$12</definedName>
    <definedName name="HS_B_">criterios!$J$11:$K$12</definedName>
    <definedName name="HS_C_">criterios!$L$11:$M$12</definedName>
    <definedName name="HS_PAGA">criterios!$L$44:$M$45</definedName>
    <definedName name="HS_TODO">criterios!$L$40:$M$41</definedName>
    <definedName name="HUESO">criterios!$O$11:$O$12</definedName>
    <definedName name="importe">recibos!$H$264</definedName>
    <definedName name="INDICE">consulta!$A$1:$B$2</definedName>
    <definedName name="INFRA">criterios!$D$136:$D$137</definedName>
    <definedName name="ING_CARMEL">criterios!$I$31:$I$32</definedName>
    <definedName name="ING_CUOTAS">criterios!$D$31:$D$32</definedName>
    <definedName name="ING_EXTRA">criterios!$E$31:$E$32</definedName>
    <definedName name="ING_LLAVES">criterios!$F$31:$F$32</definedName>
    <definedName name="ING_OTROS">criterios!$J$31:$J$32</definedName>
    <definedName name="ING_SUMA">criterios!$K$31:$K$32</definedName>
    <definedName name="ING_TAR">criterios!$H$31:$H$32</definedName>
    <definedName name="ING_TELE">criterios!$G$31:$G$32</definedName>
    <definedName name="IVA">Gastos!$G$95</definedName>
    <definedName name="JUL">7</definedName>
    <definedName name="JUL_2013">recibos!$B$1572:$AI$1762</definedName>
    <definedName name="JUL_2013_A">recibos!$B$4:$AI$1762</definedName>
    <definedName name="JUN_2013">recibos!$B$1357:$AI$1571</definedName>
    <definedName name="JUN_2013_A">recibos!$B$4:$AI$1571</definedName>
    <definedName name="LANDERO">criterios!$FM$14:$FM$15</definedName>
    <definedName name="LD">criterios!$FL$14:$FL$15</definedName>
    <definedName name="LD_1_A">criterios!$D$14:$E$15</definedName>
    <definedName name="LD_1_B">criterios!$F$14:$G$15</definedName>
    <definedName name="LD_10_">criterios!$R$14:$S$15</definedName>
    <definedName name="LD_100_">criterios!$FH$14:$FI$15</definedName>
    <definedName name="LD_101_">criterios!$FJ$14:$FK$15</definedName>
    <definedName name="LD_11_">criterios!$T$14:$U$15</definedName>
    <definedName name="LD_12_">criterios!$V$14:$W$15</definedName>
    <definedName name="LD_13_">criterios!$X$14:$Y$15</definedName>
    <definedName name="LD_14_">criterios!$Z$14:$AA$15</definedName>
    <definedName name="LD_15_">criterios!$AB$14:$AC$15</definedName>
    <definedName name="LD_17_">criterios!$AD$14:$AE$15</definedName>
    <definedName name="LD_18_">criterios!$AF$14:$AG$15</definedName>
    <definedName name="LD_19_">criterios!$AH$14:$AI$15</definedName>
    <definedName name="LD_2_3">criterios!$H$14:$I$15</definedName>
    <definedName name="LD_2_A">criterios!$J$14:$K$15</definedName>
    <definedName name="LD_2_B">criterios!$L$14:$M$15</definedName>
    <definedName name="LD_20_">criterios!$AJ$14:$AK$15</definedName>
    <definedName name="LD_21_">criterios!$AL$14:$AM$15</definedName>
    <definedName name="LD_22_">criterios!$AN$14:$AO$15</definedName>
    <definedName name="LD_24_">criterios!$AP$14:$AQ$15</definedName>
    <definedName name="LD_25_">criterios!$AR$14:$AS$15</definedName>
    <definedName name="LD_26_">criterios!$AT$14:$AU$15</definedName>
    <definedName name="LD_28_">criterios!$AV$14:$AW$15</definedName>
    <definedName name="LD_29_">criterios!$AX$14:$AY$15</definedName>
    <definedName name="LD_30_">criterios!$AZ$14:$BA$15</definedName>
    <definedName name="LD_31_">criterios!$BB$14:$BC$15</definedName>
    <definedName name="LD_33_">criterios!$BD$14:$BE$15</definedName>
    <definedName name="LD_34_">criterios!$BF$14:$BG$15</definedName>
    <definedName name="LD_35_">criterios!$BH$14:$BI$15</definedName>
    <definedName name="LD_36_">criterios!$BJ$14:$BK$15</definedName>
    <definedName name="LD_37_">criterios!$BL$14:$BM$15</definedName>
    <definedName name="LD_38_">criterios!$BN$14:$BO$15</definedName>
    <definedName name="LD_39_">criterios!$BP$14:$BQ$15</definedName>
    <definedName name="LD_40_">criterios!$BR$14:$BS$15</definedName>
    <definedName name="LD_41_">criterios!$BT$14:$BU$15</definedName>
    <definedName name="LD_42_">criterios!$BV$14:$BW$15</definedName>
    <definedName name="LD_44_">criterios!$BX$14:$BY$15</definedName>
    <definedName name="LD_45_">criterios!$BZ$14:$CA$15</definedName>
    <definedName name="LD_47_">criterios!$CB$14:$CC$15</definedName>
    <definedName name="LD_49_">criterios!$CD$14:$CE$15</definedName>
    <definedName name="LD_50_">criterios!$CF$14:$CG$15</definedName>
    <definedName name="LD_51_">criterios!$CH$14:$CI$15</definedName>
    <definedName name="LD_52_">criterios!$CJ$14:$CK$15</definedName>
    <definedName name="LD_54_1">criterios!$CL$14:$CM$15</definedName>
    <definedName name="LD_54_2">criterios!$CN$14:$CO$15</definedName>
    <definedName name="LD_58_">criterios!$CP$14:$CQ$15</definedName>
    <definedName name="LD_60_">criterios!$CR$14:$CS$15</definedName>
    <definedName name="LD_61_">criterios!$CT$14:$CU$15</definedName>
    <definedName name="LD_62_">criterios!$CV$14:$CW$15</definedName>
    <definedName name="LD_63_">criterios!$CX$14:$CY$15</definedName>
    <definedName name="LD_64_">criterios!$CZ$14:$DA$15</definedName>
    <definedName name="LD_65_">criterios!$DB$14:$DC$15</definedName>
    <definedName name="LD_66_">criterios!$DD$14:$DE$15</definedName>
    <definedName name="LD_68_">criterios!$DF$14:$DG$15</definedName>
    <definedName name="LD_69_">criterios!$DH$14:$DI$15</definedName>
    <definedName name="LD_7_">criterios!$N$14:$O$15</definedName>
    <definedName name="LD_70_">criterios!$DJ$14:$DK$15</definedName>
    <definedName name="LD_71_">criterios!$DL$14:$DM$15</definedName>
    <definedName name="LD_72_">criterios!$DN$14:$DO$15</definedName>
    <definedName name="LD_73_">criterios!$DP$14:$DQ$15</definedName>
    <definedName name="LD_74_">criterios!$DR$14:$DS$15</definedName>
    <definedName name="LD_75_">criterios!$DT$14:$DU$15</definedName>
    <definedName name="LD_76_">criterios!$DV$14:$DW$15</definedName>
    <definedName name="LD_77_">criterios!$DX$14:$DY$15</definedName>
    <definedName name="LD_8_">criterios!$P$14:$Q$15</definedName>
    <definedName name="LD_80_">criterios!$DZ$14:$EA$15</definedName>
    <definedName name="LD_81_">criterios!$EB$14:$EC$15</definedName>
    <definedName name="LD_83_">criterios!$ED$14:$EE$15</definedName>
    <definedName name="LD_84_">criterios!$EF$14:$EG$15</definedName>
    <definedName name="LD_85_">criterios!$EH$14:$EI$15</definedName>
    <definedName name="LD_86_">criterios!$EJ$14:$EK$15</definedName>
    <definedName name="LD_87_">criterios!$EL$14:$EM$15</definedName>
    <definedName name="LD_88_">criterios!$EN$14:$EO$15</definedName>
    <definedName name="LD_89_">criterios!$EP$14:$EQ$15</definedName>
    <definedName name="LD_90_">criterios!$ER$14:$ES$15</definedName>
    <definedName name="LD_91_">criterios!$ET$14:$EU$15</definedName>
    <definedName name="LD_92_">criterios!$EV$14:$EW$15</definedName>
    <definedName name="LD_93_">criterios!$EX$14:$EY$15</definedName>
    <definedName name="LD_94_">criterios!$EZ$14:$FA$15</definedName>
    <definedName name="LD_95_">criterios!$FB$14:$FC$15</definedName>
    <definedName name="LD_96_">criterios!$FD$14:$FE$15</definedName>
    <definedName name="LD_99_">criterios!$FF$14:$FG$15</definedName>
    <definedName name="LD_PAGA">criterios!$N$44:$O$45</definedName>
    <definedName name="LD_TODO">criterios!$N$40:$O$41</definedName>
    <definedName name="MAR_2013">recibos!$B$741:$AI$977</definedName>
    <definedName name="MAY_2013">recibos!$B$1163:$AI$1356</definedName>
    <definedName name="MAY_2013_A">recibos!$B$264:$K$1355</definedName>
    <definedName name="Rancho_Estanzuela">criterios!$D$141:$E$142</definedName>
    <definedName name="Rancho_Estopila">criterios!$D$144:$E$145</definedName>
    <definedName name="Rancho_La_Cuchilla">criterios!$D$147:$E$148</definedName>
    <definedName name="Rancho_Landero">criterios!$D$150:$E$151</definedName>
    <definedName name="Rancho_Recoveco">criterios!$D$153:$E$154</definedName>
    <definedName name="Rancho_Romeral">criterios!$D$156:$E$157</definedName>
    <definedName name="Rancho_Upácuaro">criterios!$D$159:$E$160</definedName>
    <definedName name="Rancho_Zinamba">criterios!$D$162:$E$163</definedName>
    <definedName name="RECOVECO">criterios!$AI$20:$AI$21</definedName>
    <definedName name="retiro">chequera!$I$3</definedName>
    <definedName name="RM">criterios!$X$17:$X$18</definedName>
    <definedName name="RM_10_A">criterios!$H$17:$I$18</definedName>
    <definedName name="RM_10_B">criterios!$J$17:$K$18</definedName>
    <definedName name="RM_17_">criterios!$L$17:$M$18</definedName>
    <definedName name="RM_23_A">criterios!$N$17:$O$18</definedName>
    <definedName name="RM_23_B">criterios!$P$17:$Q$18</definedName>
    <definedName name="RM_30_">criterios!$R$17:$S$18</definedName>
    <definedName name="RM_33_">criterios!$T$17:$U$18</definedName>
    <definedName name="RM_58_">criterios!$V$17:$W$18</definedName>
    <definedName name="RM_9_A">criterios!$D$17:$E$18</definedName>
    <definedName name="RM_9_B">criterios!$F$17:$G$18</definedName>
    <definedName name="RM_PAGA">criterios!$P$44:$Q$45</definedName>
    <definedName name="RM_TODO">criterios!$P$40:$Q$41</definedName>
    <definedName name="ROMERAL">criterios!$Y$17:$Y$18</definedName>
    <definedName name="RV">criterios!$AH$20:$AH$21</definedName>
    <definedName name="RV_1_">criterios!$D$20:$E$21</definedName>
    <definedName name="RV_173_">criterios!$J$20:$K$21</definedName>
    <definedName name="RV_175_0">criterios!$P$20:$Q$21</definedName>
    <definedName name="RV_175_A">criterios!$L$20:$M$21</definedName>
    <definedName name="RV_175_B">criterios!$N$20:$O$21</definedName>
    <definedName name="RV_179_">criterios!$R$20:$S$21</definedName>
    <definedName name="RV_181_">criterios!$T$20:$U$21</definedName>
    <definedName name="RV_183_">criterios!$V$20:$W$21</definedName>
    <definedName name="RV_187_">criterios!$X$20:$Y$21</definedName>
    <definedName name="RV_189_">criterios!$Z$20:$AA$21</definedName>
    <definedName name="RV_193_">criterios!$AB$20:$AC$21</definedName>
    <definedName name="RV_195_">criterios!$AD$20:$AE$21</definedName>
    <definedName name="RV_197_">criterios!$AF$20:$AG$21</definedName>
    <definedName name="RV_2_">criterios!$F$20:$G$21</definedName>
    <definedName name="RV_3_">criterios!$H$20:$I$21</definedName>
    <definedName name="RV_PAGA">criterios!$R$44:$S$45</definedName>
    <definedName name="RV_TODO">criterios!$R$40:$S$41</definedName>
    <definedName name="SEP">9</definedName>
    <definedName name="SEP_2013">recibos!$B$1934:$AI$2150</definedName>
    <definedName name="SEP_2013_A">recibos!$B$4:$AI$2150</definedName>
    <definedName name="_xlnm.Print_Titles" localSheetId="3">'cobranza 2013'!$2:$7</definedName>
    <definedName name="UP">criterios!$GX$23:$GX$24</definedName>
    <definedName name="UP_10_">criterios!$L$23:$M$24</definedName>
    <definedName name="UP_100_">criterios!$EZ$23:$FA$24</definedName>
    <definedName name="UP_101_">criterios!$FB$23:$FC$24</definedName>
    <definedName name="UP_102_">criterios!$FD$23:$FE$24</definedName>
    <definedName name="UP_103_">criterios!$FF$23:$FG$24</definedName>
    <definedName name="UP_104_">criterios!$FH$23:$FI$24</definedName>
    <definedName name="UP_106_">criterios!$FJ$23:$FK$24</definedName>
    <definedName name="UP_108_">criterios!$FL$23:$FM$24</definedName>
    <definedName name="UP_11_">criterios!$N$23:$O$24</definedName>
    <definedName name="UP_110_">criterios!$FN$23:$FO$24</definedName>
    <definedName name="UP_114_">criterios!$FP$23:$FQ$24</definedName>
    <definedName name="UP_116_">criterios!$FR$23:$FS$24</definedName>
    <definedName name="UP_118_">criterios!$FT$23:$FU$24</definedName>
    <definedName name="UP_12_">criterios!$P$23:$Q$24</definedName>
    <definedName name="UP_120_">criterios!$FV$23:$FW$24</definedName>
    <definedName name="UP_122_">criterios!$FX$23:$FY$24</definedName>
    <definedName name="UP_124_">criterios!$FZ$23:$GA$24</definedName>
    <definedName name="UP_128_">criterios!$GB$23:$GC$24</definedName>
    <definedName name="UP_130_">criterios!$GD$23:$GE$24</definedName>
    <definedName name="UP_132_">criterios!$GF$23:$GG$24</definedName>
    <definedName name="UP_134_">criterios!$GH$23:$GI$24</definedName>
    <definedName name="UP_136_">criterios!$GJ$23:$GK$24</definedName>
    <definedName name="UP_138_">criterios!$GL$23:$GM$24</definedName>
    <definedName name="UP_14_">criterios!$R$23:$S$24</definedName>
    <definedName name="UP_140_">criterios!$GN$23:$GO$24</definedName>
    <definedName name="UP_142_">criterios!$GP$23:$GQ$24</definedName>
    <definedName name="UP_144_">criterios!$GR$23:$GS$24</definedName>
    <definedName name="UP_146_">criterios!$GT$23:$GU$24</definedName>
    <definedName name="UP_148_">criterios!$GV$23:$GW$24</definedName>
    <definedName name="UP_15_">criterios!$T$23:$U$24</definedName>
    <definedName name="UP_16_">criterios!$V$23:$W$24</definedName>
    <definedName name="UP_18_">criterios!$X$23:$Y$24</definedName>
    <definedName name="UP_19_">criterios!$Z$23:$AA$24</definedName>
    <definedName name="UP_20_">criterios!$AB$23:$AC$24</definedName>
    <definedName name="UP_21_">criterios!$AD$23:$AE$24</definedName>
    <definedName name="UP_23_">criterios!$AF$23:$AG$24</definedName>
    <definedName name="UP_24_">criterios!$AH$23:$AI$24</definedName>
    <definedName name="UP_26_">criterios!$AJ$23:$AK$24</definedName>
    <definedName name="UP_30_">criterios!$AL$23:$AM$24</definedName>
    <definedName name="UP_31_">criterios!$AN$23:$AO$24</definedName>
    <definedName name="UP_32_">criterios!$AP$23:$AQ$24</definedName>
    <definedName name="UP_33_">criterios!$AR$23:$AS$24</definedName>
    <definedName name="UP_34_">criterios!$AT$23:$AU$24</definedName>
    <definedName name="UP_35_">criterios!$AV$23:$AW$24</definedName>
    <definedName name="UP_36_">criterios!$AX$23:$AY$24</definedName>
    <definedName name="UP_37_">criterios!$AZ$23:$BA$24</definedName>
    <definedName name="UP_39_">criterios!$BB$23:$BC$24</definedName>
    <definedName name="UP_40_">criterios!$BD$23:$BE$24</definedName>
    <definedName name="UP_42_">criterios!$BF$23:$BG$24</definedName>
    <definedName name="UP_43_">criterios!$BH$23:$BI$24</definedName>
    <definedName name="UP_44_">criterios!$BJ$23:$BK$24</definedName>
    <definedName name="UP_45_">criterios!$BL$23:$BM$24</definedName>
    <definedName name="UP_46_">criterios!$BN$23:$BO$24</definedName>
    <definedName name="UP_47_">criterios!$BP$23:$BQ$24</definedName>
    <definedName name="UP_48_">criterios!$BR$23:$BS$24</definedName>
    <definedName name="UP_49_">criterios!$BT$23:$BU$24</definedName>
    <definedName name="UP_5_B">criterios!$D$23:$E$24</definedName>
    <definedName name="UP_50_">criterios!$BV$23:$BW$24</definedName>
    <definedName name="UP_51_1">criterios!$BX$23:$BY$24</definedName>
    <definedName name="UP_51_2">criterios!$BZ$23:$CA$24</definedName>
    <definedName name="UP_52_">criterios!$CB$23:$CC$24</definedName>
    <definedName name="UP_54_">criterios!$CD$23:$CE$24</definedName>
    <definedName name="UP_55_">criterios!$CF$23:$CG$24</definedName>
    <definedName name="UP_56_">criterios!$CH$23:$CI$24</definedName>
    <definedName name="UP_57_">criterios!$CJ$23:$CK$24</definedName>
    <definedName name="UP_60_">criterios!$CL$23:$CM$24</definedName>
    <definedName name="UP_61_">criterios!$CN$23:$CO$24</definedName>
    <definedName name="UP_62_">criterios!$CP$23:$CQ$24</definedName>
    <definedName name="UP_63_">criterios!$CR$23:$CS$24</definedName>
    <definedName name="UP_64_">criterios!$CT$23:$CU$24</definedName>
    <definedName name="UP_65_">criterios!$CV$23:$CW$24</definedName>
    <definedName name="UP_68_">criterios!$CX$23:$CY$24</definedName>
    <definedName name="UP_69_">criterios!$CZ$23:$DA$24</definedName>
    <definedName name="UP_7_">criterios!$F$23:$G$24</definedName>
    <definedName name="UP_70_">criterios!$DB$23:$DC$24</definedName>
    <definedName name="UP_71_">criterios!$DF$23:$DG$24</definedName>
    <definedName name="UP_72_">criterios!$DD$23:$DE$24</definedName>
    <definedName name="UP_73_A">criterios!$DH$23:$DI$24</definedName>
    <definedName name="UP_73_B">criterios!$DJ$23:$DK$24</definedName>
    <definedName name="UP_74_">criterios!$DL$23:$DM$24</definedName>
    <definedName name="UP_75_">criterios!$DN$23:$DO$24</definedName>
    <definedName name="UP_76_">criterios!$DP$23:$DQ$24</definedName>
    <definedName name="UP_77_">criterios!$DR$23:$DS$24</definedName>
    <definedName name="UP_78_">criterios!$DT$23:$DU$24</definedName>
    <definedName name="UP_79_">criterios!$DV$23:$DW$24</definedName>
    <definedName name="UP_8_">criterios!$H$23:$I$24</definedName>
    <definedName name="UP_80_">criterios!$DX$23:$DY$24</definedName>
    <definedName name="UP_85_">criterios!$DZ$23:$EA$24</definedName>
    <definedName name="UP_86_">criterios!$EB$23:$EC$24</definedName>
    <definedName name="UP_87_">criterios!$ED$23:$EE$24</definedName>
    <definedName name="UP_88_">criterios!$EF$23:$EG$24</definedName>
    <definedName name="UP_89_">criterios!$EH$23:$EI$24</definedName>
    <definedName name="UP_9_">criterios!$J$23:$K$24</definedName>
    <definedName name="UP_90_">criterios!$EJ$23:$EK$24</definedName>
    <definedName name="UP_91_">criterios!$EL$23:$EM$24</definedName>
    <definedName name="UP_92_">criterios!$EN$23:$EO$24</definedName>
    <definedName name="UP_93_">criterios!$EP$23:$EQ$24</definedName>
    <definedName name="UP_94_">criterios!$ER$23:$ES$24</definedName>
    <definedName name="UP_95_">criterios!$ET$23:$EU$24</definedName>
    <definedName name="UP_96_">criterios!$EV$23:$EW$24</definedName>
    <definedName name="UP_99_">criterios!$EX$23:$EY$24</definedName>
    <definedName name="UP_PAGA">criterios!$T$44:$U$45</definedName>
    <definedName name="UP_TODO">criterios!$T$40:$U$41</definedName>
    <definedName name="UPACUARO">criterios!$GY$23:$GY$24</definedName>
    <definedName name="ZB">criterios!$BR$26:$BR$27</definedName>
    <definedName name="ZB_10_">criterios!$H$26:$I$27</definedName>
    <definedName name="ZB_12_">criterios!$J$26:$K$27</definedName>
    <definedName name="ZB_14_">criterios!$L$26:$M$27</definedName>
    <definedName name="ZB_18_">criterios!$N$26:$O$27</definedName>
    <definedName name="ZB_20_">criterios!$P$26:$Q$27</definedName>
    <definedName name="ZB_22_">criterios!$R$26:$S$27</definedName>
    <definedName name="ZB_24_">criterios!$T$26:$U$27</definedName>
    <definedName name="ZB_26_">criterios!$V$26:$W$27</definedName>
    <definedName name="ZB_30_">criterios!$X$26:$Y$27</definedName>
    <definedName name="ZB_34_">criterios!$Z$26:$AA$27</definedName>
    <definedName name="ZB_36_">criterios!$AB$26:$AC$27</definedName>
    <definedName name="ZB_38_">criterios!$AD$26:$AE$27</definedName>
    <definedName name="ZB_40_">criterios!$AF$26:$AG$27</definedName>
    <definedName name="ZB_42_">criterios!$AH$26:$AI$27</definedName>
    <definedName name="ZB_44_">criterios!$AJ$26:$AK$27</definedName>
    <definedName name="ZB_46_">criterios!$AL$26:$AM$27</definedName>
    <definedName name="ZB_50_">criterios!$AN$26:$AO$27</definedName>
    <definedName name="ZB_54_">criterios!$AP$26:$AQ$27</definedName>
    <definedName name="ZB_56_">criterios!$AR$26:$AS$27</definedName>
    <definedName name="ZB_58_">criterios!$AT$26:$AU$27</definedName>
    <definedName name="ZB_6_">criterios!$D$26:$E$27</definedName>
    <definedName name="ZB_60_">criterios!$AV$26:$AW$27</definedName>
    <definedName name="ZB_62_">criterios!$AX$26:$AY$27</definedName>
    <definedName name="ZB_66_">criterios!$AZ$26:$BA$27</definedName>
    <definedName name="ZB_68_">criterios!$BB$26:$BC$27</definedName>
    <definedName name="ZB_72_">criterios!$BD$26:$BE$27</definedName>
    <definedName name="ZB_74_">criterios!$BF$26:$BG$27</definedName>
    <definedName name="ZB_76_">criterios!$BH$26:$BI$27</definedName>
    <definedName name="ZB_8_">criterios!$F$26:$G$27</definedName>
    <definedName name="ZB_80_">criterios!$BJ$26:$BK$27</definedName>
    <definedName name="ZB_82_">criterios!$BL$26:$BM$27</definedName>
    <definedName name="ZB_84_">criterios!$BN$26:$BO$27</definedName>
    <definedName name="ZB_88_">criterios!$BP$26:$BQ$27</definedName>
    <definedName name="ZB_PAGA">criterios!$V$44:$W$45</definedName>
    <definedName name="ZB_TODO">criterios!$V$40:$W$41</definedName>
    <definedName name="ZINAMBA">criterios!$BS$26:$BS$27</definedName>
  </definedNames>
  <calcPr calcId="145621"/>
</workbook>
</file>

<file path=xl/calcChain.xml><?xml version="1.0" encoding="utf-8"?>
<calcChain xmlns="http://schemas.openxmlformats.org/spreadsheetml/2006/main">
  <c r="F2292" i="2" l="1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292" i="2"/>
  <c r="A2272" i="2" l="1"/>
  <c r="A2273" i="2"/>
  <c r="A2274" i="2"/>
  <c r="A2276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D2272" i="2"/>
  <c r="E2272" i="2"/>
  <c r="F2272" i="2"/>
  <c r="D2273" i="2"/>
  <c r="E2273" i="2"/>
  <c r="F2273" i="2"/>
  <c r="D2274" i="2"/>
  <c r="E2274" i="2"/>
  <c r="F2274" i="2"/>
  <c r="D2276" i="2"/>
  <c r="E2276" i="2"/>
  <c r="F2276" i="2"/>
  <c r="D2278" i="2"/>
  <c r="E2278" i="2"/>
  <c r="F2278" i="2"/>
  <c r="D2279" i="2"/>
  <c r="E2279" i="2"/>
  <c r="F2279" i="2"/>
  <c r="D2280" i="2"/>
  <c r="E2280" i="2"/>
  <c r="F2280" i="2"/>
  <c r="D2281" i="2"/>
  <c r="E2281" i="2"/>
  <c r="F2281" i="2"/>
  <c r="D2282" i="2"/>
  <c r="E2282" i="2"/>
  <c r="F2282" i="2"/>
  <c r="D2283" i="2"/>
  <c r="E2283" i="2"/>
  <c r="F2283" i="2"/>
  <c r="D2284" i="2"/>
  <c r="E2284" i="2"/>
  <c r="F2284" i="2"/>
  <c r="D2285" i="2"/>
  <c r="E2285" i="2"/>
  <c r="F2285" i="2"/>
  <c r="D2286" i="2"/>
  <c r="E2286" i="2"/>
  <c r="F2286" i="2"/>
  <c r="D2287" i="2"/>
  <c r="E2287" i="2"/>
  <c r="F2287" i="2"/>
  <c r="D2288" i="2"/>
  <c r="E2288" i="2"/>
  <c r="F2288" i="2"/>
  <c r="D2289" i="2"/>
  <c r="E2289" i="2"/>
  <c r="F2289" i="2"/>
  <c r="D2290" i="2"/>
  <c r="E2290" i="2"/>
  <c r="F2290" i="2"/>
  <c r="D2291" i="2"/>
  <c r="E2291" i="2"/>
  <c r="F2291" i="2"/>
  <c r="AJ2334" i="2"/>
  <c r="AJ2333" i="2"/>
  <c r="AJ2332" i="2"/>
  <c r="AJ2331" i="2"/>
  <c r="AJ2330" i="2"/>
  <c r="AJ2329" i="2"/>
  <c r="AJ2328" i="2"/>
  <c r="AJ2327" i="2"/>
  <c r="AJ2326" i="2"/>
  <c r="AJ2325" i="2"/>
  <c r="AJ2324" i="2"/>
  <c r="AJ2323" i="2"/>
  <c r="AJ2322" i="2"/>
  <c r="AJ2321" i="2"/>
  <c r="AJ2320" i="2"/>
  <c r="AJ2319" i="2"/>
  <c r="AJ2318" i="2"/>
  <c r="AJ2317" i="2"/>
  <c r="AJ2316" i="2"/>
  <c r="AJ2315" i="2"/>
  <c r="AJ2314" i="2"/>
  <c r="AJ2313" i="2"/>
  <c r="AJ2312" i="2"/>
  <c r="AJ2311" i="2"/>
  <c r="AJ2310" i="2"/>
  <c r="AJ2309" i="2"/>
  <c r="AJ2308" i="2"/>
  <c r="AJ2307" i="2"/>
  <c r="AJ2306" i="2"/>
  <c r="AJ2305" i="2"/>
  <c r="AJ2304" i="2"/>
  <c r="AJ2303" i="2"/>
  <c r="AJ2302" i="2"/>
  <c r="AJ2301" i="2"/>
  <c r="J2301" i="2" s="1"/>
  <c r="AJ2300" i="2"/>
  <c r="J2300" i="2" s="1"/>
  <c r="AJ2299" i="2"/>
  <c r="J2299" i="2" s="1"/>
  <c r="AJ2298" i="2"/>
  <c r="J2298" i="2" s="1"/>
  <c r="AJ2297" i="2"/>
  <c r="J2297" i="2" s="1"/>
  <c r="AJ2296" i="2"/>
  <c r="J2296" i="2" s="1"/>
  <c r="AJ2295" i="2"/>
  <c r="J2295" i="2" s="1"/>
  <c r="AJ2294" i="2"/>
  <c r="J2294" i="2" s="1"/>
  <c r="AJ2293" i="2"/>
  <c r="J2293" i="2" s="1"/>
  <c r="AJ2292" i="2"/>
  <c r="J2292" i="2" s="1"/>
  <c r="AJ2291" i="2"/>
  <c r="J2291" i="2" s="1"/>
  <c r="AJ2290" i="2"/>
  <c r="J2290" i="2" s="1"/>
  <c r="AJ2289" i="2"/>
  <c r="J2289" i="2" s="1"/>
  <c r="AJ2288" i="2"/>
  <c r="J2288" i="2" s="1"/>
  <c r="AJ2287" i="2"/>
  <c r="J2287" i="2" s="1"/>
  <c r="AJ2286" i="2"/>
  <c r="J2286" i="2" s="1"/>
  <c r="AJ2285" i="2"/>
  <c r="J2285" i="2" s="1"/>
  <c r="AJ2284" i="2"/>
  <c r="J2284" i="2" s="1"/>
  <c r="AJ2283" i="2"/>
  <c r="J2283" i="2" s="1"/>
  <c r="AJ2282" i="2"/>
  <c r="J2282" i="2" s="1"/>
  <c r="AJ2281" i="2"/>
  <c r="J2281" i="2" s="1"/>
  <c r="AJ2280" i="2"/>
  <c r="J2280" i="2" s="1"/>
  <c r="AJ2279" i="2"/>
  <c r="J2279" i="2" s="1"/>
  <c r="AJ2278" i="2"/>
  <c r="J2278" i="2" s="1"/>
  <c r="AJ2277" i="2"/>
  <c r="J2277" i="2" s="1"/>
  <c r="AJ2276" i="2"/>
  <c r="J2276" i="2" s="1"/>
  <c r="AJ2275" i="2"/>
  <c r="J2275" i="2" s="1"/>
  <c r="AJ2274" i="2"/>
  <c r="J2274" i="2" s="1"/>
  <c r="AJ2273" i="2"/>
  <c r="J2273" i="2" s="1"/>
  <c r="AJ2272" i="2"/>
  <c r="J2272" i="2" s="1"/>
  <c r="AJ2271" i="2"/>
  <c r="J2271" i="2" s="1"/>
  <c r="AJ2270" i="2"/>
  <c r="J2270" i="2" s="1"/>
  <c r="AJ2269" i="2"/>
  <c r="J2269" i="2" s="1"/>
  <c r="AJ2268" i="2"/>
  <c r="J2268" i="2" s="1"/>
  <c r="AJ2267" i="2"/>
  <c r="J2267" i="2" s="1"/>
  <c r="AJ2266" i="2"/>
  <c r="J2266" i="2" s="1"/>
  <c r="AJ2265" i="2"/>
  <c r="J2265" i="2" s="1"/>
  <c r="AJ2264" i="2"/>
  <c r="J2264" i="2" s="1"/>
  <c r="AJ2263" i="2"/>
  <c r="J2263" i="2" s="1"/>
  <c r="AJ2262" i="2"/>
  <c r="J2262" i="2" s="1"/>
  <c r="AJ2261" i="2"/>
  <c r="J2261" i="2" s="1"/>
  <c r="AJ2260" i="2"/>
  <c r="J2260" i="2" s="1"/>
  <c r="AJ2259" i="2"/>
  <c r="J2259" i="2" s="1"/>
  <c r="AJ2258" i="2"/>
  <c r="J2258" i="2" s="1"/>
  <c r="AJ2257" i="2"/>
  <c r="J2257" i="2" s="1"/>
  <c r="AJ2256" i="2"/>
  <c r="J2256" i="2" s="1"/>
  <c r="AJ2255" i="2"/>
  <c r="J2255" i="2" s="1"/>
  <c r="AJ2254" i="2"/>
  <c r="J2254" i="2" s="1"/>
  <c r="AJ2253" i="2"/>
  <c r="J2253" i="2" s="1"/>
  <c r="AJ2252" i="2"/>
  <c r="J2252" i="2" s="1"/>
  <c r="AJ2251" i="2"/>
  <c r="J2251" i="2" s="1"/>
  <c r="AJ2250" i="2"/>
  <c r="J2250" i="2" s="1"/>
  <c r="AJ2249" i="2"/>
  <c r="J2249" i="2" s="1"/>
  <c r="AJ2248" i="2"/>
  <c r="J2248" i="2" s="1"/>
  <c r="AJ2247" i="2"/>
  <c r="J2247" i="2" s="1"/>
  <c r="AJ2246" i="2"/>
  <c r="J2246" i="2" s="1"/>
  <c r="AJ2245" i="2"/>
  <c r="J2245" i="2" s="1"/>
  <c r="AJ2244" i="2"/>
  <c r="J2244" i="2" s="1"/>
  <c r="AJ2243" i="2"/>
  <c r="J2243" i="2" s="1"/>
  <c r="AJ2242" i="2"/>
  <c r="J2242" i="2" s="1"/>
  <c r="AJ2241" i="2"/>
  <c r="J2241" i="2" s="1"/>
  <c r="AJ2240" i="2"/>
  <c r="J2240" i="2" s="1"/>
  <c r="AJ2239" i="2"/>
  <c r="J2239" i="2" s="1"/>
  <c r="AJ2238" i="2"/>
  <c r="J2238" i="2" s="1"/>
  <c r="AJ2237" i="2"/>
  <c r="J2237" i="2" s="1"/>
  <c r="AJ2236" i="2"/>
  <c r="J2236" i="2" s="1"/>
  <c r="AJ2235" i="2"/>
  <c r="J2235" i="2" s="1"/>
  <c r="AJ2234" i="2"/>
  <c r="J2234" i="2" s="1"/>
  <c r="AJ2233" i="2"/>
  <c r="J2233" i="2" s="1"/>
  <c r="AJ2232" i="2"/>
  <c r="J2232" i="2" s="1"/>
  <c r="AJ2231" i="2"/>
  <c r="J2231" i="2" s="1"/>
  <c r="AJ2230" i="2"/>
  <c r="J2230" i="2" s="1"/>
  <c r="AJ2229" i="2"/>
  <c r="J2229" i="2" s="1"/>
  <c r="AJ2228" i="2"/>
  <c r="J2228" i="2" s="1"/>
  <c r="AJ2227" i="2"/>
  <c r="J2227" i="2" s="1"/>
  <c r="AJ2226" i="2"/>
  <c r="J2226" i="2" s="1"/>
  <c r="AJ2225" i="2"/>
  <c r="J2225" i="2" s="1"/>
  <c r="AJ2224" i="2"/>
  <c r="J2224" i="2" s="1"/>
  <c r="AJ2223" i="2"/>
  <c r="J2223" i="2" s="1"/>
  <c r="AJ2222" i="2"/>
  <c r="J2222" i="2" s="1"/>
  <c r="AJ2221" i="2"/>
  <c r="J2221" i="2" s="1"/>
  <c r="AJ2220" i="2"/>
  <c r="J2220" i="2" s="1"/>
  <c r="AJ2219" i="2"/>
  <c r="J2219" i="2" s="1"/>
  <c r="AJ2218" i="2"/>
  <c r="J2218" i="2" s="1"/>
  <c r="AJ2217" i="2"/>
  <c r="J2217" i="2" s="1"/>
  <c r="AJ2216" i="2"/>
  <c r="J2216" i="2" s="1"/>
  <c r="AJ2215" i="2"/>
  <c r="J2215" i="2" s="1"/>
  <c r="AJ2214" i="2"/>
  <c r="J2214" i="2" s="1"/>
  <c r="AJ2213" i="2"/>
  <c r="J2213" i="2" s="1"/>
  <c r="AJ2212" i="2"/>
  <c r="J2212" i="2" s="1"/>
  <c r="AJ2211" i="2"/>
  <c r="J2211" i="2" s="1"/>
  <c r="AJ2210" i="2"/>
  <c r="J2210" i="2" s="1"/>
  <c r="AJ2209" i="2"/>
  <c r="J2209" i="2" s="1"/>
  <c r="AJ2208" i="2"/>
  <c r="J2208" i="2" s="1"/>
  <c r="AJ2207" i="2"/>
  <c r="AJ2206" i="2"/>
  <c r="J2206" i="2" s="1"/>
  <c r="AJ2205" i="2"/>
  <c r="AJ2204" i="2"/>
  <c r="J2204" i="2" s="1"/>
  <c r="AJ2203" i="2"/>
  <c r="J2203" i="2" s="1"/>
  <c r="AJ2202" i="2"/>
  <c r="J2202" i="2" s="1"/>
  <c r="AJ2201" i="2"/>
  <c r="J2201" i="2" s="1"/>
  <c r="AJ2200" i="2"/>
  <c r="J2200" i="2" s="1"/>
  <c r="AJ2199" i="2"/>
  <c r="AJ2198" i="2"/>
  <c r="J2198" i="2" s="1"/>
  <c r="AJ2197" i="2"/>
  <c r="AJ2196" i="2"/>
  <c r="J2196" i="2" s="1"/>
  <c r="AJ2195" i="2"/>
  <c r="AJ2194" i="2"/>
  <c r="J2194" i="2" s="1"/>
  <c r="AJ2193" i="2"/>
  <c r="J2193" i="2" s="1"/>
  <c r="AJ2192" i="2"/>
  <c r="J2192" i="2" s="1"/>
  <c r="AJ2191" i="2"/>
  <c r="AJ2190" i="2"/>
  <c r="J2190" i="2" s="1"/>
  <c r="AJ2189" i="2"/>
  <c r="AJ2188" i="2"/>
  <c r="J2188" i="2" s="1"/>
  <c r="AJ2187" i="2"/>
  <c r="J2187" i="2" s="1"/>
  <c r="AJ2186" i="2"/>
  <c r="J2186" i="2" s="1"/>
  <c r="AJ2185" i="2"/>
  <c r="J2185" i="2" s="1"/>
  <c r="AJ2184" i="2"/>
  <c r="J2184" i="2" s="1"/>
  <c r="AJ2183" i="2"/>
  <c r="AJ2182" i="2"/>
  <c r="J2182" i="2" s="1"/>
  <c r="AJ2181" i="2"/>
  <c r="AJ2180" i="2"/>
  <c r="J2180" i="2" s="1"/>
  <c r="AJ2179" i="2"/>
  <c r="AJ2178" i="2"/>
  <c r="J2178" i="2" s="1"/>
  <c r="AJ2177" i="2"/>
  <c r="J2177" i="2" s="1"/>
  <c r="AJ2176" i="2"/>
  <c r="J2176" i="2" s="1"/>
  <c r="AJ2156" i="2"/>
  <c r="J2156" i="2" s="1"/>
  <c r="AJ2157" i="2"/>
  <c r="AJ2158" i="2"/>
  <c r="AJ2159" i="2"/>
  <c r="AJ2160" i="2"/>
  <c r="AJ2161" i="2"/>
  <c r="J2161" i="2" s="1"/>
  <c r="AJ2162" i="2"/>
  <c r="J2162" i="2" s="1"/>
  <c r="AJ2163" i="2"/>
  <c r="J2163" i="2" s="1"/>
  <c r="AJ2164" i="2"/>
  <c r="J2164" i="2" s="1"/>
  <c r="AJ2165" i="2"/>
  <c r="AJ2166" i="2"/>
  <c r="AJ2167" i="2"/>
  <c r="AJ2168" i="2"/>
  <c r="AJ2169" i="2"/>
  <c r="J2169" i="2" s="1"/>
  <c r="AJ2170" i="2"/>
  <c r="J2170" i="2" s="1"/>
  <c r="AJ2171" i="2"/>
  <c r="J2171" i="2" s="1"/>
  <c r="AJ2172" i="2"/>
  <c r="J2172" i="2" s="1"/>
  <c r="AJ2173" i="2"/>
  <c r="AJ2174" i="2"/>
  <c r="J2157" i="2"/>
  <c r="J2158" i="2"/>
  <c r="J2159" i="2"/>
  <c r="J2160" i="2"/>
  <c r="J2165" i="2"/>
  <c r="J2166" i="2"/>
  <c r="J2167" i="2"/>
  <c r="J2168" i="2"/>
  <c r="J2173" i="2"/>
  <c r="J2179" i="2"/>
  <c r="J2181" i="2"/>
  <c r="J2183" i="2"/>
  <c r="J2189" i="2"/>
  <c r="J2191" i="2"/>
  <c r="J2195" i="2"/>
  <c r="J2197" i="2"/>
  <c r="J2199" i="2"/>
  <c r="J2205" i="2"/>
  <c r="J2207" i="2"/>
  <c r="S25" i="4"/>
  <c r="R25" i="4"/>
  <c r="Q25" i="4"/>
  <c r="P25" i="4"/>
  <c r="O25" i="4"/>
  <c r="N25" i="4"/>
  <c r="M25" i="4"/>
  <c r="L25" i="4"/>
  <c r="K25" i="4"/>
  <c r="AJ2125" i="2"/>
  <c r="AJ2126" i="2"/>
  <c r="AJ2127" i="2"/>
  <c r="AJ2128" i="2"/>
  <c r="AJ2129" i="2"/>
  <c r="AJ2130" i="2"/>
  <c r="AJ2131" i="2"/>
  <c r="J2131" i="2" s="1"/>
  <c r="AJ2132" i="2"/>
  <c r="J2132" i="2" s="1"/>
  <c r="AJ2133" i="2"/>
  <c r="AJ2134" i="2"/>
  <c r="AJ2135" i="2"/>
  <c r="AJ2136" i="2"/>
  <c r="AJ2137" i="2"/>
  <c r="AJ2138" i="2"/>
  <c r="AJ2139" i="2"/>
  <c r="J2139" i="2" s="1"/>
  <c r="AJ2140" i="2"/>
  <c r="J2140" i="2" s="1"/>
  <c r="AJ2141" i="2"/>
  <c r="AJ2142" i="2"/>
  <c r="AJ2143" i="2"/>
  <c r="AJ2144" i="2"/>
  <c r="AJ2145" i="2"/>
  <c r="AJ2146" i="2"/>
  <c r="AJ2147" i="2"/>
  <c r="J2147" i="2" s="1"/>
  <c r="AJ2148" i="2"/>
  <c r="J2148" i="2" s="1"/>
  <c r="AJ2149" i="2"/>
  <c r="AJ2150" i="2"/>
  <c r="AJ2151" i="2"/>
  <c r="AJ2152" i="2"/>
  <c r="AJ2153" i="2"/>
  <c r="AJ2154" i="2"/>
  <c r="AJ2155" i="2"/>
  <c r="J2155" i="2" s="1"/>
  <c r="AJ2124" i="2"/>
  <c r="A2125" i="2"/>
  <c r="D2125" i="2"/>
  <c r="E2125" i="2"/>
  <c r="F2125" i="2"/>
  <c r="J2125" i="2"/>
  <c r="J2126" i="2"/>
  <c r="J2127" i="2"/>
  <c r="J2128" i="2"/>
  <c r="J2129" i="2"/>
  <c r="J2130" i="2"/>
  <c r="J2133" i="2"/>
  <c r="J2134" i="2"/>
  <c r="J2135" i="2"/>
  <c r="J2136" i="2"/>
  <c r="J2137" i="2"/>
  <c r="J2138" i="2"/>
  <c r="J2141" i="2"/>
  <c r="J2142" i="2"/>
  <c r="J2143" i="2"/>
  <c r="J2144" i="2"/>
  <c r="J2145" i="2"/>
  <c r="J2146" i="2"/>
  <c r="J2149" i="2"/>
  <c r="J2150" i="2"/>
  <c r="J2151" i="2"/>
  <c r="J2152" i="2"/>
  <c r="J2153" i="2"/>
  <c r="J2154" i="2"/>
  <c r="V448" i="4" l="1"/>
  <c r="U448" i="4"/>
  <c r="T448" i="4"/>
  <c r="S448" i="4"/>
  <c r="R448" i="4"/>
  <c r="Q448" i="4"/>
  <c r="P448" i="4"/>
  <c r="O448" i="4"/>
  <c r="N448" i="4"/>
  <c r="M448" i="4"/>
  <c r="L448" i="4"/>
  <c r="V447" i="4"/>
  <c r="U447" i="4"/>
  <c r="T447" i="4"/>
  <c r="S447" i="4"/>
  <c r="R447" i="4"/>
  <c r="Q447" i="4"/>
  <c r="P447" i="4"/>
  <c r="O447" i="4"/>
  <c r="N447" i="4"/>
  <c r="M447" i="4"/>
  <c r="L447" i="4"/>
  <c r="V446" i="4"/>
  <c r="U446" i="4"/>
  <c r="T446" i="4"/>
  <c r="S446" i="4"/>
  <c r="R446" i="4"/>
  <c r="Q446" i="4"/>
  <c r="P446" i="4"/>
  <c r="O446" i="4"/>
  <c r="N446" i="4"/>
  <c r="M446" i="4"/>
  <c r="L446" i="4"/>
  <c r="V445" i="4"/>
  <c r="U445" i="4"/>
  <c r="T445" i="4"/>
  <c r="S445" i="4"/>
  <c r="R445" i="4"/>
  <c r="Q445" i="4"/>
  <c r="P445" i="4"/>
  <c r="O445" i="4"/>
  <c r="N445" i="4"/>
  <c r="M445" i="4"/>
  <c r="L445" i="4"/>
  <c r="V444" i="4"/>
  <c r="U444" i="4"/>
  <c r="T444" i="4"/>
  <c r="S444" i="4"/>
  <c r="R444" i="4"/>
  <c r="Q444" i="4"/>
  <c r="P444" i="4"/>
  <c r="O444" i="4"/>
  <c r="N444" i="4"/>
  <c r="M444" i="4"/>
  <c r="L444" i="4"/>
  <c r="V443" i="4"/>
  <c r="U443" i="4"/>
  <c r="T443" i="4"/>
  <c r="S443" i="4"/>
  <c r="R443" i="4"/>
  <c r="Q443" i="4"/>
  <c r="P443" i="4"/>
  <c r="O443" i="4"/>
  <c r="N443" i="4"/>
  <c r="M443" i="4"/>
  <c r="L443" i="4"/>
  <c r="V442" i="4"/>
  <c r="U442" i="4"/>
  <c r="T442" i="4"/>
  <c r="S442" i="4"/>
  <c r="R442" i="4"/>
  <c r="Q442" i="4"/>
  <c r="P442" i="4"/>
  <c r="O442" i="4"/>
  <c r="N442" i="4"/>
  <c r="M442" i="4"/>
  <c r="L442" i="4"/>
  <c r="V441" i="4"/>
  <c r="U441" i="4"/>
  <c r="T441" i="4"/>
  <c r="S441" i="4"/>
  <c r="R441" i="4"/>
  <c r="Q441" i="4"/>
  <c r="P441" i="4"/>
  <c r="O441" i="4"/>
  <c r="N441" i="4"/>
  <c r="M441" i="4"/>
  <c r="L441" i="4"/>
  <c r="V440" i="4"/>
  <c r="U440" i="4"/>
  <c r="T440" i="4"/>
  <c r="S440" i="4"/>
  <c r="R440" i="4"/>
  <c r="Q440" i="4"/>
  <c r="P440" i="4"/>
  <c r="O440" i="4"/>
  <c r="N440" i="4"/>
  <c r="M440" i="4"/>
  <c r="L440" i="4"/>
  <c r="V439" i="4"/>
  <c r="U439" i="4"/>
  <c r="T439" i="4"/>
  <c r="S439" i="4"/>
  <c r="R439" i="4"/>
  <c r="Q439" i="4"/>
  <c r="P439" i="4"/>
  <c r="O439" i="4"/>
  <c r="N439" i="4"/>
  <c r="M439" i="4"/>
  <c r="L439" i="4"/>
  <c r="V438" i="4"/>
  <c r="U438" i="4"/>
  <c r="T438" i="4"/>
  <c r="S438" i="4"/>
  <c r="R438" i="4"/>
  <c r="Q438" i="4"/>
  <c r="P438" i="4"/>
  <c r="O438" i="4"/>
  <c r="N438" i="4"/>
  <c r="M438" i="4"/>
  <c r="L438" i="4"/>
  <c r="V437" i="4"/>
  <c r="U437" i="4"/>
  <c r="T437" i="4"/>
  <c r="S437" i="4"/>
  <c r="R437" i="4"/>
  <c r="Q437" i="4"/>
  <c r="P437" i="4"/>
  <c r="O437" i="4"/>
  <c r="N437" i="4"/>
  <c r="M437" i="4"/>
  <c r="L437" i="4"/>
  <c r="V436" i="4"/>
  <c r="U436" i="4"/>
  <c r="T436" i="4"/>
  <c r="S436" i="4"/>
  <c r="R436" i="4"/>
  <c r="Q436" i="4"/>
  <c r="P436" i="4"/>
  <c r="O436" i="4"/>
  <c r="N436" i="4"/>
  <c r="M436" i="4"/>
  <c r="L436" i="4"/>
  <c r="V435" i="4"/>
  <c r="U435" i="4"/>
  <c r="T435" i="4"/>
  <c r="S435" i="4"/>
  <c r="R435" i="4"/>
  <c r="Q435" i="4"/>
  <c r="P435" i="4"/>
  <c r="O435" i="4"/>
  <c r="N435" i="4"/>
  <c r="M435" i="4"/>
  <c r="L435" i="4"/>
  <c r="V434" i="4"/>
  <c r="U434" i="4"/>
  <c r="T434" i="4"/>
  <c r="S434" i="4"/>
  <c r="R434" i="4"/>
  <c r="Q434" i="4"/>
  <c r="P434" i="4"/>
  <c r="O434" i="4"/>
  <c r="N434" i="4"/>
  <c r="M434" i="4"/>
  <c r="L434" i="4"/>
  <c r="V433" i="4"/>
  <c r="U433" i="4"/>
  <c r="T433" i="4"/>
  <c r="S433" i="4"/>
  <c r="R433" i="4"/>
  <c r="Q433" i="4"/>
  <c r="P433" i="4"/>
  <c r="O433" i="4"/>
  <c r="N433" i="4"/>
  <c r="M433" i="4"/>
  <c r="L433" i="4"/>
  <c r="V432" i="4"/>
  <c r="U432" i="4"/>
  <c r="T432" i="4"/>
  <c r="S432" i="4"/>
  <c r="R432" i="4"/>
  <c r="Q432" i="4"/>
  <c r="P432" i="4"/>
  <c r="O432" i="4"/>
  <c r="N432" i="4"/>
  <c r="M432" i="4"/>
  <c r="L432" i="4"/>
  <c r="V431" i="4"/>
  <c r="U431" i="4"/>
  <c r="T431" i="4"/>
  <c r="S431" i="4"/>
  <c r="R431" i="4"/>
  <c r="Q431" i="4"/>
  <c r="P431" i="4"/>
  <c r="O431" i="4"/>
  <c r="N431" i="4"/>
  <c r="M431" i="4"/>
  <c r="L431" i="4"/>
  <c r="V430" i="4"/>
  <c r="U430" i="4"/>
  <c r="T430" i="4"/>
  <c r="S430" i="4"/>
  <c r="R430" i="4"/>
  <c r="Q430" i="4"/>
  <c r="P430" i="4"/>
  <c r="O430" i="4"/>
  <c r="N430" i="4"/>
  <c r="M430" i="4"/>
  <c r="L430" i="4"/>
  <c r="V429" i="4"/>
  <c r="U429" i="4"/>
  <c r="T429" i="4"/>
  <c r="S429" i="4"/>
  <c r="R429" i="4"/>
  <c r="Q429" i="4"/>
  <c r="P429" i="4"/>
  <c r="O429" i="4"/>
  <c r="N429" i="4"/>
  <c r="M429" i="4"/>
  <c r="L429" i="4"/>
  <c r="V428" i="4"/>
  <c r="U428" i="4"/>
  <c r="T428" i="4"/>
  <c r="S428" i="4"/>
  <c r="R428" i="4"/>
  <c r="Q428" i="4"/>
  <c r="P428" i="4"/>
  <c r="O428" i="4"/>
  <c r="N428" i="4"/>
  <c r="M428" i="4"/>
  <c r="L428" i="4"/>
  <c r="V427" i="4"/>
  <c r="U427" i="4"/>
  <c r="T427" i="4"/>
  <c r="S427" i="4"/>
  <c r="R427" i="4"/>
  <c r="Q427" i="4"/>
  <c r="P427" i="4"/>
  <c r="O427" i="4"/>
  <c r="N427" i="4"/>
  <c r="M427" i="4"/>
  <c r="L427" i="4"/>
  <c r="V426" i="4"/>
  <c r="U426" i="4"/>
  <c r="T426" i="4"/>
  <c r="S426" i="4"/>
  <c r="R426" i="4"/>
  <c r="Q426" i="4"/>
  <c r="P426" i="4"/>
  <c r="O426" i="4"/>
  <c r="N426" i="4"/>
  <c r="M426" i="4"/>
  <c r="L426" i="4"/>
  <c r="V425" i="4"/>
  <c r="U425" i="4"/>
  <c r="T425" i="4"/>
  <c r="S425" i="4"/>
  <c r="R425" i="4"/>
  <c r="Q425" i="4"/>
  <c r="P425" i="4"/>
  <c r="O425" i="4"/>
  <c r="N425" i="4"/>
  <c r="M425" i="4"/>
  <c r="L425" i="4"/>
  <c r="V424" i="4"/>
  <c r="U424" i="4"/>
  <c r="T424" i="4"/>
  <c r="S424" i="4"/>
  <c r="R424" i="4"/>
  <c r="Q424" i="4"/>
  <c r="P424" i="4"/>
  <c r="O424" i="4"/>
  <c r="N424" i="4"/>
  <c r="M424" i="4"/>
  <c r="L424" i="4"/>
  <c r="V423" i="4"/>
  <c r="U423" i="4"/>
  <c r="T423" i="4"/>
  <c r="S423" i="4"/>
  <c r="R423" i="4"/>
  <c r="Q423" i="4"/>
  <c r="P423" i="4"/>
  <c r="O423" i="4"/>
  <c r="N423" i="4"/>
  <c r="M423" i="4"/>
  <c r="L423" i="4"/>
  <c r="V422" i="4"/>
  <c r="U422" i="4"/>
  <c r="T422" i="4"/>
  <c r="S422" i="4"/>
  <c r="R422" i="4"/>
  <c r="Q422" i="4"/>
  <c r="P422" i="4"/>
  <c r="O422" i="4"/>
  <c r="N422" i="4"/>
  <c r="M422" i="4"/>
  <c r="L422" i="4"/>
  <c r="V421" i="4"/>
  <c r="U421" i="4"/>
  <c r="T421" i="4"/>
  <c r="S421" i="4"/>
  <c r="R421" i="4"/>
  <c r="Q421" i="4"/>
  <c r="P421" i="4"/>
  <c r="O421" i="4"/>
  <c r="N421" i="4"/>
  <c r="M421" i="4"/>
  <c r="L421" i="4"/>
  <c r="V420" i="4"/>
  <c r="U420" i="4"/>
  <c r="T420" i="4"/>
  <c r="S420" i="4"/>
  <c r="R420" i="4"/>
  <c r="Q420" i="4"/>
  <c r="P420" i="4"/>
  <c r="O420" i="4"/>
  <c r="N420" i="4"/>
  <c r="M420" i="4"/>
  <c r="L420" i="4"/>
  <c r="V419" i="4"/>
  <c r="U419" i="4"/>
  <c r="T419" i="4"/>
  <c r="S419" i="4"/>
  <c r="R419" i="4"/>
  <c r="Q419" i="4"/>
  <c r="P419" i="4"/>
  <c r="O419" i="4"/>
  <c r="N419" i="4"/>
  <c r="M419" i="4"/>
  <c r="L419" i="4"/>
  <c r="V418" i="4"/>
  <c r="U418" i="4"/>
  <c r="T418" i="4"/>
  <c r="S418" i="4"/>
  <c r="R418" i="4"/>
  <c r="Q418" i="4"/>
  <c r="P418" i="4"/>
  <c r="O418" i="4"/>
  <c r="N418" i="4"/>
  <c r="M418" i="4"/>
  <c r="L418" i="4"/>
  <c r="V417" i="4"/>
  <c r="U417" i="4"/>
  <c r="T417" i="4"/>
  <c r="S417" i="4"/>
  <c r="R417" i="4"/>
  <c r="Q417" i="4"/>
  <c r="P417" i="4"/>
  <c r="O417" i="4"/>
  <c r="N417" i="4"/>
  <c r="M417" i="4"/>
  <c r="L417" i="4"/>
  <c r="V416" i="4"/>
  <c r="U416" i="4"/>
  <c r="T416" i="4"/>
  <c r="S416" i="4"/>
  <c r="R416" i="4"/>
  <c r="Q416" i="4"/>
  <c r="P416" i="4"/>
  <c r="O416" i="4"/>
  <c r="N416" i="4"/>
  <c r="M416" i="4"/>
  <c r="L416" i="4"/>
  <c r="V415" i="4"/>
  <c r="U415" i="4"/>
  <c r="T415" i="4"/>
  <c r="S415" i="4"/>
  <c r="R415" i="4"/>
  <c r="Q415" i="4"/>
  <c r="P415" i="4"/>
  <c r="O415" i="4"/>
  <c r="N415" i="4"/>
  <c r="M415" i="4"/>
  <c r="L415" i="4"/>
  <c r="V414" i="4"/>
  <c r="U414" i="4"/>
  <c r="T414" i="4"/>
  <c r="S414" i="4"/>
  <c r="R414" i="4"/>
  <c r="Q414" i="4"/>
  <c r="P414" i="4"/>
  <c r="O414" i="4"/>
  <c r="N414" i="4"/>
  <c r="M414" i="4"/>
  <c r="L414" i="4"/>
  <c r="V413" i="4"/>
  <c r="U413" i="4"/>
  <c r="T413" i="4"/>
  <c r="S413" i="4"/>
  <c r="R413" i="4"/>
  <c r="Q413" i="4"/>
  <c r="P413" i="4"/>
  <c r="O413" i="4"/>
  <c r="N413" i="4"/>
  <c r="M413" i="4"/>
  <c r="L413" i="4"/>
  <c r="V412" i="4"/>
  <c r="U412" i="4"/>
  <c r="T412" i="4"/>
  <c r="S412" i="4"/>
  <c r="R412" i="4"/>
  <c r="Q412" i="4"/>
  <c r="P412" i="4"/>
  <c r="O412" i="4"/>
  <c r="N412" i="4"/>
  <c r="M412" i="4"/>
  <c r="L412" i="4"/>
  <c r="V411" i="4"/>
  <c r="U411" i="4"/>
  <c r="T411" i="4"/>
  <c r="S411" i="4"/>
  <c r="R411" i="4"/>
  <c r="Q411" i="4"/>
  <c r="P411" i="4"/>
  <c r="O411" i="4"/>
  <c r="N411" i="4"/>
  <c r="M411" i="4"/>
  <c r="L411" i="4"/>
  <c r="V410" i="4"/>
  <c r="U410" i="4"/>
  <c r="T410" i="4"/>
  <c r="S410" i="4"/>
  <c r="R410" i="4"/>
  <c r="Q410" i="4"/>
  <c r="P410" i="4"/>
  <c r="O410" i="4"/>
  <c r="N410" i="4"/>
  <c r="M410" i="4"/>
  <c r="L410" i="4"/>
  <c r="V409" i="4"/>
  <c r="U409" i="4"/>
  <c r="T409" i="4"/>
  <c r="S409" i="4"/>
  <c r="R409" i="4"/>
  <c r="Q409" i="4"/>
  <c r="P409" i="4"/>
  <c r="O409" i="4"/>
  <c r="N409" i="4"/>
  <c r="M409" i="4"/>
  <c r="L409" i="4"/>
  <c r="V408" i="4"/>
  <c r="U408" i="4"/>
  <c r="T408" i="4"/>
  <c r="S408" i="4"/>
  <c r="R408" i="4"/>
  <c r="Q408" i="4"/>
  <c r="P408" i="4"/>
  <c r="O408" i="4"/>
  <c r="N408" i="4"/>
  <c r="M408" i="4"/>
  <c r="L408" i="4"/>
  <c r="V407" i="4"/>
  <c r="U407" i="4"/>
  <c r="T407" i="4"/>
  <c r="S407" i="4"/>
  <c r="R407" i="4"/>
  <c r="Q407" i="4"/>
  <c r="P407" i="4"/>
  <c r="O407" i="4"/>
  <c r="N407" i="4"/>
  <c r="M407" i="4"/>
  <c r="L407" i="4"/>
  <c r="V406" i="4"/>
  <c r="U406" i="4"/>
  <c r="T406" i="4"/>
  <c r="S406" i="4"/>
  <c r="R406" i="4"/>
  <c r="Q406" i="4"/>
  <c r="P406" i="4"/>
  <c r="O406" i="4"/>
  <c r="N406" i="4"/>
  <c r="M406" i="4"/>
  <c r="L406" i="4"/>
  <c r="V405" i="4"/>
  <c r="U405" i="4"/>
  <c r="T405" i="4"/>
  <c r="S405" i="4"/>
  <c r="R405" i="4"/>
  <c r="Q405" i="4"/>
  <c r="P405" i="4"/>
  <c r="O405" i="4"/>
  <c r="N405" i="4"/>
  <c r="M405" i="4"/>
  <c r="L405" i="4"/>
  <c r="V404" i="4"/>
  <c r="U404" i="4"/>
  <c r="T404" i="4"/>
  <c r="S404" i="4"/>
  <c r="R404" i="4"/>
  <c r="Q404" i="4"/>
  <c r="P404" i="4"/>
  <c r="O404" i="4"/>
  <c r="N404" i="4"/>
  <c r="M404" i="4"/>
  <c r="L404" i="4"/>
  <c r="V403" i="4"/>
  <c r="U403" i="4"/>
  <c r="T403" i="4"/>
  <c r="S403" i="4"/>
  <c r="R403" i="4"/>
  <c r="Q403" i="4"/>
  <c r="P403" i="4"/>
  <c r="O403" i="4"/>
  <c r="N403" i="4"/>
  <c r="M403" i="4"/>
  <c r="L403" i="4"/>
  <c r="V402" i="4"/>
  <c r="U402" i="4"/>
  <c r="T402" i="4"/>
  <c r="S402" i="4"/>
  <c r="R402" i="4"/>
  <c r="Q402" i="4"/>
  <c r="P402" i="4"/>
  <c r="O402" i="4"/>
  <c r="N402" i="4"/>
  <c r="M402" i="4"/>
  <c r="L402" i="4"/>
  <c r="V401" i="4"/>
  <c r="U401" i="4"/>
  <c r="T401" i="4"/>
  <c r="S401" i="4"/>
  <c r="R401" i="4"/>
  <c r="Q401" i="4"/>
  <c r="P401" i="4"/>
  <c r="O401" i="4"/>
  <c r="N401" i="4"/>
  <c r="M401" i="4"/>
  <c r="L401" i="4"/>
  <c r="V400" i="4"/>
  <c r="U400" i="4"/>
  <c r="T400" i="4"/>
  <c r="S400" i="4"/>
  <c r="R400" i="4"/>
  <c r="Q400" i="4"/>
  <c r="P400" i="4"/>
  <c r="O400" i="4"/>
  <c r="N400" i="4"/>
  <c r="M400" i="4"/>
  <c r="L400" i="4"/>
  <c r="V399" i="4"/>
  <c r="U399" i="4"/>
  <c r="T399" i="4"/>
  <c r="S399" i="4"/>
  <c r="R399" i="4"/>
  <c r="Q399" i="4"/>
  <c r="P399" i="4"/>
  <c r="O399" i="4"/>
  <c r="N399" i="4"/>
  <c r="M399" i="4"/>
  <c r="L399" i="4"/>
  <c r="V398" i="4"/>
  <c r="U398" i="4"/>
  <c r="T398" i="4"/>
  <c r="S398" i="4"/>
  <c r="R398" i="4"/>
  <c r="Q398" i="4"/>
  <c r="P398" i="4"/>
  <c r="O398" i="4"/>
  <c r="N398" i="4"/>
  <c r="M398" i="4"/>
  <c r="L398" i="4"/>
  <c r="V397" i="4"/>
  <c r="U397" i="4"/>
  <c r="T397" i="4"/>
  <c r="S397" i="4"/>
  <c r="R397" i="4"/>
  <c r="Q397" i="4"/>
  <c r="P397" i="4"/>
  <c r="O397" i="4"/>
  <c r="N397" i="4"/>
  <c r="M397" i="4"/>
  <c r="L397" i="4"/>
  <c r="V396" i="4"/>
  <c r="U396" i="4"/>
  <c r="T396" i="4"/>
  <c r="S396" i="4"/>
  <c r="R396" i="4"/>
  <c r="Q396" i="4"/>
  <c r="P396" i="4"/>
  <c r="O396" i="4"/>
  <c r="N396" i="4"/>
  <c r="M396" i="4"/>
  <c r="L396" i="4"/>
  <c r="V395" i="4"/>
  <c r="U395" i="4"/>
  <c r="T395" i="4"/>
  <c r="S395" i="4"/>
  <c r="R395" i="4"/>
  <c r="Q395" i="4"/>
  <c r="P395" i="4"/>
  <c r="O395" i="4"/>
  <c r="N395" i="4"/>
  <c r="M395" i="4"/>
  <c r="L395" i="4"/>
  <c r="V394" i="4"/>
  <c r="U394" i="4"/>
  <c r="T394" i="4"/>
  <c r="S394" i="4"/>
  <c r="R394" i="4"/>
  <c r="Q394" i="4"/>
  <c r="P394" i="4"/>
  <c r="O394" i="4"/>
  <c r="N394" i="4"/>
  <c r="M394" i="4"/>
  <c r="L394" i="4"/>
  <c r="V393" i="4"/>
  <c r="U393" i="4"/>
  <c r="T393" i="4"/>
  <c r="S393" i="4"/>
  <c r="R393" i="4"/>
  <c r="Q393" i="4"/>
  <c r="P393" i="4"/>
  <c r="O393" i="4"/>
  <c r="N393" i="4"/>
  <c r="M393" i="4"/>
  <c r="L393" i="4"/>
  <c r="V392" i="4"/>
  <c r="U392" i="4"/>
  <c r="T392" i="4"/>
  <c r="S392" i="4"/>
  <c r="R392" i="4"/>
  <c r="Q392" i="4"/>
  <c r="P392" i="4"/>
  <c r="O392" i="4"/>
  <c r="N392" i="4"/>
  <c r="M392" i="4"/>
  <c r="L392" i="4"/>
  <c r="V391" i="4"/>
  <c r="U391" i="4"/>
  <c r="T391" i="4"/>
  <c r="S391" i="4"/>
  <c r="R391" i="4"/>
  <c r="Q391" i="4"/>
  <c r="P391" i="4"/>
  <c r="O391" i="4"/>
  <c r="N391" i="4"/>
  <c r="M391" i="4"/>
  <c r="L391" i="4"/>
  <c r="V390" i="4"/>
  <c r="U390" i="4"/>
  <c r="T390" i="4"/>
  <c r="S390" i="4"/>
  <c r="R390" i="4"/>
  <c r="Q390" i="4"/>
  <c r="P390" i="4"/>
  <c r="O390" i="4"/>
  <c r="N390" i="4"/>
  <c r="M390" i="4"/>
  <c r="L390" i="4"/>
  <c r="V389" i="4"/>
  <c r="U389" i="4"/>
  <c r="T389" i="4"/>
  <c r="S389" i="4"/>
  <c r="R389" i="4"/>
  <c r="Q389" i="4"/>
  <c r="P389" i="4"/>
  <c r="O389" i="4"/>
  <c r="N389" i="4"/>
  <c r="M389" i="4"/>
  <c r="L389" i="4"/>
  <c r="V388" i="4"/>
  <c r="U388" i="4"/>
  <c r="T388" i="4"/>
  <c r="S388" i="4"/>
  <c r="R388" i="4"/>
  <c r="Q388" i="4"/>
  <c r="P388" i="4"/>
  <c r="O388" i="4"/>
  <c r="N388" i="4"/>
  <c r="M388" i="4"/>
  <c r="L388" i="4"/>
  <c r="V387" i="4"/>
  <c r="U387" i="4"/>
  <c r="T387" i="4"/>
  <c r="S387" i="4"/>
  <c r="R387" i="4"/>
  <c r="Q387" i="4"/>
  <c r="P387" i="4"/>
  <c r="O387" i="4"/>
  <c r="N387" i="4"/>
  <c r="M387" i="4"/>
  <c r="L387" i="4"/>
  <c r="V386" i="4"/>
  <c r="U386" i="4"/>
  <c r="T386" i="4"/>
  <c r="S386" i="4"/>
  <c r="R386" i="4"/>
  <c r="Q386" i="4"/>
  <c r="P386" i="4"/>
  <c r="O386" i="4"/>
  <c r="N386" i="4"/>
  <c r="M386" i="4"/>
  <c r="L386" i="4"/>
  <c r="V385" i="4"/>
  <c r="U385" i="4"/>
  <c r="T385" i="4"/>
  <c r="S385" i="4"/>
  <c r="R385" i="4"/>
  <c r="Q385" i="4"/>
  <c r="P385" i="4"/>
  <c r="O385" i="4"/>
  <c r="N385" i="4"/>
  <c r="M385" i="4"/>
  <c r="L385" i="4"/>
  <c r="V384" i="4"/>
  <c r="U384" i="4"/>
  <c r="T384" i="4"/>
  <c r="S384" i="4"/>
  <c r="R384" i="4"/>
  <c r="Q384" i="4"/>
  <c r="P384" i="4"/>
  <c r="O384" i="4"/>
  <c r="N384" i="4"/>
  <c r="M384" i="4"/>
  <c r="L384" i="4"/>
  <c r="V383" i="4"/>
  <c r="U383" i="4"/>
  <c r="T383" i="4"/>
  <c r="S383" i="4"/>
  <c r="R383" i="4"/>
  <c r="Q383" i="4"/>
  <c r="P383" i="4"/>
  <c r="O383" i="4"/>
  <c r="N383" i="4"/>
  <c r="M383" i="4"/>
  <c r="L383" i="4"/>
  <c r="V382" i="4"/>
  <c r="U382" i="4"/>
  <c r="T382" i="4"/>
  <c r="S382" i="4"/>
  <c r="R382" i="4"/>
  <c r="Q382" i="4"/>
  <c r="P382" i="4"/>
  <c r="O382" i="4"/>
  <c r="N382" i="4"/>
  <c r="M382" i="4"/>
  <c r="L382" i="4"/>
  <c r="V381" i="4"/>
  <c r="U381" i="4"/>
  <c r="T381" i="4"/>
  <c r="S381" i="4"/>
  <c r="R381" i="4"/>
  <c r="Q381" i="4"/>
  <c r="P381" i="4"/>
  <c r="O381" i="4"/>
  <c r="N381" i="4"/>
  <c r="M381" i="4"/>
  <c r="L381" i="4"/>
  <c r="V380" i="4"/>
  <c r="U380" i="4"/>
  <c r="T380" i="4"/>
  <c r="S380" i="4"/>
  <c r="R380" i="4"/>
  <c r="Q380" i="4"/>
  <c r="P380" i="4"/>
  <c r="O380" i="4"/>
  <c r="N380" i="4"/>
  <c r="M380" i="4"/>
  <c r="L380" i="4"/>
  <c r="V379" i="4"/>
  <c r="U379" i="4"/>
  <c r="T379" i="4"/>
  <c r="S379" i="4"/>
  <c r="R379" i="4"/>
  <c r="Q379" i="4"/>
  <c r="P379" i="4"/>
  <c r="V378" i="4"/>
  <c r="U378" i="4"/>
  <c r="T378" i="4"/>
  <c r="S378" i="4"/>
  <c r="R378" i="4"/>
  <c r="Q378" i="4"/>
  <c r="P378" i="4"/>
  <c r="O378" i="4"/>
  <c r="N378" i="4"/>
  <c r="M378" i="4"/>
  <c r="L378" i="4"/>
  <c r="V377" i="4"/>
  <c r="U377" i="4"/>
  <c r="T377" i="4"/>
  <c r="S377" i="4"/>
  <c r="R377" i="4"/>
  <c r="Q377" i="4"/>
  <c r="P377" i="4"/>
  <c r="O377" i="4"/>
  <c r="N377" i="4"/>
  <c r="M377" i="4"/>
  <c r="L377" i="4"/>
  <c r="V376" i="4"/>
  <c r="U376" i="4"/>
  <c r="T376" i="4"/>
  <c r="S376" i="4"/>
  <c r="R376" i="4"/>
  <c r="Q376" i="4"/>
  <c r="P376" i="4"/>
  <c r="O376" i="4"/>
  <c r="N376" i="4"/>
  <c r="M376" i="4"/>
  <c r="L376" i="4"/>
  <c r="V375" i="4"/>
  <c r="U375" i="4"/>
  <c r="T375" i="4"/>
  <c r="S375" i="4"/>
  <c r="R375" i="4"/>
  <c r="Q375" i="4"/>
  <c r="P375" i="4"/>
  <c r="O375" i="4"/>
  <c r="N375" i="4"/>
  <c r="M375" i="4"/>
  <c r="L375" i="4"/>
  <c r="V374" i="4"/>
  <c r="U374" i="4"/>
  <c r="T374" i="4"/>
  <c r="S374" i="4"/>
  <c r="R374" i="4"/>
  <c r="Q374" i="4"/>
  <c r="P374" i="4"/>
  <c r="O374" i="4"/>
  <c r="N374" i="4"/>
  <c r="M374" i="4"/>
  <c r="L374" i="4"/>
  <c r="V373" i="4"/>
  <c r="U373" i="4"/>
  <c r="T373" i="4"/>
  <c r="S373" i="4"/>
  <c r="R373" i="4"/>
  <c r="Q373" i="4"/>
  <c r="P373" i="4"/>
  <c r="O373" i="4"/>
  <c r="N373" i="4"/>
  <c r="M373" i="4"/>
  <c r="L373" i="4"/>
  <c r="V372" i="4"/>
  <c r="U372" i="4"/>
  <c r="T372" i="4"/>
  <c r="S372" i="4"/>
  <c r="R372" i="4"/>
  <c r="Q372" i="4"/>
  <c r="P372" i="4"/>
  <c r="O372" i="4"/>
  <c r="N372" i="4"/>
  <c r="M372" i="4"/>
  <c r="L372" i="4"/>
  <c r="V371" i="4"/>
  <c r="U371" i="4"/>
  <c r="T371" i="4"/>
  <c r="S371" i="4"/>
  <c r="R371" i="4"/>
  <c r="Q371" i="4"/>
  <c r="P371" i="4"/>
  <c r="O371" i="4"/>
  <c r="N371" i="4"/>
  <c r="M371" i="4"/>
  <c r="L371" i="4"/>
  <c r="V370" i="4"/>
  <c r="U370" i="4"/>
  <c r="T370" i="4"/>
  <c r="S370" i="4"/>
  <c r="R370" i="4"/>
  <c r="Q370" i="4"/>
  <c r="P370" i="4"/>
  <c r="O370" i="4"/>
  <c r="N370" i="4"/>
  <c r="M370" i="4"/>
  <c r="L370" i="4"/>
  <c r="V369" i="4"/>
  <c r="U369" i="4"/>
  <c r="T369" i="4"/>
  <c r="S369" i="4"/>
  <c r="R369" i="4"/>
  <c r="Q369" i="4"/>
  <c r="P369" i="4"/>
  <c r="O369" i="4"/>
  <c r="N369" i="4"/>
  <c r="M369" i="4"/>
  <c r="L369" i="4"/>
  <c r="V368" i="4"/>
  <c r="U368" i="4"/>
  <c r="T368" i="4"/>
  <c r="S368" i="4"/>
  <c r="R368" i="4"/>
  <c r="Q368" i="4"/>
  <c r="P368" i="4"/>
  <c r="O368" i="4"/>
  <c r="N368" i="4"/>
  <c r="M368" i="4"/>
  <c r="L368" i="4"/>
  <c r="V367" i="4"/>
  <c r="U367" i="4"/>
  <c r="T367" i="4"/>
  <c r="S367" i="4"/>
  <c r="R367" i="4"/>
  <c r="Q367" i="4"/>
  <c r="P367" i="4"/>
  <c r="O367" i="4"/>
  <c r="N367" i="4"/>
  <c r="M367" i="4"/>
  <c r="L367" i="4"/>
  <c r="V366" i="4"/>
  <c r="U366" i="4"/>
  <c r="T366" i="4"/>
  <c r="S366" i="4"/>
  <c r="R366" i="4"/>
  <c r="Q366" i="4"/>
  <c r="P366" i="4"/>
  <c r="O366" i="4"/>
  <c r="N366" i="4"/>
  <c r="M366" i="4"/>
  <c r="L366" i="4"/>
  <c r="V365" i="4"/>
  <c r="U365" i="4"/>
  <c r="T365" i="4"/>
  <c r="S365" i="4"/>
  <c r="R365" i="4"/>
  <c r="Q365" i="4"/>
  <c r="P365" i="4"/>
  <c r="O365" i="4"/>
  <c r="N365" i="4"/>
  <c r="M365" i="4"/>
  <c r="L365" i="4"/>
  <c r="V364" i="4"/>
  <c r="U364" i="4"/>
  <c r="T364" i="4"/>
  <c r="S364" i="4"/>
  <c r="R364" i="4"/>
  <c r="Q364" i="4"/>
  <c r="P364" i="4"/>
  <c r="O364" i="4"/>
  <c r="N364" i="4"/>
  <c r="M364" i="4"/>
  <c r="L364" i="4"/>
  <c r="V363" i="4"/>
  <c r="U363" i="4"/>
  <c r="T363" i="4"/>
  <c r="S363" i="4"/>
  <c r="R363" i="4"/>
  <c r="Q363" i="4"/>
  <c r="P363" i="4"/>
  <c r="O363" i="4"/>
  <c r="N363" i="4"/>
  <c r="M363" i="4"/>
  <c r="L363" i="4"/>
  <c r="V362" i="4"/>
  <c r="U362" i="4"/>
  <c r="T362" i="4"/>
  <c r="S362" i="4"/>
  <c r="R362" i="4"/>
  <c r="Q362" i="4"/>
  <c r="P362" i="4"/>
  <c r="O362" i="4"/>
  <c r="N362" i="4"/>
  <c r="M362" i="4"/>
  <c r="L362" i="4"/>
  <c r="V361" i="4"/>
  <c r="U361" i="4"/>
  <c r="T361" i="4"/>
  <c r="S361" i="4"/>
  <c r="R361" i="4"/>
  <c r="Q361" i="4"/>
  <c r="P361" i="4"/>
  <c r="O361" i="4"/>
  <c r="N361" i="4"/>
  <c r="M361" i="4"/>
  <c r="L361" i="4"/>
  <c r="V360" i="4"/>
  <c r="U360" i="4"/>
  <c r="T360" i="4"/>
  <c r="S360" i="4"/>
  <c r="R360" i="4"/>
  <c r="Q360" i="4"/>
  <c r="P360" i="4"/>
  <c r="O360" i="4"/>
  <c r="N360" i="4"/>
  <c r="M360" i="4"/>
  <c r="L360" i="4"/>
  <c r="V359" i="4"/>
  <c r="U359" i="4"/>
  <c r="T359" i="4"/>
  <c r="S359" i="4"/>
  <c r="R359" i="4"/>
  <c r="Q359" i="4"/>
  <c r="P359" i="4"/>
  <c r="O359" i="4"/>
  <c r="N359" i="4"/>
  <c r="M359" i="4"/>
  <c r="L359" i="4"/>
  <c r="V358" i="4"/>
  <c r="U358" i="4"/>
  <c r="T358" i="4"/>
  <c r="S358" i="4"/>
  <c r="R358" i="4"/>
  <c r="Q358" i="4"/>
  <c r="P358" i="4"/>
  <c r="O358" i="4"/>
  <c r="N358" i="4"/>
  <c r="M358" i="4"/>
  <c r="L358" i="4"/>
  <c r="V357" i="4"/>
  <c r="U357" i="4"/>
  <c r="T357" i="4"/>
  <c r="S357" i="4"/>
  <c r="R357" i="4"/>
  <c r="Q357" i="4"/>
  <c r="P357" i="4"/>
  <c r="O357" i="4"/>
  <c r="N357" i="4"/>
  <c r="M357" i="4"/>
  <c r="L357" i="4"/>
  <c r="V356" i="4"/>
  <c r="U356" i="4"/>
  <c r="T356" i="4"/>
  <c r="S356" i="4"/>
  <c r="R356" i="4"/>
  <c r="Q356" i="4"/>
  <c r="P356" i="4"/>
  <c r="O356" i="4"/>
  <c r="N356" i="4"/>
  <c r="M356" i="4"/>
  <c r="L356" i="4"/>
  <c r="V355" i="4"/>
  <c r="U355" i="4"/>
  <c r="T355" i="4"/>
  <c r="S355" i="4"/>
  <c r="R355" i="4"/>
  <c r="Q355" i="4"/>
  <c r="P355" i="4"/>
  <c r="O355" i="4"/>
  <c r="N355" i="4"/>
  <c r="M355" i="4"/>
  <c r="L355" i="4"/>
  <c r="V354" i="4"/>
  <c r="U354" i="4"/>
  <c r="T354" i="4"/>
  <c r="S354" i="4"/>
  <c r="R354" i="4"/>
  <c r="Q354" i="4"/>
  <c r="P354" i="4"/>
  <c r="O354" i="4"/>
  <c r="N354" i="4"/>
  <c r="M354" i="4"/>
  <c r="L354" i="4"/>
  <c r="V353" i="4"/>
  <c r="U353" i="4"/>
  <c r="T353" i="4"/>
  <c r="S353" i="4"/>
  <c r="R353" i="4"/>
  <c r="Q353" i="4"/>
  <c r="P353" i="4"/>
  <c r="O353" i="4"/>
  <c r="N353" i="4"/>
  <c r="M353" i="4"/>
  <c r="L353" i="4"/>
  <c r="V352" i="4"/>
  <c r="U352" i="4"/>
  <c r="T352" i="4"/>
  <c r="S352" i="4"/>
  <c r="R352" i="4"/>
  <c r="Q352" i="4"/>
  <c r="P352" i="4"/>
  <c r="O352" i="4"/>
  <c r="N352" i="4"/>
  <c r="M352" i="4"/>
  <c r="L352" i="4"/>
  <c r="V351" i="4"/>
  <c r="U351" i="4"/>
  <c r="T351" i="4"/>
  <c r="S351" i="4"/>
  <c r="R351" i="4"/>
  <c r="Q351" i="4"/>
  <c r="P351" i="4"/>
  <c r="O351" i="4"/>
  <c r="N351" i="4"/>
  <c r="M351" i="4"/>
  <c r="L351" i="4"/>
  <c r="V350" i="4"/>
  <c r="U350" i="4"/>
  <c r="T350" i="4"/>
  <c r="S350" i="4"/>
  <c r="R350" i="4"/>
  <c r="Q350" i="4"/>
  <c r="P350" i="4"/>
  <c r="O350" i="4"/>
  <c r="N350" i="4"/>
  <c r="M350" i="4"/>
  <c r="L350" i="4"/>
  <c r="V349" i="4"/>
  <c r="U349" i="4"/>
  <c r="T349" i="4"/>
  <c r="S349" i="4"/>
  <c r="R349" i="4"/>
  <c r="Q349" i="4"/>
  <c r="P349" i="4"/>
  <c r="O349" i="4"/>
  <c r="N349" i="4"/>
  <c r="M349" i="4"/>
  <c r="L349" i="4"/>
  <c r="V348" i="4"/>
  <c r="U348" i="4"/>
  <c r="T348" i="4"/>
  <c r="S348" i="4"/>
  <c r="R348" i="4"/>
  <c r="Q348" i="4"/>
  <c r="P348" i="4"/>
  <c r="O348" i="4"/>
  <c r="N348" i="4"/>
  <c r="M348" i="4"/>
  <c r="L348" i="4"/>
  <c r="V347" i="4"/>
  <c r="U347" i="4"/>
  <c r="T347" i="4"/>
  <c r="S347" i="4"/>
  <c r="R347" i="4"/>
  <c r="Q347" i="4"/>
  <c r="P347" i="4"/>
  <c r="O347" i="4"/>
  <c r="N347" i="4"/>
  <c r="M347" i="4"/>
  <c r="L347" i="4"/>
  <c r="V345" i="4"/>
  <c r="U345" i="4"/>
  <c r="T345" i="4"/>
  <c r="S345" i="4"/>
  <c r="R345" i="4"/>
  <c r="Q345" i="4"/>
  <c r="P345" i="4"/>
  <c r="O345" i="4"/>
  <c r="N345" i="4"/>
  <c r="M345" i="4"/>
  <c r="L345" i="4"/>
  <c r="V344" i="4"/>
  <c r="U344" i="4"/>
  <c r="T344" i="4"/>
  <c r="S344" i="4"/>
  <c r="R344" i="4"/>
  <c r="Q344" i="4"/>
  <c r="P344" i="4"/>
  <c r="O344" i="4"/>
  <c r="N344" i="4"/>
  <c r="M344" i="4"/>
  <c r="L344" i="4"/>
  <c r="V343" i="4"/>
  <c r="U343" i="4"/>
  <c r="T343" i="4"/>
  <c r="S343" i="4"/>
  <c r="R343" i="4"/>
  <c r="Q343" i="4"/>
  <c r="P343" i="4"/>
  <c r="O343" i="4"/>
  <c r="N343" i="4"/>
  <c r="M343" i="4"/>
  <c r="L343" i="4"/>
  <c r="V342" i="4"/>
  <c r="U342" i="4"/>
  <c r="T342" i="4"/>
  <c r="S342" i="4"/>
  <c r="R342" i="4"/>
  <c r="Q342" i="4"/>
  <c r="P342" i="4"/>
  <c r="O342" i="4"/>
  <c r="N342" i="4"/>
  <c r="M342" i="4"/>
  <c r="L342" i="4"/>
  <c r="V341" i="4"/>
  <c r="U341" i="4"/>
  <c r="T341" i="4"/>
  <c r="S341" i="4"/>
  <c r="R341" i="4"/>
  <c r="Q341" i="4"/>
  <c r="P341" i="4"/>
  <c r="O341" i="4"/>
  <c r="N341" i="4"/>
  <c r="M341" i="4"/>
  <c r="L341" i="4"/>
  <c r="V340" i="4"/>
  <c r="U340" i="4"/>
  <c r="T340" i="4"/>
  <c r="S340" i="4"/>
  <c r="R340" i="4"/>
  <c r="Q340" i="4"/>
  <c r="P340" i="4"/>
  <c r="O340" i="4"/>
  <c r="N340" i="4"/>
  <c r="M340" i="4"/>
  <c r="L340" i="4"/>
  <c r="V339" i="4"/>
  <c r="U339" i="4"/>
  <c r="T339" i="4"/>
  <c r="S339" i="4"/>
  <c r="R339" i="4"/>
  <c r="Q339" i="4"/>
  <c r="P339" i="4"/>
  <c r="O339" i="4"/>
  <c r="N339" i="4"/>
  <c r="M339" i="4"/>
  <c r="L339" i="4"/>
  <c r="V338" i="4"/>
  <c r="U338" i="4"/>
  <c r="T338" i="4"/>
  <c r="S338" i="4"/>
  <c r="R338" i="4"/>
  <c r="Q338" i="4"/>
  <c r="P338" i="4"/>
  <c r="O338" i="4"/>
  <c r="N338" i="4"/>
  <c r="M338" i="4"/>
  <c r="L338" i="4"/>
  <c r="V337" i="4"/>
  <c r="U337" i="4"/>
  <c r="T337" i="4"/>
  <c r="S337" i="4"/>
  <c r="R337" i="4"/>
  <c r="Q337" i="4"/>
  <c r="P337" i="4"/>
  <c r="O337" i="4"/>
  <c r="N337" i="4"/>
  <c r="M337" i="4"/>
  <c r="L337" i="4"/>
  <c r="V336" i="4"/>
  <c r="U336" i="4"/>
  <c r="T336" i="4"/>
  <c r="S336" i="4"/>
  <c r="R336" i="4"/>
  <c r="Q336" i="4"/>
  <c r="P336" i="4"/>
  <c r="O336" i="4"/>
  <c r="N336" i="4"/>
  <c r="M336" i="4"/>
  <c r="L336" i="4"/>
  <c r="V335" i="4"/>
  <c r="U335" i="4"/>
  <c r="T335" i="4"/>
  <c r="S335" i="4"/>
  <c r="R335" i="4"/>
  <c r="Q335" i="4"/>
  <c r="P335" i="4"/>
  <c r="O335" i="4"/>
  <c r="N335" i="4"/>
  <c r="M335" i="4"/>
  <c r="L335" i="4"/>
  <c r="V334" i="4"/>
  <c r="U334" i="4"/>
  <c r="T334" i="4"/>
  <c r="S334" i="4"/>
  <c r="R334" i="4"/>
  <c r="Q334" i="4"/>
  <c r="P334" i="4"/>
  <c r="O334" i="4"/>
  <c r="N334" i="4"/>
  <c r="M334" i="4"/>
  <c r="L334" i="4"/>
  <c r="V333" i="4"/>
  <c r="U333" i="4"/>
  <c r="T333" i="4"/>
  <c r="S333" i="4"/>
  <c r="R333" i="4"/>
  <c r="Q333" i="4"/>
  <c r="P333" i="4"/>
  <c r="O333" i="4"/>
  <c r="N333" i="4"/>
  <c r="M333" i="4"/>
  <c r="L333" i="4"/>
  <c r="V332" i="4"/>
  <c r="U332" i="4"/>
  <c r="T332" i="4"/>
  <c r="S332" i="4"/>
  <c r="R332" i="4"/>
  <c r="Q332" i="4"/>
  <c r="P332" i="4"/>
  <c r="O332" i="4"/>
  <c r="N332" i="4"/>
  <c r="M332" i="4"/>
  <c r="L332" i="4"/>
  <c r="V331" i="4"/>
  <c r="U331" i="4"/>
  <c r="T331" i="4"/>
  <c r="S331" i="4"/>
  <c r="R331" i="4"/>
  <c r="Q331" i="4"/>
  <c r="P331" i="4"/>
  <c r="O331" i="4"/>
  <c r="N331" i="4"/>
  <c r="M331" i="4"/>
  <c r="L331" i="4"/>
  <c r="V330" i="4"/>
  <c r="U330" i="4"/>
  <c r="T330" i="4"/>
  <c r="S330" i="4"/>
  <c r="R330" i="4"/>
  <c r="Q330" i="4"/>
  <c r="P330" i="4"/>
  <c r="O330" i="4"/>
  <c r="N330" i="4"/>
  <c r="M330" i="4"/>
  <c r="L330" i="4"/>
  <c r="V329" i="4"/>
  <c r="U329" i="4"/>
  <c r="T329" i="4"/>
  <c r="S329" i="4"/>
  <c r="R329" i="4"/>
  <c r="Q329" i="4"/>
  <c r="P329" i="4"/>
  <c r="O329" i="4"/>
  <c r="N329" i="4"/>
  <c r="M329" i="4"/>
  <c r="L329" i="4"/>
  <c r="V328" i="4"/>
  <c r="U328" i="4"/>
  <c r="T328" i="4"/>
  <c r="S328" i="4"/>
  <c r="R328" i="4"/>
  <c r="Q328" i="4"/>
  <c r="P328" i="4"/>
  <c r="O328" i="4"/>
  <c r="N328" i="4"/>
  <c r="M328" i="4"/>
  <c r="L328" i="4"/>
  <c r="V327" i="4"/>
  <c r="U327" i="4"/>
  <c r="T327" i="4"/>
  <c r="S327" i="4"/>
  <c r="R327" i="4"/>
  <c r="Q327" i="4"/>
  <c r="P327" i="4"/>
  <c r="O327" i="4"/>
  <c r="N327" i="4"/>
  <c r="M327" i="4"/>
  <c r="L327" i="4"/>
  <c r="V326" i="4"/>
  <c r="U326" i="4"/>
  <c r="T326" i="4"/>
  <c r="S326" i="4"/>
  <c r="R326" i="4"/>
  <c r="Q326" i="4"/>
  <c r="P326" i="4"/>
  <c r="O326" i="4"/>
  <c r="N326" i="4"/>
  <c r="M326" i="4"/>
  <c r="L326" i="4"/>
  <c r="V325" i="4"/>
  <c r="U325" i="4"/>
  <c r="T325" i="4"/>
  <c r="S325" i="4"/>
  <c r="R325" i="4"/>
  <c r="Q325" i="4"/>
  <c r="P325" i="4"/>
  <c r="O325" i="4"/>
  <c r="N325" i="4"/>
  <c r="M325" i="4"/>
  <c r="L325" i="4"/>
  <c r="V324" i="4"/>
  <c r="U324" i="4"/>
  <c r="T324" i="4"/>
  <c r="S324" i="4"/>
  <c r="R324" i="4"/>
  <c r="Q324" i="4"/>
  <c r="P324" i="4"/>
  <c r="O324" i="4"/>
  <c r="N324" i="4"/>
  <c r="M324" i="4"/>
  <c r="L324" i="4"/>
  <c r="V323" i="4"/>
  <c r="U323" i="4"/>
  <c r="T323" i="4"/>
  <c r="S323" i="4"/>
  <c r="R323" i="4"/>
  <c r="Q323" i="4"/>
  <c r="P323" i="4"/>
  <c r="O323" i="4"/>
  <c r="N323" i="4"/>
  <c r="M323" i="4"/>
  <c r="L323" i="4"/>
  <c r="V322" i="4"/>
  <c r="U322" i="4"/>
  <c r="T322" i="4"/>
  <c r="S322" i="4"/>
  <c r="R322" i="4"/>
  <c r="Q322" i="4"/>
  <c r="P322" i="4"/>
  <c r="O322" i="4"/>
  <c r="N322" i="4"/>
  <c r="M322" i="4"/>
  <c r="L322" i="4"/>
  <c r="V321" i="4"/>
  <c r="U321" i="4"/>
  <c r="T321" i="4"/>
  <c r="S321" i="4"/>
  <c r="R321" i="4"/>
  <c r="Q321" i="4"/>
  <c r="P321" i="4"/>
  <c r="O321" i="4"/>
  <c r="N321" i="4"/>
  <c r="M321" i="4"/>
  <c r="L321" i="4"/>
  <c r="V320" i="4"/>
  <c r="U320" i="4"/>
  <c r="T320" i="4"/>
  <c r="S320" i="4"/>
  <c r="R320" i="4"/>
  <c r="Q320" i="4"/>
  <c r="P320" i="4"/>
  <c r="O320" i="4"/>
  <c r="N320" i="4"/>
  <c r="M320" i="4"/>
  <c r="L320" i="4"/>
  <c r="V319" i="4"/>
  <c r="U319" i="4"/>
  <c r="T319" i="4"/>
  <c r="S319" i="4"/>
  <c r="R319" i="4"/>
  <c r="Q319" i="4"/>
  <c r="P319" i="4"/>
  <c r="O319" i="4"/>
  <c r="N319" i="4"/>
  <c r="M319" i="4"/>
  <c r="L319" i="4"/>
  <c r="V318" i="4"/>
  <c r="U318" i="4"/>
  <c r="T318" i="4"/>
  <c r="S318" i="4"/>
  <c r="R318" i="4"/>
  <c r="Q318" i="4"/>
  <c r="P318" i="4"/>
  <c r="O318" i="4"/>
  <c r="N318" i="4"/>
  <c r="M318" i="4"/>
  <c r="L318" i="4"/>
  <c r="V317" i="4"/>
  <c r="U317" i="4"/>
  <c r="T317" i="4"/>
  <c r="S317" i="4"/>
  <c r="R317" i="4"/>
  <c r="Q317" i="4"/>
  <c r="P317" i="4"/>
  <c r="O317" i="4"/>
  <c r="N317" i="4"/>
  <c r="M317" i="4"/>
  <c r="L317" i="4"/>
  <c r="V316" i="4"/>
  <c r="U316" i="4"/>
  <c r="T316" i="4"/>
  <c r="S316" i="4"/>
  <c r="R316" i="4"/>
  <c r="Q316" i="4"/>
  <c r="P316" i="4"/>
  <c r="O316" i="4"/>
  <c r="N316" i="4"/>
  <c r="M316" i="4"/>
  <c r="L316" i="4"/>
  <c r="V315" i="4"/>
  <c r="U315" i="4"/>
  <c r="T315" i="4"/>
  <c r="S315" i="4"/>
  <c r="R315" i="4"/>
  <c r="Q315" i="4"/>
  <c r="P315" i="4"/>
  <c r="O315" i="4"/>
  <c r="N315" i="4"/>
  <c r="M315" i="4"/>
  <c r="L315" i="4"/>
  <c r="V314" i="4"/>
  <c r="U314" i="4"/>
  <c r="T314" i="4"/>
  <c r="S314" i="4"/>
  <c r="R314" i="4"/>
  <c r="Q314" i="4"/>
  <c r="P314" i="4"/>
  <c r="O314" i="4"/>
  <c r="N314" i="4"/>
  <c r="M314" i="4"/>
  <c r="L314" i="4"/>
  <c r="V313" i="4"/>
  <c r="U313" i="4"/>
  <c r="T313" i="4"/>
  <c r="S313" i="4"/>
  <c r="R313" i="4"/>
  <c r="Q313" i="4"/>
  <c r="P313" i="4"/>
  <c r="O313" i="4"/>
  <c r="N313" i="4"/>
  <c r="M313" i="4"/>
  <c r="L313" i="4"/>
  <c r="V312" i="4"/>
  <c r="U312" i="4"/>
  <c r="T312" i="4"/>
  <c r="S312" i="4"/>
  <c r="R312" i="4"/>
  <c r="Q312" i="4"/>
  <c r="P312" i="4"/>
  <c r="O312" i="4"/>
  <c r="N312" i="4"/>
  <c r="M312" i="4"/>
  <c r="L312" i="4"/>
  <c r="V311" i="4"/>
  <c r="U311" i="4"/>
  <c r="T311" i="4"/>
  <c r="S311" i="4"/>
  <c r="R311" i="4"/>
  <c r="Q311" i="4"/>
  <c r="P311" i="4"/>
  <c r="O311" i="4"/>
  <c r="N311" i="4"/>
  <c r="M311" i="4"/>
  <c r="L311" i="4"/>
  <c r="V310" i="4"/>
  <c r="U310" i="4"/>
  <c r="T310" i="4"/>
  <c r="S310" i="4"/>
  <c r="R310" i="4"/>
  <c r="Q310" i="4"/>
  <c r="P310" i="4"/>
  <c r="O310" i="4"/>
  <c r="N310" i="4"/>
  <c r="M310" i="4"/>
  <c r="L310" i="4"/>
  <c r="V309" i="4"/>
  <c r="U309" i="4"/>
  <c r="T309" i="4"/>
  <c r="S309" i="4"/>
  <c r="R309" i="4"/>
  <c r="Q309" i="4"/>
  <c r="P309" i="4"/>
  <c r="O309" i="4"/>
  <c r="N309" i="4"/>
  <c r="M309" i="4"/>
  <c r="L309" i="4"/>
  <c r="V308" i="4"/>
  <c r="U308" i="4"/>
  <c r="T308" i="4"/>
  <c r="S308" i="4"/>
  <c r="R308" i="4"/>
  <c r="Q308" i="4"/>
  <c r="P308" i="4"/>
  <c r="O308" i="4"/>
  <c r="N308" i="4"/>
  <c r="M308" i="4"/>
  <c r="L308" i="4"/>
  <c r="V307" i="4"/>
  <c r="U307" i="4"/>
  <c r="T307" i="4"/>
  <c r="S307" i="4"/>
  <c r="R307" i="4"/>
  <c r="Q307" i="4"/>
  <c r="P307" i="4"/>
  <c r="O307" i="4"/>
  <c r="N307" i="4"/>
  <c r="M307" i="4"/>
  <c r="L307" i="4"/>
  <c r="V306" i="4"/>
  <c r="U306" i="4"/>
  <c r="T306" i="4"/>
  <c r="S306" i="4"/>
  <c r="R306" i="4"/>
  <c r="Q306" i="4"/>
  <c r="P306" i="4"/>
  <c r="O306" i="4"/>
  <c r="N306" i="4"/>
  <c r="M306" i="4"/>
  <c r="L306" i="4"/>
  <c r="V305" i="4"/>
  <c r="U305" i="4"/>
  <c r="T305" i="4"/>
  <c r="S305" i="4"/>
  <c r="R305" i="4"/>
  <c r="Q305" i="4"/>
  <c r="P305" i="4"/>
  <c r="O305" i="4"/>
  <c r="N305" i="4"/>
  <c r="M305" i="4"/>
  <c r="L305" i="4"/>
  <c r="V304" i="4"/>
  <c r="U304" i="4"/>
  <c r="T304" i="4"/>
  <c r="S304" i="4"/>
  <c r="R304" i="4"/>
  <c r="Q304" i="4"/>
  <c r="P304" i="4"/>
  <c r="O304" i="4"/>
  <c r="N304" i="4"/>
  <c r="M304" i="4"/>
  <c r="L304" i="4"/>
  <c r="V303" i="4"/>
  <c r="U303" i="4"/>
  <c r="T303" i="4"/>
  <c r="S303" i="4"/>
  <c r="R303" i="4"/>
  <c r="Q303" i="4"/>
  <c r="P303" i="4"/>
  <c r="O303" i="4"/>
  <c r="N303" i="4"/>
  <c r="M303" i="4"/>
  <c r="L303" i="4"/>
  <c r="V302" i="4"/>
  <c r="U302" i="4"/>
  <c r="T302" i="4"/>
  <c r="S302" i="4"/>
  <c r="R302" i="4"/>
  <c r="Q302" i="4"/>
  <c r="P302" i="4"/>
  <c r="O302" i="4"/>
  <c r="N302" i="4"/>
  <c r="M302" i="4"/>
  <c r="L302" i="4"/>
  <c r="V301" i="4"/>
  <c r="U301" i="4"/>
  <c r="T301" i="4"/>
  <c r="S301" i="4"/>
  <c r="R301" i="4"/>
  <c r="Q301" i="4"/>
  <c r="P301" i="4"/>
  <c r="O301" i="4"/>
  <c r="N301" i="4"/>
  <c r="M301" i="4"/>
  <c r="L301" i="4"/>
  <c r="V300" i="4"/>
  <c r="U300" i="4"/>
  <c r="T300" i="4"/>
  <c r="S300" i="4"/>
  <c r="R300" i="4"/>
  <c r="Q300" i="4"/>
  <c r="P300" i="4"/>
  <c r="O300" i="4"/>
  <c r="N300" i="4"/>
  <c r="M300" i="4"/>
  <c r="L300" i="4"/>
  <c r="V299" i="4"/>
  <c r="U299" i="4"/>
  <c r="T299" i="4"/>
  <c r="S299" i="4"/>
  <c r="R299" i="4"/>
  <c r="Q299" i="4"/>
  <c r="P299" i="4"/>
  <c r="O299" i="4"/>
  <c r="N299" i="4"/>
  <c r="M299" i="4"/>
  <c r="L299" i="4"/>
  <c r="V298" i="4"/>
  <c r="U298" i="4"/>
  <c r="T298" i="4"/>
  <c r="S298" i="4"/>
  <c r="R298" i="4"/>
  <c r="Q298" i="4"/>
  <c r="P298" i="4"/>
  <c r="O298" i="4"/>
  <c r="N298" i="4"/>
  <c r="M298" i="4"/>
  <c r="L298" i="4"/>
  <c r="V297" i="4"/>
  <c r="U297" i="4"/>
  <c r="T297" i="4"/>
  <c r="S297" i="4"/>
  <c r="R297" i="4"/>
  <c r="Q297" i="4"/>
  <c r="P297" i="4"/>
  <c r="O297" i="4"/>
  <c r="N297" i="4"/>
  <c r="M297" i="4"/>
  <c r="L297" i="4"/>
  <c r="V296" i="4"/>
  <c r="U296" i="4"/>
  <c r="T296" i="4"/>
  <c r="S296" i="4"/>
  <c r="R296" i="4"/>
  <c r="Q296" i="4"/>
  <c r="P296" i="4"/>
  <c r="O296" i="4"/>
  <c r="N296" i="4"/>
  <c r="M296" i="4"/>
  <c r="L296" i="4"/>
  <c r="V295" i="4"/>
  <c r="U295" i="4"/>
  <c r="T295" i="4"/>
  <c r="S295" i="4"/>
  <c r="R295" i="4"/>
  <c r="Q295" i="4"/>
  <c r="P295" i="4"/>
  <c r="O295" i="4"/>
  <c r="N295" i="4"/>
  <c r="M295" i="4"/>
  <c r="L295" i="4"/>
  <c r="V294" i="4"/>
  <c r="U294" i="4"/>
  <c r="T294" i="4"/>
  <c r="S294" i="4"/>
  <c r="R294" i="4"/>
  <c r="Q294" i="4"/>
  <c r="P294" i="4"/>
  <c r="O294" i="4"/>
  <c r="N294" i="4"/>
  <c r="M294" i="4"/>
  <c r="L294" i="4"/>
  <c r="V293" i="4"/>
  <c r="U293" i="4"/>
  <c r="T293" i="4"/>
  <c r="S293" i="4"/>
  <c r="R293" i="4"/>
  <c r="Q293" i="4"/>
  <c r="P293" i="4"/>
  <c r="O293" i="4"/>
  <c r="N293" i="4"/>
  <c r="M293" i="4"/>
  <c r="L293" i="4"/>
  <c r="V292" i="4"/>
  <c r="U292" i="4"/>
  <c r="T292" i="4"/>
  <c r="S292" i="4"/>
  <c r="R292" i="4"/>
  <c r="Q292" i="4"/>
  <c r="P292" i="4"/>
  <c r="O292" i="4"/>
  <c r="N292" i="4"/>
  <c r="M292" i="4"/>
  <c r="L292" i="4"/>
  <c r="V291" i="4"/>
  <c r="U291" i="4"/>
  <c r="T291" i="4"/>
  <c r="S291" i="4"/>
  <c r="R291" i="4"/>
  <c r="Q291" i="4"/>
  <c r="P291" i="4"/>
  <c r="O291" i="4"/>
  <c r="N291" i="4"/>
  <c r="M291" i="4"/>
  <c r="L291" i="4"/>
  <c r="V290" i="4"/>
  <c r="U290" i="4"/>
  <c r="T290" i="4"/>
  <c r="S290" i="4"/>
  <c r="R290" i="4"/>
  <c r="Q290" i="4"/>
  <c r="P290" i="4"/>
  <c r="O290" i="4"/>
  <c r="N290" i="4"/>
  <c r="M290" i="4"/>
  <c r="L290" i="4"/>
  <c r="V289" i="4"/>
  <c r="U289" i="4"/>
  <c r="T289" i="4"/>
  <c r="S289" i="4"/>
  <c r="R289" i="4"/>
  <c r="Q289" i="4"/>
  <c r="P289" i="4"/>
  <c r="O289" i="4"/>
  <c r="N289" i="4"/>
  <c r="M289" i="4"/>
  <c r="L289" i="4"/>
  <c r="V288" i="4"/>
  <c r="U288" i="4"/>
  <c r="T288" i="4"/>
  <c r="S288" i="4"/>
  <c r="R288" i="4"/>
  <c r="Q288" i="4"/>
  <c r="P288" i="4"/>
  <c r="O288" i="4"/>
  <c r="N288" i="4"/>
  <c r="M288" i="4"/>
  <c r="L288" i="4"/>
  <c r="V287" i="4"/>
  <c r="U287" i="4"/>
  <c r="T287" i="4"/>
  <c r="S287" i="4"/>
  <c r="R287" i="4"/>
  <c r="Q287" i="4"/>
  <c r="P287" i="4"/>
  <c r="O287" i="4"/>
  <c r="N287" i="4"/>
  <c r="M287" i="4"/>
  <c r="L287" i="4"/>
  <c r="V286" i="4"/>
  <c r="U286" i="4"/>
  <c r="T286" i="4"/>
  <c r="S286" i="4"/>
  <c r="R286" i="4"/>
  <c r="Q286" i="4"/>
  <c r="P286" i="4"/>
  <c r="O286" i="4"/>
  <c r="N286" i="4"/>
  <c r="M286" i="4"/>
  <c r="L286" i="4"/>
  <c r="V285" i="4"/>
  <c r="U285" i="4"/>
  <c r="T285" i="4"/>
  <c r="S285" i="4"/>
  <c r="R285" i="4"/>
  <c r="Q285" i="4"/>
  <c r="P285" i="4"/>
  <c r="O285" i="4"/>
  <c r="N285" i="4"/>
  <c r="M285" i="4"/>
  <c r="L285" i="4"/>
  <c r="V284" i="4"/>
  <c r="U284" i="4"/>
  <c r="T284" i="4"/>
  <c r="S284" i="4"/>
  <c r="R284" i="4"/>
  <c r="Q284" i="4"/>
  <c r="P284" i="4"/>
  <c r="O284" i="4"/>
  <c r="N284" i="4"/>
  <c r="M284" i="4"/>
  <c r="L284" i="4"/>
  <c r="V283" i="4"/>
  <c r="U283" i="4"/>
  <c r="T283" i="4"/>
  <c r="S283" i="4"/>
  <c r="R283" i="4"/>
  <c r="Q283" i="4"/>
  <c r="P283" i="4"/>
  <c r="O283" i="4"/>
  <c r="N283" i="4"/>
  <c r="M283" i="4"/>
  <c r="L283" i="4"/>
  <c r="V282" i="4"/>
  <c r="U282" i="4"/>
  <c r="T282" i="4"/>
  <c r="S282" i="4"/>
  <c r="R282" i="4"/>
  <c r="Q282" i="4"/>
  <c r="P282" i="4"/>
  <c r="O282" i="4"/>
  <c r="N282" i="4"/>
  <c r="M282" i="4"/>
  <c r="L282" i="4"/>
  <c r="V281" i="4"/>
  <c r="U281" i="4"/>
  <c r="T281" i="4"/>
  <c r="S281" i="4"/>
  <c r="R281" i="4"/>
  <c r="Q281" i="4"/>
  <c r="P281" i="4"/>
  <c r="O281" i="4"/>
  <c r="N281" i="4"/>
  <c r="M281" i="4"/>
  <c r="L281" i="4"/>
  <c r="V280" i="4"/>
  <c r="U280" i="4"/>
  <c r="T280" i="4"/>
  <c r="S280" i="4"/>
  <c r="R280" i="4"/>
  <c r="Q280" i="4"/>
  <c r="P280" i="4"/>
  <c r="O280" i="4"/>
  <c r="N280" i="4"/>
  <c r="M280" i="4"/>
  <c r="L280" i="4"/>
  <c r="V279" i="4"/>
  <c r="U279" i="4"/>
  <c r="T279" i="4"/>
  <c r="S279" i="4"/>
  <c r="R279" i="4"/>
  <c r="Q279" i="4"/>
  <c r="P279" i="4"/>
  <c r="O279" i="4"/>
  <c r="N279" i="4"/>
  <c r="M279" i="4"/>
  <c r="L279" i="4"/>
  <c r="V278" i="4"/>
  <c r="U278" i="4"/>
  <c r="T278" i="4"/>
  <c r="S278" i="4"/>
  <c r="R278" i="4"/>
  <c r="Q278" i="4"/>
  <c r="P278" i="4"/>
  <c r="O278" i="4"/>
  <c r="N278" i="4"/>
  <c r="M278" i="4"/>
  <c r="L278" i="4"/>
  <c r="V277" i="4"/>
  <c r="U277" i="4"/>
  <c r="T277" i="4"/>
  <c r="S277" i="4"/>
  <c r="R277" i="4"/>
  <c r="Q277" i="4"/>
  <c r="P277" i="4"/>
  <c r="O277" i="4"/>
  <c r="N277" i="4"/>
  <c r="M277" i="4"/>
  <c r="L277" i="4"/>
  <c r="V276" i="4"/>
  <c r="U276" i="4"/>
  <c r="T276" i="4"/>
  <c r="S276" i="4"/>
  <c r="R276" i="4"/>
  <c r="Q276" i="4"/>
  <c r="P276" i="4"/>
  <c r="O276" i="4"/>
  <c r="N276" i="4"/>
  <c r="M276" i="4"/>
  <c r="L276" i="4"/>
  <c r="V275" i="4"/>
  <c r="U275" i="4"/>
  <c r="T275" i="4"/>
  <c r="S275" i="4"/>
  <c r="R275" i="4"/>
  <c r="Q275" i="4"/>
  <c r="P275" i="4"/>
  <c r="O275" i="4"/>
  <c r="N275" i="4"/>
  <c r="M275" i="4"/>
  <c r="L275" i="4"/>
  <c r="V274" i="4"/>
  <c r="U274" i="4"/>
  <c r="T274" i="4"/>
  <c r="S274" i="4"/>
  <c r="R274" i="4"/>
  <c r="Q274" i="4"/>
  <c r="P274" i="4"/>
  <c r="O274" i="4"/>
  <c r="N274" i="4"/>
  <c r="M274" i="4"/>
  <c r="L274" i="4"/>
  <c r="V273" i="4"/>
  <c r="U273" i="4"/>
  <c r="T273" i="4"/>
  <c r="S273" i="4"/>
  <c r="R273" i="4"/>
  <c r="Q273" i="4"/>
  <c r="P273" i="4"/>
  <c r="O273" i="4"/>
  <c r="N273" i="4"/>
  <c r="M273" i="4"/>
  <c r="L273" i="4"/>
  <c r="V272" i="4"/>
  <c r="U272" i="4"/>
  <c r="T272" i="4"/>
  <c r="S272" i="4"/>
  <c r="R272" i="4"/>
  <c r="Q272" i="4"/>
  <c r="P272" i="4"/>
  <c r="O272" i="4"/>
  <c r="N272" i="4"/>
  <c r="M272" i="4"/>
  <c r="L272" i="4"/>
  <c r="V271" i="4"/>
  <c r="U271" i="4"/>
  <c r="T271" i="4"/>
  <c r="S271" i="4"/>
  <c r="R271" i="4"/>
  <c r="Q271" i="4"/>
  <c r="P271" i="4"/>
  <c r="O271" i="4"/>
  <c r="N271" i="4"/>
  <c r="M271" i="4"/>
  <c r="L271" i="4"/>
  <c r="V270" i="4"/>
  <c r="U270" i="4"/>
  <c r="T270" i="4"/>
  <c r="S270" i="4"/>
  <c r="R270" i="4"/>
  <c r="Q270" i="4"/>
  <c r="P270" i="4"/>
  <c r="O270" i="4"/>
  <c r="N270" i="4"/>
  <c r="M270" i="4"/>
  <c r="L270" i="4"/>
  <c r="V269" i="4"/>
  <c r="U269" i="4"/>
  <c r="T269" i="4"/>
  <c r="S269" i="4"/>
  <c r="R269" i="4"/>
  <c r="Q269" i="4"/>
  <c r="P269" i="4"/>
  <c r="O269" i="4"/>
  <c r="N269" i="4"/>
  <c r="M269" i="4"/>
  <c r="L269" i="4"/>
  <c r="V268" i="4"/>
  <c r="U268" i="4"/>
  <c r="T268" i="4"/>
  <c r="S268" i="4"/>
  <c r="R268" i="4"/>
  <c r="Q268" i="4"/>
  <c r="P268" i="4"/>
  <c r="O268" i="4"/>
  <c r="N268" i="4"/>
  <c r="M268" i="4"/>
  <c r="L268" i="4"/>
  <c r="V267" i="4"/>
  <c r="U267" i="4"/>
  <c r="T267" i="4"/>
  <c r="S267" i="4"/>
  <c r="R267" i="4"/>
  <c r="Q267" i="4"/>
  <c r="P267" i="4"/>
  <c r="O267" i="4"/>
  <c r="N267" i="4"/>
  <c r="M267" i="4"/>
  <c r="L267" i="4"/>
  <c r="V266" i="4"/>
  <c r="U266" i="4"/>
  <c r="T266" i="4"/>
  <c r="S266" i="4"/>
  <c r="R266" i="4"/>
  <c r="Q266" i="4"/>
  <c r="P266" i="4"/>
  <c r="O266" i="4"/>
  <c r="N266" i="4"/>
  <c r="M266" i="4"/>
  <c r="L266" i="4"/>
  <c r="V265" i="4"/>
  <c r="U265" i="4"/>
  <c r="T265" i="4"/>
  <c r="S265" i="4"/>
  <c r="R265" i="4"/>
  <c r="Q265" i="4"/>
  <c r="P265" i="4"/>
  <c r="O265" i="4"/>
  <c r="N265" i="4"/>
  <c r="M265" i="4"/>
  <c r="L265" i="4"/>
  <c r="V264" i="4"/>
  <c r="U264" i="4"/>
  <c r="T264" i="4"/>
  <c r="S264" i="4"/>
  <c r="R264" i="4"/>
  <c r="Q264" i="4"/>
  <c r="P264" i="4"/>
  <c r="O264" i="4"/>
  <c r="N264" i="4"/>
  <c r="M264" i="4"/>
  <c r="L264" i="4"/>
  <c r="V263" i="4"/>
  <c r="U263" i="4"/>
  <c r="T263" i="4"/>
  <c r="S263" i="4"/>
  <c r="R263" i="4"/>
  <c r="Q263" i="4"/>
  <c r="P263" i="4"/>
  <c r="O263" i="4"/>
  <c r="N263" i="4"/>
  <c r="M263" i="4"/>
  <c r="L263" i="4"/>
  <c r="V262" i="4"/>
  <c r="U262" i="4"/>
  <c r="T262" i="4"/>
  <c r="S262" i="4"/>
  <c r="R262" i="4"/>
  <c r="Q262" i="4"/>
  <c r="P262" i="4"/>
  <c r="O262" i="4"/>
  <c r="N262" i="4"/>
  <c r="M262" i="4"/>
  <c r="L262" i="4"/>
  <c r="V261" i="4"/>
  <c r="U261" i="4"/>
  <c r="T261" i="4"/>
  <c r="S261" i="4"/>
  <c r="R261" i="4"/>
  <c r="Q261" i="4"/>
  <c r="P261" i="4"/>
  <c r="O261" i="4"/>
  <c r="N261" i="4"/>
  <c r="M261" i="4"/>
  <c r="L261" i="4"/>
  <c r="V260" i="4"/>
  <c r="U260" i="4"/>
  <c r="T260" i="4"/>
  <c r="S260" i="4"/>
  <c r="R260" i="4"/>
  <c r="Q260" i="4"/>
  <c r="P260" i="4"/>
  <c r="O260" i="4"/>
  <c r="N260" i="4"/>
  <c r="M260" i="4"/>
  <c r="L260" i="4"/>
  <c r="V259" i="4"/>
  <c r="U259" i="4"/>
  <c r="T259" i="4"/>
  <c r="S259" i="4"/>
  <c r="R259" i="4"/>
  <c r="Q259" i="4"/>
  <c r="P259" i="4"/>
  <c r="O259" i="4"/>
  <c r="N259" i="4"/>
  <c r="M259" i="4"/>
  <c r="L259" i="4"/>
  <c r="V258" i="4"/>
  <c r="U258" i="4"/>
  <c r="T258" i="4"/>
  <c r="S258" i="4"/>
  <c r="R258" i="4"/>
  <c r="Q258" i="4"/>
  <c r="P258" i="4"/>
  <c r="O258" i="4"/>
  <c r="N258" i="4"/>
  <c r="M258" i="4"/>
  <c r="L258" i="4"/>
  <c r="V257" i="4"/>
  <c r="U257" i="4"/>
  <c r="T257" i="4"/>
  <c r="S257" i="4"/>
  <c r="R257" i="4"/>
  <c r="Q257" i="4"/>
  <c r="P257" i="4"/>
  <c r="O257" i="4"/>
  <c r="N257" i="4"/>
  <c r="M257" i="4"/>
  <c r="L257" i="4"/>
  <c r="V256" i="4"/>
  <c r="U256" i="4"/>
  <c r="T256" i="4"/>
  <c r="S256" i="4"/>
  <c r="R256" i="4"/>
  <c r="Q256" i="4"/>
  <c r="P256" i="4"/>
  <c r="O256" i="4"/>
  <c r="N256" i="4"/>
  <c r="M256" i="4"/>
  <c r="L256" i="4"/>
  <c r="V255" i="4"/>
  <c r="U255" i="4"/>
  <c r="T255" i="4"/>
  <c r="S255" i="4"/>
  <c r="R255" i="4"/>
  <c r="Q255" i="4"/>
  <c r="P255" i="4"/>
  <c r="O255" i="4"/>
  <c r="N255" i="4"/>
  <c r="M255" i="4"/>
  <c r="L255" i="4"/>
  <c r="V254" i="4"/>
  <c r="U254" i="4"/>
  <c r="T254" i="4"/>
  <c r="S254" i="4"/>
  <c r="R254" i="4"/>
  <c r="Q254" i="4"/>
  <c r="P254" i="4"/>
  <c r="O254" i="4"/>
  <c r="N254" i="4"/>
  <c r="M254" i="4"/>
  <c r="L254" i="4"/>
  <c r="V253" i="4"/>
  <c r="U253" i="4"/>
  <c r="T253" i="4"/>
  <c r="S253" i="4"/>
  <c r="R253" i="4"/>
  <c r="Q253" i="4"/>
  <c r="P253" i="4"/>
  <c r="O253" i="4"/>
  <c r="N253" i="4"/>
  <c r="M253" i="4"/>
  <c r="L253" i="4"/>
  <c r="V252" i="4"/>
  <c r="U252" i="4"/>
  <c r="T252" i="4"/>
  <c r="S252" i="4"/>
  <c r="R252" i="4"/>
  <c r="Q252" i="4"/>
  <c r="P252" i="4"/>
  <c r="O252" i="4"/>
  <c r="N252" i="4"/>
  <c r="M252" i="4"/>
  <c r="L252" i="4"/>
  <c r="V251" i="4"/>
  <c r="U251" i="4"/>
  <c r="T251" i="4"/>
  <c r="S251" i="4"/>
  <c r="R251" i="4"/>
  <c r="Q251" i="4"/>
  <c r="P251" i="4"/>
  <c r="O251" i="4"/>
  <c r="N251" i="4"/>
  <c r="M251" i="4"/>
  <c r="L251" i="4"/>
  <c r="V250" i="4"/>
  <c r="U250" i="4"/>
  <c r="T250" i="4"/>
  <c r="S250" i="4"/>
  <c r="R250" i="4"/>
  <c r="Q250" i="4"/>
  <c r="P250" i="4"/>
  <c r="O250" i="4"/>
  <c r="N250" i="4"/>
  <c r="M250" i="4"/>
  <c r="L250" i="4"/>
  <c r="V249" i="4"/>
  <c r="U249" i="4"/>
  <c r="T249" i="4"/>
  <c r="S249" i="4"/>
  <c r="R249" i="4"/>
  <c r="Q249" i="4"/>
  <c r="P249" i="4"/>
  <c r="O249" i="4"/>
  <c r="N249" i="4"/>
  <c r="M249" i="4"/>
  <c r="L249" i="4"/>
  <c r="V248" i="4"/>
  <c r="U248" i="4"/>
  <c r="T248" i="4"/>
  <c r="S248" i="4"/>
  <c r="R248" i="4"/>
  <c r="Q248" i="4"/>
  <c r="P248" i="4"/>
  <c r="O248" i="4"/>
  <c r="N248" i="4"/>
  <c r="M248" i="4"/>
  <c r="L248" i="4"/>
  <c r="V247" i="4"/>
  <c r="U247" i="4"/>
  <c r="T247" i="4"/>
  <c r="S247" i="4"/>
  <c r="R247" i="4"/>
  <c r="Q247" i="4"/>
  <c r="P247" i="4"/>
  <c r="O247" i="4"/>
  <c r="N247" i="4"/>
  <c r="M247" i="4"/>
  <c r="L247" i="4"/>
  <c r="V246" i="4"/>
  <c r="U246" i="4"/>
  <c r="T246" i="4"/>
  <c r="S246" i="4"/>
  <c r="R246" i="4"/>
  <c r="Q246" i="4"/>
  <c r="P246" i="4"/>
  <c r="O246" i="4"/>
  <c r="N246" i="4"/>
  <c r="M246" i="4"/>
  <c r="L246" i="4"/>
  <c r="V245" i="4"/>
  <c r="U245" i="4"/>
  <c r="T245" i="4"/>
  <c r="S245" i="4"/>
  <c r="R245" i="4"/>
  <c r="Q245" i="4"/>
  <c r="P245" i="4"/>
  <c r="O245" i="4"/>
  <c r="N245" i="4"/>
  <c r="M245" i="4"/>
  <c r="L245" i="4"/>
  <c r="V244" i="4"/>
  <c r="U244" i="4"/>
  <c r="T244" i="4"/>
  <c r="S244" i="4"/>
  <c r="R244" i="4"/>
  <c r="Q244" i="4"/>
  <c r="P244" i="4"/>
  <c r="O244" i="4"/>
  <c r="N244" i="4"/>
  <c r="M244" i="4"/>
  <c r="L244" i="4"/>
  <c r="V243" i="4"/>
  <c r="U243" i="4"/>
  <c r="T243" i="4"/>
  <c r="S243" i="4"/>
  <c r="R243" i="4"/>
  <c r="Q243" i="4"/>
  <c r="P243" i="4"/>
  <c r="O243" i="4"/>
  <c r="N243" i="4"/>
  <c r="M243" i="4"/>
  <c r="L243" i="4"/>
  <c r="V242" i="4"/>
  <c r="U242" i="4"/>
  <c r="T242" i="4"/>
  <c r="S242" i="4"/>
  <c r="R242" i="4"/>
  <c r="Q242" i="4"/>
  <c r="P242" i="4"/>
  <c r="O242" i="4"/>
  <c r="N242" i="4"/>
  <c r="M242" i="4"/>
  <c r="L242" i="4"/>
  <c r="V241" i="4"/>
  <c r="U241" i="4"/>
  <c r="T241" i="4"/>
  <c r="S241" i="4"/>
  <c r="R241" i="4"/>
  <c r="Q241" i="4"/>
  <c r="P241" i="4"/>
  <c r="O241" i="4"/>
  <c r="N241" i="4"/>
  <c r="M241" i="4"/>
  <c r="L241" i="4"/>
  <c r="V240" i="4"/>
  <c r="U240" i="4"/>
  <c r="T240" i="4"/>
  <c r="S240" i="4"/>
  <c r="R240" i="4"/>
  <c r="Q240" i="4"/>
  <c r="P240" i="4"/>
  <c r="O240" i="4"/>
  <c r="N240" i="4"/>
  <c r="M240" i="4"/>
  <c r="L240" i="4"/>
  <c r="V239" i="4"/>
  <c r="U239" i="4"/>
  <c r="T239" i="4"/>
  <c r="S239" i="4"/>
  <c r="R239" i="4"/>
  <c r="Q239" i="4"/>
  <c r="P239" i="4"/>
  <c r="O239" i="4"/>
  <c r="N239" i="4"/>
  <c r="M239" i="4"/>
  <c r="L239" i="4"/>
  <c r="V238" i="4"/>
  <c r="U238" i="4"/>
  <c r="T238" i="4"/>
  <c r="S238" i="4"/>
  <c r="R238" i="4"/>
  <c r="Q238" i="4"/>
  <c r="P238" i="4"/>
  <c r="O238" i="4"/>
  <c r="N238" i="4"/>
  <c r="M238" i="4"/>
  <c r="L238" i="4"/>
  <c r="V237" i="4"/>
  <c r="U237" i="4"/>
  <c r="T237" i="4"/>
  <c r="S237" i="4"/>
  <c r="R237" i="4"/>
  <c r="Q237" i="4"/>
  <c r="P237" i="4"/>
  <c r="O237" i="4"/>
  <c r="N237" i="4"/>
  <c r="M237" i="4"/>
  <c r="L237" i="4"/>
  <c r="V236" i="4"/>
  <c r="U236" i="4"/>
  <c r="T236" i="4"/>
  <c r="S236" i="4"/>
  <c r="R236" i="4"/>
  <c r="Q236" i="4"/>
  <c r="P236" i="4"/>
  <c r="O236" i="4"/>
  <c r="N236" i="4"/>
  <c r="M236" i="4"/>
  <c r="L236" i="4"/>
  <c r="V235" i="4"/>
  <c r="U235" i="4"/>
  <c r="T235" i="4"/>
  <c r="S235" i="4"/>
  <c r="R235" i="4"/>
  <c r="Q235" i="4"/>
  <c r="P235" i="4"/>
  <c r="O235" i="4"/>
  <c r="N235" i="4"/>
  <c r="M235" i="4"/>
  <c r="L235" i="4"/>
  <c r="V234" i="4"/>
  <c r="U234" i="4"/>
  <c r="T234" i="4"/>
  <c r="S234" i="4"/>
  <c r="R234" i="4"/>
  <c r="Q234" i="4"/>
  <c r="P234" i="4"/>
  <c r="O234" i="4"/>
  <c r="N234" i="4"/>
  <c r="M234" i="4"/>
  <c r="L234" i="4"/>
  <c r="V233" i="4"/>
  <c r="U233" i="4"/>
  <c r="T233" i="4"/>
  <c r="S233" i="4"/>
  <c r="R233" i="4"/>
  <c r="Q233" i="4"/>
  <c r="P233" i="4"/>
  <c r="O233" i="4"/>
  <c r="N233" i="4"/>
  <c r="M233" i="4"/>
  <c r="L233" i="4"/>
  <c r="V232" i="4"/>
  <c r="U232" i="4"/>
  <c r="T232" i="4"/>
  <c r="S232" i="4"/>
  <c r="R232" i="4"/>
  <c r="Q232" i="4"/>
  <c r="P232" i="4"/>
  <c r="O232" i="4"/>
  <c r="N232" i="4"/>
  <c r="M232" i="4"/>
  <c r="L232" i="4"/>
  <c r="V231" i="4"/>
  <c r="U231" i="4"/>
  <c r="T231" i="4"/>
  <c r="S231" i="4"/>
  <c r="R231" i="4"/>
  <c r="Q231" i="4"/>
  <c r="P231" i="4"/>
  <c r="O231" i="4"/>
  <c r="N231" i="4"/>
  <c r="M231" i="4"/>
  <c r="L231" i="4"/>
  <c r="V230" i="4"/>
  <c r="U230" i="4"/>
  <c r="T230" i="4"/>
  <c r="S230" i="4"/>
  <c r="R230" i="4"/>
  <c r="Q230" i="4"/>
  <c r="P230" i="4"/>
  <c r="O230" i="4"/>
  <c r="N230" i="4"/>
  <c r="M230" i="4"/>
  <c r="L230" i="4"/>
  <c r="V229" i="4"/>
  <c r="U229" i="4"/>
  <c r="T229" i="4"/>
  <c r="S229" i="4"/>
  <c r="R229" i="4"/>
  <c r="Q229" i="4"/>
  <c r="P229" i="4"/>
  <c r="O229" i="4"/>
  <c r="N229" i="4"/>
  <c r="M229" i="4"/>
  <c r="L229" i="4"/>
  <c r="V228" i="4"/>
  <c r="U228" i="4"/>
  <c r="T228" i="4"/>
  <c r="S228" i="4"/>
  <c r="R228" i="4"/>
  <c r="Q228" i="4"/>
  <c r="P228" i="4"/>
  <c r="O228" i="4"/>
  <c r="N228" i="4"/>
  <c r="M228" i="4"/>
  <c r="L228" i="4"/>
  <c r="V227" i="4"/>
  <c r="U227" i="4"/>
  <c r="T227" i="4"/>
  <c r="S227" i="4"/>
  <c r="R227" i="4"/>
  <c r="Q227" i="4"/>
  <c r="P227" i="4"/>
  <c r="O227" i="4"/>
  <c r="N227" i="4"/>
  <c r="M227" i="4"/>
  <c r="L227" i="4"/>
  <c r="V226" i="4"/>
  <c r="U226" i="4"/>
  <c r="T226" i="4"/>
  <c r="S226" i="4"/>
  <c r="R226" i="4"/>
  <c r="Q226" i="4"/>
  <c r="P226" i="4"/>
  <c r="O226" i="4"/>
  <c r="N226" i="4"/>
  <c r="M226" i="4"/>
  <c r="L226" i="4"/>
  <c r="V225" i="4"/>
  <c r="U225" i="4"/>
  <c r="T225" i="4"/>
  <c r="S225" i="4"/>
  <c r="R225" i="4"/>
  <c r="Q225" i="4"/>
  <c r="P225" i="4"/>
  <c r="O225" i="4"/>
  <c r="N225" i="4"/>
  <c r="M225" i="4"/>
  <c r="L225" i="4"/>
  <c r="V224" i="4"/>
  <c r="U224" i="4"/>
  <c r="T224" i="4"/>
  <c r="S224" i="4"/>
  <c r="R224" i="4"/>
  <c r="Q224" i="4"/>
  <c r="P224" i="4"/>
  <c r="O224" i="4"/>
  <c r="N224" i="4"/>
  <c r="M224" i="4"/>
  <c r="L224" i="4"/>
  <c r="V223" i="4"/>
  <c r="U223" i="4"/>
  <c r="T223" i="4"/>
  <c r="S223" i="4"/>
  <c r="R223" i="4"/>
  <c r="Q223" i="4"/>
  <c r="P223" i="4"/>
  <c r="O223" i="4"/>
  <c r="N223" i="4"/>
  <c r="M223" i="4"/>
  <c r="L223" i="4"/>
  <c r="V222" i="4"/>
  <c r="U222" i="4"/>
  <c r="T222" i="4"/>
  <c r="S222" i="4"/>
  <c r="R222" i="4"/>
  <c r="Q222" i="4"/>
  <c r="P222" i="4"/>
  <c r="O222" i="4"/>
  <c r="N222" i="4"/>
  <c r="M222" i="4"/>
  <c r="L222" i="4"/>
  <c r="V221" i="4"/>
  <c r="U221" i="4"/>
  <c r="T221" i="4"/>
  <c r="S221" i="4"/>
  <c r="R221" i="4"/>
  <c r="Q221" i="4"/>
  <c r="P221" i="4"/>
  <c r="O221" i="4"/>
  <c r="N221" i="4"/>
  <c r="M221" i="4"/>
  <c r="L221" i="4"/>
  <c r="V220" i="4"/>
  <c r="U220" i="4"/>
  <c r="T220" i="4"/>
  <c r="S220" i="4"/>
  <c r="R220" i="4"/>
  <c r="Q220" i="4"/>
  <c r="P220" i="4"/>
  <c r="O220" i="4"/>
  <c r="N220" i="4"/>
  <c r="M220" i="4"/>
  <c r="L220" i="4"/>
  <c r="V219" i="4"/>
  <c r="U219" i="4"/>
  <c r="T219" i="4"/>
  <c r="S219" i="4"/>
  <c r="R219" i="4"/>
  <c r="Q219" i="4"/>
  <c r="P219" i="4"/>
  <c r="O219" i="4"/>
  <c r="N219" i="4"/>
  <c r="M219" i="4"/>
  <c r="L219" i="4"/>
  <c r="V218" i="4"/>
  <c r="U218" i="4"/>
  <c r="T218" i="4"/>
  <c r="S218" i="4"/>
  <c r="R218" i="4"/>
  <c r="Q218" i="4"/>
  <c r="P218" i="4"/>
  <c r="O218" i="4"/>
  <c r="N218" i="4"/>
  <c r="M218" i="4"/>
  <c r="L218" i="4"/>
  <c r="V217" i="4"/>
  <c r="U217" i="4"/>
  <c r="T217" i="4"/>
  <c r="S217" i="4"/>
  <c r="R217" i="4"/>
  <c r="Q217" i="4"/>
  <c r="P217" i="4"/>
  <c r="O217" i="4"/>
  <c r="N217" i="4"/>
  <c r="M217" i="4"/>
  <c r="L217" i="4"/>
  <c r="V216" i="4"/>
  <c r="U216" i="4"/>
  <c r="T216" i="4"/>
  <c r="S216" i="4"/>
  <c r="R216" i="4"/>
  <c r="Q216" i="4"/>
  <c r="P216" i="4"/>
  <c r="O216" i="4"/>
  <c r="N216" i="4"/>
  <c r="M216" i="4"/>
  <c r="L216" i="4"/>
  <c r="V215" i="4"/>
  <c r="U215" i="4"/>
  <c r="T215" i="4"/>
  <c r="S215" i="4"/>
  <c r="R215" i="4"/>
  <c r="Q215" i="4"/>
  <c r="P215" i="4"/>
  <c r="O215" i="4"/>
  <c r="N215" i="4"/>
  <c r="M215" i="4"/>
  <c r="L215" i="4"/>
  <c r="V214" i="4"/>
  <c r="U214" i="4"/>
  <c r="T214" i="4"/>
  <c r="S214" i="4"/>
  <c r="R214" i="4"/>
  <c r="Q214" i="4"/>
  <c r="P214" i="4"/>
  <c r="O214" i="4"/>
  <c r="N214" i="4"/>
  <c r="M214" i="4"/>
  <c r="L214" i="4"/>
  <c r="V213" i="4"/>
  <c r="U213" i="4"/>
  <c r="T213" i="4"/>
  <c r="S213" i="4"/>
  <c r="R213" i="4"/>
  <c r="Q213" i="4"/>
  <c r="P213" i="4"/>
  <c r="O213" i="4"/>
  <c r="N213" i="4"/>
  <c r="M213" i="4"/>
  <c r="L213" i="4"/>
  <c r="V212" i="4"/>
  <c r="U212" i="4"/>
  <c r="T212" i="4"/>
  <c r="S212" i="4"/>
  <c r="R212" i="4"/>
  <c r="Q212" i="4"/>
  <c r="P212" i="4"/>
  <c r="O212" i="4"/>
  <c r="N212" i="4"/>
  <c r="M212" i="4"/>
  <c r="L212" i="4"/>
  <c r="V211" i="4"/>
  <c r="U211" i="4"/>
  <c r="T211" i="4"/>
  <c r="S211" i="4"/>
  <c r="R211" i="4"/>
  <c r="Q211" i="4"/>
  <c r="P211" i="4"/>
  <c r="O211" i="4"/>
  <c r="N211" i="4"/>
  <c r="M211" i="4"/>
  <c r="L211" i="4"/>
  <c r="V210" i="4"/>
  <c r="U210" i="4"/>
  <c r="T210" i="4"/>
  <c r="S210" i="4"/>
  <c r="R210" i="4"/>
  <c r="Q210" i="4"/>
  <c r="P210" i="4"/>
  <c r="O210" i="4"/>
  <c r="N210" i="4"/>
  <c r="M210" i="4"/>
  <c r="L210" i="4"/>
  <c r="V209" i="4"/>
  <c r="U209" i="4"/>
  <c r="T209" i="4"/>
  <c r="S209" i="4"/>
  <c r="R209" i="4"/>
  <c r="Q209" i="4"/>
  <c r="P209" i="4"/>
  <c r="O209" i="4"/>
  <c r="N209" i="4"/>
  <c r="M209" i="4"/>
  <c r="L209" i="4"/>
  <c r="V208" i="4"/>
  <c r="U208" i="4"/>
  <c r="T208" i="4"/>
  <c r="S208" i="4"/>
  <c r="R208" i="4"/>
  <c r="Q208" i="4"/>
  <c r="P208" i="4"/>
  <c r="O208" i="4"/>
  <c r="N208" i="4"/>
  <c r="M208" i="4"/>
  <c r="L208" i="4"/>
  <c r="V207" i="4"/>
  <c r="U207" i="4"/>
  <c r="T207" i="4"/>
  <c r="S207" i="4"/>
  <c r="R207" i="4"/>
  <c r="Q207" i="4"/>
  <c r="P207" i="4"/>
  <c r="O207" i="4"/>
  <c r="N207" i="4"/>
  <c r="M207" i="4"/>
  <c r="L207" i="4"/>
  <c r="V206" i="4"/>
  <c r="U206" i="4"/>
  <c r="T206" i="4"/>
  <c r="S206" i="4"/>
  <c r="R206" i="4"/>
  <c r="Q206" i="4"/>
  <c r="P206" i="4"/>
  <c r="O206" i="4"/>
  <c r="N206" i="4"/>
  <c r="M206" i="4"/>
  <c r="L206" i="4"/>
  <c r="V205" i="4"/>
  <c r="U205" i="4"/>
  <c r="T205" i="4"/>
  <c r="S205" i="4"/>
  <c r="R205" i="4"/>
  <c r="Q205" i="4"/>
  <c r="P205" i="4"/>
  <c r="O205" i="4"/>
  <c r="N205" i="4"/>
  <c r="M205" i="4"/>
  <c r="L205" i="4"/>
  <c r="V204" i="4"/>
  <c r="U204" i="4"/>
  <c r="T204" i="4"/>
  <c r="S204" i="4"/>
  <c r="R204" i="4"/>
  <c r="Q204" i="4"/>
  <c r="P204" i="4"/>
  <c r="O204" i="4"/>
  <c r="N204" i="4"/>
  <c r="M204" i="4"/>
  <c r="L204" i="4"/>
  <c r="V203" i="4"/>
  <c r="U203" i="4"/>
  <c r="T203" i="4"/>
  <c r="S203" i="4"/>
  <c r="R203" i="4"/>
  <c r="Q203" i="4"/>
  <c r="P203" i="4"/>
  <c r="O203" i="4"/>
  <c r="N203" i="4"/>
  <c r="M203" i="4"/>
  <c r="L203" i="4"/>
  <c r="V202" i="4"/>
  <c r="U202" i="4"/>
  <c r="T202" i="4"/>
  <c r="S202" i="4"/>
  <c r="R202" i="4"/>
  <c r="Q202" i="4"/>
  <c r="P202" i="4"/>
  <c r="O202" i="4"/>
  <c r="N202" i="4"/>
  <c r="M202" i="4"/>
  <c r="L202" i="4"/>
  <c r="V201" i="4"/>
  <c r="U201" i="4"/>
  <c r="T201" i="4"/>
  <c r="S201" i="4"/>
  <c r="R201" i="4"/>
  <c r="Q201" i="4"/>
  <c r="P201" i="4"/>
  <c r="O201" i="4"/>
  <c r="N201" i="4"/>
  <c r="M201" i="4"/>
  <c r="L201" i="4"/>
  <c r="V200" i="4"/>
  <c r="U200" i="4"/>
  <c r="T200" i="4"/>
  <c r="S200" i="4"/>
  <c r="R200" i="4"/>
  <c r="Q200" i="4"/>
  <c r="P200" i="4"/>
  <c r="O200" i="4"/>
  <c r="N200" i="4"/>
  <c r="M200" i="4"/>
  <c r="L200" i="4"/>
  <c r="V199" i="4"/>
  <c r="U199" i="4"/>
  <c r="T199" i="4"/>
  <c r="S199" i="4"/>
  <c r="R199" i="4"/>
  <c r="Q199" i="4"/>
  <c r="P199" i="4"/>
  <c r="O199" i="4"/>
  <c r="N199" i="4"/>
  <c r="M199" i="4"/>
  <c r="L199" i="4"/>
  <c r="V198" i="4"/>
  <c r="U198" i="4"/>
  <c r="T198" i="4"/>
  <c r="S198" i="4"/>
  <c r="R198" i="4"/>
  <c r="Q198" i="4"/>
  <c r="P198" i="4"/>
  <c r="O198" i="4"/>
  <c r="N198" i="4"/>
  <c r="M198" i="4"/>
  <c r="L198" i="4"/>
  <c r="V197" i="4"/>
  <c r="U197" i="4"/>
  <c r="T197" i="4"/>
  <c r="S197" i="4"/>
  <c r="R197" i="4"/>
  <c r="Q197" i="4"/>
  <c r="P197" i="4"/>
  <c r="O197" i="4"/>
  <c r="N197" i="4"/>
  <c r="M197" i="4"/>
  <c r="L197" i="4"/>
  <c r="V196" i="4"/>
  <c r="U196" i="4"/>
  <c r="T196" i="4"/>
  <c r="S196" i="4"/>
  <c r="R196" i="4"/>
  <c r="Q196" i="4"/>
  <c r="P196" i="4"/>
  <c r="O196" i="4"/>
  <c r="N196" i="4"/>
  <c r="M196" i="4"/>
  <c r="L196" i="4"/>
  <c r="V195" i="4"/>
  <c r="U195" i="4"/>
  <c r="T195" i="4"/>
  <c r="S195" i="4"/>
  <c r="R195" i="4"/>
  <c r="Q195" i="4"/>
  <c r="P195" i="4"/>
  <c r="O195" i="4"/>
  <c r="N195" i="4"/>
  <c r="M195" i="4"/>
  <c r="L195" i="4"/>
  <c r="V194" i="4"/>
  <c r="U194" i="4"/>
  <c r="T194" i="4"/>
  <c r="S194" i="4"/>
  <c r="R194" i="4"/>
  <c r="Q194" i="4"/>
  <c r="P194" i="4"/>
  <c r="O194" i="4"/>
  <c r="N194" i="4"/>
  <c r="M194" i="4"/>
  <c r="L194" i="4"/>
  <c r="V193" i="4"/>
  <c r="U193" i="4"/>
  <c r="T193" i="4"/>
  <c r="S193" i="4"/>
  <c r="R193" i="4"/>
  <c r="Q193" i="4"/>
  <c r="P193" i="4"/>
  <c r="O193" i="4"/>
  <c r="N193" i="4"/>
  <c r="M193" i="4"/>
  <c r="L193" i="4"/>
  <c r="V192" i="4"/>
  <c r="U192" i="4"/>
  <c r="T192" i="4"/>
  <c r="S192" i="4"/>
  <c r="R192" i="4"/>
  <c r="Q192" i="4"/>
  <c r="P192" i="4"/>
  <c r="O192" i="4"/>
  <c r="N192" i="4"/>
  <c r="M192" i="4"/>
  <c r="L192" i="4"/>
  <c r="V191" i="4"/>
  <c r="U191" i="4"/>
  <c r="T191" i="4"/>
  <c r="S191" i="4"/>
  <c r="R191" i="4"/>
  <c r="Q191" i="4"/>
  <c r="P191" i="4"/>
  <c r="O191" i="4"/>
  <c r="N191" i="4"/>
  <c r="M191" i="4"/>
  <c r="L191" i="4"/>
  <c r="V190" i="4"/>
  <c r="U190" i="4"/>
  <c r="T190" i="4"/>
  <c r="S190" i="4"/>
  <c r="R190" i="4"/>
  <c r="Q190" i="4"/>
  <c r="P190" i="4"/>
  <c r="O190" i="4"/>
  <c r="N190" i="4"/>
  <c r="M190" i="4"/>
  <c r="L190" i="4"/>
  <c r="V189" i="4"/>
  <c r="U189" i="4"/>
  <c r="T189" i="4"/>
  <c r="S189" i="4"/>
  <c r="R189" i="4"/>
  <c r="Q189" i="4"/>
  <c r="P189" i="4"/>
  <c r="O189" i="4"/>
  <c r="N189" i="4"/>
  <c r="M189" i="4"/>
  <c r="L189" i="4"/>
  <c r="V188" i="4"/>
  <c r="U188" i="4"/>
  <c r="T188" i="4"/>
  <c r="S188" i="4"/>
  <c r="R188" i="4"/>
  <c r="Q188" i="4"/>
  <c r="P188" i="4"/>
  <c r="O188" i="4"/>
  <c r="N188" i="4"/>
  <c r="M188" i="4"/>
  <c r="L188" i="4"/>
  <c r="V187" i="4"/>
  <c r="U187" i="4"/>
  <c r="T187" i="4"/>
  <c r="S187" i="4"/>
  <c r="R187" i="4"/>
  <c r="Q187" i="4"/>
  <c r="P187" i="4"/>
  <c r="O187" i="4"/>
  <c r="N187" i="4"/>
  <c r="M187" i="4"/>
  <c r="L187" i="4"/>
  <c r="V186" i="4"/>
  <c r="U186" i="4"/>
  <c r="T186" i="4"/>
  <c r="S186" i="4"/>
  <c r="R186" i="4"/>
  <c r="Q186" i="4"/>
  <c r="P186" i="4"/>
  <c r="O186" i="4"/>
  <c r="N186" i="4"/>
  <c r="M186" i="4"/>
  <c r="L186" i="4"/>
  <c r="V185" i="4"/>
  <c r="U185" i="4"/>
  <c r="T185" i="4"/>
  <c r="S185" i="4"/>
  <c r="R185" i="4"/>
  <c r="Q185" i="4"/>
  <c r="P185" i="4"/>
  <c r="O185" i="4"/>
  <c r="N185" i="4"/>
  <c r="M185" i="4"/>
  <c r="L185" i="4"/>
  <c r="V184" i="4"/>
  <c r="U184" i="4"/>
  <c r="T184" i="4"/>
  <c r="S184" i="4"/>
  <c r="R184" i="4"/>
  <c r="Q184" i="4"/>
  <c r="P184" i="4"/>
  <c r="O184" i="4"/>
  <c r="N184" i="4"/>
  <c r="M184" i="4"/>
  <c r="L184" i="4"/>
  <c r="V183" i="4"/>
  <c r="U183" i="4"/>
  <c r="T183" i="4"/>
  <c r="S183" i="4"/>
  <c r="R183" i="4"/>
  <c r="Q183" i="4"/>
  <c r="P183" i="4"/>
  <c r="O183" i="4"/>
  <c r="N183" i="4"/>
  <c r="M183" i="4"/>
  <c r="L183" i="4"/>
  <c r="V182" i="4"/>
  <c r="U182" i="4"/>
  <c r="T182" i="4"/>
  <c r="S182" i="4"/>
  <c r="R182" i="4"/>
  <c r="Q182" i="4"/>
  <c r="P182" i="4"/>
  <c r="O182" i="4"/>
  <c r="N182" i="4"/>
  <c r="M182" i="4"/>
  <c r="L182" i="4"/>
  <c r="V180" i="4"/>
  <c r="U180" i="4"/>
  <c r="T180" i="4"/>
  <c r="S180" i="4"/>
  <c r="R180" i="4"/>
  <c r="Q180" i="4"/>
  <c r="P180" i="4"/>
  <c r="O180" i="4"/>
  <c r="N180" i="4"/>
  <c r="M180" i="4"/>
  <c r="L180" i="4"/>
  <c r="V179" i="4"/>
  <c r="U179" i="4"/>
  <c r="T179" i="4"/>
  <c r="S179" i="4"/>
  <c r="R179" i="4"/>
  <c r="Q179" i="4"/>
  <c r="P179" i="4"/>
  <c r="O179" i="4"/>
  <c r="N179" i="4"/>
  <c r="M179" i="4"/>
  <c r="L179" i="4"/>
  <c r="V178" i="4"/>
  <c r="U178" i="4"/>
  <c r="T178" i="4"/>
  <c r="S178" i="4"/>
  <c r="R178" i="4"/>
  <c r="Q178" i="4"/>
  <c r="P178" i="4"/>
  <c r="O178" i="4"/>
  <c r="N178" i="4"/>
  <c r="M178" i="4"/>
  <c r="L178" i="4"/>
  <c r="V177" i="4"/>
  <c r="U177" i="4"/>
  <c r="T177" i="4"/>
  <c r="S177" i="4"/>
  <c r="R177" i="4"/>
  <c r="Q177" i="4"/>
  <c r="P177" i="4"/>
  <c r="O177" i="4"/>
  <c r="N177" i="4"/>
  <c r="M177" i="4"/>
  <c r="L177" i="4"/>
  <c r="V176" i="4"/>
  <c r="U176" i="4"/>
  <c r="T176" i="4"/>
  <c r="S176" i="4"/>
  <c r="R176" i="4"/>
  <c r="Q176" i="4"/>
  <c r="P176" i="4"/>
  <c r="O176" i="4"/>
  <c r="N176" i="4"/>
  <c r="M176" i="4"/>
  <c r="L176" i="4"/>
  <c r="V175" i="4"/>
  <c r="U175" i="4"/>
  <c r="T175" i="4"/>
  <c r="S175" i="4"/>
  <c r="R175" i="4"/>
  <c r="Q175" i="4"/>
  <c r="P175" i="4"/>
  <c r="O175" i="4"/>
  <c r="N175" i="4"/>
  <c r="M175" i="4"/>
  <c r="L175" i="4"/>
  <c r="V174" i="4"/>
  <c r="U174" i="4"/>
  <c r="T174" i="4"/>
  <c r="S174" i="4"/>
  <c r="R174" i="4"/>
  <c r="Q174" i="4"/>
  <c r="P174" i="4"/>
  <c r="O174" i="4"/>
  <c r="N174" i="4"/>
  <c r="M174" i="4"/>
  <c r="L174" i="4"/>
  <c r="V173" i="4"/>
  <c r="U173" i="4"/>
  <c r="T173" i="4"/>
  <c r="S173" i="4"/>
  <c r="R173" i="4"/>
  <c r="Q173" i="4"/>
  <c r="P173" i="4"/>
  <c r="O173" i="4"/>
  <c r="N173" i="4"/>
  <c r="M173" i="4"/>
  <c r="L173" i="4"/>
  <c r="V172" i="4"/>
  <c r="U172" i="4"/>
  <c r="T172" i="4"/>
  <c r="S172" i="4"/>
  <c r="R172" i="4"/>
  <c r="Q172" i="4"/>
  <c r="P172" i="4"/>
  <c r="O172" i="4"/>
  <c r="N172" i="4"/>
  <c r="M172" i="4"/>
  <c r="L172" i="4"/>
  <c r="V171" i="4"/>
  <c r="U171" i="4"/>
  <c r="T171" i="4"/>
  <c r="S171" i="4"/>
  <c r="R171" i="4"/>
  <c r="Q171" i="4"/>
  <c r="P171" i="4"/>
  <c r="O171" i="4"/>
  <c r="N171" i="4"/>
  <c r="M171" i="4"/>
  <c r="L171" i="4"/>
  <c r="V170" i="4"/>
  <c r="U170" i="4"/>
  <c r="T170" i="4"/>
  <c r="S170" i="4"/>
  <c r="R170" i="4"/>
  <c r="Q170" i="4"/>
  <c r="P170" i="4"/>
  <c r="O170" i="4"/>
  <c r="N170" i="4"/>
  <c r="M170" i="4"/>
  <c r="L170" i="4"/>
  <c r="V169" i="4"/>
  <c r="U169" i="4"/>
  <c r="T169" i="4"/>
  <c r="S169" i="4"/>
  <c r="R169" i="4"/>
  <c r="Q169" i="4"/>
  <c r="P169" i="4"/>
  <c r="O169" i="4"/>
  <c r="N169" i="4"/>
  <c r="M169" i="4"/>
  <c r="L169" i="4"/>
  <c r="V168" i="4"/>
  <c r="U168" i="4"/>
  <c r="T168" i="4"/>
  <c r="S168" i="4"/>
  <c r="R168" i="4"/>
  <c r="Q168" i="4"/>
  <c r="P168" i="4"/>
  <c r="O168" i="4"/>
  <c r="N168" i="4"/>
  <c r="M168" i="4"/>
  <c r="L168" i="4"/>
  <c r="V167" i="4"/>
  <c r="U167" i="4"/>
  <c r="T167" i="4"/>
  <c r="S167" i="4"/>
  <c r="R167" i="4"/>
  <c r="Q167" i="4"/>
  <c r="P167" i="4"/>
  <c r="O167" i="4"/>
  <c r="N167" i="4"/>
  <c r="M167" i="4"/>
  <c r="L167" i="4"/>
  <c r="V166" i="4"/>
  <c r="U166" i="4"/>
  <c r="T166" i="4"/>
  <c r="S166" i="4"/>
  <c r="R166" i="4"/>
  <c r="Q166" i="4"/>
  <c r="P166" i="4"/>
  <c r="O166" i="4"/>
  <c r="N166" i="4"/>
  <c r="M166" i="4"/>
  <c r="L166" i="4"/>
  <c r="V165" i="4"/>
  <c r="U165" i="4"/>
  <c r="T165" i="4"/>
  <c r="S165" i="4"/>
  <c r="R165" i="4"/>
  <c r="Q165" i="4"/>
  <c r="P165" i="4"/>
  <c r="O165" i="4"/>
  <c r="N165" i="4"/>
  <c r="M165" i="4"/>
  <c r="L165" i="4"/>
  <c r="V164" i="4"/>
  <c r="U164" i="4"/>
  <c r="T164" i="4"/>
  <c r="S164" i="4"/>
  <c r="R164" i="4"/>
  <c r="Q164" i="4"/>
  <c r="P164" i="4"/>
  <c r="O164" i="4"/>
  <c r="N164" i="4"/>
  <c r="M164" i="4"/>
  <c r="L164" i="4"/>
  <c r="V163" i="4"/>
  <c r="U163" i="4"/>
  <c r="T163" i="4"/>
  <c r="S163" i="4"/>
  <c r="R163" i="4"/>
  <c r="Q163" i="4"/>
  <c r="P163" i="4"/>
  <c r="O163" i="4"/>
  <c r="N163" i="4"/>
  <c r="M163" i="4"/>
  <c r="L163" i="4"/>
  <c r="V162" i="4"/>
  <c r="U162" i="4"/>
  <c r="T162" i="4"/>
  <c r="S162" i="4"/>
  <c r="R162" i="4"/>
  <c r="Q162" i="4"/>
  <c r="P162" i="4"/>
  <c r="O162" i="4"/>
  <c r="N162" i="4"/>
  <c r="M162" i="4"/>
  <c r="L162" i="4"/>
  <c r="V161" i="4"/>
  <c r="U161" i="4"/>
  <c r="T161" i="4"/>
  <c r="S161" i="4"/>
  <c r="R161" i="4"/>
  <c r="Q161" i="4"/>
  <c r="P161" i="4"/>
  <c r="O161" i="4"/>
  <c r="N161" i="4"/>
  <c r="M161" i="4"/>
  <c r="L161" i="4"/>
  <c r="V160" i="4"/>
  <c r="U160" i="4"/>
  <c r="T160" i="4"/>
  <c r="S160" i="4"/>
  <c r="R160" i="4"/>
  <c r="Q160" i="4"/>
  <c r="P160" i="4"/>
  <c r="O160" i="4"/>
  <c r="N160" i="4"/>
  <c r="M160" i="4"/>
  <c r="L160" i="4"/>
  <c r="V159" i="4"/>
  <c r="U159" i="4"/>
  <c r="T159" i="4"/>
  <c r="S159" i="4"/>
  <c r="R159" i="4"/>
  <c r="Q159" i="4"/>
  <c r="P159" i="4"/>
  <c r="O159" i="4"/>
  <c r="N159" i="4"/>
  <c r="M159" i="4"/>
  <c r="L159" i="4"/>
  <c r="V158" i="4"/>
  <c r="U158" i="4"/>
  <c r="T158" i="4"/>
  <c r="S158" i="4"/>
  <c r="R158" i="4"/>
  <c r="Q158" i="4"/>
  <c r="P158" i="4"/>
  <c r="O158" i="4"/>
  <c r="N158" i="4"/>
  <c r="M158" i="4"/>
  <c r="L158" i="4"/>
  <c r="V157" i="4"/>
  <c r="U157" i="4"/>
  <c r="T157" i="4"/>
  <c r="S157" i="4"/>
  <c r="R157" i="4"/>
  <c r="Q157" i="4"/>
  <c r="P157" i="4"/>
  <c r="O157" i="4"/>
  <c r="N157" i="4"/>
  <c r="M157" i="4"/>
  <c r="L157" i="4"/>
  <c r="V156" i="4"/>
  <c r="U156" i="4"/>
  <c r="T156" i="4"/>
  <c r="S156" i="4"/>
  <c r="R156" i="4"/>
  <c r="Q156" i="4"/>
  <c r="P156" i="4"/>
  <c r="O156" i="4"/>
  <c r="N156" i="4"/>
  <c r="M156" i="4"/>
  <c r="L156" i="4"/>
  <c r="V155" i="4"/>
  <c r="U155" i="4"/>
  <c r="T155" i="4"/>
  <c r="S155" i="4"/>
  <c r="R155" i="4"/>
  <c r="Q155" i="4"/>
  <c r="P155" i="4"/>
  <c r="O155" i="4"/>
  <c r="N155" i="4"/>
  <c r="M155" i="4"/>
  <c r="L155" i="4"/>
  <c r="V154" i="4"/>
  <c r="U154" i="4"/>
  <c r="T154" i="4"/>
  <c r="S154" i="4"/>
  <c r="R154" i="4"/>
  <c r="Q154" i="4"/>
  <c r="P154" i="4"/>
  <c r="O154" i="4"/>
  <c r="N154" i="4"/>
  <c r="M154" i="4"/>
  <c r="L154" i="4"/>
  <c r="V153" i="4"/>
  <c r="U153" i="4"/>
  <c r="T153" i="4"/>
  <c r="S153" i="4"/>
  <c r="R153" i="4"/>
  <c r="Q153" i="4"/>
  <c r="P153" i="4"/>
  <c r="O153" i="4"/>
  <c r="N153" i="4"/>
  <c r="M153" i="4"/>
  <c r="L153" i="4"/>
  <c r="V152" i="4"/>
  <c r="U152" i="4"/>
  <c r="T152" i="4"/>
  <c r="S152" i="4"/>
  <c r="R152" i="4"/>
  <c r="Q152" i="4"/>
  <c r="P152" i="4"/>
  <c r="O152" i="4"/>
  <c r="N152" i="4"/>
  <c r="M152" i="4"/>
  <c r="L152" i="4"/>
  <c r="V151" i="4"/>
  <c r="U151" i="4"/>
  <c r="T151" i="4"/>
  <c r="S151" i="4"/>
  <c r="R151" i="4"/>
  <c r="Q151" i="4"/>
  <c r="P151" i="4"/>
  <c r="O151" i="4"/>
  <c r="N151" i="4"/>
  <c r="M151" i="4"/>
  <c r="L151" i="4"/>
  <c r="V150" i="4"/>
  <c r="U150" i="4"/>
  <c r="T150" i="4"/>
  <c r="S150" i="4"/>
  <c r="R150" i="4"/>
  <c r="Q150" i="4"/>
  <c r="P150" i="4"/>
  <c r="O150" i="4"/>
  <c r="N150" i="4"/>
  <c r="M150" i="4"/>
  <c r="L150" i="4"/>
  <c r="V149" i="4"/>
  <c r="U149" i="4"/>
  <c r="T149" i="4"/>
  <c r="S149" i="4"/>
  <c r="R149" i="4"/>
  <c r="Q149" i="4"/>
  <c r="P149" i="4"/>
  <c r="O149" i="4"/>
  <c r="N149" i="4"/>
  <c r="M149" i="4"/>
  <c r="L149" i="4"/>
  <c r="V148" i="4"/>
  <c r="U148" i="4"/>
  <c r="T148" i="4"/>
  <c r="S148" i="4"/>
  <c r="R148" i="4"/>
  <c r="Q148" i="4"/>
  <c r="P148" i="4"/>
  <c r="O148" i="4"/>
  <c r="N148" i="4"/>
  <c r="M148" i="4"/>
  <c r="L148" i="4"/>
  <c r="V147" i="4"/>
  <c r="U147" i="4"/>
  <c r="T147" i="4"/>
  <c r="S147" i="4"/>
  <c r="R147" i="4"/>
  <c r="Q147" i="4"/>
  <c r="P147" i="4"/>
  <c r="O147" i="4"/>
  <c r="N147" i="4"/>
  <c r="M147" i="4"/>
  <c r="L147" i="4"/>
  <c r="V146" i="4"/>
  <c r="U146" i="4"/>
  <c r="T146" i="4"/>
  <c r="S146" i="4"/>
  <c r="R146" i="4"/>
  <c r="Q146" i="4"/>
  <c r="P146" i="4"/>
  <c r="O146" i="4"/>
  <c r="N146" i="4"/>
  <c r="M146" i="4"/>
  <c r="L146" i="4"/>
  <c r="V145" i="4"/>
  <c r="U145" i="4"/>
  <c r="T145" i="4"/>
  <c r="S145" i="4"/>
  <c r="R145" i="4"/>
  <c r="Q145" i="4"/>
  <c r="P145" i="4"/>
  <c r="O145" i="4"/>
  <c r="N145" i="4"/>
  <c r="M145" i="4"/>
  <c r="L145" i="4"/>
  <c r="V144" i="4"/>
  <c r="U144" i="4"/>
  <c r="T144" i="4"/>
  <c r="S144" i="4"/>
  <c r="R144" i="4"/>
  <c r="Q144" i="4"/>
  <c r="P144" i="4"/>
  <c r="O144" i="4"/>
  <c r="N144" i="4"/>
  <c r="M144" i="4"/>
  <c r="L144" i="4"/>
  <c r="V143" i="4"/>
  <c r="U143" i="4"/>
  <c r="T143" i="4"/>
  <c r="S143" i="4"/>
  <c r="R143" i="4"/>
  <c r="Q143" i="4"/>
  <c r="P143" i="4"/>
  <c r="O143" i="4"/>
  <c r="N143" i="4"/>
  <c r="M143" i="4"/>
  <c r="L143" i="4"/>
  <c r="V142" i="4"/>
  <c r="U142" i="4"/>
  <c r="T142" i="4"/>
  <c r="S142" i="4"/>
  <c r="R142" i="4"/>
  <c r="Q142" i="4"/>
  <c r="P142" i="4"/>
  <c r="O142" i="4"/>
  <c r="N142" i="4"/>
  <c r="M142" i="4"/>
  <c r="L142" i="4"/>
  <c r="V141" i="4"/>
  <c r="U141" i="4"/>
  <c r="T141" i="4"/>
  <c r="S141" i="4"/>
  <c r="R141" i="4"/>
  <c r="Q141" i="4"/>
  <c r="P141" i="4"/>
  <c r="O141" i="4"/>
  <c r="N141" i="4"/>
  <c r="M141" i="4"/>
  <c r="L141" i="4"/>
  <c r="V140" i="4"/>
  <c r="U140" i="4"/>
  <c r="T140" i="4"/>
  <c r="S140" i="4"/>
  <c r="R140" i="4"/>
  <c r="Q140" i="4"/>
  <c r="P140" i="4"/>
  <c r="O140" i="4"/>
  <c r="N140" i="4"/>
  <c r="M140" i="4"/>
  <c r="L140" i="4"/>
  <c r="V139" i="4"/>
  <c r="U139" i="4"/>
  <c r="T139" i="4"/>
  <c r="S139" i="4"/>
  <c r="R139" i="4"/>
  <c r="Q139" i="4"/>
  <c r="P139" i="4"/>
  <c r="O139" i="4"/>
  <c r="N139" i="4"/>
  <c r="M139" i="4"/>
  <c r="L139" i="4"/>
  <c r="V138" i="4"/>
  <c r="U138" i="4"/>
  <c r="T138" i="4"/>
  <c r="S138" i="4"/>
  <c r="R138" i="4"/>
  <c r="Q138" i="4"/>
  <c r="P138" i="4"/>
  <c r="O138" i="4"/>
  <c r="N138" i="4"/>
  <c r="M138" i="4"/>
  <c r="L138" i="4"/>
  <c r="V137" i="4"/>
  <c r="U137" i="4"/>
  <c r="T137" i="4"/>
  <c r="S137" i="4"/>
  <c r="R137" i="4"/>
  <c r="Q137" i="4"/>
  <c r="P137" i="4"/>
  <c r="O137" i="4"/>
  <c r="N137" i="4"/>
  <c r="M137" i="4"/>
  <c r="L137" i="4"/>
  <c r="V136" i="4"/>
  <c r="U136" i="4"/>
  <c r="T136" i="4"/>
  <c r="S136" i="4"/>
  <c r="R136" i="4"/>
  <c r="Q136" i="4"/>
  <c r="P136" i="4"/>
  <c r="O136" i="4"/>
  <c r="N136" i="4"/>
  <c r="M136" i="4"/>
  <c r="L136" i="4"/>
  <c r="V135" i="4"/>
  <c r="U135" i="4"/>
  <c r="T135" i="4"/>
  <c r="S135" i="4"/>
  <c r="R135" i="4"/>
  <c r="Q135" i="4"/>
  <c r="P135" i="4"/>
  <c r="O135" i="4"/>
  <c r="N135" i="4"/>
  <c r="M135" i="4"/>
  <c r="L135" i="4"/>
  <c r="V134" i="4"/>
  <c r="U134" i="4"/>
  <c r="T134" i="4"/>
  <c r="S134" i="4"/>
  <c r="R134" i="4"/>
  <c r="Q134" i="4"/>
  <c r="P134" i="4"/>
  <c r="O134" i="4"/>
  <c r="N134" i="4"/>
  <c r="M134" i="4"/>
  <c r="L134" i="4"/>
  <c r="V132" i="4"/>
  <c r="U132" i="4"/>
  <c r="T132" i="4"/>
  <c r="S132" i="4"/>
  <c r="R132" i="4"/>
  <c r="Q132" i="4"/>
  <c r="P132" i="4"/>
  <c r="O132" i="4"/>
  <c r="N132" i="4"/>
  <c r="M132" i="4"/>
  <c r="L132" i="4"/>
  <c r="V131" i="4"/>
  <c r="U131" i="4"/>
  <c r="T131" i="4"/>
  <c r="S131" i="4"/>
  <c r="R131" i="4"/>
  <c r="Q131" i="4"/>
  <c r="P131" i="4"/>
  <c r="O131" i="4"/>
  <c r="N131" i="4"/>
  <c r="M131" i="4"/>
  <c r="L131" i="4"/>
  <c r="V130" i="4"/>
  <c r="U130" i="4"/>
  <c r="T130" i="4"/>
  <c r="S130" i="4"/>
  <c r="R130" i="4"/>
  <c r="Q130" i="4"/>
  <c r="P130" i="4"/>
  <c r="O130" i="4"/>
  <c r="N130" i="4"/>
  <c r="M130" i="4"/>
  <c r="L130" i="4"/>
  <c r="V129" i="4"/>
  <c r="U129" i="4"/>
  <c r="T129" i="4"/>
  <c r="S129" i="4"/>
  <c r="R129" i="4"/>
  <c r="Q129" i="4"/>
  <c r="P129" i="4"/>
  <c r="O129" i="4"/>
  <c r="N129" i="4"/>
  <c r="M129" i="4"/>
  <c r="L129" i="4"/>
  <c r="V128" i="4"/>
  <c r="U128" i="4"/>
  <c r="T128" i="4"/>
  <c r="S128" i="4"/>
  <c r="R128" i="4"/>
  <c r="Q128" i="4"/>
  <c r="P128" i="4"/>
  <c r="O128" i="4"/>
  <c r="N128" i="4"/>
  <c r="M128" i="4"/>
  <c r="L128" i="4"/>
  <c r="V127" i="4"/>
  <c r="U127" i="4"/>
  <c r="T127" i="4"/>
  <c r="S127" i="4"/>
  <c r="R127" i="4"/>
  <c r="Q127" i="4"/>
  <c r="P127" i="4"/>
  <c r="O127" i="4"/>
  <c r="N127" i="4"/>
  <c r="M127" i="4"/>
  <c r="L127" i="4"/>
  <c r="V126" i="4"/>
  <c r="U126" i="4"/>
  <c r="T126" i="4"/>
  <c r="S126" i="4"/>
  <c r="R126" i="4"/>
  <c r="Q126" i="4"/>
  <c r="P126" i="4"/>
  <c r="O126" i="4"/>
  <c r="N126" i="4"/>
  <c r="M126" i="4"/>
  <c r="L126" i="4"/>
  <c r="V125" i="4"/>
  <c r="U125" i="4"/>
  <c r="T125" i="4"/>
  <c r="S125" i="4"/>
  <c r="R125" i="4"/>
  <c r="Q125" i="4"/>
  <c r="P125" i="4"/>
  <c r="O125" i="4"/>
  <c r="N125" i="4"/>
  <c r="M125" i="4"/>
  <c r="L125" i="4"/>
  <c r="V124" i="4"/>
  <c r="U124" i="4"/>
  <c r="T124" i="4"/>
  <c r="S124" i="4"/>
  <c r="R124" i="4"/>
  <c r="Q124" i="4"/>
  <c r="P124" i="4"/>
  <c r="O124" i="4"/>
  <c r="N124" i="4"/>
  <c r="M124" i="4"/>
  <c r="L124" i="4"/>
  <c r="V123" i="4"/>
  <c r="U123" i="4"/>
  <c r="T123" i="4"/>
  <c r="S123" i="4"/>
  <c r="R123" i="4"/>
  <c r="Q123" i="4"/>
  <c r="P123" i="4"/>
  <c r="O123" i="4"/>
  <c r="N123" i="4"/>
  <c r="M123" i="4"/>
  <c r="L123" i="4"/>
  <c r="V122" i="4"/>
  <c r="U122" i="4"/>
  <c r="T122" i="4"/>
  <c r="S122" i="4"/>
  <c r="R122" i="4"/>
  <c r="Q122" i="4"/>
  <c r="P122" i="4"/>
  <c r="O122" i="4"/>
  <c r="N122" i="4"/>
  <c r="M122" i="4"/>
  <c r="L122" i="4"/>
  <c r="V121" i="4"/>
  <c r="U121" i="4"/>
  <c r="T121" i="4"/>
  <c r="S121" i="4"/>
  <c r="R121" i="4"/>
  <c r="Q121" i="4"/>
  <c r="P121" i="4"/>
  <c r="O121" i="4"/>
  <c r="N121" i="4"/>
  <c r="M121" i="4"/>
  <c r="L121" i="4"/>
  <c r="V120" i="4"/>
  <c r="U120" i="4"/>
  <c r="T120" i="4"/>
  <c r="S120" i="4"/>
  <c r="R120" i="4"/>
  <c r="Q120" i="4"/>
  <c r="P120" i="4"/>
  <c r="O120" i="4"/>
  <c r="N120" i="4"/>
  <c r="M120" i="4"/>
  <c r="L120" i="4"/>
  <c r="V119" i="4"/>
  <c r="U119" i="4"/>
  <c r="T119" i="4"/>
  <c r="S119" i="4"/>
  <c r="R119" i="4"/>
  <c r="Q119" i="4"/>
  <c r="P119" i="4"/>
  <c r="O119" i="4"/>
  <c r="N119" i="4"/>
  <c r="M119" i="4"/>
  <c r="L119" i="4"/>
  <c r="V118" i="4"/>
  <c r="U118" i="4"/>
  <c r="T118" i="4"/>
  <c r="S118" i="4"/>
  <c r="R118" i="4"/>
  <c r="Q118" i="4"/>
  <c r="P118" i="4"/>
  <c r="O118" i="4"/>
  <c r="N118" i="4"/>
  <c r="M118" i="4"/>
  <c r="L118" i="4"/>
  <c r="V117" i="4"/>
  <c r="U117" i="4"/>
  <c r="T117" i="4"/>
  <c r="S117" i="4"/>
  <c r="R117" i="4"/>
  <c r="Q117" i="4"/>
  <c r="P117" i="4"/>
  <c r="O117" i="4"/>
  <c r="N117" i="4"/>
  <c r="M117" i="4"/>
  <c r="L117" i="4"/>
  <c r="V116" i="4"/>
  <c r="U116" i="4"/>
  <c r="T116" i="4"/>
  <c r="S116" i="4"/>
  <c r="R116" i="4"/>
  <c r="Q116" i="4"/>
  <c r="P116" i="4"/>
  <c r="O116" i="4"/>
  <c r="N116" i="4"/>
  <c r="M116" i="4"/>
  <c r="L116" i="4"/>
  <c r="V115" i="4"/>
  <c r="U115" i="4"/>
  <c r="T115" i="4"/>
  <c r="S115" i="4"/>
  <c r="R115" i="4"/>
  <c r="Q115" i="4"/>
  <c r="P115" i="4"/>
  <c r="O115" i="4"/>
  <c r="N115" i="4"/>
  <c r="M115" i="4"/>
  <c r="L115" i="4"/>
  <c r="V114" i="4"/>
  <c r="U114" i="4"/>
  <c r="T114" i="4"/>
  <c r="S114" i="4"/>
  <c r="R114" i="4"/>
  <c r="Q114" i="4"/>
  <c r="P114" i="4"/>
  <c r="O114" i="4"/>
  <c r="N114" i="4"/>
  <c r="M114" i="4"/>
  <c r="L114" i="4"/>
  <c r="V113" i="4"/>
  <c r="U113" i="4"/>
  <c r="T113" i="4"/>
  <c r="S113" i="4"/>
  <c r="R113" i="4"/>
  <c r="Q113" i="4"/>
  <c r="P113" i="4"/>
  <c r="O113" i="4"/>
  <c r="N113" i="4"/>
  <c r="M113" i="4"/>
  <c r="L113" i="4"/>
  <c r="V112" i="4"/>
  <c r="U112" i="4"/>
  <c r="T112" i="4"/>
  <c r="S112" i="4"/>
  <c r="R112" i="4"/>
  <c r="Q112" i="4"/>
  <c r="P112" i="4"/>
  <c r="O112" i="4"/>
  <c r="N112" i="4"/>
  <c r="M112" i="4"/>
  <c r="L112" i="4"/>
  <c r="V111" i="4"/>
  <c r="U111" i="4"/>
  <c r="T111" i="4"/>
  <c r="S111" i="4"/>
  <c r="R111" i="4"/>
  <c r="Q111" i="4"/>
  <c r="P111" i="4"/>
  <c r="O111" i="4"/>
  <c r="N111" i="4"/>
  <c r="M111" i="4"/>
  <c r="L111" i="4"/>
  <c r="V110" i="4"/>
  <c r="U110" i="4"/>
  <c r="T110" i="4"/>
  <c r="S110" i="4"/>
  <c r="R110" i="4"/>
  <c r="Q110" i="4"/>
  <c r="P110" i="4"/>
  <c r="O110" i="4"/>
  <c r="N110" i="4"/>
  <c r="M110" i="4"/>
  <c r="L110" i="4"/>
  <c r="V109" i="4"/>
  <c r="U109" i="4"/>
  <c r="T109" i="4"/>
  <c r="S109" i="4"/>
  <c r="R109" i="4"/>
  <c r="Q109" i="4"/>
  <c r="P109" i="4"/>
  <c r="O109" i="4"/>
  <c r="N109" i="4"/>
  <c r="M109" i="4"/>
  <c r="L109" i="4"/>
  <c r="V108" i="4"/>
  <c r="U108" i="4"/>
  <c r="T108" i="4"/>
  <c r="S108" i="4"/>
  <c r="R108" i="4"/>
  <c r="Q108" i="4"/>
  <c r="P108" i="4"/>
  <c r="O108" i="4"/>
  <c r="N108" i="4"/>
  <c r="M108" i="4"/>
  <c r="L108" i="4"/>
  <c r="V107" i="4"/>
  <c r="U107" i="4"/>
  <c r="T107" i="4"/>
  <c r="S107" i="4"/>
  <c r="R107" i="4"/>
  <c r="Q107" i="4"/>
  <c r="P107" i="4"/>
  <c r="O107" i="4"/>
  <c r="N107" i="4"/>
  <c r="M107" i="4"/>
  <c r="L107" i="4"/>
  <c r="V106" i="4"/>
  <c r="U106" i="4"/>
  <c r="T106" i="4"/>
  <c r="S106" i="4"/>
  <c r="R106" i="4"/>
  <c r="Q106" i="4"/>
  <c r="P106" i="4"/>
  <c r="O106" i="4"/>
  <c r="N106" i="4"/>
  <c r="M106" i="4"/>
  <c r="L106" i="4"/>
  <c r="V105" i="4"/>
  <c r="U105" i="4"/>
  <c r="T105" i="4"/>
  <c r="S105" i="4"/>
  <c r="R105" i="4"/>
  <c r="Q105" i="4"/>
  <c r="P105" i="4"/>
  <c r="O105" i="4"/>
  <c r="N105" i="4"/>
  <c r="M105" i="4"/>
  <c r="L105" i="4"/>
  <c r="V104" i="4"/>
  <c r="U104" i="4"/>
  <c r="T104" i="4"/>
  <c r="S104" i="4"/>
  <c r="R104" i="4"/>
  <c r="Q104" i="4"/>
  <c r="P104" i="4"/>
  <c r="O104" i="4"/>
  <c r="N104" i="4"/>
  <c r="M104" i="4"/>
  <c r="L104" i="4"/>
  <c r="V103" i="4"/>
  <c r="U103" i="4"/>
  <c r="T103" i="4"/>
  <c r="S103" i="4"/>
  <c r="R103" i="4"/>
  <c r="Q103" i="4"/>
  <c r="P103" i="4"/>
  <c r="O103" i="4"/>
  <c r="N103" i="4"/>
  <c r="M103" i="4"/>
  <c r="L103" i="4"/>
  <c r="V102" i="4"/>
  <c r="U102" i="4"/>
  <c r="T102" i="4"/>
  <c r="S102" i="4"/>
  <c r="R102" i="4"/>
  <c r="Q102" i="4"/>
  <c r="P102" i="4"/>
  <c r="O102" i="4"/>
  <c r="N102" i="4"/>
  <c r="M102" i="4"/>
  <c r="L102" i="4"/>
  <c r="V101" i="4"/>
  <c r="U101" i="4"/>
  <c r="T101" i="4"/>
  <c r="S101" i="4"/>
  <c r="R101" i="4"/>
  <c r="Q101" i="4"/>
  <c r="P101" i="4"/>
  <c r="O101" i="4"/>
  <c r="N101" i="4"/>
  <c r="M101" i="4"/>
  <c r="L101" i="4"/>
  <c r="V100" i="4"/>
  <c r="U100" i="4"/>
  <c r="T100" i="4"/>
  <c r="S100" i="4"/>
  <c r="R100" i="4"/>
  <c r="Q100" i="4"/>
  <c r="P100" i="4"/>
  <c r="O100" i="4"/>
  <c r="N100" i="4"/>
  <c r="M100" i="4"/>
  <c r="L100" i="4"/>
  <c r="V99" i="4"/>
  <c r="U99" i="4"/>
  <c r="T99" i="4"/>
  <c r="S99" i="4"/>
  <c r="R99" i="4"/>
  <c r="Q99" i="4"/>
  <c r="P99" i="4"/>
  <c r="O99" i="4"/>
  <c r="N99" i="4"/>
  <c r="M99" i="4"/>
  <c r="L99" i="4"/>
  <c r="V98" i="4"/>
  <c r="U98" i="4"/>
  <c r="T98" i="4"/>
  <c r="S98" i="4"/>
  <c r="R98" i="4"/>
  <c r="Q98" i="4"/>
  <c r="P98" i="4"/>
  <c r="O98" i="4"/>
  <c r="N98" i="4"/>
  <c r="M98" i="4"/>
  <c r="L98" i="4"/>
  <c r="V97" i="4"/>
  <c r="U97" i="4"/>
  <c r="T97" i="4"/>
  <c r="S97" i="4"/>
  <c r="R97" i="4"/>
  <c r="Q97" i="4"/>
  <c r="P97" i="4"/>
  <c r="O97" i="4"/>
  <c r="N97" i="4"/>
  <c r="M97" i="4"/>
  <c r="L97" i="4"/>
  <c r="V96" i="4"/>
  <c r="U96" i="4"/>
  <c r="T96" i="4"/>
  <c r="S96" i="4"/>
  <c r="R96" i="4"/>
  <c r="Q96" i="4"/>
  <c r="P96" i="4"/>
  <c r="O96" i="4"/>
  <c r="N96" i="4"/>
  <c r="M96" i="4"/>
  <c r="L96" i="4"/>
  <c r="V95" i="4"/>
  <c r="U95" i="4"/>
  <c r="T95" i="4"/>
  <c r="S95" i="4"/>
  <c r="R95" i="4"/>
  <c r="Q95" i="4"/>
  <c r="P95" i="4"/>
  <c r="O95" i="4"/>
  <c r="N95" i="4"/>
  <c r="M95" i="4"/>
  <c r="L95" i="4"/>
  <c r="V94" i="4"/>
  <c r="U94" i="4"/>
  <c r="T94" i="4"/>
  <c r="S94" i="4"/>
  <c r="R94" i="4"/>
  <c r="Q94" i="4"/>
  <c r="P94" i="4"/>
  <c r="O94" i="4"/>
  <c r="N94" i="4"/>
  <c r="M94" i="4"/>
  <c r="L94" i="4"/>
  <c r="V93" i="4"/>
  <c r="U93" i="4"/>
  <c r="T93" i="4"/>
  <c r="S93" i="4"/>
  <c r="R93" i="4"/>
  <c r="Q93" i="4"/>
  <c r="P93" i="4"/>
  <c r="O93" i="4"/>
  <c r="N93" i="4"/>
  <c r="M93" i="4"/>
  <c r="L93" i="4"/>
  <c r="V92" i="4"/>
  <c r="U92" i="4"/>
  <c r="T92" i="4"/>
  <c r="S92" i="4"/>
  <c r="R92" i="4"/>
  <c r="Q92" i="4"/>
  <c r="P92" i="4"/>
  <c r="O92" i="4"/>
  <c r="N92" i="4"/>
  <c r="M92" i="4"/>
  <c r="L92" i="4"/>
  <c r="V91" i="4"/>
  <c r="U91" i="4"/>
  <c r="T91" i="4"/>
  <c r="S91" i="4"/>
  <c r="R91" i="4"/>
  <c r="Q91" i="4"/>
  <c r="P91" i="4"/>
  <c r="O91" i="4"/>
  <c r="N91" i="4"/>
  <c r="M91" i="4"/>
  <c r="L91" i="4"/>
  <c r="V90" i="4"/>
  <c r="U90" i="4"/>
  <c r="T90" i="4"/>
  <c r="S90" i="4"/>
  <c r="R90" i="4"/>
  <c r="Q90" i="4"/>
  <c r="P90" i="4"/>
  <c r="O90" i="4"/>
  <c r="N90" i="4"/>
  <c r="M90" i="4"/>
  <c r="L90" i="4"/>
  <c r="V89" i="4"/>
  <c r="U89" i="4"/>
  <c r="T89" i="4"/>
  <c r="S89" i="4"/>
  <c r="R89" i="4"/>
  <c r="Q89" i="4"/>
  <c r="P89" i="4"/>
  <c r="O89" i="4"/>
  <c r="N89" i="4"/>
  <c r="M89" i="4"/>
  <c r="L89" i="4"/>
  <c r="V88" i="4"/>
  <c r="U88" i="4"/>
  <c r="T88" i="4"/>
  <c r="S88" i="4"/>
  <c r="R88" i="4"/>
  <c r="Q88" i="4"/>
  <c r="P88" i="4"/>
  <c r="O88" i="4"/>
  <c r="N88" i="4"/>
  <c r="M88" i="4"/>
  <c r="L88" i="4"/>
  <c r="V87" i="4"/>
  <c r="U87" i="4"/>
  <c r="T87" i="4"/>
  <c r="S87" i="4"/>
  <c r="R87" i="4"/>
  <c r="Q87" i="4"/>
  <c r="P87" i="4"/>
  <c r="O87" i="4"/>
  <c r="N87" i="4"/>
  <c r="M87" i="4"/>
  <c r="L87" i="4"/>
  <c r="V86" i="4"/>
  <c r="U86" i="4"/>
  <c r="T86" i="4"/>
  <c r="S86" i="4"/>
  <c r="R86" i="4"/>
  <c r="Q86" i="4"/>
  <c r="P86" i="4"/>
  <c r="O86" i="4"/>
  <c r="N86" i="4"/>
  <c r="M86" i="4"/>
  <c r="L86" i="4"/>
  <c r="V85" i="4"/>
  <c r="U85" i="4"/>
  <c r="T85" i="4"/>
  <c r="S85" i="4"/>
  <c r="R85" i="4"/>
  <c r="Q85" i="4"/>
  <c r="P85" i="4"/>
  <c r="O85" i="4"/>
  <c r="N85" i="4"/>
  <c r="M85" i="4"/>
  <c r="L85" i="4"/>
  <c r="V84" i="4"/>
  <c r="U84" i="4"/>
  <c r="T84" i="4"/>
  <c r="S84" i="4"/>
  <c r="R84" i="4"/>
  <c r="Q84" i="4"/>
  <c r="P84" i="4"/>
  <c r="O84" i="4"/>
  <c r="N84" i="4"/>
  <c r="M84" i="4"/>
  <c r="L84" i="4"/>
  <c r="V83" i="4"/>
  <c r="U83" i="4"/>
  <c r="T83" i="4"/>
  <c r="S83" i="4"/>
  <c r="R83" i="4"/>
  <c r="Q83" i="4"/>
  <c r="P83" i="4"/>
  <c r="O83" i="4"/>
  <c r="N83" i="4"/>
  <c r="M83" i="4"/>
  <c r="L83" i="4"/>
  <c r="V82" i="4"/>
  <c r="U82" i="4"/>
  <c r="T82" i="4"/>
  <c r="S82" i="4"/>
  <c r="R82" i="4"/>
  <c r="Q82" i="4"/>
  <c r="P82" i="4"/>
  <c r="O82" i="4"/>
  <c r="N82" i="4"/>
  <c r="M82" i="4"/>
  <c r="L82" i="4"/>
  <c r="V81" i="4"/>
  <c r="U81" i="4"/>
  <c r="T81" i="4"/>
  <c r="S81" i="4"/>
  <c r="R81" i="4"/>
  <c r="Q81" i="4"/>
  <c r="P81" i="4"/>
  <c r="O81" i="4"/>
  <c r="N81" i="4"/>
  <c r="M81" i="4"/>
  <c r="L81" i="4"/>
  <c r="V80" i="4"/>
  <c r="U80" i="4"/>
  <c r="T80" i="4"/>
  <c r="S80" i="4"/>
  <c r="R80" i="4"/>
  <c r="Q80" i="4"/>
  <c r="P80" i="4"/>
  <c r="O80" i="4"/>
  <c r="N80" i="4"/>
  <c r="M80" i="4"/>
  <c r="L80" i="4"/>
  <c r="V79" i="4"/>
  <c r="U79" i="4"/>
  <c r="T79" i="4"/>
  <c r="S79" i="4"/>
  <c r="R79" i="4"/>
  <c r="Q79" i="4"/>
  <c r="P79" i="4"/>
  <c r="O79" i="4"/>
  <c r="N79" i="4"/>
  <c r="M79" i="4"/>
  <c r="L79" i="4"/>
  <c r="V78" i="4"/>
  <c r="U78" i="4"/>
  <c r="T78" i="4"/>
  <c r="S78" i="4"/>
  <c r="R78" i="4"/>
  <c r="Q78" i="4"/>
  <c r="P78" i="4"/>
  <c r="O78" i="4"/>
  <c r="N78" i="4"/>
  <c r="M78" i="4"/>
  <c r="L78" i="4"/>
  <c r="V77" i="4"/>
  <c r="U77" i="4"/>
  <c r="T77" i="4"/>
  <c r="S77" i="4"/>
  <c r="R77" i="4"/>
  <c r="Q77" i="4"/>
  <c r="P77" i="4"/>
  <c r="O77" i="4"/>
  <c r="N77" i="4"/>
  <c r="M77" i="4"/>
  <c r="L77" i="4"/>
  <c r="V76" i="4"/>
  <c r="U76" i="4"/>
  <c r="T76" i="4"/>
  <c r="S76" i="4"/>
  <c r="R76" i="4"/>
  <c r="Q76" i="4"/>
  <c r="P76" i="4"/>
  <c r="O76" i="4"/>
  <c r="N76" i="4"/>
  <c r="M76" i="4"/>
  <c r="L76" i="4"/>
  <c r="V75" i="4"/>
  <c r="U75" i="4"/>
  <c r="T75" i="4"/>
  <c r="S75" i="4"/>
  <c r="R75" i="4"/>
  <c r="Q75" i="4"/>
  <c r="P75" i="4"/>
  <c r="O75" i="4"/>
  <c r="N75" i="4"/>
  <c r="M75" i="4"/>
  <c r="L75" i="4"/>
  <c r="V74" i="4"/>
  <c r="U74" i="4"/>
  <c r="T74" i="4"/>
  <c r="S74" i="4"/>
  <c r="R74" i="4"/>
  <c r="Q74" i="4"/>
  <c r="P74" i="4"/>
  <c r="O74" i="4"/>
  <c r="N74" i="4"/>
  <c r="M74" i="4"/>
  <c r="L74" i="4"/>
  <c r="V73" i="4"/>
  <c r="U73" i="4"/>
  <c r="T73" i="4"/>
  <c r="S73" i="4"/>
  <c r="R73" i="4"/>
  <c r="Q73" i="4"/>
  <c r="P73" i="4"/>
  <c r="O73" i="4"/>
  <c r="N73" i="4"/>
  <c r="M73" i="4"/>
  <c r="L73" i="4"/>
  <c r="V72" i="4"/>
  <c r="U72" i="4"/>
  <c r="T72" i="4"/>
  <c r="S72" i="4"/>
  <c r="R72" i="4"/>
  <c r="Q72" i="4"/>
  <c r="P72" i="4"/>
  <c r="O72" i="4"/>
  <c r="N72" i="4"/>
  <c r="M72" i="4"/>
  <c r="L72" i="4"/>
  <c r="V71" i="4"/>
  <c r="U71" i="4"/>
  <c r="T71" i="4"/>
  <c r="S71" i="4"/>
  <c r="R71" i="4"/>
  <c r="Q71" i="4"/>
  <c r="P71" i="4"/>
  <c r="O71" i="4"/>
  <c r="N71" i="4"/>
  <c r="M71" i="4"/>
  <c r="L71" i="4"/>
  <c r="V70" i="4"/>
  <c r="U70" i="4"/>
  <c r="T70" i="4"/>
  <c r="S70" i="4"/>
  <c r="R70" i="4"/>
  <c r="Q70" i="4"/>
  <c r="P70" i="4"/>
  <c r="O70" i="4"/>
  <c r="N70" i="4"/>
  <c r="M70" i="4"/>
  <c r="L70" i="4"/>
  <c r="V69" i="4"/>
  <c r="U69" i="4"/>
  <c r="T69" i="4"/>
  <c r="S69" i="4"/>
  <c r="R69" i="4"/>
  <c r="Q69" i="4"/>
  <c r="P69" i="4"/>
  <c r="O69" i="4"/>
  <c r="N69" i="4"/>
  <c r="M69" i="4"/>
  <c r="L69" i="4"/>
  <c r="V68" i="4"/>
  <c r="U68" i="4"/>
  <c r="T68" i="4"/>
  <c r="S68" i="4"/>
  <c r="R68" i="4"/>
  <c r="Q68" i="4"/>
  <c r="P68" i="4"/>
  <c r="O68" i="4"/>
  <c r="N68" i="4"/>
  <c r="M68" i="4"/>
  <c r="L68" i="4"/>
  <c r="V67" i="4"/>
  <c r="U67" i="4"/>
  <c r="T67" i="4"/>
  <c r="S67" i="4"/>
  <c r="R67" i="4"/>
  <c r="Q67" i="4"/>
  <c r="P67" i="4"/>
  <c r="O67" i="4"/>
  <c r="N67" i="4"/>
  <c r="M67" i="4"/>
  <c r="L67" i="4"/>
  <c r="V66" i="4"/>
  <c r="U66" i="4"/>
  <c r="T66" i="4"/>
  <c r="S66" i="4"/>
  <c r="R66" i="4"/>
  <c r="Q66" i="4"/>
  <c r="P66" i="4"/>
  <c r="O66" i="4"/>
  <c r="N66" i="4"/>
  <c r="M66" i="4"/>
  <c r="L66" i="4"/>
  <c r="V65" i="4"/>
  <c r="U65" i="4"/>
  <c r="T65" i="4"/>
  <c r="S65" i="4"/>
  <c r="R65" i="4"/>
  <c r="Q65" i="4"/>
  <c r="P65" i="4"/>
  <c r="O65" i="4"/>
  <c r="N65" i="4"/>
  <c r="M65" i="4"/>
  <c r="L65" i="4"/>
  <c r="V64" i="4"/>
  <c r="U64" i="4"/>
  <c r="T64" i="4"/>
  <c r="S64" i="4"/>
  <c r="R64" i="4"/>
  <c r="Q64" i="4"/>
  <c r="P64" i="4"/>
  <c r="O64" i="4"/>
  <c r="N64" i="4"/>
  <c r="M64" i="4"/>
  <c r="L64" i="4"/>
  <c r="V63" i="4"/>
  <c r="U63" i="4"/>
  <c r="T63" i="4"/>
  <c r="S63" i="4"/>
  <c r="R63" i="4"/>
  <c r="Q63" i="4"/>
  <c r="P63" i="4"/>
  <c r="O63" i="4"/>
  <c r="N63" i="4"/>
  <c r="M63" i="4"/>
  <c r="L63" i="4"/>
  <c r="V62" i="4"/>
  <c r="U62" i="4"/>
  <c r="T62" i="4"/>
  <c r="S62" i="4"/>
  <c r="R62" i="4"/>
  <c r="Q62" i="4"/>
  <c r="P62" i="4"/>
  <c r="O62" i="4"/>
  <c r="N62" i="4"/>
  <c r="M62" i="4"/>
  <c r="L62" i="4"/>
  <c r="V61" i="4"/>
  <c r="U61" i="4"/>
  <c r="T61" i="4"/>
  <c r="S61" i="4"/>
  <c r="R61" i="4"/>
  <c r="Q61" i="4"/>
  <c r="P61" i="4"/>
  <c r="O61" i="4"/>
  <c r="N61" i="4"/>
  <c r="M61" i="4"/>
  <c r="L61" i="4"/>
  <c r="V60" i="4"/>
  <c r="U60" i="4"/>
  <c r="T60" i="4"/>
  <c r="S60" i="4"/>
  <c r="R60" i="4"/>
  <c r="Q60" i="4"/>
  <c r="P60" i="4"/>
  <c r="O60" i="4"/>
  <c r="N60" i="4"/>
  <c r="M60" i="4"/>
  <c r="L60" i="4"/>
  <c r="V59" i="4"/>
  <c r="U59" i="4"/>
  <c r="T59" i="4"/>
  <c r="S59" i="4"/>
  <c r="R59" i="4"/>
  <c r="Q59" i="4"/>
  <c r="P59" i="4"/>
  <c r="O59" i="4"/>
  <c r="N59" i="4"/>
  <c r="M59" i="4"/>
  <c r="L59" i="4"/>
  <c r="V58" i="4"/>
  <c r="U58" i="4"/>
  <c r="T58" i="4"/>
  <c r="S58" i="4"/>
  <c r="R58" i="4"/>
  <c r="Q58" i="4"/>
  <c r="P58" i="4"/>
  <c r="O58" i="4"/>
  <c r="N58" i="4"/>
  <c r="M58" i="4"/>
  <c r="L58" i="4"/>
  <c r="V57" i="4"/>
  <c r="U57" i="4"/>
  <c r="T57" i="4"/>
  <c r="S57" i="4"/>
  <c r="R57" i="4"/>
  <c r="Q57" i="4"/>
  <c r="P57" i="4"/>
  <c r="O57" i="4"/>
  <c r="N57" i="4"/>
  <c r="M57" i="4"/>
  <c r="L57" i="4"/>
  <c r="V56" i="4"/>
  <c r="U56" i="4"/>
  <c r="T56" i="4"/>
  <c r="S56" i="4"/>
  <c r="R56" i="4"/>
  <c r="Q56" i="4"/>
  <c r="P56" i="4"/>
  <c r="O56" i="4"/>
  <c r="N56" i="4"/>
  <c r="M56" i="4"/>
  <c r="L56" i="4"/>
  <c r="V55" i="4"/>
  <c r="U55" i="4"/>
  <c r="T55" i="4"/>
  <c r="S55" i="4"/>
  <c r="R55" i="4"/>
  <c r="Q55" i="4"/>
  <c r="P55" i="4"/>
  <c r="O55" i="4"/>
  <c r="N55" i="4"/>
  <c r="M55" i="4"/>
  <c r="L55" i="4"/>
  <c r="V54" i="4"/>
  <c r="U54" i="4"/>
  <c r="T54" i="4"/>
  <c r="S54" i="4"/>
  <c r="R54" i="4"/>
  <c r="Q54" i="4"/>
  <c r="P54" i="4"/>
  <c r="O54" i="4"/>
  <c r="N54" i="4"/>
  <c r="M54" i="4"/>
  <c r="L54" i="4"/>
  <c r="V53" i="4"/>
  <c r="U53" i="4"/>
  <c r="T53" i="4"/>
  <c r="S53" i="4"/>
  <c r="R53" i="4"/>
  <c r="Q53" i="4"/>
  <c r="P53" i="4"/>
  <c r="O53" i="4"/>
  <c r="N53" i="4"/>
  <c r="M53" i="4"/>
  <c r="L53" i="4"/>
  <c r="V52" i="4"/>
  <c r="U52" i="4"/>
  <c r="T52" i="4"/>
  <c r="S52" i="4"/>
  <c r="R52" i="4"/>
  <c r="Q52" i="4"/>
  <c r="P52" i="4"/>
  <c r="O52" i="4"/>
  <c r="N52" i="4"/>
  <c r="M52" i="4"/>
  <c r="L52" i="4"/>
  <c r="V51" i="4"/>
  <c r="U51" i="4"/>
  <c r="T51" i="4"/>
  <c r="S51" i="4"/>
  <c r="R51" i="4"/>
  <c r="Q51" i="4"/>
  <c r="P51" i="4"/>
  <c r="O51" i="4"/>
  <c r="N51" i="4"/>
  <c r="M51" i="4"/>
  <c r="L51" i="4"/>
  <c r="V50" i="4"/>
  <c r="U50" i="4"/>
  <c r="T50" i="4"/>
  <c r="S50" i="4"/>
  <c r="R50" i="4"/>
  <c r="Q50" i="4"/>
  <c r="P50" i="4"/>
  <c r="O50" i="4"/>
  <c r="N50" i="4"/>
  <c r="M50" i="4"/>
  <c r="L50" i="4"/>
  <c r="V49" i="4"/>
  <c r="U49" i="4"/>
  <c r="T49" i="4"/>
  <c r="S49" i="4"/>
  <c r="R49" i="4"/>
  <c r="Q49" i="4"/>
  <c r="P49" i="4"/>
  <c r="O49" i="4"/>
  <c r="N49" i="4"/>
  <c r="M49" i="4"/>
  <c r="L49" i="4"/>
  <c r="V48" i="4"/>
  <c r="U48" i="4"/>
  <c r="T48" i="4"/>
  <c r="S48" i="4"/>
  <c r="R48" i="4"/>
  <c r="Q48" i="4"/>
  <c r="P48" i="4"/>
  <c r="O48" i="4"/>
  <c r="N48" i="4"/>
  <c r="M48" i="4"/>
  <c r="L48" i="4"/>
  <c r="V47" i="4"/>
  <c r="U47" i="4"/>
  <c r="T47" i="4"/>
  <c r="S47" i="4"/>
  <c r="R47" i="4"/>
  <c r="Q47" i="4"/>
  <c r="P47" i="4"/>
  <c r="O47" i="4"/>
  <c r="N47" i="4"/>
  <c r="M47" i="4"/>
  <c r="L47" i="4"/>
  <c r="V46" i="4"/>
  <c r="U46" i="4"/>
  <c r="T46" i="4"/>
  <c r="S46" i="4"/>
  <c r="R46" i="4"/>
  <c r="Q46" i="4"/>
  <c r="P46" i="4"/>
  <c r="O46" i="4"/>
  <c r="N46" i="4"/>
  <c r="M46" i="4"/>
  <c r="L46" i="4"/>
  <c r="V45" i="4"/>
  <c r="U45" i="4"/>
  <c r="T45" i="4"/>
  <c r="S45" i="4"/>
  <c r="R45" i="4"/>
  <c r="Q45" i="4"/>
  <c r="P45" i="4"/>
  <c r="O45" i="4"/>
  <c r="N45" i="4"/>
  <c r="M45" i="4"/>
  <c r="L45" i="4"/>
  <c r="V44" i="4"/>
  <c r="U44" i="4"/>
  <c r="T44" i="4"/>
  <c r="S44" i="4"/>
  <c r="R44" i="4"/>
  <c r="Q44" i="4"/>
  <c r="P44" i="4"/>
  <c r="O44" i="4"/>
  <c r="N44" i="4"/>
  <c r="M44" i="4"/>
  <c r="L44" i="4"/>
  <c r="V43" i="4"/>
  <c r="U43" i="4"/>
  <c r="T43" i="4"/>
  <c r="S43" i="4"/>
  <c r="R43" i="4"/>
  <c r="Q43" i="4"/>
  <c r="P43" i="4"/>
  <c r="O43" i="4"/>
  <c r="N43" i="4"/>
  <c r="M43" i="4"/>
  <c r="L43" i="4"/>
  <c r="V42" i="4"/>
  <c r="U42" i="4"/>
  <c r="T42" i="4"/>
  <c r="S42" i="4"/>
  <c r="R42" i="4"/>
  <c r="Q42" i="4"/>
  <c r="P42" i="4"/>
  <c r="O42" i="4"/>
  <c r="N42" i="4"/>
  <c r="M42" i="4"/>
  <c r="L42" i="4"/>
  <c r="V41" i="4"/>
  <c r="U41" i="4"/>
  <c r="T41" i="4"/>
  <c r="S41" i="4"/>
  <c r="R41" i="4"/>
  <c r="Q41" i="4"/>
  <c r="P41" i="4"/>
  <c r="O41" i="4"/>
  <c r="N41" i="4"/>
  <c r="M41" i="4"/>
  <c r="L41" i="4"/>
  <c r="V40" i="4"/>
  <c r="U40" i="4"/>
  <c r="T40" i="4"/>
  <c r="S40" i="4"/>
  <c r="R40" i="4"/>
  <c r="Q40" i="4"/>
  <c r="P40" i="4"/>
  <c r="O40" i="4"/>
  <c r="N40" i="4"/>
  <c r="M40" i="4"/>
  <c r="L40" i="4"/>
  <c r="V39" i="4"/>
  <c r="U39" i="4"/>
  <c r="T39" i="4"/>
  <c r="S39" i="4"/>
  <c r="R39" i="4"/>
  <c r="Q39" i="4"/>
  <c r="P39" i="4"/>
  <c r="O39" i="4"/>
  <c r="N39" i="4"/>
  <c r="M39" i="4"/>
  <c r="L39" i="4"/>
  <c r="V38" i="4"/>
  <c r="U38" i="4"/>
  <c r="T38" i="4"/>
  <c r="S38" i="4"/>
  <c r="R38" i="4"/>
  <c r="Q38" i="4"/>
  <c r="P38" i="4"/>
  <c r="O38" i="4"/>
  <c r="N38" i="4"/>
  <c r="M38" i="4"/>
  <c r="L38" i="4"/>
  <c r="V37" i="4"/>
  <c r="U37" i="4"/>
  <c r="T37" i="4"/>
  <c r="S37" i="4"/>
  <c r="R37" i="4"/>
  <c r="Q37" i="4"/>
  <c r="P37" i="4"/>
  <c r="O37" i="4"/>
  <c r="N37" i="4"/>
  <c r="M37" i="4"/>
  <c r="L37" i="4"/>
  <c r="V36" i="4"/>
  <c r="U36" i="4"/>
  <c r="T36" i="4"/>
  <c r="S36" i="4"/>
  <c r="R36" i="4"/>
  <c r="Q36" i="4"/>
  <c r="P36" i="4"/>
  <c r="O36" i="4"/>
  <c r="N36" i="4"/>
  <c r="M36" i="4"/>
  <c r="L36" i="4"/>
  <c r="V35" i="4"/>
  <c r="U35" i="4"/>
  <c r="T35" i="4"/>
  <c r="S35" i="4"/>
  <c r="R35" i="4"/>
  <c r="Q35" i="4"/>
  <c r="P35" i="4"/>
  <c r="O35" i="4"/>
  <c r="N35" i="4"/>
  <c r="M35" i="4"/>
  <c r="L35" i="4"/>
  <c r="V34" i="4"/>
  <c r="U34" i="4"/>
  <c r="T34" i="4"/>
  <c r="S34" i="4"/>
  <c r="R34" i="4"/>
  <c r="Q34" i="4"/>
  <c r="P34" i="4"/>
  <c r="O34" i="4"/>
  <c r="N34" i="4"/>
  <c r="M34" i="4"/>
  <c r="L34" i="4"/>
  <c r="V33" i="4"/>
  <c r="U33" i="4"/>
  <c r="T33" i="4"/>
  <c r="S33" i="4"/>
  <c r="R33" i="4"/>
  <c r="Q33" i="4"/>
  <c r="P33" i="4"/>
  <c r="O33" i="4"/>
  <c r="N33" i="4"/>
  <c r="M33" i="4"/>
  <c r="L33" i="4"/>
  <c r="V32" i="4"/>
  <c r="U32" i="4"/>
  <c r="T32" i="4"/>
  <c r="S32" i="4"/>
  <c r="R32" i="4"/>
  <c r="Q32" i="4"/>
  <c r="P32" i="4"/>
  <c r="O32" i="4"/>
  <c r="N32" i="4"/>
  <c r="M32" i="4"/>
  <c r="L32" i="4"/>
  <c r="V31" i="4"/>
  <c r="U31" i="4"/>
  <c r="T31" i="4"/>
  <c r="S31" i="4"/>
  <c r="R31" i="4"/>
  <c r="Q31" i="4"/>
  <c r="P31" i="4"/>
  <c r="O31" i="4"/>
  <c r="N31" i="4"/>
  <c r="M31" i="4"/>
  <c r="L31" i="4"/>
  <c r="V30" i="4"/>
  <c r="U30" i="4"/>
  <c r="T30" i="4"/>
  <c r="S30" i="4"/>
  <c r="R30" i="4"/>
  <c r="Q30" i="4"/>
  <c r="P30" i="4"/>
  <c r="O30" i="4"/>
  <c r="N30" i="4"/>
  <c r="M30" i="4"/>
  <c r="L30" i="4"/>
  <c r="V29" i="4"/>
  <c r="U29" i="4"/>
  <c r="T29" i="4"/>
  <c r="S29" i="4"/>
  <c r="R29" i="4"/>
  <c r="Q29" i="4"/>
  <c r="P29" i="4"/>
  <c r="O29" i="4"/>
  <c r="N29" i="4"/>
  <c r="M29" i="4"/>
  <c r="L29" i="4"/>
  <c r="V28" i="4"/>
  <c r="U28" i="4"/>
  <c r="T28" i="4"/>
  <c r="S28" i="4"/>
  <c r="R28" i="4"/>
  <c r="Q28" i="4"/>
  <c r="P28" i="4"/>
  <c r="O28" i="4"/>
  <c r="N28" i="4"/>
  <c r="M28" i="4"/>
  <c r="L28" i="4"/>
  <c r="V27" i="4"/>
  <c r="U27" i="4"/>
  <c r="T27" i="4"/>
  <c r="S27" i="4"/>
  <c r="R27" i="4"/>
  <c r="Q27" i="4"/>
  <c r="P27" i="4"/>
  <c r="O27" i="4"/>
  <c r="N27" i="4"/>
  <c r="M27" i="4"/>
  <c r="L27" i="4"/>
  <c r="V24" i="4"/>
  <c r="U24" i="4"/>
  <c r="T24" i="4"/>
  <c r="S24" i="4"/>
  <c r="R24" i="4"/>
  <c r="Q24" i="4"/>
  <c r="P24" i="4"/>
  <c r="O24" i="4"/>
  <c r="N24" i="4"/>
  <c r="M24" i="4"/>
  <c r="L24" i="4"/>
  <c r="V23" i="4"/>
  <c r="U23" i="4"/>
  <c r="T23" i="4"/>
  <c r="S23" i="4"/>
  <c r="R23" i="4"/>
  <c r="Q23" i="4"/>
  <c r="P23" i="4"/>
  <c r="O23" i="4"/>
  <c r="N23" i="4"/>
  <c r="M23" i="4"/>
  <c r="L23" i="4"/>
  <c r="V22" i="4"/>
  <c r="U22" i="4"/>
  <c r="T22" i="4"/>
  <c r="S22" i="4"/>
  <c r="R22" i="4"/>
  <c r="Q22" i="4"/>
  <c r="P22" i="4"/>
  <c r="O22" i="4"/>
  <c r="N22" i="4"/>
  <c r="M22" i="4"/>
  <c r="L22" i="4"/>
  <c r="V21" i="4"/>
  <c r="U21" i="4"/>
  <c r="T21" i="4"/>
  <c r="S21" i="4"/>
  <c r="R21" i="4"/>
  <c r="Q21" i="4"/>
  <c r="P21" i="4"/>
  <c r="O21" i="4"/>
  <c r="N21" i="4"/>
  <c r="M21" i="4"/>
  <c r="L21" i="4"/>
  <c r="V20" i="4"/>
  <c r="U20" i="4"/>
  <c r="T20" i="4"/>
  <c r="S20" i="4"/>
  <c r="R20" i="4"/>
  <c r="Q20" i="4"/>
  <c r="P20" i="4"/>
  <c r="O20" i="4"/>
  <c r="N20" i="4"/>
  <c r="M20" i="4"/>
  <c r="L20" i="4"/>
  <c r="V19" i="4"/>
  <c r="U19" i="4"/>
  <c r="T19" i="4"/>
  <c r="S19" i="4"/>
  <c r="R19" i="4"/>
  <c r="Q19" i="4"/>
  <c r="P19" i="4"/>
  <c r="O19" i="4"/>
  <c r="N19" i="4"/>
  <c r="M19" i="4"/>
  <c r="L19" i="4"/>
  <c r="V18" i="4"/>
  <c r="U18" i="4"/>
  <c r="T18" i="4"/>
  <c r="S18" i="4"/>
  <c r="R18" i="4"/>
  <c r="Q18" i="4"/>
  <c r="P18" i="4"/>
  <c r="O18" i="4"/>
  <c r="N18" i="4"/>
  <c r="M18" i="4"/>
  <c r="L18" i="4"/>
  <c r="V17" i="4"/>
  <c r="U17" i="4"/>
  <c r="T17" i="4"/>
  <c r="S17" i="4"/>
  <c r="R17" i="4"/>
  <c r="Q17" i="4"/>
  <c r="P17" i="4"/>
  <c r="O17" i="4"/>
  <c r="N17" i="4"/>
  <c r="M17" i="4"/>
  <c r="L17" i="4"/>
  <c r="V16" i="4"/>
  <c r="U16" i="4"/>
  <c r="T16" i="4"/>
  <c r="S16" i="4"/>
  <c r="R16" i="4"/>
  <c r="Q16" i="4"/>
  <c r="P16" i="4"/>
  <c r="O16" i="4"/>
  <c r="N16" i="4"/>
  <c r="M16" i="4"/>
  <c r="L16" i="4"/>
  <c r="V15" i="4"/>
  <c r="U15" i="4"/>
  <c r="T15" i="4"/>
  <c r="S15" i="4"/>
  <c r="R15" i="4"/>
  <c r="Q15" i="4"/>
  <c r="P15" i="4"/>
  <c r="O15" i="4"/>
  <c r="N15" i="4"/>
  <c r="M15" i="4"/>
  <c r="L15" i="4"/>
  <c r="V14" i="4"/>
  <c r="U14" i="4"/>
  <c r="T14" i="4"/>
  <c r="S14" i="4"/>
  <c r="R14" i="4"/>
  <c r="Q14" i="4"/>
  <c r="P14" i="4"/>
  <c r="O14" i="4"/>
  <c r="N14" i="4"/>
  <c r="M14" i="4"/>
  <c r="L14" i="4"/>
  <c r="V13" i="4"/>
  <c r="U13" i="4"/>
  <c r="T13" i="4"/>
  <c r="S13" i="4"/>
  <c r="R13" i="4"/>
  <c r="Q13" i="4"/>
  <c r="P13" i="4"/>
  <c r="O13" i="4"/>
  <c r="N13" i="4"/>
  <c r="M13" i="4"/>
  <c r="L13" i="4"/>
  <c r="V12" i="4"/>
  <c r="U12" i="4"/>
  <c r="T12" i="4"/>
  <c r="S12" i="4"/>
  <c r="R12" i="4"/>
  <c r="Q12" i="4"/>
  <c r="P12" i="4"/>
  <c r="O12" i="4"/>
  <c r="N12" i="4"/>
  <c r="M12" i="4"/>
  <c r="L12" i="4"/>
  <c r="V11" i="4"/>
  <c r="U11" i="4"/>
  <c r="T11" i="4"/>
  <c r="S11" i="4"/>
  <c r="R11" i="4"/>
  <c r="Q11" i="4"/>
  <c r="P11" i="4"/>
  <c r="O11" i="4"/>
  <c r="N11" i="4"/>
  <c r="M11" i="4"/>
  <c r="L11" i="4"/>
  <c r="V10" i="4"/>
  <c r="U10" i="4"/>
  <c r="T10" i="4"/>
  <c r="S10" i="4"/>
  <c r="R10" i="4"/>
  <c r="Q10" i="4"/>
  <c r="P10" i="4"/>
  <c r="O10" i="4"/>
  <c r="N10" i="4"/>
  <c r="M10" i="4"/>
  <c r="L10" i="4"/>
  <c r="V9" i="4"/>
  <c r="U9" i="4"/>
  <c r="T9" i="4"/>
  <c r="S9" i="4"/>
  <c r="R9" i="4"/>
  <c r="Q9" i="4"/>
  <c r="P9" i="4"/>
  <c r="O9" i="4"/>
  <c r="N9" i="4"/>
  <c r="M9" i="4"/>
  <c r="L9" i="4"/>
  <c r="V8" i="4"/>
  <c r="U8" i="4"/>
  <c r="T8" i="4"/>
  <c r="S8" i="4"/>
  <c r="S26" i="4"/>
  <c r="S133" i="4"/>
  <c r="S181" i="4"/>
  <c r="S346" i="4"/>
  <c r="R8" i="4"/>
  <c r="R26" i="4"/>
  <c r="R133" i="4"/>
  <c r="R181" i="4"/>
  <c r="R346" i="4"/>
  <c r="Q8" i="4"/>
  <c r="Q26" i="4"/>
  <c r="Q133" i="4"/>
  <c r="Q181" i="4"/>
  <c r="Q346" i="4"/>
  <c r="P8" i="4"/>
  <c r="P26" i="4"/>
  <c r="P133" i="4"/>
  <c r="P181" i="4"/>
  <c r="P346" i="4"/>
  <c r="O8" i="4"/>
  <c r="O26" i="4"/>
  <c r="O133" i="4"/>
  <c r="O181" i="4"/>
  <c r="O346" i="4"/>
  <c r="O379" i="4"/>
  <c r="N8" i="4"/>
  <c r="N26" i="4"/>
  <c r="N133" i="4"/>
  <c r="N181" i="4"/>
  <c r="N346" i="4"/>
  <c r="N379" i="4"/>
  <c r="M8" i="4"/>
  <c r="M26" i="4"/>
  <c r="M133" i="4"/>
  <c r="M181" i="4"/>
  <c r="M346" i="4"/>
  <c r="M379" i="4"/>
  <c r="L8" i="4"/>
  <c r="L26" i="4"/>
  <c r="L133" i="4"/>
  <c r="L181" i="4"/>
  <c r="L346" i="4"/>
  <c r="L37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26" i="4"/>
  <c r="K133" i="4"/>
  <c r="K181" i="4"/>
  <c r="K346" i="4"/>
  <c r="K379" i="4"/>
  <c r="F10" i="4"/>
  <c r="F13" i="4"/>
  <c r="F15" i="4"/>
  <c r="F23" i="4"/>
  <c r="F24" i="4"/>
  <c r="F25" i="4"/>
  <c r="F26" i="4"/>
  <c r="F27" i="4"/>
  <c r="F34" i="4"/>
  <c r="F40" i="4"/>
  <c r="F44" i="4"/>
  <c r="F45" i="4"/>
  <c r="F49" i="4"/>
  <c r="F50" i="4"/>
  <c r="F52" i="4"/>
  <c r="F55" i="4"/>
  <c r="F56" i="4"/>
  <c r="F60" i="4"/>
  <c r="F61" i="4"/>
  <c r="F67" i="4"/>
  <c r="F69" i="4"/>
  <c r="F74" i="4"/>
  <c r="F77" i="4"/>
  <c r="F87" i="4"/>
  <c r="F91" i="4"/>
  <c r="F94" i="4"/>
  <c r="F96" i="4"/>
  <c r="F97" i="4"/>
  <c r="F100" i="4"/>
  <c r="F101" i="4"/>
  <c r="F109" i="4"/>
  <c r="F110" i="4"/>
  <c r="F113" i="4"/>
  <c r="F115" i="4"/>
  <c r="F122" i="4"/>
  <c r="F123" i="4"/>
  <c r="F125" i="4"/>
  <c r="F126" i="4"/>
  <c r="F133" i="4"/>
  <c r="F135" i="4"/>
  <c r="F140" i="4"/>
  <c r="F144" i="4"/>
  <c r="F145" i="4"/>
  <c r="F148" i="4"/>
  <c r="F151" i="4"/>
  <c r="F164" i="4"/>
  <c r="F166" i="4"/>
  <c r="F171" i="4"/>
  <c r="F174" i="4"/>
  <c r="F175" i="4"/>
  <c r="F177" i="4"/>
  <c r="F180" i="4"/>
  <c r="F181" i="4"/>
  <c r="F182" i="4"/>
  <c r="F184" i="4"/>
  <c r="F189" i="4"/>
  <c r="F192" i="4"/>
  <c r="F193" i="4"/>
  <c r="F195" i="4"/>
  <c r="F196" i="4"/>
  <c r="F199" i="4"/>
  <c r="F201" i="4"/>
  <c r="F202" i="4"/>
  <c r="F205" i="4"/>
  <c r="F207" i="4"/>
  <c r="F208" i="4"/>
  <c r="F209" i="4"/>
  <c r="F212" i="4"/>
  <c r="F215" i="4"/>
  <c r="F216" i="4"/>
  <c r="F218" i="4"/>
  <c r="F221" i="4"/>
  <c r="F230" i="4"/>
  <c r="F242" i="4"/>
  <c r="F244" i="4"/>
  <c r="F247" i="4"/>
  <c r="F248" i="4"/>
  <c r="F250" i="4"/>
  <c r="F254" i="4"/>
  <c r="F255" i="4"/>
  <c r="F260" i="4"/>
  <c r="F265" i="4"/>
  <c r="F267" i="4"/>
  <c r="F272" i="4"/>
  <c r="F295" i="4"/>
  <c r="F296" i="4"/>
  <c r="F299" i="4"/>
  <c r="F301" i="4"/>
  <c r="F311" i="4"/>
  <c r="F315" i="4"/>
  <c r="F318" i="4"/>
  <c r="F320" i="4"/>
  <c r="F323" i="4"/>
  <c r="F324" i="4"/>
  <c r="F333" i="4"/>
  <c r="F337" i="4"/>
  <c r="F338" i="4"/>
  <c r="F340" i="4"/>
  <c r="F343" i="4"/>
  <c r="F344" i="4"/>
  <c r="F346" i="4"/>
  <c r="F349" i="4"/>
  <c r="F350" i="4"/>
  <c r="F351" i="4"/>
  <c r="F353" i="4"/>
  <c r="F355" i="4"/>
  <c r="F356" i="4"/>
  <c r="F357" i="4"/>
  <c r="F368" i="4"/>
  <c r="F371" i="4"/>
  <c r="F374" i="4"/>
  <c r="F382" i="4"/>
  <c r="F384" i="4"/>
  <c r="F385" i="4"/>
  <c r="F388" i="4"/>
  <c r="F393" i="4"/>
  <c r="F403" i="4"/>
  <c r="F405" i="4"/>
  <c r="F413" i="4"/>
  <c r="F415" i="4"/>
  <c r="F423" i="4"/>
  <c r="F430" i="4"/>
  <c r="F433" i="4"/>
  <c r="F435" i="4"/>
  <c r="F437" i="4"/>
  <c r="F438" i="4"/>
  <c r="F440" i="4"/>
  <c r="F442" i="4"/>
  <c r="J2124" i="2"/>
  <c r="W7" i="2"/>
  <c r="W8" i="2"/>
  <c r="W9" i="2"/>
  <c r="W10" i="2"/>
  <c r="W11" i="2"/>
  <c r="W12" i="2"/>
  <c r="W13" i="2"/>
  <c r="W14" i="2"/>
  <c r="W15" i="2"/>
  <c r="W16" i="2"/>
  <c r="W17" i="2"/>
  <c r="W18" i="2"/>
  <c r="F129" i="4" s="1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F33" i="4" s="1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F72" i="4" s="1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F219" i="4" s="1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F285" i="4" s="1"/>
  <c r="W262" i="2"/>
  <c r="W263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F352" i="4" s="1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F134" i="4" s="1"/>
  <c r="W354" i="2"/>
  <c r="W355" i="2"/>
  <c r="F21" i="4" s="1"/>
  <c r="W356" i="2"/>
  <c r="W357" i="2"/>
  <c r="F155" i="4" s="1"/>
  <c r="W358" i="2"/>
  <c r="W359" i="2"/>
  <c r="W360" i="2"/>
  <c r="W361" i="2"/>
  <c r="F316" i="4" s="1"/>
  <c r="W362" i="2"/>
  <c r="F112" i="4" s="1"/>
  <c r="W363" i="2"/>
  <c r="F179" i="4" s="1"/>
  <c r="W364" i="2"/>
  <c r="W365" i="2"/>
  <c r="W366" i="2"/>
  <c r="W367" i="2"/>
  <c r="W368" i="2"/>
  <c r="F220" i="4" s="1"/>
  <c r="W369" i="2"/>
  <c r="W370" i="2"/>
  <c r="W371" i="2"/>
  <c r="W372" i="2"/>
  <c r="W373" i="2"/>
  <c r="W374" i="2"/>
  <c r="W375" i="2"/>
  <c r="F327" i="4" s="1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F375" i="4" s="1"/>
  <c r="W406" i="2"/>
  <c r="W407" i="2"/>
  <c r="F394" i="4" s="1"/>
  <c r="W408" i="2"/>
  <c r="W409" i="2"/>
  <c r="W410" i="2"/>
  <c r="W411" i="2"/>
  <c r="W412" i="2"/>
  <c r="W413" i="2"/>
  <c r="W414" i="2"/>
  <c r="W415" i="2"/>
  <c r="W416" i="2"/>
  <c r="F12" i="4" s="1"/>
  <c r="W417" i="2"/>
  <c r="W418" i="2"/>
  <c r="W419" i="2"/>
  <c r="W420" i="2"/>
  <c r="W421" i="2"/>
  <c r="F70" i="4" s="1"/>
  <c r="W422" i="2"/>
  <c r="W423" i="2"/>
  <c r="W424" i="2"/>
  <c r="W425" i="2"/>
  <c r="F309" i="4" s="1"/>
  <c r="W426" i="2"/>
  <c r="W427" i="2"/>
  <c r="W428" i="2"/>
  <c r="W429" i="2"/>
  <c r="W430" i="2"/>
  <c r="W431" i="2"/>
  <c r="F317" i="4" s="1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F231" i="4" s="1"/>
  <c r="W446" i="2"/>
  <c r="W447" i="2"/>
  <c r="W448" i="2"/>
  <c r="F170" i="4" s="1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F114" i="4" s="1"/>
  <c r="W485" i="2"/>
  <c r="W486" i="2"/>
  <c r="W487" i="2"/>
  <c r="W488" i="2"/>
  <c r="W489" i="2"/>
  <c r="W490" i="2"/>
  <c r="W491" i="2"/>
  <c r="W492" i="2"/>
  <c r="W493" i="2"/>
  <c r="W494" i="2"/>
  <c r="F157" i="4" s="1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F278" i="4" s="1"/>
  <c r="W508" i="2"/>
  <c r="W509" i="2"/>
  <c r="W510" i="2"/>
  <c r="W511" i="2"/>
  <c r="W512" i="2"/>
  <c r="W513" i="2"/>
  <c r="W514" i="2"/>
  <c r="W515" i="2"/>
  <c r="W516" i="2"/>
  <c r="W517" i="2"/>
  <c r="W518" i="2"/>
  <c r="W519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F288" i="4" s="1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F128" i="4" s="1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F22" i="4" s="1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F321" i="4" s="1"/>
  <c r="W737" i="2"/>
  <c r="W738" i="2"/>
  <c r="W739" i="2"/>
  <c r="W740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F416" i="4" s="1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F107" i="4" s="1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F359" i="4" s="1"/>
  <c r="W872" i="2"/>
  <c r="W873" i="2"/>
  <c r="W874" i="2"/>
  <c r="W875" i="2"/>
  <c r="F237" i="4" s="1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F284" i="4" s="1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F345" i="4" s="1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F58" i="4" s="1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F240" i="4" s="1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F119" i="4" s="1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F252" i="4" s="1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F47" i="4" s="1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F28" i="4" s="1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F439" i="4" s="1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F187" i="4" s="1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F204" i="4" s="1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AJ1472" i="2"/>
  <c r="AJ1473" i="2"/>
  <c r="AJ1474" i="2"/>
  <c r="AJ1475" i="2"/>
  <c r="AJ1476" i="2"/>
  <c r="AJ1477" i="2"/>
  <c r="AJ1478" i="2"/>
  <c r="AJ1479" i="2"/>
  <c r="AJ1480" i="2"/>
  <c r="AJ1481" i="2"/>
  <c r="AJ1482" i="2"/>
  <c r="AJ1483" i="2"/>
  <c r="AJ1484" i="2"/>
  <c r="AJ1485" i="2"/>
  <c r="AJ1486" i="2"/>
  <c r="AJ1487" i="2"/>
  <c r="AJ1488" i="2"/>
  <c r="AJ1489" i="2"/>
  <c r="AJ1490" i="2"/>
  <c r="AJ1491" i="2"/>
  <c r="AJ1492" i="2"/>
  <c r="AJ1493" i="2"/>
  <c r="AJ1494" i="2"/>
  <c r="AJ1495" i="2"/>
  <c r="AJ1496" i="2"/>
  <c r="AJ1497" i="2"/>
  <c r="AJ1498" i="2"/>
  <c r="AJ1499" i="2"/>
  <c r="AJ1500" i="2"/>
  <c r="AJ1501" i="2"/>
  <c r="AJ1502" i="2"/>
  <c r="AJ1503" i="2"/>
  <c r="AJ1504" i="2"/>
  <c r="AJ1505" i="2"/>
  <c r="AJ1506" i="2"/>
  <c r="AJ1507" i="2"/>
  <c r="AJ1508" i="2"/>
  <c r="AJ1509" i="2"/>
  <c r="AJ1510" i="2"/>
  <c r="AJ1511" i="2"/>
  <c r="AJ1512" i="2"/>
  <c r="AJ1513" i="2"/>
  <c r="AJ1514" i="2"/>
  <c r="AJ1515" i="2"/>
  <c r="AJ1516" i="2"/>
  <c r="AJ1517" i="2"/>
  <c r="AJ1518" i="2"/>
  <c r="AJ1519" i="2"/>
  <c r="AJ1520" i="2"/>
  <c r="AJ1521" i="2"/>
  <c r="AJ1522" i="2"/>
  <c r="AJ1523" i="2"/>
  <c r="AJ1524" i="2"/>
  <c r="AJ1525" i="2"/>
  <c r="AJ1526" i="2"/>
  <c r="AJ1527" i="2"/>
  <c r="AJ1528" i="2"/>
  <c r="AJ1529" i="2"/>
  <c r="AJ1530" i="2"/>
  <c r="AJ1531" i="2"/>
  <c r="AJ1532" i="2"/>
  <c r="AJ1533" i="2"/>
  <c r="AJ1534" i="2"/>
  <c r="AJ1535" i="2"/>
  <c r="AJ1536" i="2"/>
  <c r="AJ1537" i="2"/>
  <c r="AJ1538" i="2"/>
  <c r="AJ1539" i="2"/>
  <c r="AJ1540" i="2"/>
  <c r="AJ1541" i="2"/>
  <c r="AJ1542" i="2"/>
  <c r="AJ1543" i="2"/>
  <c r="AJ1544" i="2"/>
  <c r="AJ1545" i="2"/>
  <c r="AJ1546" i="2"/>
  <c r="AJ1547" i="2"/>
  <c r="AJ1548" i="2"/>
  <c r="AJ1549" i="2"/>
  <c r="AJ1550" i="2"/>
  <c r="AJ1551" i="2"/>
  <c r="AJ1552" i="2"/>
  <c r="AJ1553" i="2"/>
  <c r="AJ1554" i="2"/>
  <c r="AJ1555" i="2"/>
  <c r="AJ1556" i="2"/>
  <c r="AJ1557" i="2"/>
  <c r="AJ1558" i="2"/>
  <c r="AJ1559" i="2"/>
  <c r="AJ1560" i="2"/>
  <c r="AJ1561" i="2"/>
  <c r="AJ1562" i="2"/>
  <c r="AJ1563" i="2"/>
  <c r="AJ1564" i="2"/>
  <c r="AJ1565" i="2"/>
  <c r="AJ1566" i="2"/>
  <c r="AJ1567" i="2"/>
  <c r="AJ1568" i="2"/>
  <c r="AJ1569" i="2"/>
  <c r="AJ1570" i="2"/>
  <c r="AJ1571" i="2"/>
  <c r="AJ1573" i="2"/>
  <c r="AJ1574" i="2"/>
  <c r="AJ1575" i="2"/>
  <c r="AJ1576" i="2"/>
  <c r="AJ1577" i="2"/>
  <c r="AJ1578" i="2"/>
  <c r="AJ1579" i="2"/>
  <c r="AJ1580" i="2"/>
  <c r="AJ1581" i="2"/>
  <c r="AJ1582" i="2"/>
  <c r="AJ1583" i="2"/>
  <c r="AJ1584" i="2"/>
  <c r="AJ1585" i="2"/>
  <c r="AJ1586" i="2"/>
  <c r="AJ1587" i="2"/>
  <c r="AJ1588" i="2"/>
  <c r="AJ1589" i="2"/>
  <c r="AJ1590" i="2"/>
  <c r="AJ1591" i="2"/>
  <c r="AJ1592" i="2"/>
  <c r="AJ1593" i="2"/>
  <c r="AJ1594" i="2"/>
  <c r="AJ1595" i="2"/>
  <c r="AJ1596" i="2"/>
  <c r="AJ1597" i="2"/>
  <c r="AJ1598" i="2"/>
  <c r="AJ1599" i="2"/>
  <c r="AJ1600" i="2"/>
  <c r="AJ1601" i="2"/>
  <c r="AJ1602" i="2"/>
  <c r="AJ1603" i="2"/>
  <c r="AJ1604" i="2"/>
  <c r="AJ1605" i="2"/>
  <c r="AJ1606" i="2"/>
  <c r="AJ1607" i="2"/>
  <c r="AJ1608" i="2"/>
  <c r="AJ1609" i="2"/>
  <c r="AJ1610" i="2"/>
  <c r="AJ1611" i="2"/>
  <c r="AJ1612" i="2"/>
  <c r="AJ1613" i="2"/>
  <c r="AJ1614" i="2"/>
  <c r="AJ1615" i="2"/>
  <c r="AJ1616" i="2"/>
  <c r="AJ1617" i="2"/>
  <c r="AJ1618" i="2"/>
  <c r="AJ1619" i="2"/>
  <c r="AJ1620" i="2"/>
  <c r="AJ1621" i="2"/>
  <c r="AJ1622" i="2"/>
  <c r="AJ1623" i="2"/>
  <c r="AJ1624" i="2"/>
  <c r="AJ1625" i="2"/>
  <c r="AJ1626" i="2"/>
  <c r="AJ1627" i="2"/>
  <c r="AJ1628" i="2"/>
  <c r="AJ1629" i="2"/>
  <c r="AJ1630" i="2"/>
  <c r="AJ1631" i="2"/>
  <c r="AJ1632" i="2"/>
  <c r="AJ1633" i="2"/>
  <c r="AJ1634" i="2"/>
  <c r="AJ1635" i="2"/>
  <c r="AJ1636" i="2"/>
  <c r="AJ1637" i="2"/>
  <c r="AJ1638" i="2"/>
  <c r="AJ1639" i="2"/>
  <c r="AJ1640" i="2"/>
  <c r="AJ1641" i="2"/>
  <c r="AJ1642" i="2"/>
  <c r="AJ1643" i="2"/>
  <c r="AJ1644" i="2"/>
  <c r="AJ1645" i="2"/>
  <c r="AJ1646" i="2"/>
  <c r="AJ1647" i="2"/>
  <c r="AJ1648" i="2"/>
  <c r="AJ1649" i="2"/>
  <c r="AJ1650" i="2"/>
  <c r="AJ1651" i="2"/>
  <c r="AJ1652" i="2"/>
  <c r="AJ1653" i="2"/>
  <c r="AJ1654" i="2"/>
  <c r="AJ1655" i="2"/>
  <c r="AJ1656" i="2"/>
  <c r="AJ1657" i="2"/>
  <c r="AJ1658" i="2"/>
  <c r="AJ1659" i="2"/>
  <c r="AJ1660" i="2"/>
  <c r="AJ1661" i="2"/>
  <c r="AJ1662" i="2"/>
  <c r="AJ1663" i="2"/>
  <c r="AJ1664" i="2"/>
  <c r="AJ1665" i="2"/>
  <c r="AJ1666" i="2"/>
  <c r="AJ1667" i="2"/>
  <c r="AJ1668" i="2"/>
  <c r="AJ1669" i="2"/>
  <c r="AJ1670" i="2"/>
  <c r="AJ1671" i="2"/>
  <c r="AJ1672" i="2"/>
  <c r="AJ1673" i="2"/>
  <c r="AJ1674" i="2"/>
  <c r="AJ1675" i="2"/>
  <c r="AJ1676" i="2"/>
  <c r="AJ1677" i="2"/>
  <c r="AJ1678" i="2"/>
  <c r="AJ1679" i="2"/>
  <c r="AJ1680" i="2"/>
  <c r="AJ1681" i="2"/>
  <c r="AJ1682" i="2"/>
  <c r="AJ1683" i="2"/>
  <c r="AJ1684" i="2"/>
  <c r="AJ1685" i="2"/>
  <c r="AJ1686" i="2"/>
  <c r="AJ1687" i="2"/>
  <c r="AJ1688" i="2"/>
  <c r="AJ1689" i="2"/>
  <c r="AJ1690" i="2"/>
  <c r="AJ1691" i="2"/>
  <c r="AJ1692" i="2"/>
  <c r="AJ1693" i="2"/>
  <c r="AJ1694" i="2"/>
  <c r="AJ1695" i="2"/>
  <c r="AJ1696" i="2"/>
  <c r="AJ1697" i="2"/>
  <c r="AJ1698" i="2"/>
  <c r="AJ1699" i="2"/>
  <c r="AJ1700" i="2"/>
  <c r="AJ1701" i="2"/>
  <c r="AJ1702" i="2"/>
  <c r="AJ1703" i="2"/>
  <c r="AJ1704" i="2"/>
  <c r="AJ1705" i="2"/>
  <c r="AJ1706" i="2"/>
  <c r="AJ1707" i="2"/>
  <c r="AJ1708" i="2"/>
  <c r="AJ1709" i="2"/>
  <c r="AJ1710" i="2"/>
  <c r="AJ1711" i="2"/>
  <c r="AJ1712" i="2"/>
  <c r="AJ1713" i="2"/>
  <c r="AJ1714" i="2"/>
  <c r="AJ1715" i="2"/>
  <c r="AJ1716" i="2"/>
  <c r="AJ1717" i="2"/>
  <c r="AJ1718" i="2"/>
  <c r="AJ1719" i="2"/>
  <c r="AJ1720" i="2"/>
  <c r="AJ1721" i="2"/>
  <c r="AJ1722" i="2"/>
  <c r="AJ1723" i="2"/>
  <c r="AJ1724" i="2"/>
  <c r="AJ1725" i="2"/>
  <c r="AJ1726" i="2"/>
  <c r="AJ1727" i="2"/>
  <c r="AJ1728" i="2"/>
  <c r="AJ1729" i="2"/>
  <c r="AJ1730" i="2"/>
  <c r="AJ1731" i="2"/>
  <c r="AJ1732" i="2"/>
  <c r="AJ1733" i="2"/>
  <c r="AJ1734" i="2"/>
  <c r="AJ1735" i="2"/>
  <c r="AJ1736" i="2"/>
  <c r="AJ1737" i="2"/>
  <c r="AJ1738" i="2"/>
  <c r="AJ1739" i="2"/>
  <c r="AJ1740" i="2"/>
  <c r="AJ1741" i="2"/>
  <c r="AJ1742" i="2"/>
  <c r="AJ1743" i="2"/>
  <c r="AJ1744" i="2"/>
  <c r="AJ1745" i="2"/>
  <c r="AJ1746" i="2"/>
  <c r="AJ1747" i="2"/>
  <c r="AJ1748" i="2"/>
  <c r="AJ1749" i="2"/>
  <c r="AJ1750" i="2"/>
  <c r="AJ1751" i="2"/>
  <c r="AJ1752" i="2"/>
  <c r="AJ1753" i="2"/>
  <c r="AJ1754" i="2"/>
  <c r="AJ1755" i="2"/>
  <c r="AJ1756" i="2"/>
  <c r="AJ1757" i="2"/>
  <c r="AJ1758" i="2"/>
  <c r="AJ1759" i="2"/>
  <c r="AJ1760" i="2"/>
  <c r="AJ1761" i="2"/>
  <c r="AJ1762" i="2"/>
  <c r="AJ1764" i="2"/>
  <c r="AJ1765" i="2"/>
  <c r="AJ1766" i="2"/>
  <c r="AJ1767" i="2"/>
  <c r="AJ1768" i="2"/>
  <c r="AJ1769" i="2"/>
  <c r="AJ1770" i="2"/>
  <c r="AJ1771" i="2"/>
  <c r="AJ1772" i="2"/>
  <c r="AJ1773" i="2"/>
  <c r="AJ1774" i="2"/>
  <c r="AJ1775" i="2"/>
  <c r="AJ1776" i="2"/>
  <c r="AJ1777" i="2"/>
  <c r="AJ1778" i="2"/>
  <c r="AJ1779" i="2"/>
  <c r="AJ1780" i="2"/>
  <c r="AJ1781" i="2"/>
  <c r="AJ1782" i="2"/>
  <c r="AJ1783" i="2"/>
  <c r="AJ1784" i="2"/>
  <c r="AJ1785" i="2"/>
  <c r="AJ1786" i="2"/>
  <c r="AJ1787" i="2"/>
  <c r="AJ1788" i="2"/>
  <c r="AJ1789" i="2"/>
  <c r="AJ1790" i="2"/>
  <c r="AJ1791" i="2"/>
  <c r="AJ1792" i="2"/>
  <c r="AJ1793" i="2"/>
  <c r="AJ1794" i="2"/>
  <c r="AJ1795" i="2"/>
  <c r="AJ1796" i="2"/>
  <c r="AJ1797" i="2"/>
  <c r="AJ1798" i="2"/>
  <c r="AJ1799" i="2"/>
  <c r="AJ1800" i="2"/>
  <c r="AJ1801" i="2"/>
  <c r="AJ1802" i="2"/>
  <c r="AJ1803" i="2"/>
  <c r="AJ1804" i="2"/>
  <c r="AJ1805" i="2"/>
  <c r="AJ1806" i="2"/>
  <c r="AJ1807" i="2"/>
  <c r="AJ1808" i="2"/>
  <c r="AJ1809" i="2"/>
  <c r="AJ1810" i="2"/>
  <c r="AJ1811" i="2"/>
  <c r="AJ1812" i="2"/>
  <c r="AJ1813" i="2"/>
  <c r="AJ1814" i="2"/>
  <c r="AJ1815" i="2"/>
  <c r="AJ1816" i="2"/>
  <c r="AJ1817" i="2"/>
  <c r="AJ1818" i="2"/>
  <c r="AJ1819" i="2"/>
  <c r="AJ1820" i="2"/>
  <c r="AJ1821" i="2"/>
  <c r="AJ1822" i="2"/>
  <c r="AJ1823" i="2"/>
  <c r="AJ1824" i="2"/>
  <c r="AJ1825" i="2"/>
  <c r="AJ1826" i="2"/>
  <c r="AJ1827" i="2"/>
  <c r="AJ1828" i="2"/>
  <c r="AJ1829" i="2"/>
  <c r="AJ1830" i="2"/>
  <c r="AJ1831" i="2"/>
  <c r="AJ1832" i="2"/>
  <c r="AJ1833" i="2"/>
  <c r="AJ1834" i="2"/>
  <c r="AJ1835" i="2"/>
  <c r="AJ1836" i="2"/>
  <c r="AJ1837" i="2"/>
  <c r="AJ1838" i="2"/>
  <c r="AJ1839" i="2"/>
  <c r="AJ1840" i="2"/>
  <c r="AJ1841" i="2"/>
  <c r="AJ1842" i="2"/>
  <c r="AJ1843" i="2"/>
  <c r="AJ1844" i="2"/>
  <c r="AJ1845" i="2"/>
  <c r="AJ1846" i="2"/>
  <c r="AJ1847" i="2"/>
  <c r="AJ1848" i="2"/>
  <c r="AJ1849" i="2"/>
  <c r="AJ1850" i="2"/>
  <c r="AJ1851" i="2"/>
  <c r="AJ1852" i="2"/>
  <c r="AJ1853" i="2"/>
  <c r="AJ1854" i="2"/>
  <c r="AJ1855" i="2"/>
  <c r="AJ1856" i="2"/>
  <c r="AJ1857" i="2"/>
  <c r="AJ1858" i="2"/>
  <c r="AJ1859" i="2"/>
  <c r="AJ1860" i="2"/>
  <c r="AJ1861" i="2"/>
  <c r="AJ1862" i="2"/>
  <c r="AJ1863" i="2"/>
  <c r="AJ1864" i="2"/>
  <c r="AJ1865" i="2"/>
  <c r="AJ1866" i="2"/>
  <c r="AJ1867" i="2"/>
  <c r="AJ1868" i="2"/>
  <c r="AJ1869" i="2"/>
  <c r="AJ1870" i="2"/>
  <c r="AJ1871" i="2"/>
  <c r="AJ1872" i="2"/>
  <c r="AJ1873" i="2"/>
  <c r="AJ1874" i="2"/>
  <c r="AJ1875" i="2"/>
  <c r="AJ1876" i="2"/>
  <c r="AJ1877" i="2"/>
  <c r="AJ1878" i="2"/>
  <c r="AJ1879" i="2"/>
  <c r="AJ1880" i="2"/>
  <c r="AJ1881" i="2"/>
  <c r="AJ1882" i="2"/>
  <c r="AJ1883" i="2"/>
  <c r="AJ1884" i="2"/>
  <c r="AJ1885" i="2"/>
  <c r="AJ1886" i="2"/>
  <c r="AJ1887" i="2"/>
  <c r="AJ1888" i="2"/>
  <c r="AJ1889" i="2"/>
  <c r="AJ1890" i="2"/>
  <c r="AJ1891" i="2"/>
  <c r="AJ1892" i="2"/>
  <c r="AJ1893" i="2"/>
  <c r="AJ1894" i="2"/>
  <c r="AJ1895" i="2"/>
  <c r="AJ1896" i="2"/>
  <c r="AJ1897" i="2"/>
  <c r="AJ1898" i="2"/>
  <c r="AJ1899" i="2"/>
  <c r="AJ1900" i="2"/>
  <c r="AJ1901" i="2"/>
  <c r="AJ1902" i="2"/>
  <c r="AJ1903" i="2"/>
  <c r="AJ1904" i="2"/>
  <c r="AJ1905" i="2"/>
  <c r="AJ1906" i="2"/>
  <c r="AJ1907" i="2"/>
  <c r="AJ1908" i="2"/>
  <c r="AJ1909" i="2"/>
  <c r="AJ1910" i="2"/>
  <c r="AJ1911" i="2"/>
  <c r="AJ1912" i="2"/>
  <c r="AJ1913" i="2"/>
  <c r="AJ1914" i="2"/>
  <c r="AJ1915" i="2"/>
  <c r="AJ1916" i="2"/>
  <c r="AJ1917" i="2"/>
  <c r="AJ1918" i="2"/>
  <c r="AJ1919" i="2"/>
  <c r="AJ1920" i="2"/>
  <c r="AJ1921" i="2"/>
  <c r="AJ1922" i="2"/>
  <c r="AJ1923" i="2"/>
  <c r="AJ1924" i="2"/>
  <c r="AJ1925" i="2"/>
  <c r="AJ1926" i="2"/>
  <c r="AJ1927" i="2"/>
  <c r="AJ1928" i="2"/>
  <c r="AJ1929" i="2"/>
  <c r="AJ1930" i="2"/>
  <c r="AJ1931" i="2"/>
  <c r="AJ1932" i="2"/>
  <c r="AJ1933" i="2"/>
  <c r="AJ1935" i="2"/>
  <c r="AJ1936" i="2"/>
  <c r="AJ1937" i="2"/>
  <c r="AJ1938" i="2"/>
  <c r="AJ1939" i="2"/>
  <c r="AJ1940" i="2"/>
  <c r="AJ1941" i="2"/>
  <c r="AJ1942" i="2"/>
  <c r="AJ1943" i="2"/>
  <c r="AJ1944" i="2"/>
  <c r="AJ1945" i="2"/>
  <c r="AJ1946" i="2"/>
  <c r="AJ1947" i="2"/>
  <c r="AJ1948" i="2"/>
  <c r="AJ1949" i="2"/>
  <c r="AJ1950" i="2"/>
  <c r="AJ1951" i="2"/>
  <c r="AJ1952" i="2"/>
  <c r="AJ1953" i="2"/>
  <c r="AJ1954" i="2"/>
  <c r="AJ1955" i="2"/>
  <c r="AJ1956" i="2"/>
  <c r="AJ1957" i="2"/>
  <c r="AJ1958" i="2"/>
  <c r="AJ1959" i="2"/>
  <c r="AJ1960" i="2"/>
  <c r="AJ1961" i="2"/>
  <c r="AJ1962" i="2"/>
  <c r="AJ1963" i="2"/>
  <c r="AJ1964" i="2"/>
  <c r="AJ1965" i="2"/>
  <c r="AJ1966" i="2"/>
  <c r="AJ1967" i="2"/>
  <c r="AJ1968" i="2"/>
  <c r="AJ1969" i="2"/>
  <c r="AJ1970" i="2"/>
  <c r="AJ1971" i="2"/>
  <c r="AJ1972" i="2"/>
  <c r="AJ1973" i="2"/>
  <c r="AJ1974" i="2"/>
  <c r="AJ1975" i="2"/>
  <c r="AJ1976" i="2"/>
  <c r="AJ1977" i="2"/>
  <c r="AJ1978" i="2"/>
  <c r="AJ1979" i="2"/>
  <c r="AJ1980" i="2"/>
  <c r="AJ1981" i="2"/>
  <c r="AJ1982" i="2"/>
  <c r="AJ1983" i="2"/>
  <c r="AJ1984" i="2"/>
  <c r="AJ1985" i="2"/>
  <c r="AJ1986" i="2"/>
  <c r="AJ1987" i="2"/>
  <c r="AJ1988" i="2"/>
  <c r="AJ1989" i="2"/>
  <c r="AJ1990" i="2"/>
  <c r="AJ1991" i="2"/>
  <c r="AJ1992" i="2"/>
  <c r="AJ1993" i="2"/>
  <c r="AJ1994" i="2"/>
  <c r="AJ1995" i="2"/>
  <c r="AJ1996" i="2"/>
  <c r="AJ1997" i="2"/>
  <c r="AJ1998" i="2"/>
  <c r="AJ1999" i="2"/>
  <c r="AJ2000" i="2"/>
  <c r="AJ2001" i="2"/>
  <c r="AJ2002" i="2"/>
  <c r="AJ2003" i="2"/>
  <c r="AJ2004" i="2"/>
  <c r="AJ2005" i="2"/>
  <c r="AJ2006" i="2"/>
  <c r="AJ2007" i="2"/>
  <c r="AJ2008" i="2"/>
  <c r="AJ2009" i="2"/>
  <c r="AJ2010" i="2"/>
  <c r="AJ2011" i="2"/>
  <c r="AJ2012" i="2"/>
  <c r="AJ2013" i="2"/>
  <c r="AJ2014" i="2"/>
  <c r="AJ2015" i="2"/>
  <c r="AJ2016" i="2"/>
  <c r="AJ2017" i="2"/>
  <c r="AJ2018" i="2"/>
  <c r="AJ2019" i="2"/>
  <c r="AJ2020" i="2"/>
  <c r="AJ2021" i="2"/>
  <c r="AJ2022" i="2"/>
  <c r="AJ2023" i="2"/>
  <c r="AJ2024" i="2"/>
  <c r="AJ2025" i="2"/>
  <c r="AJ2026" i="2"/>
  <c r="AJ2027" i="2"/>
  <c r="AJ2028" i="2"/>
  <c r="AJ2029" i="2"/>
  <c r="AJ2030" i="2"/>
  <c r="AJ2031" i="2"/>
  <c r="AJ2032" i="2"/>
  <c r="AJ2033" i="2"/>
  <c r="AJ2034" i="2"/>
  <c r="AJ2035" i="2"/>
  <c r="AJ2036" i="2"/>
  <c r="AJ2037" i="2"/>
  <c r="AJ2038" i="2"/>
  <c r="AJ2039" i="2"/>
  <c r="AJ2040" i="2"/>
  <c r="AJ2041" i="2"/>
  <c r="AJ2042" i="2"/>
  <c r="AJ2043" i="2"/>
  <c r="AJ2044" i="2"/>
  <c r="AJ2045" i="2"/>
  <c r="AJ2046" i="2"/>
  <c r="AJ2047" i="2"/>
  <c r="AJ2048" i="2"/>
  <c r="AJ2049" i="2"/>
  <c r="AJ2050" i="2"/>
  <c r="AJ2051" i="2"/>
  <c r="AJ2052" i="2"/>
  <c r="AJ2053" i="2"/>
  <c r="AJ2054" i="2"/>
  <c r="AJ2055" i="2"/>
  <c r="AJ2056" i="2"/>
  <c r="AJ2057" i="2"/>
  <c r="AJ2058" i="2"/>
  <c r="AJ2059" i="2"/>
  <c r="AJ2060" i="2"/>
  <c r="AJ2061" i="2"/>
  <c r="AJ2062" i="2"/>
  <c r="AJ2063" i="2"/>
  <c r="AJ2064" i="2"/>
  <c r="AJ2065" i="2"/>
  <c r="AJ2066" i="2"/>
  <c r="AJ2067" i="2"/>
  <c r="AJ2068" i="2"/>
  <c r="AJ2069" i="2"/>
  <c r="AJ2070" i="2"/>
  <c r="AJ2071" i="2"/>
  <c r="AJ2072" i="2"/>
  <c r="AJ2073" i="2"/>
  <c r="AJ2074" i="2"/>
  <c r="AJ2075" i="2"/>
  <c r="AJ2076" i="2"/>
  <c r="AJ2077" i="2"/>
  <c r="AJ2078" i="2"/>
  <c r="AJ2079" i="2"/>
  <c r="AJ2080" i="2"/>
  <c r="AJ2081" i="2"/>
  <c r="AJ2082" i="2"/>
  <c r="AJ2083" i="2"/>
  <c r="AJ2084" i="2"/>
  <c r="AJ2085" i="2"/>
  <c r="AJ2086" i="2"/>
  <c r="AJ2087" i="2"/>
  <c r="AJ2088" i="2"/>
  <c r="AJ2089" i="2"/>
  <c r="AJ2090" i="2"/>
  <c r="AJ2091" i="2"/>
  <c r="AJ2092" i="2"/>
  <c r="AJ2093" i="2"/>
  <c r="AJ2094" i="2"/>
  <c r="AJ2095" i="2"/>
  <c r="AJ2096" i="2"/>
  <c r="AJ2097" i="2"/>
  <c r="AJ2098" i="2"/>
  <c r="AJ2099" i="2"/>
  <c r="AJ2100" i="2"/>
  <c r="AJ2101" i="2"/>
  <c r="AJ2102" i="2"/>
  <c r="AJ2103" i="2"/>
  <c r="AJ2104" i="2"/>
  <c r="AJ2105" i="2"/>
  <c r="AJ2106" i="2"/>
  <c r="AJ2107" i="2"/>
  <c r="AJ2108" i="2"/>
  <c r="AJ2109" i="2"/>
  <c r="AJ2110" i="2"/>
  <c r="AJ2111" i="2"/>
  <c r="AJ2112" i="2"/>
  <c r="AJ2113" i="2"/>
  <c r="AJ2114" i="2"/>
  <c r="AJ2115" i="2"/>
  <c r="AJ2116" i="2"/>
  <c r="AJ2117" i="2"/>
  <c r="AJ2118" i="2"/>
  <c r="AJ2119" i="2"/>
  <c r="AJ2120" i="2"/>
  <c r="AJ2121" i="2"/>
  <c r="AJ2122" i="2"/>
  <c r="AJ2123" i="2"/>
  <c r="AJ6" i="2"/>
  <c r="W6" i="2"/>
  <c r="AJ5" i="2"/>
  <c r="W5" i="2"/>
  <c r="F334" i="4" l="1"/>
  <c r="F401" i="4"/>
  <c r="F312" i="4"/>
  <c r="F308" i="4"/>
  <c r="F418" i="4"/>
  <c r="F370" i="4"/>
  <c r="F286" i="4"/>
  <c r="F360" i="4"/>
  <c r="F322" i="4"/>
  <c r="F16" i="4"/>
  <c r="F383" i="4"/>
  <c r="F118" i="4"/>
  <c r="F366" i="4"/>
  <c r="F232" i="4"/>
  <c r="F99" i="4"/>
  <c r="F251" i="4"/>
  <c r="F253" i="4"/>
  <c r="F80" i="4"/>
  <c r="F210" i="4"/>
  <c r="F188" i="4"/>
  <c r="F332" i="4"/>
  <c r="F153" i="4"/>
  <c r="F159" i="4"/>
  <c r="F319" i="4"/>
  <c r="F31" i="4"/>
  <c r="F259" i="4"/>
  <c r="F376" i="4"/>
  <c r="F241" i="4"/>
  <c r="F282" i="4"/>
  <c r="F444" i="4"/>
  <c r="F372" i="4"/>
  <c r="F354" i="4"/>
  <c r="F276" i="4"/>
  <c r="F446" i="4"/>
  <c r="F224" i="4"/>
  <c r="F379" i="4"/>
  <c r="F304" i="4"/>
  <c r="F386" i="4"/>
  <c r="F268" i="4"/>
  <c r="F410" i="4"/>
  <c r="F302" i="4"/>
  <c r="F238" i="4"/>
  <c r="F414" i="4"/>
  <c r="F408" i="4"/>
  <c r="F64" i="4"/>
  <c r="F257" i="4"/>
  <c r="F407" i="4"/>
  <c r="F142" i="4"/>
  <c r="F365" i="4"/>
  <c r="F398" i="4"/>
  <c r="F448" i="4"/>
  <c r="F206" i="4"/>
  <c r="F328" i="4"/>
  <c r="F422" i="4"/>
  <c r="F65" i="4"/>
  <c r="F274" i="4"/>
  <c r="F348" i="4"/>
  <c r="F390" i="4"/>
  <c r="F404" i="4"/>
  <c r="F361" i="4"/>
  <c r="F17" i="4"/>
  <c r="F358" i="4"/>
  <c r="F161" i="4"/>
  <c r="F420" i="4"/>
  <c r="F369" i="4"/>
  <c r="F59" i="4"/>
  <c r="F294" i="4"/>
  <c r="F424" i="4"/>
  <c r="F176" i="4"/>
  <c r="F186" i="4"/>
  <c r="F367" i="4"/>
  <c r="F364" i="4"/>
  <c r="F266" i="4"/>
  <c r="F434" i="4"/>
  <c r="F249" i="4"/>
  <c r="F86" i="4"/>
  <c r="F428" i="4"/>
  <c r="F158" i="4"/>
  <c r="F57" i="4"/>
  <c r="F409" i="4"/>
  <c r="F236" i="4"/>
  <c r="F273" i="4"/>
  <c r="F395" i="4"/>
  <c r="F203" i="4"/>
  <c r="F336" i="4"/>
  <c r="F124" i="4"/>
  <c r="F263" i="4"/>
  <c r="F329" i="4"/>
  <c r="F226" i="4"/>
  <c r="F326" i="4"/>
  <c r="F83" i="4"/>
  <c r="F90" i="4"/>
  <c r="F51" i="4"/>
  <c r="F92" i="4"/>
  <c r="F280" i="4"/>
  <c r="F36" i="4"/>
  <c r="F303" i="4"/>
  <c r="F222" i="4"/>
  <c r="F63" i="4"/>
  <c r="F75" i="4"/>
  <c r="F54" i="4"/>
  <c r="F53" i="4"/>
  <c r="F261" i="4"/>
  <c r="F421" i="4"/>
  <c r="F93" i="4"/>
  <c r="F447" i="4"/>
  <c r="F287" i="4"/>
  <c r="F102" i="4"/>
  <c r="F18" i="4"/>
  <c r="F9" i="4"/>
  <c r="F297" i="4"/>
  <c r="F117" i="4"/>
  <c r="F108" i="4"/>
  <c r="F431" i="4"/>
  <c r="F197" i="4"/>
  <c r="F95" i="4"/>
  <c r="F81" i="4"/>
  <c r="F443" i="4"/>
  <c r="F190" i="4"/>
  <c r="F293" i="4"/>
  <c r="F419" i="4"/>
  <c r="F137" i="4"/>
  <c r="F229" i="4"/>
  <c r="F147" i="4"/>
  <c r="F194" i="4"/>
  <c r="F341" i="4"/>
  <c r="F387" i="4"/>
  <c r="F120" i="4"/>
  <c r="F85" i="4"/>
  <c r="F391" i="4"/>
  <c r="F214" i="4"/>
  <c r="F211" i="4"/>
  <c r="F165" i="4"/>
  <c r="F389" i="4"/>
  <c r="F169" i="4"/>
  <c r="F131" i="4"/>
  <c r="F377" i="4"/>
  <c r="F116" i="4"/>
  <c r="F235" i="4"/>
  <c r="F291" i="4"/>
  <c r="F29" i="4"/>
  <c r="F84" i="4"/>
  <c r="F103" i="4"/>
  <c r="F132" i="4"/>
  <c r="F149" i="4"/>
  <c r="F14" i="4"/>
  <c r="F98" i="4"/>
  <c r="F38" i="4"/>
  <c r="F150" i="4"/>
  <c r="F417" i="4"/>
  <c r="F445" i="4"/>
  <c r="F269" i="4"/>
  <c r="F104" i="4"/>
  <c r="F305" i="4"/>
  <c r="F32" i="4"/>
  <c r="F43" i="4"/>
  <c r="F127" i="4"/>
  <c r="F185" i="4"/>
  <c r="F277" i="4"/>
  <c r="F223" i="4"/>
  <c r="F154" i="4"/>
  <c r="F411" i="4"/>
  <c r="F89" i="4"/>
  <c r="F339" i="4"/>
  <c r="F191" i="4"/>
  <c r="F239" i="4"/>
  <c r="F425" i="4"/>
  <c r="F68" i="4"/>
  <c r="F363" i="4"/>
  <c r="F279" i="4"/>
  <c r="F66" i="4"/>
  <c r="F275" i="4"/>
  <c r="F245" i="4"/>
  <c r="F42" i="4"/>
  <c r="F335" i="4"/>
  <c r="F139" i="4"/>
  <c r="F152" i="4"/>
  <c r="F30" i="4"/>
  <c r="F35" i="4"/>
  <c r="F130" i="4"/>
  <c r="F271" i="4"/>
  <c r="F141" i="4"/>
  <c r="F163" i="4"/>
  <c r="F105" i="4"/>
  <c r="F283" i="4"/>
  <c r="F347" i="4"/>
  <c r="F46" i="4"/>
  <c r="F325" i="4"/>
  <c r="F243" i="4"/>
  <c r="F78" i="4"/>
  <c r="F62" i="4"/>
  <c r="F198" i="4"/>
  <c r="F227" i="4"/>
  <c r="F173" i="4"/>
  <c r="F436" i="4"/>
  <c r="F143" i="4"/>
  <c r="F378" i="4"/>
  <c r="F342" i="4"/>
  <c r="F258" i="4"/>
  <c r="F432" i="4"/>
  <c r="F234" i="4"/>
  <c r="F392" i="4"/>
  <c r="F160" i="4"/>
  <c r="F400" i="4"/>
  <c r="F183" i="4"/>
  <c r="F256" i="4"/>
  <c r="F406" i="4"/>
  <c r="F298" i="4"/>
  <c r="F300" i="4"/>
  <c r="F362" i="4"/>
  <c r="F289" i="4"/>
  <c r="F270" i="4"/>
  <c r="F429" i="4"/>
  <c r="F426" i="4"/>
  <c r="F200" i="4"/>
  <c r="F292" i="4"/>
  <c r="F264" i="4"/>
  <c r="F310" i="4"/>
  <c r="F41" i="4"/>
  <c r="F228" i="4"/>
  <c r="F121" i="4"/>
  <c r="F73" i="4"/>
  <c r="F381" i="4"/>
  <c r="F217" i="4"/>
  <c r="F331" i="4"/>
  <c r="F313" i="4"/>
  <c r="F48" i="4"/>
  <c r="F330" i="4"/>
  <c r="F246" i="4"/>
  <c r="F172" i="4"/>
  <c r="F307" i="4"/>
  <c r="F168" i="4"/>
  <c r="F106" i="4"/>
  <c r="F8" i="4"/>
  <c r="F82" i="4"/>
  <c r="F213" i="4"/>
  <c r="F136" i="4"/>
  <c r="F156" i="4"/>
  <c r="F37" i="4"/>
  <c r="F88" i="4"/>
  <c r="F146" i="4"/>
  <c r="F79" i="4"/>
  <c r="F178" i="4"/>
  <c r="F19" i="4"/>
  <c r="F111" i="4"/>
  <c r="F167" i="4"/>
  <c r="F76" i="4"/>
  <c r="F262" i="4"/>
  <c r="F281" i="4"/>
  <c r="F138" i="4"/>
  <c r="F71" i="4"/>
  <c r="F20" i="4"/>
  <c r="F402" i="4"/>
  <c r="F441" i="4"/>
  <c r="F39" i="4"/>
  <c r="F314" i="4"/>
  <c r="F380" i="4"/>
  <c r="F397" i="4"/>
  <c r="F162" i="4"/>
  <c r="F225" i="4"/>
  <c r="F306" i="4"/>
  <c r="F11" i="4"/>
  <c r="F373" i="4"/>
  <c r="F399" i="4"/>
  <c r="F290" i="4"/>
  <c r="F396" i="4"/>
  <c r="F427" i="4"/>
  <c r="F412" i="4"/>
  <c r="F233" i="4"/>
  <c r="J5" i="2"/>
  <c r="J6" i="2"/>
  <c r="J2122" i="2"/>
  <c r="J2120" i="2"/>
  <c r="J2118" i="2"/>
  <c r="J2116" i="2"/>
  <c r="J2114" i="2"/>
  <c r="J2112" i="2"/>
  <c r="J2110" i="2"/>
  <c r="J2108" i="2"/>
  <c r="J2106" i="2"/>
  <c r="J2104" i="2"/>
  <c r="J2102" i="2"/>
  <c r="J2100" i="2"/>
  <c r="J2098" i="2"/>
  <c r="J2096" i="2"/>
  <c r="J2094" i="2"/>
  <c r="J2092" i="2"/>
  <c r="J2090" i="2"/>
  <c r="J2088" i="2"/>
  <c r="J2086" i="2"/>
  <c r="J2084" i="2"/>
  <c r="J2082" i="2"/>
  <c r="J2080" i="2"/>
  <c r="J2078" i="2"/>
  <c r="J2076" i="2"/>
  <c r="J2074" i="2"/>
  <c r="J2072" i="2"/>
  <c r="J2070" i="2"/>
  <c r="J2068" i="2"/>
  <c r="J2066" i="2"/>
  <c r="J2064" i="2"/>
  <c r="J2062" i="2"/>
  <c r="J2060" i="2"/>
  <c r="J2058" i="2"/>
  <c r="J2056" i="2"/>
  <c r="J2054" i="2"/>
  <c r="J2052" i="2"/>
  <c r="J2050" i="2"/>
  <c r="J2048" i="2"/>
  <c r="J2046" i="2"/>
  <c r="J2044" i="2"/>
  <c r="J2042" i="2"/>
  <c r="J2040" i="2"/>
  <c r="J2038" i="2"/>
  <c r="J2036" i="2"/>
  <c r="J2034" i="2"/>
  <c r="J2032" i="2"/>
  <c r="J2030" i="2"/>
  <c r="J2028" i="2"/>
  <c r="J2026" i="2"/>
  <c r="J2024" i="2"/>
  <c r="J2022" i="2"/>
  <c r="J2020" i="2"/>
  <c r="J2018" i="2"/>
  <c r="J2016" i="2"/>
  <c r="J2014" i="2"/>
  <c r="J2012" i="2"/>
  <c r="J2010" i="2"/>
  <c r="J2008" i="2"/>
  <c r="J2006" i="2"/>
  <c r="J2004" i="2"/>
  <c r="J2002" i="2"/>
  <c r="J2000" i="2"/>
  <c r="J1998" i="2"/>
  <c r="J1996" i="2"/>
  <c r="J1994" i="2"/>
  <c r="J1992" i="2"/>
  <c r="J1990" i="2"/>
  <c r="J1988" i="2"/>
  <c r="J1986" i="2"/>
  <c r="J1984" i="2"/>
  <c r="J1982" i="2"/>
  <c r="J1980" i="2"/>
  <c r="J1978" i="2"/>
  <c r="J1976" i="2"/>
  <c r="J1974" i="2"/>
  <c r="J1972" i="2"/>
  <c r="J1970" i="2"/>
  <c r="J1968" i="2"/>
  <c r="J1966" i="2"/>
  <c r="J1964" i="2"/>
  <c r="J1962" i="2"/>
  <c r="J1960" i="2"/>
  <c r="J1958" i="2"/>
  <c r="J1956" i="2"/>
  <c r="J1954" i="2"/>
  <c r="J1952" i="2"/>
  <c r="J1950" i="2"/>
  <c r="J1948" i="2"/>
  <c r="J1946" i="2"/>
  <c r="J1944" i="2"/>
  <c r="J1942" i="2"/>
  <c r="J1940" i="2"/>
  <c r="J1938" i="2"/>
  <c r="J1936" i="2"/>
  <c r="J1932" i="2"/>
  <c r="J1930" i="2"/>
  <c r="J1928" i="2"/>
  <c r="J1926" i="2"/>
  <c r="J1924" i="2"/>
  <c r="J1922" i="2"/>
  <c r="J1920" i="2"/>
  <c r="J1918" i="2"/>
  <c r="J1916" i="2"/>
  <c r="J1914" i="2"/>
  <c r="J1912" i="2"/>
  <c r="J1910" i="2"/>
  <c r="J1908" i="2"/>
  <c r="J1906" i="2"/>
  <c r="J1904" i="2"/>
  <c r="J1902" i="2"/>
  <c r="J1900" i="2"/>
  <c r="J1898" i="2"/>
  <c r="J1896" i="2"/>
  <c r="J1894" i="2"/>
  <c r="J1892" i="2"/>
  <c r="J1890" i="2"/>
  <c r="J1888" i="2"/>
  <c r="J1886" i="2"/>
  <c r="J1884" i="2"/>
  <c r="J1882" i="2"/>
  <c r="J1880" i="2"/>
  <c r="J1878" i="2"/>
  <c r="J1876" i="2"/>
  <c r="J1874" i="2"/>
  <c r="J1872" i="2"/>
  <c r="J1870" i="2"/>
  <c r="J1868" i="2"/>
  <c r="J1866" i="2"/>
  <c r="J1864" i="2"/>
  <c r="J1862" i="2"/>
  <c r="J1860" i="2"/>
  <c r="J1858" i="2"/>
  <c r="J1856" i="2"/>
  <c r="J1854" i="2"/>
  <c r="J1852" i="2"/>
  <c r="J1850" i="2"/>
  <c r="J1848" i="2"/>
  <c r="J1846" i="2"/>
  <c r="J1844" i="2"/>
  <c r="J1842" i="2"/>
  <c r="J1840" i="2"/>
  <c r="J1838" i="2"/>
  <c r="J1836" i="2"/>
  <c r="J1834" i="2"/>
  <c r="J1832" i="2"/>
  <c r="J1830" i="2"/>
  <c r="J1828" i="2"/>
  <c r="J1826" i="2"/>
  <c r="J1824" i="2"/>
  <c r="J1822" i="2"/>
  <c r="J1820" i="2"/>
  <c r="J1818" i="2"/>
  <c r="J1816" i="2"/>
  <c r="J1814" i="2"/>
  <c r="J1812" i="2"/>
  <c r="J1810" i="2"/>
  <c r="J1808" i="2"/>
  <c r="J1806" i="2"/>
  <c r="J1804" i="2"/>
  <c r="J1802" i="2"/>
  <c r="J1800" i="2"/>
  <c r="J1798" i="2"/>
  <c r="J1796" i="2"/>
  <c r="J1794" i="2"/>
  <c r="J1792" i="2"/>
  <c r="J1790" i="2"/>
  <c r="J1788" i="2"/>
  <c r="J1786" i="2"/>
  <c r="J1784" i="2"/>
  <c r="J1782" i="2"/>
  <c r="J1780" i="2"/>
  <c r="J1778" i="2"/>
  <c r="J1776" i="2"/>
  <c r="J1774" i="2"/>
  <c r="J1772" i="2"/>
  <c r="J1770" i="2"/>
  <c r="J1768" i="2"/>
  <c r="J1766" i="2"/>
  <c r="J1764" i="2"/>
  <c r="J1762" i="2"/>
  <c r="J1760" i="2"/>
  <c r="J1758" i="2"/>
  <c r="J1756" i="2"/>
  <c r="J1754" i="2"/>
  <c r="J1752" i="2"/>
  <c r="J1750" i="2"/>
  <c r="J1748" i="2"/>
  <c r="J1746" i="2"/>
  <c r="J1744" i="2"/>
  <c r="J1742" i="2"/>
  <c r="J1740" i="2"/>
  <c r="J1738" i="2"/>
  <c r="J1736" i="2"/>
  <c r="J1734" i="2"/>
  <c r="J1732" i="2"/>
  <c r="J1730" i="2"/>
  <c r="J1728" i="2"/>
  <c r="J1726" i="2"/>
  <c r="J1724" i="2"/>
  <c r="J1722" i="2"/>
  <c r="J1720" i="2"/>
  <c r="J1718" i="2"/>
  <c r="J1716" i="2"/>
  <c r="J1714" i="2"/>
  <c r="J1712" i="2"/>
  <c r="J1710" i="2"/>
  <c r="J1708" i="2"/>
  <c r="J1706" i="2"/>
  <c r="J1704" i="2"/>
  <c r="J1702" i="2"/>
  <c r="J1700" i="2"/>
  <c r="J1698" i="2"/>
  <c r="J1696" i="2"/>
  <c r="J1694" i="2"/>
  <c r="J1692" i="2"/>
  <c r="J1690" i="2"/>
  <c r="J1688" i="2"/>
  <c r="J1686" i="2"/>
  <c r="J1684" i="2"/>
  <c r="J1682" i="2"/>
  <c r="J1680" i="2"/>
  <c r="J1678" i="2"/>
  <c r="J1676" i="2"/>
  <c r="J1674" i="2"/>
  <c r="J1672" i="2"/>
  <c r="J1670" i="2"/>
  <c r="J1668" i="2"/>
  <c r="J1666" i="2"/>
  <c r="J1664" i="2"/>
  <c r="J1662" i="2"/>
  <c r="J1660" i="2"/>
  <c r="J1658" i="2"/>
  <c r="J1656" i="2"/>
  <c r="J1654" i="2"/>
  <c r="J1652" i="2"/>
  <c r="J1650" i="2"/>
  <c r="J1648" i="2"/>
  <c r="J1646" i="2"/>
  <c r="J1644" i="2"/>
  <c r="J1642" i="2"/>
  <c r="J1640" i="2"/>
  <c r="J1638" i="2"/>
  <c r="J1636" i="2"/>
  <c r="J1634" i="2"/>
  <c r="J1632" i="2"/>
  <c r="J1630" i="2"/>
  <c r="J1628" i="2"/>
  <c r="J1626" i="2"/>
  <c r="J1624" i="2"/>
  <c r="J1622" i="2"/>
  <c r="J1620" i="2"/>
  <c r="J1618" i="2"/>
  <c r="J1616" i="2"/>
  <c r="J1614" i="2"/>
  <c r="J1612" i="2"/>
  <c r="J1610" i="2"/>
  <c r="J1608" i="2"/>
  <c r="J1606" i="2"/>
  <c r="J1604" i="2"/>
  <c r="J1602" i="2"/>
  <c r="J1600" i="2"/>
  <c r="J1598" i="2"/>
  <c r="J1596" i="2"/>
  <c r="J1594" i="2"/>
  <c r="J1592" i="2"/>
  <c r="J1590" i="2"/>
  <c r="J1588" i="2"/>
  <c r="J1586" i="2"/>
  <c r="J1584" i="2"/>
  <c r="J1582" i="2"/>
  <c r="J1580" i="2"/>
  <c r="J1578" i="2"/>
  <c r="J1576" i="2"/>
  <c r="J1574" i="2"/>
  <c r="J1570" i="2"/>
  <c r="J1568" i="2"/>
  <c r="J1566" i="2"/>
  <c r="J1564" i="2"/>
  <c r="J2123" i="2"/>
  <c r="J2121" i="2"/>
  <c r="J2119" i="2"/>
  <c r="J2117" i="2"/>
  <c r="J2115" i="2"/>
  <c r="J2113" i="2"/>
  <c r="J2111" i="2"/>
  <c r="J2109" i="2"/>
  <c r="J2107" i="2"/>
  <c r="J2105" i="2"/>
  <c r="J2103" i="2"/>
  <c r="J2101" i="2"/>
  <c r="J2099" i="2"/>
  <c r="J2097" i="2"/>
  <c r="J2095" i="2"/>
  <c r="J2093" i="2"/>
  <c r="J2091" i="2"/>
  <c r="J2089" i="2"/>
  <c r="J2087" i="2"/>
  <c r="J2085" i="2"/>
  <c r="J2083" i="2"/>
  <c r="J2081" i="2"/>
  <c r="J2079" i="2"/>
  <c r="J2077" i="2"/>
  <c r="J2075" i="2"/>
  <c r="J2073" i="2"/>
  <c r="J2071" i="2"/>
  <c r="J2069" i="2"/>
  <c r="J2067" i="2"/>
  <c r="J2065" i="2"/>
  <c r="J2063" i="2"/>
  <c r="J2061" i="2"/>
  <c r="J2059" i="2"/>
  <c r="J2057" i="2"/>
  <c r="J2055" i="2"/>
  <c r="J2053" i="2"/>
  <c r="J2051" i="2"/>
  <c r="J2049" i="2"/>
  <c r="J2047" i="2"/>
  <c r="J2045" i="2"/>
  <c r="J2043" i="2"/>
  <c r="J2041" i="2"/>
  <c r="J2039" i="2"/>
  <c r="J2037" i="2"/>
  <c r="J2035" i="2"/>
  <c r="J2033" i="2"/>
  <c r="J2031" i="2"/>
  <c r="J2029" i="2"/>
  <c r="J2027" i="2"/>
  <c r="J2025" i="2"/>
  <c r="J2023" i="2"/>
  <c r="J2021" i="2"/>
  <c r="J2019" i="2"/>
  <c r="J2017" i="2"/>
  <c r="J2015" i="2"/>
  <c r="J2013" i="2"/>
  <c r="J2011" i="2"/>
  <c r="J2009" i="2"/>
  <c r="J2007" i="2"/>
  <c r="J2005" i="2"/>
  <c r="J2003" i="2"/>
  <c r="J2001" i="2"/>
  <c r="J1999" i="2"/>
  <c r="J1997" i="2"/>
  <c r="J1995" i="2"/>
  <c r="J1993" i="2"/>
  <c r="J1991" i="2"/>
  <c r="J1989" i="2"/>
  <c r="J1987" i="2"/>
  <c r="J1985" i="2"/>
  <c r="J1983" i="2"/>
  <c r="J1981" i="2"/>
  <c r="J1979" i="2"/>
  <c r="J1977" i="2"/>
  <c r="J1975" i="2"/>
  <c r="J1973" i="2"/>
  <c r="J1971" i="2"/>
  <c r="J1969" i="2"/>
  <c r="J1967" i="2"/>
  <c r="J1965" i="2"/>
  <c r="J1963" i="2"/>
  <c r="J1961" i="2"/>
  <c r="J1959" i="2"/>
  <c r="J1957" i="2"/>
  <c r="J1955" i="2"/>
  <c r="J1953" i="2"/>
  <c r="J1951" i="2"/>
  <c r="J1949" i="2"/>
  <c r="J1947" i="2"/>
  <c r="J1945" i="2"/>
  <c r="J1943" i="2"/>
  <c r="J1941" i="2"/>
  <c r="J1939" i="2"/>
  <c r="J1937" i="2"/>
  <c r="J1935" i="2"/>
  <c r="J1933" i="2"/>
  <c r="J1931" i="2"/>
  <c r="J1929" i="2"/>
  <c r="J1927" i="2"/>
  <c r="J1925" i="2"/>
  <c r="J1923" i="2"/>
  <c r="J1921" i="2"/>
  <c r="J1919" i="2"/>
  <c r="J1917" i="2"/>
  <c r="J1915" i="2"/>
  <c r="J1913" i="2"/>
  <c r="J1911" i="2"/>
  <c r="J1909" i="2"/>
  <c r="J1907" i="2"/>
  <c r="J1905" i="2"/>
  <c r="J1903" i="2"/>
  <c r="J1901" i="2"/>
  <c r="J1899" i="2"/>
  <c r="J1897" i="2"/>
  <c r="J1895" i="2"/>
  <c r="J1893" i="2"/>
  <c r="J1891" i="2"/>
  <c r="J1889" i="2"/>
  <c r="J1887" i="2"/>
  <c r="J1885" i="2"/>
  <c r="J1883" i="2"/>
  <c r="J1881" i="2"/>
  <c r="J1879" i="2"/>
  <c r="J1877" i="2"/>
  <c r="J1875" i="2"/>
  <c r="J1873" i="2"/>
  <c r="J1871" i="2"/>
  <c r="J1869" i="2"/>
  <c r="J1867" i="2"/>
  <c r="J1865" i="2"/>
  <c r="J1863" i="2"/>
  <c r="J1861" i="2"/>
  <c r="J1859" i="2"/>
  <c r="J1857" i="2"/>
  <c r="J1855" i="2"/>
  <c r="J1853" i="2"/>
  <c r="J1851" i="2"/>
  <c r="J1849" i="2"/>
  <c r="J1847" i="2"/>
  <c r="J1845" i="2"/>
  <c r="J1843" i="2"/>
  <c r="J1841" i="2"/>
  <c r="J1839" i="2"/>
  <c r="J1837" i="2"/>
  <c r="J1835" i="2"/>
  <c r="J1833" i="2"/>
  <c r="J1831" i="2"/>
  <c r="J1829" i="2"/>
  <c r="J1827" i="2"/>
  <c r="J1825" i="2"/>
  <c r="J1823" i="2"/>
  <c r="J1821" i="2"/>
  <c r="J1819" i="2"/>
  <c r="J1817" i="2"/>
  <c r="J1815" i="2"/>
  <c r="J1813" i="2"/>
  <c r="J1811" i="2"/>
  <c r="J1809" i="2"/>
  <c r="J1807" i="2"/>
  <c r="J1805" i="2"/>
  <c r="J1803" i="2"/>
  <c r="J1801" i="2"/>
  <c r="J1799" i="2"/>
  <c r="J1797" i="2"/>
  <c r="J1795" i="2"/>
  <c r="J1793" i="2"/>
  <c r="J1791" i="2"/>
  <c r="J1789" i="2"/>
  <c r="J1787" i="2"/>
  <c r="J1785" i="2"/>
  <c r="J1783" i="2"/>
  <c r="J1781" i="2"/>
  <c r="J1779" i="2"/>
  <c r="J1777" i="2"/>
  <c r="J1775" i="2"/>
  <c r="J1773" i="2"/>
  <c r="J1771" i="2"/>
  <c r="J1769" i="2"/>
  <c r="J1767" i="2"/>
  <c r="J1765" i="2"/>
  <c r="J1761" i="2"/>
  <c r="J1759" i="2"/>
  <c r="J1757" i="2"/>
  <c r="J1755" i="2"/>
  <c r="J1753" i="2"/>
  <c r="J1751" i="2"/>
  <c r="J1749" i="2"/>
  <c r="J1747" i="2"/>
  <c r="J1745" i="2"/>
  <c r="J1743" i="2"/>
  <c r="J1741" i="2"/>
  <c r="J1739" i="2"/>
  <c r="J1737" i="2"/>
  <c r="J1735" i="2"/>
  <c r="J1733" i="2"/>
  <c r="J1731" i="2"/>
  <c r="J1729" i="2"/>
  <c r="J1727" i="2"/>
  <c r="J1725" i="2"/>
  <c r="J1723" i="2"/>
  <c r="J1721" i="2"/>
  <c r="J1719" i="2"/>
  <c r="J1717" i="2"/>
  <c r="J1715" i="2"/>
  <c r="J1713" i="2"/>
  <c r="J1711" i="2"/>
  <c r="J1709" i="2"/>
  <c r="J1707" i="2"/>
  <c r="J1705" i="2"/>
  <c r="J1703" i="2"/>
  <c r="J1701" i="2"/>
  <c r="J1699" i="2"/>
  <c r="J1697" i="2"/>
  <c r="J1695" i="2"/>
  <c r="J1693" i="2"/>
  <c r="J1691" i="2"/>
  <c r="J1689" i="2"/>
  <c r="J1687" i="2"/>
  <c r="J1685" i="2"/>
  <c r="J1683" i="2"/>
  <c r="J1681" i="2"/>
  <c r="J1679" i="2"/>
  <c r="J1677" i="2"/>
  <c r="J1675" i="2"/>
  <c r="J1673" i="2"/>
  <c r="J1671" i="2"/>
  <c r="J1669" i="2"/>
  <c r="J1667" i="2"/>
  <c r="J1665" i="2"/>
  <c r="J1663" i="2"/>
  <c r="J1661" i="2"/>
  <c r="J1659" i="2"/>
  <c r="J1657" i="2"/>
  <c r="J1655" i="2"/>
  <c r="J1653" i="2"/>
  <c r="J1651" i="2"/>
  <c r="J1649" i="2"/>
  <c r="J1647" i="2"/>
  <c r="J1645" i="2"/>
  <c r="J1643" i="2"/>
  <c r="J1641" i="2"/>
  <c r="J1639" i="2"/>
  <c r="J1637" i="2"/>
  <c r="J1635" i="2"/>
  <c r="J1633" i="2"/>
  <c r="J1631" i="2"/>
  <c r="J1629" i="2"/>
  <c r="J1627" i="2"/>
  <c r="J1625" i="2"/>
  <c r="J1623" i="2"/>
  <c r="J1621" i="2"/>
  <c r="J1619" i="2"/>
  <c r="J1617" i="2"/>
  <c r="J1615" i="2"/>
  <c r="J1613" i="2"/>
  <c r="J1611" i="2"/>
  <c r="J1609" i="2"/>
  <c r="J1607" i="2"/>
  <c r="J1605" i="2"/>
  <c r="J1603" i="2"/>
  <c r="J1601" i="2"/>
  <c r="J1599" i="2"/>
  <c r="J1597" i="2"/>
  <c r="J1595" i="2"/>
  <c r="J1593" i="2"/>
  <c r="J1591" i="2"/>
  <c r="J1589" i="2"/>
  <c r="J1587" i="2"/>
  <c r="J1585" i="2"/>
  <c r="J1583" i="2"/>
  <c r="J1581" i="2"/>
  <c r="J1579" i="2"/>
  <c r="J1577" i="2"/>
  <c r="J1575" i="2"/>
  <c r="J1573" i="2"/>
  <c r="J1562" i="2"/>
  <c r="J1560" i="2"/>
  <c r="J1558" i="2"/>
  <c r="J1556" i="2"/>
  <c r="J1554" i="2"/>
  <c r="J1552" i="2"/>
  <c r="J1550" i="2"/>
  <c r="J1548" i="2"/>
  <c r="J1546" i="2"/>
  <c r="J1544" i="2"/>
  <c r="J1542" i="2"/>
  <c r="J1540" i="2"/>
  <c r="J1538" i="2"/>
  <c r="J1536" i="2"/>
  <c r="J1534" i="2"/>
  <c r="J1532" i="2"/>
  <c r="J1530" i="2"/>
  <c r="J1528" i="2"/>
  <c r="J1526" i="2"/>
  <c r="J1524" i="2"/>
  <c r="J1522" i="2"/>
  <c r="J1520" i="2"/>
  <c r="J1518" i="2"/>
  <c r="J1516" i="2"/>
  <c r="J1514" i="2"/>
  <c r="J1512" i="2"/>
  <c r="J1510" i="2"/>
  <c r="J1508" i="2"/>
  <c r="J1506" i="2"/>
  <c r="J1504" i="2"/>
  <c r="J1502" i="2"/>
  <c r="J1500" i="2"/>
  <c r="J1498" i="2"/>
  <c r="J1496" i="2"/>
  <c r="J1494" i="2"/>
  <c r="J1492" i="2"/>
  <c r="J1490" i="2"/>
  <c r="J1488" i="2"/>
  <c r="J1486" i="2"/>
  <c r="J1484" i="2"/>
  <c r="J1482" i="2"/>
  <c r="J1480" i="2"/>
  <c r="J1478" i="2"/>
  <c r="J1476" i="2"/>
  <c r="J1474" i="2"/>
  <c r="J1472" i="2"/>
  <c r="J1470" i="2"/>
  <c r="J1468" i="2"/>
  <c r="J1466" i="2"/>
  <c r="J1464" i="2"/>
  <c r="J1462" i="2"/>
  <c r="J1460" i="2"/>
  <c r="J1458" i="2"/>
  <c r="J1456" i="2"/>
  <c r="J1454" i="2"/>
  <c r="J1452" i="2"/>
  <c r="J1450" i="2"/>
  <c r="J1448" i="2"/>
  <c r="J1446" i="2"/>
  <c r="J1444" i="2"/>
  <c r="J1442" i="2"/>
  <c r="J1440" i="2"/>
  <c r="J1438" i="2"/>
  <c r="J1436" i="2"/>
  <c r="J1434" i="2"/>
  <c r="J1432" i="2"/>
  <c r="J1430" i="2"/>
  <c r="J1428" i="2"/>
  <c r="J1426" i="2"/>
  <c r="J1424" i="2"/>
  <c r="J1422" i="2"/>
  <c r="J1420" i="2"/>
  <c r="J1418" i="2"/>
  <c r="J1416" i="2"/>
  <c r="J1414" i="2"/>
  <c r="J1412" i="2"/>
  <c r="J1410" i="2"/>
  <c r="J1408" i="2"/>
  <c r="J1406" i="2"/>
  <c r="J1404" i="2"/>
  <c r="J1402" i="2"/>
  <c r="J1400" i="2"/>
  <c r="J1398" i="2"/>
  <c r="J1396" i="2"/>
  <c r="J1394" i="2"/>
  <c r="J1392" i="2"/>
  <c r="J1390" i="2"/>
  <c r="J1388" i="2"/>
  <c r="J1386" i="2"/>
  <c r="J1384" i="2"/>
  <c r="J1382" i="2"/>
  <c r="J1380" i="2"/>
  <c r="J1378" i="2"/>
  <c r="J1376" i="2"/>
  <c r="J1374" i="2"/>
  <c r="J1372" i="2"/>
  <c r="J1370" i="2"/>
  <c r="J1368" i="2"/>
  <c r="J1366" i="2"/>
  <c r="J1364" i="2"/>
  <c r="J1362" i="2"/>
  <c r="J1360" i="2"/>
  <c r="J1358" i="2"/>
  <c r="J1356" i="2"/>
  <c r="J1354" i="2"/>
  <c r="J1352" i="2"/>
  <c r="J1350" i="2"/>
  <c r="J1348" i="2"/>
  <c r="J1346" i="2"/>
  <c r="J1344" i="2"/>
  <c r="J1342" i="2"/>
  <c r="J1340" i="2"/>
  <c r="J1338" i="2"/>
  <c r="J1336" i="2"/>
  <c r="J1334" i="2"/>
  <c r="J1332" i="2"/>
  <c r="J1330" i="2"/>
  <c r="J1328" i="2"/>
  <c r="J1326" i="2"/>
  <c r="J1324" i="2"/>
  <c r="J1322" i="2"/>
  <c r="J1320" i="2"/>
  <c r="J1318" i="2"/>
  <c r="J1316" i="2"/>
  <c r="J1314" i="2"/>
  <c r="J1312" i="2"/>
  <c r="J1310" i="2"/>
  <c r="J1308" i="2"/>
  <c r="J1306" i="2"/>
  <c r="J1304" i="2"/>
  <c r="J1302" i="2"/>
  <c r="J1300" i="2"/>
  <c r="J1298" i="2"/>
  <c r="J1296" i="2"/>
  <c r="J1294" i="2"/>
  <c r="J1292" i="2"/>
  <c r="J1290" i="2"/>
  <c r="J1288" i="2"/>
  <c r="J1286" i="2"/>
  <c r="J1284" i="2"/>
  <c r="J1282" i="2"/>
  <c r="J1280" i="2"/>
  <c r="J1278" i="2"/>
  <c r="J1276" i="2"/>
  <c r="J1274" i="2"/>
  <c r="J1272" i="2"/>
  <c r="J1270" i="2"/>
  <c r="J1268" i="2"/>
  <c r="J1266" i="2"/>
  <c r="J1264" i="2"/>
  <c r="J1262" i="2"/>
  <c r="J1260" i="2"/>
  <c r="J1258" i="2"/>
  <c r="J1256" i="2"/>
  <c r="J1254" i="2"/>
  <c r="J1252" i="2"/>
  <c r="J1250" i="2"/>
  <c r="J1248" i="2"/>
  <c r="J1246" i="2"/>
  <c r="J1244" i="2"/>
  <c r="J1242" i="2"/>
  <c r="J1240" i="2"/>
  <c r="J1238" i="2"/>
  <c r="J1236" i="2"/>
  <c r="J1234" i="2"/>
  <c r="J1232" i="2"/>
  <c r="J1230" i="2"/>
  <c r="J1228" i="2"/>
  <c r="J1226" i="2"/>
  <c r="J1224" i="2"/>
  <c r="J1222" i="2"/>
  <c r="J1220" i="2"/>
  <c r="J1218" i="2"/>
  <c r="J1216" i="2"/>
  <c r="J1214" i="2"/>
  <c r="J1212" i="2"/>
  <c r="J1210" i="2"/>
  <c r="J1208" i="2"/>
  <c r="J1206" i="2"/>
  <c r="J1204" i="2"/>
  <c r="J1202" i="2"/>
  <c r="J1200" i="2"/>
  <c r="J1198" i="2"/>
  <c r="J1196" i="2"/>
  <c r="J1194" i="2"/>
  <c r="J1192" i="2"/>
  <c r="J1190" i="2"/>
  <c r="J1188" i="2"/>
  <c r="J1186" i="2"/>
  <c r="J1184" i="2"/>
  <c r="J1182" i="2"/>
  <c r="J1180" i="2"/>
  <c r="J1178" i="2"/>
  <c r="J1176" i="2"/>
  <c r="J1174" i="2"/>
  <c r="J1172" i="2"/>
  <c r="J1170" i="2"/>
  <c r="J1168" i="2"/>
  <c r="J1166" i="2"/>
  <c r="J1164" i="2"/>
  <c r="J1162" i="2"/>
  <c r="J1160" i="2"/>
  <c r="J1158" i="2"/>
  <c r="J1156" i="2"/>
  <c r="J1154" i="2"/>
  <c r="J1152" i="2"/>
  <c r="J1150" i="2"/>
  <c r="J1148" i="2"/>
  <c r="J1146" i="2"/>
  <c r="J1144" i="2"/>
  <c r="J1142" i="2"/>
  <c r="J1140" i="2"/>
  <c r="J1138" i="2"/>
  <c r="J1136" i="2"/>
  <c r="J1134" i="2"/>
  <c r="J1132" i="2"/>
  <c r="J1130" i="2"/>
  <c r="J1128" i="2"/>
  <c r="J1126" i="2"/>
  <c r="J1124" i="2"/>
  <c r="J1122" i="2"/>
  <c r="J1120" i="2"/>
  <c r="J1118" i="2"/>
  <c r="J1116" i="2"/>
  <c r="J1114" i="2"/>
  <c r="J1112" i="2"/>
  <c r="J1110" i="2"/>
  <c r="J1108" i="2"/>
  <c r="J1106" i="2"/>
  <c r="J1104" i="2"/>
  <c r="J1102" i="2"/>
  <c r="J1100" i="2"/>
  <c r="J1098" i="2"/>
  <c r="J1096" i="2"/>
  <c r="J1094" i="2"/>
  <c r="J1092" i="2"/>
  <c r="J1090" i="2"/>
  <c r="J1088" i="2"/>
  <c r="J1086" i="2"/>
  <c r="J1084" i="2"/>
  <c r="J1082" i="2"/>
  <c r="J1080" i="2"/>
  <c r="J1078" i="2"/>
  <c r="J1076" i="2"/>
  <c r="J1074" i="2"/>
  <c r="J1072" i="2"/>
  <c r="J1070" i="2"/>
  <c r="J1068" i="2"/>
  <c r="J1066" i="2"/>
  <c r="J1064" i="2"/>
  <c r="J1062" i="2"/>
  <c r="J1060" i="2"/>
  <c r="J1058" i="2"/>
  <c r="J1056" i="2"/>
  <c r="J1054" i="2"/>
  <c r="J1052" i="2"/>
  <c r="J1050" i="2"/>
  <c r="J1048" i="2"/>
  <c r="J1046" i="2"/>
  <c r="J1044" i="2"/>
  <c r="J1042" i="2"/>
  <c r="J1040" i="2"/>
  <c r="J1038" i="2"/>
  <c r="J1036" i="2"/>
  <c r="J1034" i="2"/>
  <c r="J1032" i="2"/>
  <c r="J1030" i="2"/>
  <c r="J1028" i="2"/>
  <c r="J1026" i="2"/>
  <c r="J1024" i="2"/>
  <c r="J1022" i="2"/>
  <c r="J1020" i="2"/>
  <c r="J1018" i="2"/>
  <c r="J1016" i="2"/>
  <c r="J1014" i="2"/>
  <c r="J1012" i="2"/>
  <c r="J1010" i="2"/>
  <c r="J1008" i="2"/>
  <c r="J1006" i="2"/>
  <c r="J1004" i="2"/>
  <c r="J1002" i="2"/>
  <c r="J1000" i="2"/>
  <c r="J998" i="2"/>
  <c r="J996" i="2"/>
  <c r="J994" i="2"/>
  <c r="J992" i="2"/>
  <c r="J990" i="2"/>
  <c r="J988" i="2"/>
  <c r="J986" i="2"/>
  <c r="J984" i="2"/>
  <c r="J982" i="2"/>
  <c r="J980" i="2"/>
  <c r="J976" i="2"/>
  <c r="J974" i="2"/>
  <c r="J972" i="2"/>
  <c r="J970" i="2"/>
  <c r="J968" i="2"/>
  <c r="J966" i="2"/>
  <c r="J964" i="2"/>
  <c r="J962" i="2"/>
  <c r="J960" i="2"/>
  <c r="J958" i="2"/>
  <c r="J956" i="2"/>
  <c r="J954" i="2"/>
  <c r="J952" i="2"/>
  <c r="J950" i="2"/>
  <c r="J948" i="2"/>
  <c r="J946" i="2"/>
  <c r="J944" i="2"/>
  <c r="J942" i="2"/>
  <c r="J940" i="2"/>
  <c r="J938" i="2"/>
  <c r="J936" i="2"/>
  <c r="J934" i="2"/>
  <c r="J932" i="2"/>
  <c r="J930" i="2"/>
  <c r="J928" i="2"/>
  <c r="J926" i="2"/>
  <c r="J924" i="2"/>
  <c r="J922" i="2"/>
  <c r="J920" i="2"/>
  <c r="J918" i="2"/>
  <c r="J916" i="2"/>
  <c r="J914" i="2"/>
  <c r="J912" i="2"/>
  <c r="J910" i="2"/>
  <c r="J908" i="2"/>
  <c r="J906" i="2"/>
  <c r="J904" i="2"/>
  <c r="J902" i="2"/>
  <c r="J900" i="2"/>
  <c r="J898" i="2"/>
  <c r="J896" i="2"/>
  <c r="J894" i="2"/>
  <c r="J892" i="2"/>
  <c r="J890" i="2"/>
  <c r="J888" i="2"/>
  <c r="J886" i="2"/>
  <c r="J884" i="2"/>
  <c r="J882" i="2"/>
  <c r="J880" i="2"/>
  <c r="J878" i="2"/>
  <c r="J876" i="2"/>
  <c r="J874" i="2"/>
  <c r="J872" i="2"/>
  <c r="J870" i="2"/>
  <c r="J868" i="2"/>
  <c r="J866" i="2"/>
  <c r="J864" i="2"/>
  <c r="J862" i="2"/>
  <c r="J860" i="2"/>
  <c r="J858" i="2"/>
  <c r="J856" i="2"/>
  <c r="J854" i="2"/>
  <c r="J852" i="2"/>
  <c r="J850" i="2"/>
  <c r="J848" i="2"/>
  <c r="J846" i="2"/>
  <c r="J844" i="2"/>
  <c r="J842" i="2"/>
  <c r="J840" i="2"/>
  <c r="J838" i="2"/>
  <c r="J836" i="2"/>
  <c r="J834" i="2"/>
  <c r="J832" i="2"/>
  <c r="J830" i="2"/>
  <c r="J828" i="2"/>
  <c r="J826" i="2"/>
  <c r="J824" i="2"/>
  <c r="J822" i="2"/>
  <c r="J820" i="2"/>
  <c r="J818" i="2"/>
  <c r="J816" i="2"/>
  <c r="J814" i="2"/>
  <c r="J812" i="2"/>
  <c r="J810" i="2"/>
  <c r="J808" i="2"/>
  <c r="J806" i="2"/>
  <c r="J804" i="2"/>
  <c r="J802" i="2"/>
  <c r="J800" i="2"/>
  <c r="J798" i="2"/>
  <c r="J796" i="2"/>
  <c r="J794" i="2"/>
  <c r="J792" i="2"/>
  <c r="J790" i="2"/>
  <c r="J788" i="2"/>
  <c r="J786" i="2"/>
  <c r="J784" i="2"/>
  <c r="J782" i="2"/>
  <c r="J780" i="2"/>
  <c r="J778" i="2"/>
  <c r="J776" i="2"/>
  <c r="J774" i="2"/>
  <c r="J772" i="2"/>
  <c r="J770" i="2"/>
  <c r="J768" i="2"/>
  <c r="J766" i="2"/>
  <c r="J764" i="2"/>
  <c r="J762" i="2"/>
  <c r="J760" i="2"/>
  <c r="J758" i="2"/>
  <c r="J756" i="2"/>
  <c r="J754" i="2"/>
  <c r="J752" i="2"/>
  <c r="J750" i="2"/>
  <c r="J748" i="2"/>
  <c r="J746" i="2"/>
  <c r="J744" i="2"/>
  <c r="J742" i="2"/>
  <c r="J740" i="2"/>
  <c r="J738" i="2"/>
  <c r="J736" i="2"/>
  <c r="J734" i="2"/>
  <c r="J732" i="2"/>
  <c r="J730" i="2"/>
  <c r="J728" i="2"/>
  <c r="J726" i="2"/>
  <c r="J724" i="2"/>
  <c r="J722" i="2"/>
  <c r="J720" i="2"/>
  <c r="J718" i="2"/>
  <c r="J716" i="2"/>
  <c r="J714" i="2"/>
  <c r="J712" i="2"/>
  <c r="J710" i="2"/>
  <c r="J708" i="2"/>
  <c r="J706" i="2"/>
  <c r="J704" i="2"/>
  <c r="J702" i="2"/>
  <c r="J700" i="2"/>
  <c r="J698" i="2"/>
  <c r="J696" i="2"/>
  <c r="J694" i="2"/>
  <c r="J692" i="2"/>
  <c r="J690" i="2"/>
  <c r="J688" i="2"/>
  <c r="J686" i="2"/>
  <c r="J684" i="2"/>
  <c r="J682" i="2"/>
  <c r="J680" i="2"/>
  <c r="J678" i="2"/>
  <c r="J676" i="2"/>
  <c r="J674" i="2"/>
  <c r="J672" i="2"/>
  <c r="J670" i="2"/>
  <c r="J668" i="2"/>
  <c r="J666" i="2"/>
  <c r="J664" i="2"/>
  <c r="J662" i="2"/>
  <c r="J660" i="2"/>
  <c r="J658" i="2"/>
  <c r="J656" i="2"/>
  <c r="J654" i="2"/>
  <c r="J652" i="2"/>
  <c r="J650" i="2"/>
  <c r="J648" i="2"/>
  <c r="J646" i="2"/>
  <c r="J644" i="2"/>
  <c r="J642" i="2"/>
  <c r="J640" i="2"/>
  <c r="J638" i="2"/>
  <c r="J636" i="2"/>
  <c r="J634" i="2"/>
  <c r="J632" i="2"/>
  <c r="J630" i="2"/>
  <c r="J628" i="2"/>
  <c r="J626" i="2"/>
  <c r="J624" i="2"/>
  <c r="J622" i="2"/>
  <c r="J620" i="2"/>
  <c r="J618" i="2"/>
  <c r="J616" i="2"/>
  <c r="J614" i="2"/>
  <c r="J612" i="2"/>
  <c r="J610" i="2"/>
  <c r="J608" i="2"/>
  <c r="J606" i="2"/>
  <c r="J604" i="2"/>
  <c r="J602" i="2"/>
  <c r="J600" i="2"/>
  <c r="J598" i="2"/>
  <c r="J596" i="2"/>
  <c r="J594" i="2"/>
  <c r="J592" i="2"/>
  <c r="J590" i="2"/>
  <c r="J588" i="2"/>
  <c r="J586" i="2"/>
  <c r="J584" i="2"/>
  <c r="J582" i="2"/>
  <c r="J580" i="2"/>
  <c r="J578" i="2"/>
  <c r="J576" i="2"/>
  <c r="J574" i="2"/>
  <c r="J572" i="2"/>
  <c r="J570" i="2"/>
  <c r="J568" i="2"/>
  <c r="J566" i="2"/>
  <c r="J564" i="2"/>
  <c r="J562" i="2"/>
  <c r="J560" i="2"/>
  <c r="J558" i="2"/>
  <c r="J556" i="2"/>
  <c r="J554" i="2"/>
  <c r="J552" i="2"/>
  <c r="J550" i="2"/>
  <c r="J548" i="2"/>
  <c r="J546" i="2"/>
  <c r="J544" i="2"/>
  <c r="J542" i="2"/>
  <c r="J540" i="2"/>
  <c r="J538" i="2"/>
  <c r="J536" i="2"/>
  <c r="J534" i="2"/>
  <c r="J532" i="2"/>
  <c r="J530" i="2"/>
  <c r="J528" i="2"/>
  <c r="J526" i="2"/>
  <c r="J524" i="2"/>
  <c r="J522" i="2"/>
  <c r="J518" i="2"/>
  <c r="J516" i="2"/>
  <c r="J514" i="2"/>
  <c r="J512" i="2"/>
  <c r="J510" i="2"/>
  <c r="J508" i="2"/>
  <c r="J506" i="2"/>
  <c r="J504" i="2"/>
  <c r="J502" i="2"/>
  <c r="J500" i="2"/>
  <c r="J498" i="2"/>
  <c r="J496" i="2"/>
  <c r="J494" i="2"/>
  <c r="J492" i="2"/>
  <c r="J490" i="2"/>
  <c r="J488" i="2"/>
  <c r="J486" i="2"/>
  <c r="J484" i="2"/>
  <c r="J482" i="2"/>
  <c r="J480" i="2"/>
  <c r="J478" i="2"/>
  <c r="J476" i="2"/>
  <c r="J474" i="2"/>
  <c r="J472" i="2"/>
  <c r="J470" i="2"/>
  <c r="J468" i="2"/>
  <c r="J466" i="2"/>
  <c r="J464" i="2"/>
  <c r="J462" i="2"/>
  <c r="J460" i="2"/>
  <c r="J458" i="2"/>
  <c r="J456" i="2"/>
  <c r="J454" i="2"/>
  <c r="J452" i="2"/>
  <c r="J450" i="2"/>
  <c r="J448" i="2"/>
  <c r="J446" i="2"/>
  <c r="J444" i="2"/>
  <c r="J442" i="2"/>
  <c r="J440" i="2"/>
  <c r="J438" i="2"/>
  <c r="J436" i="2"/>
  <c r="J434" i="2"/>
  <c r="J432" i="2"/>
  <c r="J430" i="2"/>
  <c r="J428" i="2"/>
  <c r="J426" i="2"/>
  <c r="J424" i="2"/>
  <c r="J422" i="2"/>
  <c r="J420" i="2"/>
  <c r="J418" i="2"/>
  <c r="J416" i="2"/>
  <c r="J414" i="2"/>
  <c r="J412" i="2"/>
  <c r="J410" i="2"/>
  <c r="J408" i="2"/>
  <c r="J406" i="2"/>
  <c r="J404" i="2"/>
  <c r="J402" i="2"/>
  <c r="J400" i="2"/>
  <c r="J398" i="2"/>
  <c r="J396" i="2"/>
  <c r="J394" i="2"/>
  <c r="J392" i="2"/>
  <c r="J390" i="2"/>
  <c r="J388" i="2"/>
  <c r="J386" i="2"/>
  <c r="J384" i="2"/>
  <c r="J382" i="2"/>
  <c r="J380" i="2"/>
  <c r="J378" i="2"/>
  <c r="J376" i="2"/>
  <c r="J374" i="2"/>
  <c r="J372" i="2"/>
  <c r="J370" i="2"/>
  <c r="J368" i="2"/>
  <c r="J366" i="2"/>
  <c r="J364" i="2"/>
  <c r="J362" i="2"/>
  <c r="J360" i="2"/>
  <c r="J358" i="2"/>
  <c r="J356" i="2"/>
  <c r="J354" i="2"/>
  <c r="J352" i="2"/>
  <c r="J350" i="2"/>
  <c r="J348" i="2"/>
  <c r="J346" i="2"/>
  <c r="J344" i="2"/>
  <c r="J342" i="2"/>
  <c r="J340" i="2"/>
  <c r="J338" i="2"/>
  <c r="J336" i="2"/>
  <c r="J334" i="2"/>
  <c r="J332" i="2"/>
  <c r="J330" i="2"/>
  <c r="J328" i="2"/>
  <c r="J326" i="2"/>
  <c r="J324" i="2"/>
  <c r="J322" i="2"/>
  <c r="J320" i="2"/>
  <c r="J318" i="2"/>
  <c r="J316" i="2"/>
  <c r="J314" i="2"/>
  <c r="J312" i="2"/>
  <c r="J310" i="2"/>
  <c r="J308" i="2"/>
  <c r="J306" i="2"/>
  <c r="J304" i="2"/>
  <c r="J302" i="2"/>
  <c r="J300" i="2"/>
  <c r="J298" i="2"/>
  <c r="J296" i="2"/>
  <c r="J294" i="2"/>
  <c r="J292" i="2"/>
  <c r="J290" i="2"/>
  <c r="J288" i="2"/>
  <c r="J286" i="2"/>
  <c r="J284" i="2"/>
  <c r="J282" i="2"/>
  <c r="J280" i="2"/>
  <c r="J278" i="2"/>
  <c r="J276" i="2"/>
  <c r="J274" i="2"/>
  <c r="J272" i="2"/>
  <c r="J270" i="2"/>
  <c r="J268" i="2"/>
  <c r="J266" i="2"/>
  <c r="J262" i="2"/>
  <c r="J260" i="2"/>
  <c r="J258" i="2"/>
  <c r="J256" i="2"/>
  <c r="J254" i="2"/>
  <c r="J252" i="2"/>
  <c r="J250" i="2"/>
  <c r="J248" i="2"/>
  <c r="J246" i="2"/>
  <c r="J244" i="2"/>
  <c r="J242" i="2"/>
  <c r="J240" i="2"/>
  <c r="J238" i="2"/>
  <c r="J236" i="2"/>
  <c r="J234" i="2"/>
  <c r="J232" i="2"/>
  <c r="J230" i="2"/>
  <c r="J228" i="2"/>
  <c r="J226" i="2"/>
  <c r="J224" i="2"/>
  <c r="J222" i="2"/>
  <c r="J220" i="2"/>
  <c r="J218" i="2"/>
  <c r="J216" i="2"/>
  <c r="J214" i="2"/>
  <c r="J212" i="2"/>
  <c r="J210" i="2"/>
  <c r="J208" i="2"/>
  <c r="J12" i="2"/>
  <c r="J10" i="2"/>
  <c r="J8" i="2"/>
  <c r="J1571" i="2"/>
  <c r="J1569" i="2"/>
  <c r="J1567" i="2"/>
  <c r="J1565" i="2"/>
  <c r="J1563" i="2"/>
  <c r="J1561" i="2"/>
  <c r="J1559" i="2"/>
  <c r="J1557" i="2"/>
  <c r="J1555" i="2"/>
  <c r="J1553" i="2"/>
  <c r="J1551" i="2"/>
  <c r="J1549" i="2"/>
  <c r="J1547" i="2"/>
  <c r="J1545" i="2"/>
  <c r="J1543" i="2"/>
  <c r="J1541" i="2"/>
  <c r="J1539" i="2"/>
  <c r="J1537" i="2"/>
  <c r="J1535" i="2"/>
  <c r="J1533" i="2"/>
  <c r="J1531" i="2"/>
  <c r="J1529" i="2"/>
  <c r="J1527" i="2"/>
  <c r="J1525" i="2"/>
  <c r="J1523" i="2"/>
  <c r="J1521" i="2"/>
  <c r="J1519" i="2"/>
  <c r="J1517" i="2"/>
  <c r="J1515" i="2"/>
  <c r="J1513" i="2"/>
  <c r="J1511" i="2"/>
  <c r="J1509" i="2"/>
  <c r="J1507" i="2"/>
  <c r="J1505" i="2"/>
  <c r="J1503" i="2"/>
  <c r="J1501" i="2"/>
  <c r="J1499" i="2"/>
  <c r="J1497" i="2"/>
  <c r="J1495" i="2"/>
  <c r="J1493" i="2"/>
  <c r="J1491" i="2"/>
  <c r="J1489" i="2"/>
  <c r="J1487" i="2"/>
  <c r="J1485" i="2"/>
  <c r="J1483" i="2"/>
  <c r="J1481" i="2"/>
  <c r="J1479" i="2"/>
  <c r="J1477" i="2"/>
  <c r="J1475" i="2"/>
  <c r="J1473" i="2"/>
  <c r="J1471" i="2"/>
  <c r="J1469" i="2"/>
  <c r="J1467" i="2"/>
  <c r="J1465" i="2"/>
  <c r="J1463" i="2"/>
  <c r="J1461" i="2"/>
  <c r="J1459" i="2"/>
  <c r="J1457" i="2"/>
  <c r="J1455" i="2"/>
  <c r="J1453" i="2"/>
  <c r="J1451" i="2"/>
  <c r="J1449" i="2"/>
  <c r="J1447" i="2"/>
  <c r="J1445" i="2"/>
  <c r="J1443" i="2"/>
  <c r="J1441" i="2"/>
  <c r="J1439" i="2"/>
  <c r="J1437" i="2"/>
  <c r="J1435" i="2"/>
  <c r="J1433" i="2"/>
  <c r="J1431" i="2"/>
  <c r="J1429" i="2"/>
  <c r="J1427" i="2"/>
  <c r="J1425" i="2"/>
  <c r="J1423" i="2"/>
  <c r="J1421" i="2"/>
  <c r="J1419" i="2"/>
  <c r="J1417" i="2"/>
  <c r="J1415" i="2"/>
  <c r="J1413" i="2"/>
  <c r="J1411" i="2"/>
  <c r="J1409" i="2"/>
  <c r="J1407" i="2"/>
  <c r="J1405" i="2"/>
  <c r="J1403" i="2"/>
  <c r="J1401" i="2"/>
  <c r="J1399" i="2"/>
  <c r="J1397" i="2"/>
  <c r="J1395" i="2"/>
  <c r="J1393" i="2"/>
  <c r="J1391" i="2"/>
  <c r="J1389" i="2"/>
  <c r="J1387" i="2"/>
  <c r="J1385" i="2"/>
  <c r="J1383" i="2"/>
  <c r="J1381" i="2"/>
  <c r="J1379" i="2"/>
  <c r="J1377" i="2"/>
  <c r="J1375" i="2"/>
  <c r="J1373" i="2"/>
  <c r="J1371" i="2"/>
  <c r="J1369" i="2"/>
  <c r="J1367" i="2"/>
  <c r="J1365" i="2"/>
  <c r="J1363" i="2"/>
  <c r="J1361" i="2"/>
  <c r="J1359" i="2"/>
  <c r="J1355" i="2"/>
  <c r="J1353" i="2"/>
  <c r="J1351" i="2"/>
  <c r="J1349" i="2"/>
  <c r="J1347" i="2"/>
  <c r="J1345" i="2"/>
  <c r="J1343" i="2"/>
  <c r="J1341" i="2"/>
  <c r="J1339" i="2"/>
  <c r="J1337" i="2"/>
  <c r="J1335" i="2"/>
  <c r="J1333" i="2"/>
  <c r="J1331" i="2"/>
  <c r="J1329" i="2"/>
  <c r="J1327" i="2"/>
  <c r="J1325" i="2"/>
  <c r="J1323" i="2"/>
  <c r="J1321" i="2"/>
  <c r="J1319" i="2"/>
  <c r="J1317" i="2"/>
  <c r="J1315" i="2"/>
  <c r="J1313" i="2"/>
  <c r="J1311" i="2"/>
  <c r="J1309" i="2"/>
  <c r="J1307" i="2"/>
  <c r="J1305" i="2"/>
  <c r="J1303" i="2"/>
  <c r="J1301" i="2"/>
  <c r="J1299" i="2"/>
  <c r="J1297" i="2"/>
  <c r="J1295" i="2"/>
  <c r="J1293" i="2"/>
  <c r="J1291" i="2"/>
  <c r="J1289" i="2"/>
  <c r="J1287" i="2"/>
  <c r="J1285" i="2"/>
  <c r="J1283" i="2"/>
  <c r="J1281" i="2"/>
  <c r="J1279" i="2"/>
  <c r="J1277" i="2"/>
  <c r="J1275" i="2"/>
  <c r="J1273" i="2"/>
  <c r="J1271" i="2"/>
  <c r="J1269" i="2"/>
  <c r="J1267" i="2"/>
  <c r="J1265" i="2"/>
  <c r="J1263" i="2"/>
  <c r="J1261" i="2"/>
  <c r="J1259" i="2"/>
  <c r="J1257" i="2"/>
  <c r="J1255" i="2"/>
  <c r="J1253" i="2"/>
  <c r="J1251" i="2"/>
  <c r="J1249" i="2"/>
  <c r="J1247" i="2"/>
  <c r="J1245" i="2"/>
  <c r="J1243" i="2"/>
  <c r="J1241" i="2"/>
  <c r="J1239" i="2"/>
  <c r="J1237" i="2"/>
  <c r="J1235" i="2"/>
  <c r="J1233" i="2"/>
  <c r="J1231" i="2"/>
  <c r="J1229" i="2"/>
  <c r="J1227" i="2"/>
  <c r="J1225" i="2"/>
  <c r="J1223" i="2"/>
  <c r="J1221" i="2"/>
  <c r="J1219" i="2"/>
  <c r="J1217" i="2"/>
  <c r="J1215" i="2"/>
  <c r="J1213" i="2"/>
  <c r="J1211" i="2"/>
  <c r="J1209" i="2"/>
  <c r="J1207" i="2"/>
  <c r="J1205" i="2"/>
  <c r="J1203" i="2"/>
  <c r="J1201" i="2"/>
  <c r="J1199" i="2"/>
  <c r="J1197" i="2"/>
  <c r="J1195" i="2"/>
  <c r="J1193" i="2"/>
  <c r="J1191" i="2"/>
  <c r="J1189" i="2"/>
  <c r="J1187" i="2"/>
  <c r="J1185" i="2"/>
  <c r="J1183" i="2"/>
  <c r="J1181" i="2"/>
  <c r="J1179" i="2"/>
  <c r="J1177" i="2"/>
  <c r="J1175" i="2"/>
  <c r="J1173" i="2"/>
  <c r="J1171" i="2"/>
  <c r="J1169" i="2"/>
  <c r="J1167" i="2"/>
  <c r="J1165" i="2"/>
  <c r="J1161" i="2"/>
  <c r="J1159" i="2"/>
  <c r="J1157" i="2"/>
  <c r="J1155" i="2"/>
  <c r="J1153" i="2"/>
  <c r="J1151" i="2"/>
  <c r="J1149" i="2"/>
  <c r="J1147" i="2"/>
  <c r="J1145" i="2"/>
  <c r="J1143" i="2"/>
  <c r="J1141" i="2"/>
  <c r="J1139" i="2"/>
  <c r="J1137" i="2"/>
  <c r="J1135" i="2"/>
  <c r="J1133" i="2"/>
  <c r="J1131" i="2"/>
  <c r="J1129" i="2"/>
  <c r="J1127" i="2"/>
  <c r="J1125" i="2"/>
  <c r="J1123" i="2"/>
  <c r="J1121" i="2"/>
  <c r="J1119" i="2"/>
  <c r="J1117" i="2"/>
  <c r="J1115" i="2"/>
  <c r="J1113" i="2"/>
  <c r="J1111" i="2"/>
  <c r="J1109" i="2"/>
  <c r="J1107" i="2"/>
  <c r="J1105" i="2"/>
  <c r="J1103" i="2"/>
  <c r="J1101" i="2"/>
  <c r="J1099" i="2"/>
  <c r="J1097" i="2"/>
  <c r="J1095" i="2"/>
  <c r="J1093" i="2"/>
  <c r="J1091" i="2"/>
  <c r="J1089" i="2"/>
  <c r="J1087" i="2"/>
  <c r="J1085" i="2"/>
  <c r="J1083" i="2"/>
  <c r="J1081" i="2"/>
  <c r="J1079" i="2"/>
  <c r="J1077" i="2"/>
  <c r="J1075" i="2"/>
  <c r="J1073" i="2"/>
  <c r="J1071" i="2"/>
  <c r="J1069" i="2"/>
  <c r="J1067" i="2"/>
  <c r="J1065" i="2"/>
  <c r="J1063" i="2"/>
  <c r="J1061" i="2"/>
  <c r="J1059" i="2"/>
  <c r="J1057" i="2"/>
  <c r="J1055" i="2"/>
  <c r="J1053" i="2"/>
  <c r="J1051" i="2"/>
  <c r="J1049" i="2"/>
  <c r="J1047" i="2"/>
  <c r="J1045" i="2"/>
  <c r="J1043" i="2"/>
  <c r="J1041" i="2"/>
  <c r="J1039" i="2"/>
  <c r="J1037" i="2"/>
  <c r="J1035" i="2"/>
  <c r="J1033" i="2"/>
  <c r="J1031" i="2"/>
  <c r="J1029" i="2"/>
  <c r="J1027" i="2"/>
  <c r="J1025" i="2"/>
  <c r="J1023" i="2"/>
  <c r="J1021" i="2"/>
  <c r="J1019" i="2"/>
  <c r="J1017" i="2"/>
  <c r="J1015" i="2"/>
  <c r="J1013" i="2"/>
  <c r="J1011" i="2"/>
  <c r="J1009" i="2"/>
  <c r="J1007" i="2"/>
  <c r="J1005" i="2"/>
  <c r="J1003" i="2"/>
  <c r="J1001" i="2"/>
  <c r="J999" i="2"/>
  <c r="J997" i="2"/>
  <c r="J995" i="2"/>
  <c r="J993" i="2"/>
  <c r="J991" i="2"/>
  <c r="J989" i="2"/>
  <c r="J987" i="2"/>
  <c r="J985" i="2"/>
  <c r="J983" i="2"/>
  <c r="J981" i="2"/>
  <c r="J979" i="2"/>
  <c r="J977" i="2"/>
  <c r="J975" i="2"/>
  <c r="J973" i="2"/>
  <c r="J971" i="2"/>
  <c r="J969" i="2"/>
  <c r="J967" i="2"/>
  <c r="J965" i="2"/>
  <c r="J963" i="2"/>
  <c r="J961" i="2"/>
  <c r="J959" i="2"/>
  <c r="J957" i="2"/>
  <c r="J955" i="2"/>
  <c r="J953" i="2"/>
  <c r="J951" i="2"/>
  <c r="J949" i="2"/>
  <c r="J947" i="2"/>
  <c r="J945" i="2"/>
  <c r="J943" i="2"/>
  <c r="J941" i="2"/>
  <c r="J939" i="2"/>
  <c r="J937" i="2"/>
  <c r="J935" i="2"/>
  <c r="J933" i="2"/>
  <c r="J931" i="2"/>
  <c r="J929" i="2"/>
  <c r="J927" i="2"/>
  <c r="J925" i="2"/>
  <c r="J923" i="2"/>
  <c r="J921" i="2"/>
  <c r="J919" i="2"/>
  <c r="J917" i="2"/>
  <c r="J915" i="2"/>
  <c r="J913" i="2"/>
  <c r="J911" i="2"/>
  <c r="J909" i="2"/>
  <c r="J907" i="2"/>
  <c r="J905" i="2"/>
  <c r="J903" i="2"/>
  <c r="J901" i="2"/>
  <c r="J899" i="2"/>
  <c r="J897" i="2"/>
  <c r="J895" i="2"/>
  <c r="J893" i="2"/>
  <c r="J891" i="2"/>
  <c r="J889" i="2"/>
  <c r="J887" i="2"/>
  <c r="J885" i="2"/>
  <c r="J883" i="2"/>
  <c r="J881" i="2"/>
  <c r="J879" i="2"/>
  <c r="J877" i="2"/>
  <c r="J875" i="2"/>
  <c r="J873" i="2"/>
  <c r="J871" i="2"/>
  <c r="J869" i="2"/>
  <c r="J867" i="2"/>
  <c r="J865" i="2"/>
  <c r="J863" i="2"/>
  <c r="J861" i="2"/>
  <c r="J859" i="2"/>
  <c r="J857" i="2"/>
  <c r="J855" i="2"/>
  <c r="J853" i="2"/>
  <c r="J851" i="2"/>
  <c r="J849" i="2"/>
  <c r="J847" i="2"/>
  <c r="J845" i="2"/>
  <c r="J843" i="2"/>
  <c r="J841" i="2"/>
  <c r="J839" i="2"/>
  <c r="J837" i="2"/>
  <c r="J835" i="2"/>
  <c r="J833" i="2"/>
  <c r="J831" i="2"/>
  <c r="J829" i="2"/>
  <c r="J827" i="2"/>
  <c r="J825" i="2"/>
  <c r="J823" i="2"/>
  <c r="J821" i="2"/>
  <c r="J819" i="2"/>
  <c r="J817" i="2"/>
  <c r="J815" i="2"/>
  <c r="J813" i="2"/>
  <c r="J811" i="2"/>
  <c r="J809" i="2"/>
  <c r="J807" i="2"/>
  <c r="J805" i="2"/>
  <c r="J803" i="2"/>
  <c r="J801" i="2"/>
  <c r="J799" i="2"/>
  <c r="J797" i="2"/>
  <c r="J795" i="2"/>
  <c r="J793" i="2"/>
  <c r="J791" i="2"/>
  <c r="J789" i="2"/>
  <c r="J787" i="2"/>
  <c r="J785" i="2"/>
  <c r="J783" i="2"/>
  <c r="J781" i="2"/>
  <c r="J779" i="2"/>
  <c r="J777" i="2"/>
  <c r="J775" i="2"/>
  <c r="J773" i="2"/>
  <c r="J771" i="2"/>
  <c r="J769" i="2"/>
  <c r="J767" i="2"/>
  <c r="J765" i="2"/>
  <c r="J763" i="2"/>
  <c r="J761" i="2"/>
  <c r="J759" i="2"/>
  <c r="J757" i="2"/>
  <c r="J755" i="2"/>
  <c r="J753" i="2"/>
  <c r="J751" i="2"/>
  <c r="J749" i="2"/>
  <c r="J747" i="2"/>
  <c r="J745" i="2"/>
  <c r="J743" i="2"/>
  <c r="J739" i="2"/>
  <c r="J737" i="2"/>
  <c r="J735" i="2"/>
  <c r="J733" i="2"/>
  <c r="J731" i="2"/>
  <c r="J729" i="2"/>
  <c r="J727" i="2"/>
  <c r="J725" i="2"/>
  <c r="J723" i="2"/>
  <c r="J721" i="2"/>
  <c r="J719" i="2"/>
  <c r="J717" i="2"/>
  <c r="J715" i="2"/>
  <c r="J713" i="2"/>
  <c r="J711" i="2"/>
  <c r="J709" i="2"/>
  <c r="J707" i="2"/>
  <c r="J705" i="2"/>
  <c r="J703" i="2"/>
  <c r="J701" i="2"/>
  <c r="J699" i="2"/>
  <c r="J697" i="2"/>
  <c r="J695" i="2"/>
  <c r="J693" i="2"/>
  <c r="J691" i="2"/>
  <c r="J689" i="2"/>
  <c r="J687" i="2"/>
  <c r="J685" i="2"/>
  <c r="J683" i="2"/>
  <c r="J681" i="2"/>
  <c r="J679" i="2"/>
  <c r="J677" i="2"/>
  <c r="J675" i="2"/>
  <c r="J673" i="2"/>
  <c r="J671" i="2"/>
  <c r="J669" i="2"/>
  <c r="J667" i="2"/>
  <c r="J665" i="2"/>
  <c r="J663" i="2"/>
  <c r="J661" i="2"/>
  <c r="J659" i="2"/>
  <c r="J657" i="2"/>
  <c r="J655" i="2"/>
  <c r="J653" i="2"/>
  <c r="J651" i="2"/>
  <c r="J649" i="2"/>
  <c r="J647" i="2"/>
  <c r="J645" i="2"/>
  <c r="J643" i="2"/>
  <c r="J641" i="2"/>
  <c r="J639" i="2"/>
  <c r="J637" i="2"/>
  <c r="J635" i="2"/>
  <c r="J633" i="2"/>
  <c r="J631" i="2"/>
  <c r="J629" i="2"/>
  <c r="J627" i="2"/>
  <c r="J625" i="2"/>
  <c r="J623" i="2"/>
  <c r="J621" i="2"/>
  <c r="J619" i="2"/>
  <c r="J617" i="2"/>
  <c r="J615" i="2"/>
  <c r="J613" i="2"/>
  <c r="J611" i="2"/>
  <c r="J609" i="2"/>
  <c r="J607" i="2"/>
  <c r="J605" i="2"/>
  <c r="J603" i="2"/>
  <c r="J601" i="2"/>
  <c r="J599" i="2"/>
  <c r="J597" i="2"/>
  <c r="J595" i="2"/>
  <c r="J593" i="2"/>
  <c r="J591" i="2"/>
  <c r="J589" i="2"/>
  <c r="J587" i="2"/>
  <c r="J585" i="2"/>
  <c r="J583" i="2"/>
  <c r="J581" i="2"/>
  <c r="J579" i="2"/>
  <c r="J577" i="2"/>
  <c r="J575" i="2"/>
  <c r="J573" i="2"/>
  <c r="J571" i="2"/>
  <c r="J569" i="2"/>
  <c r="J567" i="2"/>
  <c r="J565" i="2"/>
  <c r="J563" i="2"/>
  <c r="J561" i="2"/>
  <c r="J559" i="2"/>
  <c r="J557" i="2"/>
  <c r="J555" i="2"/>
  <c r="J553" i="2"/>
  <c r="J551" i="2"/>
  <c r="J549" i="2"/>
  <c r="J547" i="2"/>
  <c r="J545" i="2"/>
  <c r="J543" i="2"/>
  <c r="J541" i="2"/>
  <c r="J539" i="2"/>
  <c r="J537" i="2"/>
  <c r="J535" i="2"/>
  <c r="J533" i="2"/>
  <c r="J531" i="2"/>
  <c r="J529" i="2"/>
  <c r="J527" i="2"/>
  <c r="J525" i="2"/>
  <c r="J523" i="2"/>
  <c r="J521" i="2"/>
  <c r="J519" i="2"/>
  <c r="J517" i="2"/>
  <c r="J515" i="2"/>
  <c r="J513" i="2"/>
  <c r="J511" i="2"/>
  <c r="J509" i="2"/>
  <c r="J507" i="2"/>
  <c r="J505" i="2"/>
  <c r="J503" i="2"/>
  <c r="J501" i="2"/>
  <c r="J499" i="2"/>
  <c r="J497" i="2"/>
  <c r="J495" i="2"/>
  <c r="J493" i="2"/>
  <c r="J491" i="2"/>
  <c r="J489" i="2"/>
  <c r="J487" i="2"/>
  <c r="J485" i="2"/>
  <c r="J483" i="2"/>
  <c r="J481" i="2"/>
  <c r="J479" i="2"/>
  <c r="J477" i="2"/>
  <c r="J475" i="2"/>
  <c r="J473" i="2"/>
  <c r="J471" i="2"/>
  <c r="J469" i="2"/>
  <c r="J467" i="2"/>
  <c r="J465" i="2"/>
  <c r="J463" i="2"/>
  <c r="J461" i="2"/>
  <c r="J459" i="2"/>
  <c r="J457" i="2"/>
  <c r="J455" i="2"/>
  <c r="J453" i="2"/>
  <c r="J451" i="2"/>
  <c r="J449" i="2"/>
  <c r="J447" i="2"/>
  <c r="J445" i="2"/>
  <c r="J443" i="2"/>
  <c r="J441" i="2"/>
  <c r="J439" i="2"/>
  <c r="J437" i="2"/>
  <c r="J435" i="2"/>
  <c r="J433" i="2"/>
  <c r="J431" i="2"/>
  <c r="J429" i="2"/>
  <c r="J427" i="2"/>
  <c r="J425" i="2"/>
  <c r="J423" i="2"/>
  <c r="J421" i="2"/>
  <c r="J419" i="2"/>
  <c r="J417" i="2"/>
  <c r="J415" i="2"/>
  <c r="J413" i="2"/>
  <c r="J411" i="2"/>
  <c r="J409" i="2"/>
  <c r="J407" i="2"/>
  <c r="J405" i="2"/>
  <c r="J403" i="2"/>
  <c r="J401" i="2"/>
  <c r="J399" i="2"/>
  <c r="J397" i="2"/>
  <c r="J395" i="2"/>
  <c r="J393" i="2"/>
  <c r="J391" i="2"/>
  <c r="J389" i="2"/>
  <c r="J387" i="2"/>
  <c r="J385" i="2"/>
  <c r="J383" i="2"/>
  <c r="J381" i="2"/>
  <c r="J379" i="2"/>
  <c r="J377" i="2"/>
  <c r="J375" i="2"/>
  <c r="J373" i="2"/>
  <c r="J371" i="2"/>
  <c r="J369" i="2"/>
  <c r="J367" i="2"/>
  <c r="J365" i="2"/>
  <c r="J363" i="2"/>
  <c r="J361" i="2"/>
  <c r="J359" i="2"/>
  <c r="J357" i="2"/>
  <c r="J355" i="2"/>
  <c r="J353" i="2"/>
  <c r="J351" i="2"/>
  <c r="J349" i="2"/>
  <c r="J347" i="2"/>
  <c r="J345" i="2"/>
  <c r="J343" i="2"/>
  <c r="J341" i="2"/>
  <c r="J339" i="2"/>
  <c r="J337" i="2"/>
  <c r="J335" i="2"/>
  <c r="J333" i="2"/>
  <c r="J331" i="2"/>
  <c r="J329" i="2"/>
  <c r="J327" i="2"/>
  <c r="J325" i="2"/>
  <c r="J323" i="2"/>
  <c r="J321" i="2"/>
  <c r="J319" i="2"/>
  <c r="J317" i="2"/>
  <c r="J315" i="2"/>
  <c r="J313" i="2"/>
  <c r="J311" i="2"/>
  <c r="J309" i="2"/>
  <c r="J307" i="2"/>
  <c r="J305" i="2"/>
  <c r="J303" i="2"/>
  <c r="J301" i="2"/>
  <c r="J299" i="2"/>
  <c r="J297" i="2"/>
  <c r="J295" i="2"/>
  <c r="J293" i="2"/>
  <c r="J291" i="2"/>
  <c r="J289" i="2"/>
  <c r="J287" i="2"/>
  <c r="J285" i="2"/>
  <c r="J283" i="2"/>
  <c r="J281" i="2"/>
  <c r="J279" i="2"/>
  <c r="J277" i="2"/>
  <c r="J275" i="2"/>
  <c r="J273" i="2"/>
  <c r="J271" i="2"/>
  <c r="J269" i="2"/>
  <c r="J267" i="2"/>
  <c r="J265" i="2"/>
  <c r="J263" i="2"/>
  <c r="J261" i="2"/>
  <c r="J259" i="2"/>
  <c r="J257" i="2"/>
  <c r="J255" i="2"/>
  <c r="J253" i="2"/>
  <c r="J251" i="2"/>
  <c r="J249" i="2"/>
  <c r="J247" i="2"/>
  <c r="J245" i="2"/>
  <c r="J243" i="2"/>
  <c r="J241" i="2"/>
  <c r="J239" i="2"/>
  <c r="J237" i="2"/>
  <c r="J235" i="2"/>
  <c r="J233" i="2"/>
  <c r="J231" i="2"/>
  <c r="J229" i="2"/>
  <c r="J227" i="2"/>
  <c r="J225" i="2"/>
  <c r="J223" i="2"/>
  <c r="J221" i="2"/>
  <c r="J219" i="2"/>
  <c r="J217" i="2"/>
  <c r="J215" i="2"/>
  <c r="J213" i="2"/>
  <c r="J211" i="2"/>
  <c r="J209" i="2"/>
  <c r="J11" i="2"/>
  <c r="J9" i="2"/>
  <c r="J7" i="2"/>
  <c r="J206" i="2"/>
  <c r="J204" i="2"/>
  <c r="J202" i="2"/>
  <c r="J200" i="2"/>
  <c r="J198" i="2"/>
  <c r="J196" i="2"/>
  <c r="J194" i="2"/>
  <c r="J192" i="2"/>
  <c r="J190" i="2"/>
  <c r="J188" i="2"/>
  <c r="J186" i="2"/>
  <c r="J184" i="2"/>
  <c r="J182" i="2"/>
  <c r="J180" i="2"/>
  <c r="J178" i="2"/>
  <c r="J176" i="2"/>
  <c r="J174" i="2"/>
  <c r="J172" i="2"/>
  <c r="J170" i="2"/>
  <c r="J168" i="2"/>
  <c r="J166" i="2"/>
  <c r="J164" i="2"/>
  <c r="J162" i="2"/>
  <c r="J160" i="2"/>
  <c r="J158" i="2"/>
  <c r="J156" i="2"/>
  <c r="J154" i="2"/>
  <c r="J152" i="2"/>
  <c r="J150" i="2"/>
  <c r="J148" i="2"/>
  <c r="J146" i="2"/>
  <c r="J144" i="2"/>
  <c r="J142" i="2"/>
  <c r="J140" i="2"/>
  <c r="J138" i="2"/>
  <c r="J136" i="2"/>
  <c r="J134" i="2"/>
  <c r="J132" i="2"/>
  <c r="J130" i="2"/>
  <c r="J128" i="2"/>
  <c r="J126" i="2"/>
  <c r="J124" i="2"/>
  <c r="J122" i="2"/>
  <c r="J120" i="2"/>
  <c r="J118" i="2"/>
  <c r="J116" i="2"/>
  <c r="J114" i="2"/>
  <c r="J112" i="2"/>
  <c r="J110" i="2"/>
  <c r="J108" i="2"/>
  <c r="J106" i="2"/>
  <c r="J104" i="2"/>
  <c r="J102" i="2"/>
  <c r="J100" i="2"/>
  <c r="J98" i="2"/>
  <c r="J96" i="2"/>
  <c r="J94" i="2"/>
  <c r="J92" i="2"/>
  <c r="J90" i="2"/>
  <c r="J88" i="2"/>
  <c r="J86" i="2"/>
  <c r="J84" i="2"/>
  <c r="J82" i="2"/>
  <c r="J80" i="2"/>
  <c r="J78" i="2"/>
  <c r="J76" i="2"/>
  <c r="J74" i="2"/>
  <c r="J72" i="2"/>
  <c r="J70" i="2"/>
  <c r="J68" i="2"/>
  <c r="J66" i="2"/>
  <c r="J64" i="2"/>
  <c r="J62" i="2"/>
  <c r="J60" i="2"/>
  <c r="J58" i="2"/>
  <c r="J56" i="2"/>
  <c r="J54" i="2"/>
  <c r="J52" i="2"/>
  <c r="J50" i="2"/>
  <c r="J48" i="2"/>
  <c r="J46" i="2"/>
  <c r="J44" i="2"/>
  <c r="J42" i="2"/>
  <c r="J40" i="2"/>
  <c r="J38" i="2"/>
  <c r="J36" i="2"/>
  <c r="J34" i="2"/>
  <c r="J32" i="2"/>
  <c r="J30" i="2"/>
  <c r="J28" i="2"/>
  <c r="J26" i="2"/>
  <c r="J24" i="2"/>
  <c r="J22" i="2"/>
  <c r="J20" i="2"/>
  <c r="J18" i="2"/>
  <c r="J16" i="2"/>
  <c r="J14" i="2"/>
  <c r="J207" i="2"/>
  <c r="J205" i="2"/>
  <c r="J203" i="2"/>
  <c r="J201" i="2"/>
  <c r="J199" i="2"/>
  <c r="J197" i="2"/>
  <c r="J195" i="2"/>
  <c r="J193" i="2"/>
  <c r="J191" i="2"/>
  <c r="J189" i="2"/>
  <c r="J187" i="2"/>
  <c r="J185" i="2"/>
  <c r="J183" i="2"/>
  <c r="J181" i="2"/>
  <c r="J179" i="2"/>
  <c r="J177" i="2"/>
  <c r="J175" i="2"/>
  <c r="J173" i="2"/>
  <c r="J171" i="2"/>
  <c r="J169" i="2"/>
  <c r="J167" i="2"/>
  <c r="J165" i="2"/>
  <c r="J163" i="2"/>
  <c r="J161" i="2"/>
  <c r="J159" i="2"/>
  <c r="J157" i="2"/>
  <c r="J155" i="2"/>
  <c r="J153" i="2"/>
  <c r="J151" i="2"/>
  <c r="J149" i="2"/>
  <c r="J147" i="2"/>
  <c r="J145" i="2"/>
  <c r="J143" i="2"/>
  <c r="J141" i="2"/>
  <c r="J139" i="2"/>
  <c r="J137" i="2"/>
  <c r="J135" i="2"/>
  <c r="J133" i="2"/>
  <c r="J131" i="2"/>
  <c r="J129" i="2"/>
  <c r="J127" i="2"/>
  <c r="J125" i="2"/>
  <c r="J123" i="2"/>
  <c r="J121" i="2"/>
  <c r="J119" i="2"/>
  <c r="J117" i="2"/>
  <c r="J115" i="2"/>
  <c r="J113" i="2"/>
  <c r="J111" i="2"/>
  <c r="J109" i="2"/>
  <c r="J107" i="2"/>
  <c r="J105" i="2"/>
  <c r="J103" i="2"/>
  <c r="J101" i="2"/>
  <c r="J99" i="2"/>
  <c r="J97" i="2"/>
  <c r="J95" i="2"/>
  <c r="J93" i="2"/>
  <c r="J91" i="2"/>
  <c r="J89" i="2"/>
  <c r="J87" i="2"/>
  <c r="J85" i="2"/>
  <c r="J83" i="2"/>
  <c r="J81" i="2"/>
  <c r="J79" i="2"/>
  <c r="J77" i="2"/>
  <c r="J75" i="2"/>
  <c r="J73" i="2"/>
  <c r="J71" i="2"/>
  <c r="J69" i="2"/>
  <c r="J67" i="2"/>
  <c r="J65" i="2"/>
  <c r="J63" i="2"/>
  <c r="J61" i="2"/>
  <c r="J59" i="2"/>
  <c r="J57" i="2"/>
  <c r="J55" i="2"/>
  <c r="J53" i="2"/>
  <c r="J51" i="2"/>
  <c r="J49" i="2"/>
  <c r="J47" i="2"/>
  <c r="J45" i="2"/>
  <c r="J43" i="2"/>
  <c r="J41" i="2"/>
  <c r="J39" i="2"/>
  <c r="J37" i="2"/>
  <c r="J35" i="2"/>
  <c r="J33" i="2"/>
  <c r="J31" i="2"/>
  <c r="J29" i="2"/>
  <c r="J27" i="2"/>
  <c r="J25" i="2"/>
  <c r="J23" i="2"/>
  <c r="J21" i="2"/>
  <c r="J19" i="2"/>
  <c r="J17" i="2"/>
  <c r="J15" i="2"/>
  <c r="J13" i="2"/>
  <c r="J33" i="7" l="1"/>
  <c r="E33" i="7"/>
  <c r="J28" i="7"/>
  <c r="E28" i="7"/>
  <c r="J23" i="7"/>
  <c r="E23" i="7"/>
  <c r="J18" i="7"/>
  <c r="E18" i="7"/>
  <c r="J13" i="7"/>
  <c r="E13" i="7"/>
  <c r="H209" i="4"/>
  <c r="L45" i="5" l="1"/>
  <c r="K45" i="5"/>
  <c r="J45" i="5"/>
  <c r="I45" i="5"/>
  <c r="H45" i="5"/>
  <c r="G45" i="5"/>
  <c r="F45" i="5"/>
  <c r="E45" i="5"/>
  <c r="L28" i="10" l="1"/>
  <c r="L8" i="10"/>
  <c r="L13" i="10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M14" i="5"/>
  <c r="M13" i="5"/>
  <c r="M12" i="5"/>
  <c r="M11" i="5"/>
  <c r="M10" i="5"/>
  <c r="M9" i="5"/>
  <c r="M8" i="5"/>
  <c r="O8" i="5" s="1"/>
  <c r="M58" i="5"/>
  <c r="M49" i="5"/>
  <c r="M39" i="5"/>
  <c r="M32" i="5"/>
  <c r="M27" i="5"/>
  <c r="M19" i="5"/>
  <c r="H5" i="4" l="1"/>
  <c r="M16" i="5"/>
  <c r="M52" i="5"/>
  <c r="L13" i="5"/>
  <c r="M54" i="5" l="1"/>
  <c r="H208" i="11"/>
  <c r="H207" i="11"/>
  <c r="L42" i="5" l="1"/>
  <c r="L47" i="5"/>
  <c r="L41" i="5"/>
  <c r="L44" i="5"/>
  <c r="L43" i="5"/>
  <c r="L40" i="5"/>
  <c r="L48" i="5"/>
  <c r="L46" i="5"/>
  <c r="L36" i="5"/>
  <c r="L33" i="5"/>
  <c r="L37" i="5"/>
  <c r="L35" i="5"/>
  <c r="L34" i="5"/>
  <c r="L38" i="5"/>
  <c r="L30" i="5"/>
  <c r="L29" i="5"/>
  <c r="L31" i="5"/>
  <c r="L28" i="5"/>
  <c r="L25" i="5"/>
  <c r="L24" i="5"/>
  <c r="L26" i="5"/>
  <c r="L22" i="5"/>
  <c r="L21" i="5"/>
  <c r="L20" i="5"/>
  <c r="L58" i="5"/>
  <c r="H206" i="11"/>
  <c r="H214" i="11"/>
  <c r="H213" i="11"/>
  <c r="H212" i="11"/>
  <c r="H210" i="11"/>
  <c r="H209" i="11"/>
  <c r="H205" i="11"/>
  <c r="H204" i="11"/>
  <c r="H202" i="11"/>
  <c r="H200" i="11"/>
  <c r="H199" i="11"/>
  <c r="F198" i="11"/>
  <c r="L23" i="5" s="1"/>
  <c r="H197" i="11"/>
  <c r="H195" i="11"/>
  <c r="H193" i="11"/>
  <c r="H192" i="11"/>
  <c r="H190" i="11"/>
  <c r="H188" i="11"/>
  <c r="G187" i="11"/>
  <c r="H187" i="11" s="1"/>
  <c r="H184" i="11"/>
  <c r="H181" i="11"/>
  <c r="H178" i="11"/>
  <c r="H175" i="11"/>
  <c r="H174" i="11"/>
  <c r="H172" i="11"/>
  <c r="H170" i="11"/>
  <c r="T12" i="12"/>
  <c r="T11" i="12"/>
  <c r="T10" i="12"/>
  <c r="T9" i="12"/>
  <c r="T8" i="12"/>
  <c r="T7" i="12"/>
  <c r="T6" i="12"/>
  <c r="T5" i="12"/>
  <c r="T4" i="12"/>
  <c r="S13" i="12"/>
  <c r="R13" i="12"/>
  <c r="W11" i="12"/>
  <c r="W5" i="12"/>
  <c r="W7" i="12"/>
  <c r="W8" i="12"/>
  <c r="V13" i="12"/>
  <c r="U13" i="12"/>
  <c r="W6" i="12"/>
  <c r="W12" i="12"/>
  <c r="W9" i="12"/>
  <c r="W10" i="12"/>
  <c r="W4" i="12"/>
  <c r="L50" i="5" l="1"/>
  <c r="L39" i="5"/>
  <c r="L27" i="5"/>
  <c r="L32" i="5"/>
  <c r="L19" i="5"/>
  <c r="T13" i="12"/>
  <c r="W13" i="12"/>
  <c r="K58" i="5" l="1"/>
  <c r="J58" i="5"/>
  <c r="I58" i="5"/>
  <c r="H58" i="5"/>
  <c r="I28" i="5" l="1"/>
  <c r="I46" i="5"/>
  <c r="I41" i="5"/>
  <c r="I44" i="5"/>
  <c r="I43" i="5"/>
  <c r="I40" i="5"/>
  <c r="I48" i="5"/>
  <c r="I42" i="5"/>
  <c r="K42" i="5"/>
  <c r="J42" i="5"/>
  <c r="H42" i="5"/>
  <c r="G42" i="5"/>
  <c r="F42" i="5"/>
  <c r="E42" i="5"/>
  <c r="J28" i="5" l="1"/>
  <c r="K38" i="5" l="1"/>
  <c r="E40" i="7" l="1"/>
  <c r="H1" i="11" l="1"/>
  <c r="J50" i="5" l="1"/>
  <c r="J49" i="5" s="1"/>
  <c r="J47" i="5"/>
  <c r="J41" i="5"/>
  <c r="J44" i="5"/>
  <c r="J43" i="5"/>
  <c r="J40" i="5"/>
  <c r="J48" i="5"/>
  <c r="J35" i="5"/>
  <c r="J34" i="5"/>
  <c r="J29" i="5"/>
  <c r="J25" i="5"/>
  <c r="J24" i="5"/>
  <c r="J26" i="5"/>
  <c r="I50" i="5"/>
  <c r="I47" i="5"/>
  <c r="I36" i="5"/>
  <c r="I37" i="5"/>
  <c r="I35" i="5"/>
  <c r="I34" i="5"/>
  <c r="I38" i="5"/>
  <c r="I30" i="5"/>
  <c r="I29" i="5"/>
  <c r="I23" i="5"/>
  <c r="I25" i="5"/>
  <c r="I24" i="5"/>
  <c r="I26" i="5"/>
  <c r="I22" i="5"/>
  <c r="I21" i="5"/>
  <c r="I20" i="5"/>
  <c r="H50" i="5"/>
  <c r="H49" i="5" s="1"/>
  <c r="H47" i="5"/>
  <c r="H41" i="5"/>
  <c r="H44" i="5"/>
  <c r="H43" i="5"/>
  <c r="H40" i="5"/>
  <c r="H48" i="5"/>
  <c r="H46" i="5"/>
  <c r="H36" i="5"/>
  <c r="H37" i="5"/>
  <c r="H35" i="5"/>
  <c r="H34" i="5"/>
  <c r="H38" i="5"/>
  <c r="H30" i="5"/>
  <c r="H29" i="5"/>
  <c r="H28" i="5"/>
  <c r="H23" i="5"/>
  <c r="H25" i="5"/>
  <c r="H24" i="5"/>
  <c r="H26" i="5"/>
  <c r="H22" i="5"/>
  <c r="H21" i="5"/>
  <c r="H20" i="5"/>
  <c r="G50" i="5"/>
  <c r="G49" i="5" s="1"/>
  <c r="G47" i="5"/>
  <c r="G41" i="5"/>
  <c r="G44" i="5"/>
  <c r="G43" i="5"/>
  <c r="G40" i="5"/>
  <c r="G48" i="5"/>
  <c r="G46" i="5"/>
  <c r="G36" i="5"/>
  <c r="G37" i="5"/>
  <c r="G35" i="5"/>
  <c r="G34" i="5"/>
  <c r="G38" i="5"/>
  <c r="G30" i="5"/>
  <c r="G29" i="5"/>
  <c r="G28" i="5"/>
  <c r="G23" i="5"/>
  <c r="G25" i="5"/>
  <c r="G24" i="5"/>
  <c r="G26" i="5"/>
  <c r="G22" i="5"/>
  <c r="G21" i="5"/>
  <c r="G20" i="5"/>
  <c r="F50" i="5"/>
  <c r="F49" i="5" s="1"/>
  <c r="F47" i="5"/>
  <c r="F41" i="5"/>
  <c r="F44" i="5"/>
  <c r="F43" i="5"/>
  <c r="F40" i="5"/>
  <c r="F48" i="5"/>
  <c r="F46" i="5"/>
  <c r="F36" i="5"/>
  <c r="F37" i="5"/>
  <c r="F35" i="5"/>
  <c r="F34" i="5"/>
  <c r="F38" i="5"/>
  <c r="F30" i="5"/>
  <c r="F29" i="5"/>
  <c r="F28" i="5"/>
  <c r="F23" i="5"/>
  <c r="F25" i="5"/>
  <c r="F24" i="5"/>
  <c r="F26" i="5"/>
  <c r="F22" i="5"/>
  <c r="F21" i="5"/>
  <c r="F20" i="5"/>
  <c r="E50" i="5"/>
  <c r="E49" i="5" s="1"/>
  <c r="E47" i="5"/>
  <c r="E41" i="5"/>
  <c r="E44" i="5"/>
  <c r="E43" i="5"/>
  <c r="E40" i="5"/>
  <c r="E48" i="5"/>
  <c r="E46" i="5"/>
  <c r="E36" i="5"/>
  <c r="E37" i="5"/>
  <c r="E35" i="5"/>
  <c r="E34" i="5"/>
  <c r="E38" i="5"/>
  <c r="E30" i="5"/>
  <c r="E29" i="5"/>
  <c r="E28" i="5"/>
  <c r="E23" i="5"/>
  <c r="E25" i="5"/>
  <c r="E24" i="5"/>
  <c r="E26" i="5"/>
  <c r="E22" i="5"/>
  <c r="E21" i="5"/>
  <c r="E20" i="5"/>
  <c r="K20" i="5"/>
  <c r="K47" i="5"/>
  <c r="K41" i="5"/>
  <c r="K44" i="5"/>
  <c r="K43" i="5"/>
  <c r="K40" i="5"/>
  <c r="K48" i="5"/>
  <c r="K46" i="5"/>
  <c r="K36" i="5"/>
  <c r="K37" i="5"/>
  <c r="K35" i="5"/>
  <c r="K34" i="5"/>
  <c r="K30" i="5"/>
  <c r="K29" i="5"/>
  <c r="K28" i="5"/>
  <c r="K25" i="5"/>
  <c r="K24" i="5"/>
  <c r="K26" i="5"/>
  <c r="K22" i="5"/>
  <c r="K21" i="5"/>
  <c r="I49" i="5" l="1"/>
  <c r="I39" i="5"/>
  <c r="E39" i="5"/>
  <c r="G39" i="5"/>
  <c r="F39" i="5"/>
  <c r="H39" i="5"/>
  <c r="K39" i="5"/>
  <c r="F27" i="5"/>
  <c r="K32" i="5"/>
  <c r="E27" i="5"/>
  <c r="E32" i="5"/>
  <c r="G27" i="5"/>
  <c r="H32" i="5"/>
  <c r="I19" i="5"/>
  <c r="I27" i="5"/>
  <c r="I32" i="5"/>
  <c r="K27" i="5"/>
  <c r="E19" i="5"/>
  <c r="G32" i="5"/>
  <c r="F19" i="5"/>
  <c r="F32" i="5"/>
  <c r="H19" i="5"/>
  <c r="H27" i="5"/>
  <c r="G19" i="5"/>
  <c r="K28" i="10"/>
  <c r="J28" i="10"/>
  <c r="K13" i="10"/>
  <c r="K8" i="10"/>
  <c r="G52" i="5" l="1"/>
  <c r="I52" i="5"/>
  <c r="F52" i="5"/>
  <c r="E52" i="5"/>
  <c r="H52" i="5"/>
  <c r="L14" i="5"/>
  <c r="L12" i="5"/>
  <c r="L11" i="5"/>
  <c r="L10" i="5"/>
  <c r="L9" i="5"/>
  <c r="L8" i="5"/>
  <c r="P13" i="12"/>
  <c r="O13" i="12"/>
  <c r="Q12" i="12"/>
  <c r="Q10" i="12"/>
  <c r="Q9" i="12"/>
  <c r="Q8" i="12"/>
  <c r="Q7" i="12"/>
  <c r="Q6" i="12"/>
  <c r="Q5" i="12"/>
  <c r="Q4" i="12"/>
  <c r="M13" i="12"/>
  <c r="L13" i="12"/>
  <c r="N12" i="12"/>
  <c r="N10" i="12"/>
  <c r="N9" i="12"/>
  <c r="N8" i="12"/>
  <c r="N7" i="12"/>
  <c r="N6" i="12"/>
  <c r="N5" i="12"/>
  <c r="N4" i="12"/>
  <c r="N13" i="12" l="1"/>
  <c r="Q13" i="12"/>
  <c r="L16" i="5"/>
  <c r="H7" i="7"/>
  <c r="G34" i="10"/>
  <c r="L19" i="10" s="1"/>
  <c r="G207" i="1" l="1"/>
  <c r="B207" i="1"/>
  <c r="E3" i="7" l="1"/>
  <c r="K13" i="5"/>
  <c r="J13" i="10"/>
  <c r="H2" i="9" l="1"/>
  <c r="G139" i="10"/>
  <c r="G74" i="10"/>
  <c r="G57" i="10"/>
  <c r="L20" i="10" s="1"/>
  <c r="I13" i="10" l="1"/>
  <c r="D52" i="5" l="1"/>
  <c r="C52" i="5"/>
  <c r="F116" i="11"/>
  <c r="F113" i="11"/>
  <c r="F112" i="11"/>
  <c r="J37" i="5" s="1"/>
  <c r="F111" i="11"/>
  <c r="F110" i="11"/>
  <c r="F109" i="11"/>
  <c r="F108" i="11"/>
  <c r="F107" i="11"/>
  <c r="F106" i="11"/>
  <c r="F104" i="11"/>
  <c r="F102" i="11"/>
  <c r="F101" i="11"/>
  <c r="F100" i="11"/>
  <c r="J30" i="5" s="1"/>
  <c r="J27" i="5" s="1"/>
  <c r="F99" i="11"/>
  <c r="F97" i="11"/>
  <c r="J36" i="5" s="1"/>
  <c r="F96" i="11"/>
  <c r="J13" i="12"/>
  <c r="I13" i="12"/>
  <c r="K12" i="12"/>
  <c r="K10" i="12"/>
  <c r="K9" i="12"/>
  <c r="K8" i="12"/>
  <c r="K7" i="12"/>
  <c r="K6" i="12"/>
  <c r="K5" i="12"/>
  <c r="K4" i="12"/>
  <c r="F114" i="11"/>
  <c r="J23" i="5" s="1"/>
  <c r="F105" i="11"/>
  <c r="F13" i="12"/>
  <c r="G13" i="12"/>
  <c r="H12" i="12"/>
  <c r="H10" i="12"/>
  <c r="H9" i="12"/>
  <c r="H8" i="12"/>
  <c r="H7" i="12"/>
  <c r="H6" i="12"/>
  <c r="H5" i="12"/>
  <c r="H4" i="12"/>
  <c r="G124" i="11"/>
  <c r="J20" i="5" l="1"/>
  <c r="K13" i="12"/>
  <c r="F117" i="11" s="1"/>
  <c r="H13" i="12"/>
  <c r="K50" i="5"/>
  <c r="K49" i="5" s="1"/>
  <c r="L49" i="5"/>
  <c r="L52" i="5" s="1"/>
  <c r="L54" i="5" s="1"/>
  <c r="J21" i="5"/>
  <c r="J46" i="5"/>
  <c r="J39" i="5" s="1"/>
  <c r="J38" i="5"/>
  <c r="J32" i="5" s="1"/>
  <c r="J22" i="5"/>
  <c r="F124" i="11"/>
  <c r="K23" i="5" s="1"/>
  <c r="K19" i="5" s="1"/>
  <c r="K52" i="5" l="1"/>
  <c r="J19" i="5"/>
  <c r="J52" i="5" s="1"/>
  <c r="J13" i="5"/>
  <c r="J8" i="10" l="1"/>
  <c r="K14" i="5" l="1"/>
  <c r="K12" i="5"/>
  <c r="K11" i="5"/>
  <c r="K10" i="5"/>
  <c r="K9" i="5"/>
  <c r="K8" i="5"/>
  <c r="G45" i="1"/>
  <c r="K16" i="5" l="1"/>
  <c r="K54" i="5" s="1"/>
  <c r="H1" i="2" l="1"/>
  <c r="C8" i="10"/>
  <c r="J12" i="5"/>
  <c r="I12" i="5"/>
  <c r="H12" i="5"/>
  <c r="G12" i="5"/>
  <c r="F12" i="5"/>
  <c r="E12" i="5"/>
  <c r="C12" i="5"/>
  <c r="D12" i="5" l="1"/>
  <c r="C14" i="5"/>
  <c r="C11" i="5"/>
  <c r="C10" i="5"/>
  <c r="C9" i="5"/>
  <c r="C8" i="5"/>
  <c r="C16" i="5" l="1"/>
  <c r="C33" i="7" l="1"/>
  <c r="H13" i="10" l="1"/>
  <c r="G13" i="10"/>
  <c r="F13" i="10"/>
  <c r="E13" i="10"/>
  <c r="D13" i="10"/>
  <c r="I8" i="10"/>
  <c r="H8" i="10"/>
  <c r="G8" i="10"/>
  <c r="F8" i="10"/>
  <c r="E8" i="10"/>
  <c r="D8" i="10"/>
  <c r="L15" i="10" l="1"/>
  <c r="L10" i="10"/>
  <c r="L25" i="10" s="1"/>
  <c r="L11" i="10"/>
  <c r="L17" i="10" s="1"/>
  <c r="K10" i="10"/>
  <c r="K11" i="10"/>
  <c r="K15" i="10"/>
  <c r="H11" i="10"/>
  <c r="D11" i="10"/>
  <c r="G11" i="10"/>
  <c r="J11" i="10"/>
  <c r="F11" i="10"/>
  <c r="I11" i="10"/>
  <c r="E11" i="10"/>
  <c r="J10" i="10"/>
  <c r="H10" i="10"/>
  <c r="F10" i="10"/>
  <c r="I10" i="10"/>
  <c r="G10" i="10"/>
  <c r="E10" i="10"/>
  <c r="I15" i="10"/>
  <c r="G15" i="10"/>
  <c r="E15" i="10"/>
  <c r="J15" i="10"/>
  <c r="H15" i="10"/>
  <c r="F15" i="10"/>
  <c r="G142" i="10"/>
  <c r="I13" i="5"/>
  <c r="H13" i="5"/>
  <c r="G13" i="5"/>
  <c r="F13" i="5"/>
  <c r="E13" i="5"/>
  <c r="J5" i="9"/>
  <c r="K25" i="10" l="1"/>
  <c r="J25" i="10"/>
  <c r="J6" i="9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3" i="9" s="1"/>
  <c r="J54" i="9" s="1"/>
  <c r="J55" i="9" s="1"/>
  <c r="J56" i="9" s="1"/>
  <c r="J57" i="9" s="1"/>
  <c r="J58" i="9" s="1"/>
  <c r="J59" i="9" s="1"/>
  <c r="J60" i="9" s="1"/>
  <c r="J62" i="9" s="1"/>
  <c r="J63" i="9" s="1"/>
  <c r="J64" i="9" s="1"/>
  <c r="J65" i="9" s="1"/>
  <c r="J66" i="9" s="1"/>
  <c r="J67" i="9" s="1"/>
  <c r="J68" i="9" s="1"/>
  <c r="D13" i="5"/>
  <c r="E43" i="7" l="1"/>
  <c r="E44" i="7"/>
  <c r="E41" i="7"/>
  <c r="E42" i="7"/>
  <c r="E45" i="7"/>
  <c r="E46" i="7"/>
  <c r="E47" i="7"/>
  <c r="E39" i="7"/>
  <c r="E38" i="7"/>
  <c r="E48" i="7" l="1"/>
  <c r="F48" i="7" l="1"/>
  <c r="F40" i="7"/>
  <c r="F42" i="7"/>
  <c r="F41" i="7"/>
  <c r="F45" i="7"/>
  <c r="F46" i="7"/>
  <c r="F44" i="7"/>
  <c r="F47" i="7"/>
  <c r="F43" i="7"/>
  <c r="F39" i="7"/>
  <c r="F38" i="7"/>
  <c r="J14" i="5" l="1"/>
  <c r="J11" i="5"/>
  <c r="J10" i="5"/>
  <c r="J9" i="5"/>
  <c r="J8" i="5"/>
  <c r="J16" i="5" l="1"/>
  <c r="J54" i="5" s="1"/>
  <c r="G355" i="1"/>
  <c r="G149" i="1"/>
  <c r="B23" i="1"/>
  <c r="G23" i="1"/>
  <c r="B120" i="1" l="1"/>
  <c r="G120" i="1"/>
  <c r="B297" i="1"/>
  <c r="G297" i="1"/>
  <c r="B294" i="1"/>
  <c r="G294" i="1"/>
  <c r="B111" i="1"/>
  <c r="G111" i="1"/>
  <c r="B108" i="1"/>
  <c r="G108" i="1"/>
  <c r="B75" i="1"/>
  <c r="G75" i="1"/>
  <c r="G65" i="1"/>
  <c r="B65" i="1"/>
  <c r="G59" i="1"/>
  <c r="B59" i="1"/>
  <c r="B54" i="1"/>
  <c r="G54" i="1"/>
  <c r="B50" i="1"/>
  <c r="G50" i="1"/>
  <c r="B47" i="1"/>
  <c r="G47" i="1"/>
  <c r="B265" i="1"/>
  <c r="G265" i="1"/>
  <c r="B258" i="1"/>
  <c r="G258" i="1"/>
  <c r="B240" i="1"/>
  <c r="G240" i="1"/>
  <c r="B413" i="1"/>
  <c r="G413" i="1"/>
  <c r="B411" i="1"/>
  <c r="G411" i="1"/>
  <c r="B401" i="1"/>
  <c r="G401" i="1"/>
  <c r="B391" i="1"/>
  <c r="G391" i="1"/>
  <c r="B380" i="1"/>
  <c r="G380" i="1"/>
  <c r="B366" i="1"/>
  <c r="G366" i="1"/>
  <c r="B355" i="1"/>
  <c r="B354" i="1"/>
  <c r="G354" i="1"/>
  <c r="B341" i="1"/>
  <c r="G341" i="1"/>
  <c r="B318" i="1"/>
  <c r="G318" i="1"/>
  <c r="B433" i="1"/>
  <c r="G433" i="1"/>
  <c r="B193" i="1"/>
  <c r="B194" i="1"/>
  <c r="G193" i="1"/>
  <c r="G194" i="1"/>
  <c r="G186" i="1"/>
  <c r="G187" i="1"/>
  <c r="B186" i="1"/>
  <c r="B187" i="1"/>
  <c r="B169" i="1"/>
  <c r="G169" i="1"/>
  <c r="B149" i="1"/>
  <c r="B143" i="1"/>
  <c r="G143" i="1"/>
  <c r="B142" i="1"/>
  <c r="G142" i="1"/>
  <c r="H14" i="5" l="1"/>
  <c r="H11" i="5"/>
  <c r="H10" i="5"/>
  <c r="H9" i="5"/>
  <c r="H8" i="5"/>
  <c r="G14" i="5"/>
  <c r="G11" i="5"/>
  <c r="G10" i="5"/>
  <c r="G9" i="5"/>
  <c r="G8" i="5"/>
  <c r="G16" i="5" l="1"/>
  <c r="H16" i="5"/>
  <c r="G54" i="5" l="1"/>
  <c r="H54" i="5"/>
  <c r="I14" i="5"/>
  <c r="I11" i="5"/>
  <c r="I10" i="5"/>
  <c r="I9" i="5"/>
  <c r="I8" i="5"/>
  <c r="F14" i="5"/>
  <c r="F11" i="5"/>
  <c r="F10" i="5"/>
  <c r="F9" i="5"/>
  <c r="F8" i="5"/>
  <c r="E14" i="5"/>
  <c r="E11" i="5"/>
  <c r="E10" i="5"/>
  <c r="E9" i="5"/>
  <c r="E8" i="5"/>
  <c r="G60" i="5" l="1"/>
  <c r="D10" i="5"/>
  <c r="D14" i="5"/>
  <c r="D8" i="5"/>
  <c r="D9" i="5"/>
  <c r="D11" i="5"/>
  <c r="I16" i="5"/>
  <c r="I54" i="5" s="1"/>
  <c r="F16" i="5"/>
  <c r="E16" i="5"/>
  <c r="E54" i="5" s="1"/>
  <c r="H57" i="5" l="1"/>
  <c r="F54" i="5"/>
  <c r="D16" i="5"/>
  <c r="D17" i="5" s="1"/>
  <c r="A26" i="6"/>
  <c r="A27" i="6"/>
  <c r="A28" i="6"/>
  <c r="A29" i="6"/>
  <c r="A30" i="6"/>
  <c r="A24" i="6"/>
  <c r="A23" i="6"/>
  <c r="A22" i="6"/>
  <c r="A21" i="6"/>
  <c r="A20" i="6"/>
  <c r="A19" i="6"/>
  <c r="A25" i="6"/>
  <c r="H60" i="5" l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14" i="1"/>
  <c r="G314" i="1"/>
  <c r="G315" i="1"/>
  <c r="G316" i="1"/>
  <c r="G317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6" i="1"/>
  <c r="G357" i="1"/>
  <c r="G358" i="1"/>
  <c r="G359" i="1"/>
  <c r="G360" i="1"/>
  <c r="G361" i="1"/>
  <c r="G362" i="1"/>
  <c r="G363" i="1"/>
  <c r="G364" i="1"/>
  <c r="G365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1" i="1"/>
  <c r="G382" i="1"/>
  <c r="G383" i="1"/>
  <c r="G384" i="1"/>
  <c r="G385" i="1"/>
  <c r="G386" i="1"/>
  <c r="G387" i="1"/>
  <c r="G388" i="1"/>
  <c r="G389" i="1"/>
  <c r="G390" i="1"/>
  <c r="G392" i="1"/>
  <c r="G393" i="1"/>
  <c r="G394" i="1"/>
  <c r="G395" i="1"/>
  <c r="G396" i="1"/>
  <c r="G397" i="1"/>
  <c r="G398" i="1"/>
  <c r="G399" i="1"/>
  <c r="G400" i="1"/>
  <c r="G402" i="1"/>
  <c r="G403" i="1"/>
  <c r="G404" i="1"/>
  <c r="G405" i="1"/>
  <c r="G406" i="1"/>
  <c r="G407" i="1"/>
  <c r="G408" i="1"/>
  <c r="G409" i="1"/>
  <c r="G410" i="1"/>
  <c r="G412" i="1"/>
  <c r="G313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298" i="1"/>
  <c r="G289" i="1"/>
  <c r="G290" i="1"/>
  <c r="G291" i="1"/>
  <c r="G292" i="1"/>
  <c r="G295" i="1"/>
  <c r="G296" i="1"/>
  <c r="G293" i="1"/>
  <c r="G288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9" i="1"/>
  <c r="G260" i="1"/>
  <c r="G261" i="1"/>
  <c r="G262" i="1"/>
  <c r="G263" i="1"/>
  <c r="G264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06" i="1"/>
  <c r="G202" i="1"/>
  <c r="G203" i="1"/>
  <c r="G204" i="1"/>
  <c r="G205" i="1"/>
  <c r="G201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4" i="1"/>
  <c r="G145" i="1"/>
  <c r="G146" i="1"/>
  <c r="G147" i="1"/>
  <c r="G148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8" i="1"/>
  <c r="G189" i="1"/>
  <c r="G190" i="1"/>
  <c r="G191" i="1"/>
  <c r="G192" i="1"/>
  <c r="G195" i="1"/>
  <c r="G196" i="1"/>
  <c r="G197" i="1"/>
  <c r="G198" i="1"/>
  <c r="G199" i="1"/>
  <c r="G200" i="1"/>
  <c r="G122" i="1"/>
  <c r="G119" i="1"/>
  <c r="G121" i="1"/>
  <c r="G118" i="1"/>
  <c r="G117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6" i="1"/>
  <c r="G48" i="1"/>
  <c r="G49" i="1"/>
  <c r="G51" i="1"/>
  <c r="G52" i="1"/>
  <c r="G53" i="1"/>
  <c r="G55" i="1"/>
  <c r="G56" i="1"/>
  <c r="G57" i="1"/>
  <c r="G58" i="1"/>
  <c r="G60" i="1"/>
  <c r="G61" i="1"/>
  <c r="G62" i="1"/>
  <c r="G63" i="1"/>
  <c r="G64" i="1"/>
  <c r="G66" i="1"/>
  <c r="G67" i="1"/>
  <c r="G68" i="1"/>
  <c r="G69" i="1"/>
  <c r="G70" i="1"/>
  <c r="G71" i="1"/>
  <c r="G72" i="1"/>
  <c r="G73" i="1"/>
  <c r="G74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9" i="1"/>
  <c r="G110" i="1"/>
  <c r="G112" i="1"/>
  <c r="G113" i="1"/>
  <c r="G114" i="1"/>
  <c r="G115" i="1"/>
  <c r="G116" i="1"/>
  <c r="G6" i="1"/>
  <c r="I57" i="5" l="1"/>
  <c r="I60" i="5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6" i="1"/>
  <c r="B48" i="1"/>
  <c r="B49" i="1"/>
  <c r="B51" i="1"/>
  <c r="B52" i="1"/>
  <c r="B53" i="1"/>
  <c r="B55" i="1"/>
  <c r="B56" i="1"/>
  <c r="B57" i="1"/>
  <c r="B58" i="1"/>
  <c r="B60" i="1"/>
  <c r="B61" i="1"/>
  <c r="B62" i="1"/>
  <c r="B63" i="1"/>
  <c r="B64" i="1"/>
  <c r="B66" i="1"/>
  <c r="B67" i="1"/>
  <c r="B68" i="1"/>
  <c r="B69" i="1"/>
  <c r="B70" i="1"/>
  <c r="B71" i="1"/>
  <c r="B72" i="1"/>
  <c r="B73" i="1"/>
  <c r="B74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9" i="1"/>
  <c r="B110" i="1"/>
  <c r="B112" i="1"/>
  <c r="B113" i="1"/>
  <c r="B114" i="1"/>
  <c r="B115" i="1"/>
  <c r="B116" i="1"/>
  <c r="B117" i="1"/>
  <c r="B118" i="1"/>
  <c r="B119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4" i="1"/>
  <c r="B145" i="1"/>
  <c r="B146" i="1"/>
  <c r="B147" i="1"/>
  <c r="B148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8" i="1"/>
  <c r="B189" i="1"/>
  <c r="B190" i="1"/>
  <c r="B191" i="1"/>
  <c r="B192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9" i="1"/>
  <c r="B260" i="1"/>
  <c r="B261" i="1"/>
  <c r="B262" i="1"/>
  <c r="B263" i="1"/>
  <c r="B264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5" i="1"/>
  <c r="B296" i="1"/>
  <c r="B293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6" i="1"/>
  <c r="B357" i="1"/>
  <c r="B358" i="1"/>
  <c r="B359" i="1"/>
  <c r="B360" i="1"/>
  <c r="B361" i="1"/>
  <c r="B362" i="1"/>
  <c r="B363" i="1"/>
  <c r="B364" i="1"/>
  <c r="B365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1" i="1"/>
  <c r="B382" i="1"/>
  <c r="B383" i="1"/>
  <c r="B384" i="1"/>
  <c r="B385" i="1"/>
  <c r="B386" i="1"/>
  <c r="B387" i="1"/>
  <c r="B388" i="1"/>
  <c r="B389" i="1"/>
  <c r="B390" i="1"/>
  <c r="B392" i="1"/>
  <c r="B393" i="1"/>
  <c r="B394" i="1"/>
  <c r="B395" i="1"/>
  <c r="B396" i="1"/>
  <c r="B397" i="1"/>
  <c r="B398" i="1"/>
  <c r="B399" i="1"/>
  <c r="B400" i="1"/>
  <c r="B402" i="1"/>
  <c r="B403" i="1"/>
  <c r="B404" i="1"/>
  <c r="B405" i="1"/>
  <c r="B406" i="1"/>
  <c r="B407" i="1"/>
  <c r="B408" i="1"/>
  <c r="B409" i="1"/>
  <c r="B410" i="1"/>
  <c r="B412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E2277" i="2" l="1"/>
  <c r="F2277" i="2"/>
  <c r="A2277" i="2"/>
  <c r="D2277" i="2"/>
  <c r="A2262" i="2"/>
  <c r="A2270" i="2"/>
  <c r="F2262" i="2"/>
  <c r="E2265" i="2"/>
  <c r="D2268" i="2"/>
  <c r="F2270" i="2"/>
  <c r="D2269" i="2"/>
  <c r="E2269" i="2"/>
  <c r="D2267" i="2"/>
  <c r="A2263" i="2"/>
  <c r="A2271" i="2"/>
  <c r="D2263" i="2"/>
  <c r="F2265" i="2"/>
  <c r="E2268" i="2"/>
  <c r="D2271" i="2"/>
  <c r="D2264" i="2"/>
  <c r="A2264" i="2"/>
  <c r="E2263" i="2"/>
  <c r="D2266" i="2"/>
  <c r="F2268" i="2"/>
  <c r="E2271" i="2"/>
  <c r="F2271" i="2"/>
  <c r="A2275" i="2"/>
  <c r="F2269" i="2"/>
  <c r="A2268" i="2"/>
  <c r="D2262" i="2"/>
  <c r="F2264" i="2"/>
  <c r="E2267" i="2"/>
  <c r="D2270" i="2"/>
  <c r="E2275" i="2"/>
  <c r="A2269" i="2"/>
  <c r="E2262" i="2"/>
  <c r="D2265" i="2"/>
  <c r="F2267" i="2"/>
  <c r="E2270" i="2"/>
  <c r="F2275" i="2"/>
  <c r="A2265" i="2"/>
  <c r="F2263" i="2"/>
  <c r="E2266" i="2"/>
  <c r="A2266" i="2"/>
  <c r="F2266" i="2"/>
  <c r="A2267" i="2"/>
  <c r="E2264" i="2"/>
  <c r="D2275" i="2"/>
  <c r="A2249" i="2"/>
  <c r="A2257" i="2"/>
  <c r="F2250" i="2"/>
  <c r="E2253" i="2"/>
  <c r="D2256" i="2"/>
  <c r="F2258" i="2"/>
  <c r="E2261" i="2"/>
  <c r="F2251" i="2"/>
  <c r="F2252" i="2"/>
  <c r="D2253" i="2"/>
  <c r="A2250" i="2"/>
  <c r="A2258" i="2"/>
  <c r="D2251" i="2"/>
  <c r="F2253" i="2"/>
  <c r="E2256" i="2"/>
  <c r="D2259" i="2"/>
  <c r="F2261" i="2"/>
  <c r="A2260" i="2"/>
  <c r="D2249" i="2"/>
  <c r="D2257" i="2"/>
  <c r="F2260" i="2"/>
  <c r="F2255" i="2"/>
  <c r="A2251" i="2"/>
  <c r="A2259" i="2"/>
  <c r="E2251" i="2"/>
  <c r="D2254" i="2"/>
  <c r="F2256" i="2"/>
  <c r="E2259" i="2"/>
  <c r="A2252" i="2"/>
  <c r="E2254" i="2"/>
  <c r="F2259" i="2"/>
  <c r="E2255" i="2"/>
  <c r="A2256" i="2"/>
  <c r="D2261" i="2"/>
  <c r="A2253" i="2"/>
  <c r="A2261" i="2"/>
  <c r="E2249" i="2"/>
  <c r="D2252" i="2"/>
  <c r="F2254" i="2"/>
  <c r="E2257" i="2"/>
  <c r="D2260" i="2"/>
  <c r="A2254" i="2"/>
  <c r="F2249" i="2"/>
  <c r="E2252" i="2"/>
  <c r="D2255" i="2"/>
  <c r="F2257" i="2"/>
  <c r="E2260" i="2"/>
  <c r="A2255" i="2"/>
  <c r="D2250" i="2"/>
  <c r="D2258" i="2"/>
  <c r="E2250" i="2"/>
  <c r="E2258" i="2"/>
  <c r="A2241" i="2"/>
  <c r="F2242" i="2"/>
  <c r="E2245" i="2"/>
  <c r="D2248" i="2"/>
  <c r="E2244" i="2"/>
  <c r="E2247" i="2"/>
  <c r="E2242" i="2"/>
  <c r="A2242" i="2"/>
  <c r="D2243" i="2"/>
  <c r="F2245" i="2"/>
  <c r="E2248" i="2"/>
  <c r="A2245" i="2"/>
  <c r="D2244" i="2"/>
  <c r="F2241" i="2"/>
  <c r="F2244" i="2"/>
  <c r="A2248" i="2"/>
  <c r="D2245" i="2"/>
  <c r="A2243" i="2"/>
  <c r="E2243" i="2"/>
  <c r="D2246" i="2"/>
  <c r="F2248" i="2"/>
  <c r="A2244" i="2"/>
  <c r="D2241" i="2"/>
  <c r="F2243" i="2"/>
  <c r="E2246" i="2"/>
  <c r="E2241" i="2"/>
  <c r="F2246" i="2"/>
  <c r="A2246" i="2"/>
  <c r="D2247" i="2"/>
  <c r="A2247" i="2"/>
  <c r="D2242" i="2"/>
  <c r="F2247" i="2"/>
  <c r="A2235" i="2"/>
  <c r="E2237" i="2"/>
  <c r="D2240" i="2"/>
  <c r="A2236" i="2"/>
  <c r="D2235" i="2"/>
  <c r="F2237" i="2"/>
  <c r="E2240" i="2"/>
  <c r="A2237" i="2"/>
  <c r="E2235" i="2"/>
  <c r="D2238" i="2"/>
  <c r="F2240" i="2"/>
  <c r="A2238" i="2"/>
  <c r="F2235" i="2"/>
  <c r="E2238" i="2"/>
  <c r="A2239" i="2"/>
  <c r="D2236" i="2"/>
  <c r="F2238" i="2"/>
  <c r="A2240" i="2"/>
  <c r="E2236" i="2"/>
  <c r="D2239" i="2"/>
  <c r="F2236" i="2"/>
  <c r="E2239" i="2"/>
  <c r="D2237" i="2"/>
  <c r="F2239" i="2"/>
  <c r="A2222" i="2"/>
  <c r="A2224" i="2"/>
  <c r="A2226" i="2"/>
  <c r="A2228" i="2"/>
  <c r="A2230" i="2"/>
  <c r="A2232" i="2"/>
  <c r="A2234" i="2"/>
  <c r="D2221" i="2"/>
  <c r="F2221" i="2"/>
  <c r="E2222" i="2"/>
  <c r="D2223" i="2"/>
  <c r="F2223" i="2"/>
  <c r="E2224" i="2"/>
  <c r="D2225" i="2"/>
  <c r="F2225" i="2"/>
  <c r="E2226" i="2"/>
  <c r="D2227" i="2"/>
  <c r="F2227" i="2"/>
  <c r="E2228" i="2"/>
  <c r="D2229" i="2"/>
  <c r="E2230" i="2"/>
  <c r="D2231" i="2"/>
  <c r="F2231" i="2"/>
  <c r="E2232" i="2"/>
  <c r="D2233" i="2"/>
  <c r="F2233" i="2"/>
  <c r="E2234" i="2"/>
  <c r="A2221" i="2"/>
  <c r="A2223" i="2"/>
  <c r="A2225" i="2"/>
  <c r="A2227" i="2"/>
  <c r="A2229" i="2"/>
  <c r="A2231" i="2"/>
  <c r="A2233" i="2"/>
  <c r="E2221" i="2"/>
  <c r="D2222" i="2"/>
  <c r="F2222" i="2"/>
  <c r="E2223" i="2"/>
  <c r="D2224" i="2"/>
  <c r="F2224" i="2"/>
  <c r="E2225" i="2"/>
  <c r="D2226" i="2"/>
  <c r="F2226" i="2"/>
  <c r="E2227" i="2"/>
  <c r="D2228" i="2"/>
  <c r="F2228" i="2"/>
  <c r="E2229" i="2"/>
  <c r="D2230" i="2"/>
  <c r="F2230" i="2"/>
  <c r="E2231" i="2"/>
  <c r="D2232" i="2"/>
  <c r="F2232" i="2"/>
  <c r="E2233" i="2"/>
  <c r="D2234" i="2"/>
  <c r="F2234" i="2"/>
  <c r="F2229" i="2"/>
  <c r="A2210" i="2"/>
  <c r="A2212" i="2"/>
  <c r="A2214" i="2"/>
  <c r="A2216" i="2"/>
  <c r="A2218" i="2"/>
  <c r="A2220" i="2"/>
  <c r="D2209" i="2"/>
  <c r="F2209" i="2"/>
  <c r="E2210" i="2"/>
  <c r="D2211" i="2"/>
  <c r="F2211" i="2"/>
  <c r="E2212" i="2"/>
  <c r="D2213" i="2"/>
  <c r="F2213" i="2"/>
  <c r="E2214" i="2"/>
  <c r="D2215" i="2"/>
  <c r="F2215" i="2"/>
  <c r="E2216" i="2"/>
  <c r="D2217" i="2"/>
  <c r="F2217" i="2"/>
  <c r="E2218" i="2"/>
  <c r="D2219" i="2"/>
  <c r="F2219" i="2"/>
  <c r="E2220" i="2"/>
  <c r="F2203" i="2"/>
  <c r="F2205" i="2"/>
  <c r="F2207" i="2"/>
  <c r="E2202" i="2"/>
  <c r="E2204" i="2"/>
  <c r="E2206" i="2"/>
  <c r="E2208" i="2"/>
  <c r="D2203" i="2"/>
  <c r="D2205" i="2"/>
  <c r="D2207" i="2"/>
  <c r="A2202" i="2"/>
  <c r="A2204" i="2"/>
  <c r="A2206" i="2"/>
  <c r="A2208" i="2"/>
  <c r="A2209" i="2"/>
  <c r="A2211" i="2"/>
  <c r="A2213" i="2"/>
  <c r="A2215" i="2"/>
  <c r="A2217" i="2"/>
  <c r="A2219" i="2"/>
  <c r="E2209" i="2"/>
  <c r="D2210" i="2"/>
  <c r="F2210" i="2"/>
  <c r="E2211" i="2"/>
  <c r="D2212" i="2"/>
  <c r="F2212" i="2"/>
  <c r="E2213" i="2"/>
  <c r="D2214" i="2"/>
  <c r="F2214" i="2"/>
  <c r="E2215" i="2"/>
  <c r="D2216" i="2"/>
  <c r="F2216" i="2"/>
  <c r="E2217" i="2"/>
  <c r="D2218" i="2"/>
  <c r="F2218" i="2"/>
  <c r="E2219" i="2"/>
  <c r="D2220" i="2"/>
  <c r="F2220" i="2"/>
  <c r="F2202" i="2"/>
  <c r="F2204" i="2"/>
  <c r="F2206" i="2"/>
  <c r="F2208" i="2"/>
  <c r="E2203" i="2"/>
  <c r="E2205" i="2"/>
  <c r="E2207" i="2"/>
  <c r="D2202" i="2"/>
  <c r="D2204" i="2"/>
  <c r="D2206" i="2"/>
  <c r="D2208" i="2"/>
  <c r="A2203" i="2"/>
  <c r="A2205" i="2"/>
  <c r="A2207" i="2"/>
  <c r="F2196" i="2"/>
  <c r="F2198" i="2"/>
  <c r="F2200" i="2"/>
  <c r="E2196" i="2"/>
  <c r="E2198" i="2"/>
  <c r="E2200" i="2"/>
  <c r="D2196" i="2"/>
  <c r="D2198" i="2"/>
  <c r="D2200" i="2"/>
  <c r="A2196" i="2"/>
  <c r="A2198" i="2"/>
  <c r="A2200" i="2"/>
  <c r="F2195" i="2"/>
  <c r="F2197" i="2"/>
  <c r="F2199" i="2"/>
  <c r="F2201" i="2"/>
  <c r="E2195" i="2"/>
  <c r="E2197" i="2"/>
  <c r="E2199" i="2"/>
  <c r="E2201" i="2"/>
  <c r="D2195" i="2"/>
  <c r="D2197" i="2"/>
  <c r="D2199" i="2"/>
  <c r="D2201" i="2"/>
  <c r="A2195" i="2"/>
  <c r="A2197" i="2"/>
  <c r="A2199" i="2"/>
  <c r="A2201" i="2"/>
  <c r="F2193" i="2"/>
  <c r="E2192" i="2"/>
  <c r="E2194" i="2"/>
  <c r="D2193" i="2"/>
  <c r="A2192" i="2"/>
  <c r="A2194" i="2"/>
  <c r="F2192" i="2"/>
  <c r="F2194" i="2"/>
  <c r="E2193" i="2"/>
  <c r="D2192" i="2"/>
  <c r="D2194" i="2"/>
  <c r="A2193" i="2"/>
  <c r="F2187" i="2"/>
  <c r="F2189" i="2"/>
  <c r="F2191" i="2"/>
  <c r="E2186" i="2"/>
  <c r="E2188" i="2"/>
  <c r="E2190" i="2"/>
  <c r="D2187" i="2"/>
  <c r="D2189" i="2"/>
  <c r="D2191" i="2"/>
  <c r="A2186" i="2"/>
  <c r="A2188" i="2"/>
  <c r="A2190" i="2"/>
  <c r="F2186" i="2"/>
  <c r="F2188" i="2"/>
  <c r="F2190" i="2"/>
  <c r="E2187" i="2"/>
  <c r="E2189" i="2"/>
  <c r="E2191" i="2"/>
  <c r="D2186" i="2"/>
  <c r="D2188" i="2"/>
  <c r="D2190" i="2"/>
  <c r="A2187" i="2"/>
  <c r="A2189" i="2"/>
  <c r="A2191" i="2"/>
  <c r="F2177" i="2"/>
  <c r="F2179" i="2"/>
  <c r="F2181" i="2"/>
  <c r="F2183" i="2"/>
  <c r="F2185" i="2"/>
  <c r="E2176" i="2"/>
  <c r="E2178" i="2"/>
  <c r="E2180" i="2"/>
  <c r="E2182" i="2"/>
  <c r="E2184" i="2"/>
  <c r="D2177" i="2"/>
  <c r="D2179" i="2"/>
  <c r="D2181" i="2"/>
  <c r="D2183" i="2"/>
  <c r="D2185" i="2"/>
  <c r="A2176" i="2"/>
  <c r="A2178" i="2"/>
  <c r="A2180" i="2"/>
  <c r="A2182" i="2"/>
  <c r="A2184" i="2"/>
  <c r="F2176" i="2"/>
  <c r="F2178" i="2"/>
  <c r="F2180" i="2"/>
  <c r="F2182" i="2"/>
  <c r="F2184" i="2"/>
  <c r="E2177" i="2"/>
  <c r="E2179" i="2"/>
  <c r="E2181" i="2"/>
  <c r="E2183" i="2"/>
  <c r="E2185" i="2"/>
  <c r="D2176" i="2"/>
  <c r="D2178" i="2"/>
  <c r="D2180" i="2"/>
  <c r="D2182" i="2"/>
  <c r="D2184" i="2"/>
  <c r="A2177" i="2"/>
  <c r="A2179" i="2"/>
  <c r="A2181" i="2"/>
  <c r="A2183" i="2"/>
  <c r="A2185" i="2"/>
  <c r="F2157" i="2"/>
  <c r="F2159" i="2"/>
  <c r="F2161" i="2"/>
  <c r="F2163" i="2"/>
  <c r="F2165" i="2"/>
  <c r="F2167" i="2"/>
  <c r="F2169" i="2"/>
  <c r="F2171" i="2"/>
  <c r="F2173" i="2"/>
  <c r="E2156" i="2"/>
  <c r="E2158" i="2"/>
  <c r="E2160" i="2"/>
  <c r="E2162" i="2"/>
  <c r="E2164" i="2"/>
  <c r="E2166" i="2"/>
  <c r="E2168" i="2"/>
  <c r="E2170" i="2"/>
  <c r="E2172" i="2"/>
  <c r="E2174" i="2"/>
  <c r="D2158" i="2"/>
  <c r="D2160" i="2"/>
  <c r="D2162" i="2"/>
  <c r="D2164" i="2"/>
  <c r="D2166" i="2"/>
  <c r="D2168" i="2"/>
  <c r="D2170" i="2"/>
  <c r="D2172" i="2"/>
  <c r="D2174" i="2"/>
  <c r="A2157" i="2"/>
  <c r="A2159" i="2"/>
  <c r="A2161" i="2"/>
  <c r="A2163" i="2"/>
  <c r="A2165" i="2"/>
  <c r="A2167" i="2"/>
  <c r="A2169" i="2"/>
  <c r="A2171" i="2"/>
  <c r="A2173" i="2"/>
  <c r="D2156" i="2"/>
  <c r="D2150" i="2"/>
  <c r="F2150" i="2"/>
  <c r="A2151" i="2"/>
  <c r="E2151" i="2"/>
  <c r="D2152" i="2"/>
  <c r="F2152" i="2"/>
  <c r="A2153" i="2"/>
  <c r="E2153" i="2"/>
  <c r="D2154" i="2"/>
  <c r="F2154" i="2"/>
  <c r="A2155" i="2"/>
  <c r="E2155" i="2"/>
  <c r="F2156" i="2"/>
  <c r="F2158" i="2"/>
  <c r="F2160" i="2"/>
  <c r="F2162" i="2"/>
  <c r="F2164" i="2"/>
  <c r="F2166" i="2"/>
  <c r="F2168" i="2"/>
  <c r="F2170" i="2"/>
  <c r="F2172" i="2"/>
  <c r="F2174" i="2"/>
  <c r="E2157" i="2"/>
  <c r="E2159" i="2"/>
  <c r="E2161" i="2"/>
  <c r="E2163" i="2"/>
  <c r="E2165" i="2"/>
  <c r="E2167" i="2"/>
  <c r="E2169" i="2"/>
  <c r="E2171" i="2"/>
  <c r="E2173" i="2"/>
  <c r="D2157" i="2"/>
  <c r="D2159" i="2"/>
  <c r="D2161" i="2"/>
  <c r="D2163" i="2"/>
  <c r="D2165" i="2"/>
  <c r="D2167" i="2"/>
  <c r="D2169" i="2"/>
  <c r="D2171" i="2"/>
  <c r="D2173" i="2"/>
  <c r="A2156" i="2"/>
  <c r="A2158" i="2"/>
  <c r="A2160" i="2"/>
  <c r="A2162" i="2"/>
  <c r="A2164" i="2"/>
  <c r="A2166" i="2"/>
  <c r="A2168" i="2"/>
  <c r="A2170" i="2"/>
  <c r="A2172" i="2"/>
  <c r="A2174" i="2"/>
  <c r="A2150" i="2"/>
  <c r="E2150" i="2"/>
  <c r="D2151" i="2"/>
  <c r="F2151" i="2"/>
  <c r="A2152" i="2"/>
  <c r="E2152" i="2"/>
  <c r="D2153" i="2"/>
  <c r="F2153" i="2"/>
  <c r="A2154" i="2"/>
  <c r="E2154" i="2"/>
  <c r="D2155" i="2"/>
  <c r="F2155" i="2"/>
  <c r="E2123" i="2"/>
  <c r="A2123" i="2"/>
  <c r="A2126" i="2"/>
  <c r="E2126" i="2"/>
  <c r="D2127" i="2"/>
  <c r="F2127" i="2"/>
  <c r="A2128" i="2"/>
  <c r="E2128" i="2"/>
  <c r="D2129" i="2"/>
  <c r="F2129" i="2"/>
  <c r="A2130" i="2"/>
  <c r="E2130" i="2"/>
  <c r="D2131" i="2"/>
  <c r="F2131" i="2"/>
  <c r="A2132" i="2"/>
  <c r="E2132" i="2"/>
  <c r="D2133" i="2"/>
  <c r="F2133" i="2"/>
  <c r="A2134" i="2"/>
  <c r="E2134" i="2"/>
  <c r="D2135" i="2"/>
  <c r="F2135" i="2"/>
  <c r="A2136" i="2"/>
  <c r="E2136" i="2"/>
  <c r="D2137" i="2"/>
  <c r="F2137" i="2"/>
  <c r="A2138" i="2"/>
  <c r="E2138" i="2"/>
  <c r="D2139" i="2"/>
  <c r="F2139" i="2"/>
  <c r="A2140" i="2"/>
  <c r="E2140" i="2"/>
  <c r="D2141" i="2"/>
  <c r="F2141" i="2"/>
  <c r="A2142" i="2"/>
  <c r="E2142" i="2"/>
  <c r="D2143" i="2"/>
  <c r="F2143" i="2"/>
  <c r="A2144" i="2"/>
  <c r="E2144" i="2"/>
  <c r="D2145" i="2"/>
  <c r="F2145" i="2"/>
  <c r="A2146" i="2"/>
  <c r="E2146" i="2"/>
  <c r="D2147" i="2"/>
  <c r="F2147" i="2"/>
  <c r="A2148" i="2"/>
  <c r="E2148" i="2"/>
  <c r="D2149" i="2"/>
  <c r="F2149" i="2"/>
  <c r="F2123" i="2"/>
  <c r="D2123" i="2"/>
  <c r="D2126" i="2"/>
  <c r="F2126" i="2"/>
  <c r="A2127" i="2"/>
  <c r="E2127" i="2"/>
  <c r="D2128" i="2"/>
  <c r="F2128" i="2"/>
  <c r="A2129" i="2"/>
  <c r="E2129" i="2"/>
  <c r="D2130" i="2"/>
  <c r="F2130" i="2"/>
  <c r="A2131" i="2"/>
  <c r="E2131" i="2"/>
  <c r="D2132" i="2"/>
  <c r="F2132" i="2"/>
  <c r="A2133" i="2"/>
  <c r="E2133" i="2"/>
  <c r="D2134" i="2"/>
  <c r="F2134" i="2"/>
  <c r="A2135" i="2"/>
  <c r="E2135" i="2"/>
  <c r="D2136" i="2"/>
  <c r="F2136" i="2"/>
  <c r="A2137" i="2"/>
  <c r="E2137" i="2"/>
  <c r="D2138" i="2"/>
  <c r="F2138" i="2"/>
  <c r="A2139" i="2"/>
  <c r="E2139" i="2"/>
  <c r="D2140" i="2"/>
  <c r="F2140" i="2"/>
  <c r="A2141" i="2"/>
  <c r="E2141" i="2"/>
  <c r="D2142" i="2"/>
  <c r="F2142" i="2"/>
  <c r="A2143" i="2"/>
  <c r="E2143" i="2"/>
  <c r="D2144" i="2"/>
  <c r="F2144" i="2"/>
  <c r="A2145" i="2"/>
  <c r="E2145" i="2"/>
  <c r="D2146" i="2"/>
  <c r="F2146" i="2"/>
  <c r="A2147" i="2"/>
  <c r="E2147" i="2"/>
  <c r="D2148" i="2"/>
  <c r="F2148" i="2"/>
  <c r="A2149" i="2"/>
  <c r="E2149" i="2"/>
  <c r="E2124" i="2"/>
  <c r="A2124" i="2"/>
  <c r="F2124" i="2"/>
  <c r="D2124" i="2"/>
  <c r="G209" i="4"/>
  <c r="I209" i="4" s="1"/>
  <c r="G181" i="4"/>
  <c r="G419" i="4"/>
  <c r="G403" i="4"/>
  <c r="J57" i="5"/>
  <c r="J60" i="5" s="1"/>
  <c r="G447" i="4"/>
  <c r="G393" i="4"/>
  <c r="D209" i="4"/>
  <c r="E209" i="4"/>
  <c r="C209" i="4"/>
  <c r="D47" i="4"/>
  <c r="E47" i="4"/>
  <c r="C47" i="4"/>
  <c r="E448" i="4"/>
  <c r="E446" i="4"/>
  <c r="E444" i="4"/>
  <c r="E442" i="4"/>
  <c r="E440" i="4"/>
  <c r="E438" i="4"/>
  <c r="E436" i="4"/>
  <c r="E434" i="4"/>
  <c r="E432" i="4"/>
  <c r="E430" i="4"/>
  <c r="E428" i="4"/>
  <c r="E426" i="4"/>
  <c r="E424" i="4"/>
  <c r="E422" i="4"/>
  <c r="E420" i="4"/>
  <c r="E418" i="4"/>
  <c r="E416" i="4"/>
  <c r="E414" i="4"/>
  <c r="E412" i="4"/>
  <c r="E410" i="4"/>
  <c r="E408" i="4"/>
  <c r="E406" i="4"/>
  <c r="E404" i="4"/>
  <c r="E402" i="4"/>
  <c r="E400" i="4"/>
  <c r="E398" i="4"/>
  <c r="E396" i="4"/>
  <c r="E394" i="4"/>
  <c r="E392" i="4"/>
  <c r="E390" i="4"/>
  <c r="E388" i="4"/>
  <c r="E386" i="4"/>
  <c r="E384" i="4"/>
  <c r="E382" i="4"/>
  <c r="E447" i="4"/>
  <c r="E443" i="4"/>
  <c r="E439" i="4"/>
  <c r="E435" i="4"/>
  <c r="E431" i="4"/>
  <c r="E427" i="4"/>
  <c r="E423" i="4"/>
  <c r="E419" i="4"/>
  <c r="E415" i="4"/>
  <c r="E411" i="4"/>
  <c r="E407" i="4"/>
  <c r="E403" i="4"/>
  <c r="E399" i="4"/>
  <c r="E395" i="4"/>
  <c r="E391" i="4"/>
  <c r="E387" i="4"/>
  <c r="E383" i="4"/>
  <c r="E380" i="4"/>
  <c r="E378" i="4"/>
  <c r="E376" i="4"/>
  <c r="E374" i="4"/>
  <c r="E372" i="4"/>
  <c r="E370" i="4"/>
  <c r="E368" i="4"/>
  <c r="E366" i="4"/>
  <c r="E364" i="4"/>
  <c r="E362" i="4"/>
  <c r="E360" i="4"/>
  <c r="E358" i="4"/>
  <c r="E356" i="4"/>
  <c r="E354" i="4"/>
  <c r="E352" i="4"/>
  <c r="E350" i="4"/>
  <c r="E348" i="4"/>
  <c r="E346" i="4"/>
  <c r="E344" i="4"/>
  <c r="E342" i="4"/>
  <c r="E340" i="4"/>
  <c r="E338" i="4"/>
  <c r="E336" i="4"/>
  <c r="E334" i="4"/>
  <c r="E332" i="4"/>
  <c r="E330" i="4"/>
  <c r="E328" i="4"/>
  <c r="E326" i="4"/>
  <c r="E324" i="4"/>
  <c r="E322" i="4"/>
  <c r="E320" i="4"/>
  <c r="E318" i="4"/>
  <c r="E316" i="4"/>
  <c r="E314" i="4"/>
  <c r="E312" i="4"/>
  <c r="E310" i="4"/>
  <c r="E308" i="4"/>
  <c r="E306" i="4"/>
  <c r="E304" i="4"/>
  <c r="E302" i="4"/>
  <c r="E300" i="4"/>
  <c r="E298" i="4"/>
  <c r="E296" i="4"/>
  <c r="E294" i="4"/>
  <c r="E292" i="4"/>
  <c r="E290" i="4"/>
  <c r="E288" i="4"/>
  <c r="E286" i="4"/>
  <c r="E284" i="4"/>
  <c r="E282" i="4"/>
  <c r="E280" i="4"/>
  <c r="E278" i="4"/>
  <c r="E276" i="4"/>
  <c r="E274" i="4"/>
  <c r="E272" i="4"/>
  <c r="E270" i="4"/>
  <c r="E268" i="4"/>
  <c r="E266" i="4"/>
  <c r="E264" i="4"/>
  <c r="E262" i="4"/>
  <c r="E260" i="4"/>
  <c r="E258" i="4"/>
  <c r="E256" i="4"/>
  <c r="E254" i="4"/>
  <c r="E252" i="4"/>
  <c r="E250" i="4"/>
  <c r="E248" i="4"/>
  <c r="E246" i="4"/>
  <c r="E244" i="4"/>
  <c r="E242" i="4"/>
  <c r="E240" i="4"/>
  <c r="E238" i="4"/>
  <c r="E236" i="4"/>
  <c r="E234" i="4"/>
  <c r="E232" i="4"/>
  <c r="E230" i="4"/>
  <c r="E228" i="4"/>
  <c r="E226" i="4"/>
  <c r="E224" i="4"/>
  <c r="E222" i="4"/>
  <c r="E220" i="4"/>
  <c r="E218" i="4"/>
  <c r="E216" i="4"/>
  <c r="E214" i="4"/>
  <c r="E212" i="4"/>
  <c r="E210" i="4"/>
  <c r="E207" i="4"/>
  <c r="E205" i="4"/>
  <c r="E203" i="4"/>
  <c r="E201" i="4"/>
  <c r="E199" i="4"/>
  <c r="E197" i="4"/>
  <c r="E195" i="4"/>
  <c r="E193" i="4"/>
  <c r="E191" i="4"/>
  <c r="E189" i="4"/>
  <c r="E187" i="4"/>
  <c r="E185" i="4"/>
  <c r="E183" i="4"/>
  <c r="E182" i="4"/>
  <c r="E180" i="4"/>
  <c r="E178" i="4"/>
  <c r="E176" i="4"/>
  <c r="E174" i="4"/>
  <c r="E172" i="4"/>
  <c r="E170" i="4"/>
  <c r="E168" i="4"/>
  <c r="E166" i="4"/>
  <c r="E164" i="4"/>
  <c r="E162" i="4"/>
  <c r="E160" i="4"/>
  <c r="E158" i="4"/>
  <c r="E156" i="4"/>
  <c r="E154" i="4"/>
  <c r="E152" i="4"/>
  <c r="E150" i="4"/>
  <c r="E148" i="4"/>
  <c r="E146" i="4"/>
  <c r="E144" i="4"/>
  <c r="E142" i="4"/>
  <c r="E140" i="4"/>
  <c r="E138" i="4"/>
  <c r="E136" i="4"/>
  <c r="E134" i="4"/>
  <c r="E132" i="4"/>
  <c r="E130" i="4"/>
  <c r="E128" i="4"/>
  <c r="E126" i="4"/>
  <c r="E124" i="4"/>
  <c r="E122" i="4"/>
  <c r="E120" i="4"/>
  <c r="E445" i="4"/>
  <c r="E441" i="4"/>
  <c r="E437" i="4"/>
  <c r="E433" i="4"/>
  <c r="E429" i="4"/>
  <c r="E425" i="4"/>
  <c r="E421" i="4"/>
  <c r="E417" i="4"/>
  <c r="E413" i="4"/>
  <c r="E409" i="4"/>
  <c r="E405" i="4"/>
  <c r="E401" i="4"/>
  <c r="E397" i="4"/>
  <c r="E393" i="4"/>
  <c r="E389" i="4"/>
  <c r="E385" i="4"/>
  <c r="E381" i="4"/>
  <c r="E379" i="4"/>
  <c r="E377" i="4"/>
  <c r="E375" i="4"/>
  <c r="E373" i="4"/>
  <c r="E371" i="4"/>
  <c r="E369" i="4"/>
  <c r="E367" i="4"/>
  <c r="E365" i="4"/>
  <c r="E363" i="4"/>
  <c r="E361" i="4"/>
  <c r="E359" i="4"/>
  <c r="E357" i="4"/>
  <c r="E355" i="4"/>
  <c r="E353" i="4"/>
  <c r="E351" i="4"/>
  <c r="E349" i="4"/>
  <c r="E347" i="4"/>
  <c r="E345" i="4"/>
  <c r="E343" i="4"/>
  <c r="E341" i="4"/>
  <c r="E339" i="4"/>
  <c r="E337" i="4"/>
  <c r="E335" i="4"/>
  <c r="E333" i="4"/>
  <c r="E331" i="4"/>
  <c r="E329" i="4"/>
  <c r="E327" i="4"/>
  <c r="E325" i="4"/>
  <c r="E323" i="4"/>
  <c r="E321" i="4"/>
  <c r="E319" i="4"/>
  <c r="E317" i="4"/>
  <c r="E315" i="4"/>
  <c r="E313" i="4"/>
  <c r="E311" i="4"/>
  <c r="E309" i="4"/>
  <c r="E307" i="4"/>
  <c r="E305" i="4"/>
  <c r="E303" i="4"/>
  <c r="E301" i="4"/>
  <c r="E299" i="4"/>
  <c r="E297" i="4"/>
  <c r="E295" i="4"/>
  <c r="E293" i="4"/>
  <c r="E291" i="4"/>
  <c r="E289" i="4"/>
  <c r="E287" i="4"/>
  <c r="E285" i="4"/>
  <c r="E283" i="4"/>
  <c r="E281" i="4"/>
  <c r="E279" i="4"/>
  <c r="E277" i="4"/>
  <c r="E275" i="4"/>
  <c r="E273" i="4"/>
  <c r="E271" i="4"/>
  <c r="E269" i="4"/>
  <c r="E267" i="4"/>
  <c r="E265" i="4"/>
  <c r="E263" i="4"/>
  <c r="E261" i="4"/>
  <c r="E259" i="4"/>
  <c r="E257" i="4"/>
  <c r="E255" i="4"/>
  <c r="E253" i="4"/>
  <c r="E251" i="4"/>
  <c r="E249" i="4"/>
  <c r="E247" i="4"/>
  <c r="E245" i="4"/>
  <c r="E243" i="4"/>
  <c r="E241" i="4"/>
  <c r="E239" i="4"/>
  <c r="E237" i="4"/>
  <c r="E235" i="4"/>
  <c r="E233" i="4"/>
  <c r="E231" i="4"/>
  <c r="E229" i="4"/>
  <c r="E227" i="4"/>
  <c r="E225" i="4"/>
  <c r="E223" i="4"/>
  <c r="E221" i="4"/>
  <c r="E219" i="4"/>
  <c r="E217" i="4"/>
  <c r="E215" i="4"/>
  <c r="E213" i="4"/>
  <c r="E211" i="4"/>
  <c r="E208" i="4"/>
  <c r="E206" i="4"/>
  <c r="E204" i="4"/>
  <c r="E202" i="4"/>
  <c r="E200" i="4"/>
  <c r="E198" i="4"/>
  <c r="E196" i="4"/>
  <c r="E194" i="4"/>
  <c r="E192" i="4"/>
  <c r="E190" i="4"/>
  <c r="E188" i="4"/>
  <c r="E186" i="4"/>
  <c r="E184" i="4"/>
  <c r="E181" i="4"/>
  <c r="E179" i="4"/>
  <c r="E177" i="4"/>
  <c r="E175" i="4"/>
  <c r="E173" i="4"/>
  <c r="E171" i="4"/>
  <c r="E169" i="4"/>
  <c r="E167" i="4"/>
  <c r="E165" i="4"/>
  <c r="E163" i="4"/>
  <c r="E161" i="4"/>
  <c r="E159" i="4"/>
  <c r="E157" i="4"/>
  <c r="E155" i="4"/>
  <c r="E153" i="4"/>
  <c r="E151" i="4"/>
  <c r="E149" i="4"/>
  <c r="E147" i="4"/>
  <c r="E145" i="4"/>
  <c r="E143" i="4"/>
  <c r="E141" i="4"/>
  <c r="E139" i="4"/>
  <c r="E137" i="4"/>
  <c r="E135" i="4"/>
  <c r="E133" i="4"/>
  <c r="E131" i="4"/>
  <c r="E129" i="4"/>
  <c r="E127" i="4"/>
  <c r="E125" i="4"/>
  <c r="E123" i="4"/>
  <c r="E121" i="4"/>
  <c r="E119" i="4"/>
  <c r="E118" i="4"/>
  <c r="E116" i="4"/>
  <c r="E114" i="4"/>
  <c r="E112" i="4"/>
  <c r="E110" i="4"/>
  <c r="E108" i="4"/>
  <c r="E106" i="4"/>
  <c r="E104" i="4"/>
  <c r="E102" i="4"/>
  <c r="E100" i="4"/>
  <c r="E98" i="4"/>
  <c r="E96" i="4"/>
  <c r="E94" i="4"/>
  <c r="E92" i="4"/>
  <c r="E90" i="4"/>
  <c r="E88" i="4"/>
  <c r="E86" i="4"/>
  <c r="E84" i="4"/>
  <c r="E82" i="4"/>
  <c r="E80" i="4"/>
  <c r="E78" i="4"/>
  <c r="E76" i="4"/>
  <c r="E74" i="4"/>
  <c r="E72" i="4"/>
  <c r="E70" i="4"/>
  <c r="E68" i="4"/>
  <c r="E66" i="4"/>
  <c r="E64" i="4"/>
  <c r="E62" i="4"/>
  <c r="E60" i="4"/>
  <c r="E58" i="4"/>
  <c r="E56" i="4"/>
  <c r="E54" i="4"/>
  <c r="E52" i="4"/>
  <c r="E50" i="4"/>
  <c r="E48" i="4"/>
  <c r="E45" i="4"/>
  <c r="E43" i="4"/>
  <c r="E41" i="4"/>
  <c r="E39" i="4"/>
  <c r="E37" i="4"/>
  <c r="E35" i="4"/>
  <c r="E33" i="4"/>
  <c r="E31" i="4"/>
  <c r="E29" i="4"/>
  <c r="E27" i="4"/>
  <c r="E25" i="4"/>
  <c r="E23" i="4"/>
  <c r="E21" i="4"/>
  <c r="E19" i="4"/>
  <c r="E17" i="4"/>
  <c r="E15" i="4"/>
  <c r="E13" i="4"/>
  <c r="E11" i="4"/>
  <c r="E9" i="4"/>
  <c r="E117" i="4"/>
  <c r="E115" i="4"/>
  <c r="E113" i="4"/>
  <c r="E111" i="4"/>
  <c r="E109" i="4"/>
  <c r="E107" i="4"/>
  <c r="E105" i="4"/>
  <c r="E103" i="4"/>
  <c r="E101" i="4"/>
  <c r="E99" i="4"/>
  <c r="E97" i="4"/>
  <c r="E95" i="4"/>
  <c r="E93" i="4"/>
  <c r="E91" i="4"/>
  <c r="E89" i="4"/>
  <c r="E87" i="4"/>
  <c r="E85" i="4"/>
  <c r="E83" i="4"/>
  <c r="E81" i="4"/>
  <c r="E79" i="4"/>
  <c r="E77" i="4"/>
  <c r="E75" i="4"/>
  <c r="E73" i="4"/>
  <c r="E71" i="4"/>
  <c r="E69" i="4"/>
  <c r="E67" i="4"/>
  <c r="E65" i="4"/>
  <c r="E63" i="4"/>
  <c r="E61" i="4"/>
  <c r="E59" i="4"/>
  <c r="E57" i="4"/>
  <c r="E55" i="4"/>
  <c r="E53" i="4"/>
  <c r="E51" i="4"/>
  <c r="E49" i="4"/>
  <c r="E46" i="4"/>
  <c r="E44" i="4"/>
  <c r="E42" i="4"/>
  <c r="E40" i="4"/>
  <c r="E38" i="4"/>
  <c r="E36" i="4"/>
  <c r="E34" i="4"/>
  <c r="E32" i="4"/>
  <c r="E30" i="4"/>
  <c r="E28" i="4"/>
  <c r="E26" i="4"/>
  <c r="E24" i="4"/>
  <c r="E22" i="4"/>
  <c r="E20" i="4"/>
  <c r="E18" i="4"/>
  <c r="E16" i="4"/>
  <c r="E14" i="4"/>
  <c r="E12" i="4"/>
  <c r="E10" i="4"/>
  <c r="E8" i="4"/>
  <c r="D435" i="4"/>
  <c r="C415" i="4"/>
  <c r="D413" i="4"/>
  <c r="C403" i="4"/>
  <c r="D393" i="4"/>
  <c r="D382" i="4"/>
  <c r="C368" i="4"/>
  <c r="C357" i="4"/>
  <c r="D356" i="4"/>
  <c r="D343" i="4"/>
  <c r="C435" i="4"/>
  <c r="D415" i="4"/>
  <c r="C413" i="4"/>
  <c r="D403" i="4"/>
  <c r="C393" i="4"/>
  <c r="C382" i="4"/>
  <c r="D368" i="4"/>
  <c r="D357" i="4"/>
  <c r="C356" i="4"/>
  <c r="C343" i="4"/>
  <c r="C320" i="4"/>
  <c r="D320" i="4"/>
  <c r="C299" i="4"/>
  <c r="C296" i="4"/>
  <c r="D299" i="4"/>
  <c r="D296" i="4"/>
  <c r="C267" i="4"/>
  <c r="C260" i="4"/>
  <c r="D267" i="4"/>
  <c r="D260" i="4"/>
  <c r="C242" i="4"/>
  <c r="I196" i="4"/>
  <c r="C196" i="4"/>
  <c r="D195" i="4"/>
  <c r="D189" i="4"/>
  <c r="C188" i="4"/>
  <c r="C171" i="4"/>
  <c r="D151" i="4"/>
  <c r="C151" i="4"/>
  <c r="D145" i="4"/>
  <c r="D144" i="4"/>
  <c r="D242" i="4"/>
  <c r="D196" i="4"/>
  <c r="I195" i="4"/>
  <c r="C195" i="4"/>
  <c r="I189" i="4"/>
  <c r="C189" i="4"/>
  <c r="D188" i="4"/>
  <c r="D171" i="4"/>
  <c r="D122" i="4"/>
  <c r="C145" i="4"/>
  <c r="C144" i="4"/>
  <c r="C122" i="4"/>
  <c r="D113" i="4"/>
  <c r="D110" i="4"/>
  <c r="D77" i="4"/>
  <c r="C67" i="4"/>
  <c r="D61" i="4"/>
  <c r="D56" i="4"/>
  <c r="C52" i="4"/>
  <c r="C113" i="4"/>
  <c r="C110" i="4"/>
  <c r="C77" i="4"/>
  <c r="D67" i="4"/>
  <c r="C61" i="4"/>
  <c r="C56" i="4"/>
  <c r="D52" i="4"/>
  <c r="D49" i="4"/>
  <c r="D25" i="4"/>
  <c r="C49" i="4"/>
  <c r="C25" i="4"/>
  <c r="A2" i="6"/>
  <c r="G18" i="6" s="1"/>
  <c r="C108" i="4"/>
  <c r="C84" i="4"/>
  <c r="C118" i="4"/>
  <c r="C100" i="4"/>
  <c r="C92" i="4"/>
  <c r="C114" i="4"/>
  <c r="C104" i="4"/>
  <c r="C96" i="4"/>
  <c r="C88" i="4"/>
  <c r="D8" i="4"/>
  <c r="D10" i="4"/>
  <c r="D12" i="4"/>
  <c r="D14" i="4"/>
  <c r="D16" i="4"/>
  <c r="D18" i="4"/>
  <c r="D20" i="4"/>
  <c r="D22" i="4"/>
  <c r="D24" i="4"/>
  <c r="D27" i="4"/>
  <c r="D29" i="4"/>
  <c r="D31" i="4"/>
  <c r="D33" i="4"/>
  <c r="D35" i="4"/>
  <c r="D37" i="4"/>
  <c r="D39" i="4"/>
  <c r="D41" i="4"/>
  <c r="D43" i="4"/>
  <c r="D45" i="4"/>
  <c r="D48" i="4"/>
  <c r="D51" i="4"/>
  <c r="D54" i="4"/>
  <c r="D57" i="4"/>
  <c r="D59" i="4"/>
  <c r="D62" i="4"/>
  <c r="D64" i="4"/>
  <c r="D66" i="4"/>
  <c r="D69" i="4"/>
  <c r="D71" i="4"/>
  <c r="D73" i="4"/>
  <c r="D75" i="4"/>
  <c r="D78" i="4"/>
  <c r="D80" i="4"/>
  <c r="D82" i="4"/>
  <c r="D84" i="4"/>
  <c r="D86" i="4"/>
  <c r="D88" i="4"/>
  <c r="D90" i="4"/>
  <c r="D92" i="4"/>
  <c r="D94" i="4"/>
  <c r="D96" i="4"/>
  <c r="D98" i="4"/>
  <c r="D100" i="4"/>
  <c r="D102" i="4"/>
  <c r="D104" i="4"/>
  <c r="D106" i="4"/>
  <c r="D108" i="4"/>
  <c r="D111" i="4"/>
  <c r="D114" i="4"/>
  <c r="D116" i="4"/>
  <c r="D118" i="4"/>
  <c r="D119" i="4"/>
  <c r="D121" i="4"/>
  <c r="D124" i="4"/>
  <c r="D126" i="4"/>
  <c r="D128" i="4"/>
  <c r="D130" i="4"/>
  <c r="D132" i="4"/>
  <c r="D134" i="4"/>
  <c r="D136" i="4"/>
  <c r="D138" i="4"/>
  <c r="D140" i="4"/>
  <c r="D142" i="4"/>
  <c r="D146" i="4"/>
  <c r="D148" i="4"/>
  <c r="D150" i="4"/>
  <c r="D153" i="4"/>
  <c r="D155" i="4"/>
  <c r="D157" i="4"/>
  <c r="D159" i="4"/>
  <c r="D161" i="4"/>
  <c r="D163" i="4"/>
  <c r="D165" i="4"/>
  <c r="D167" i="4"/>
  <c r="D169" i="4"/>
  <c r="D172" i="4"/>
  <c r="D174" i="4"/>
  <c r="D176" i="4"/>
  <c r="D178" i="4"/>
  <c r="D180" i="4"/>
  <c r="D182" i="4"/>
  <c r="D183" i="4"/>
  <c r="D185" i="4"/>
  <c r="D9" i="4"/>
  <c r="D13" i="4"/>
  <c r="D17" i="4"/>
  <c r="D21" i="4"/>
  <c r="D26" i="4"/>
  <c r="D30" i="4"/>
  <c r="D34" i="4"/>
  <c r="D38" i="4"/>
  <c r="D42" i="4"/>
  <c r="D46" i="4"/>
  <c r="D53" i="4"/>
  <c r="D58" i="4"/>
  <c r="D63" i="4"/>
  <c r="D68" i="4"/>
  <c r="D72" i="4"/>
  <c r="D76" i="4"/>
  <c r="D81" i="4"/>
  <c r="D85" i="4"/>
  <c r="D89" i="4"/>
  <c r="D93" i="4"/>
  <c r="D97" i="4"/>
  <c r="D101" i="4"/>
  <c r="D105" i="4"/>
  <c r="D109" i="4"/>
  <c r="D115" i="4"/>
  <c r="D123" i="4"/>
  <c r="D127" i="4"/>
  <c r="D131" i="4"/>
  <c r="D135" i="4"/>
  <c r="D139" i="4"/>
  <c r="D143" i="4"/>
  <c r="D149" i="4"/>
  <c r="D154" i="4"/>
  <c r="D158" i="4"/>
  <c r="D162" i="4"/>
  <c r="D166" i="4"/>
  <c r="D170" i="4"/>
  <c r="D175" i="4"/>
  <c r="D179" i="4"/>
  <c r="D186" i="4"/>
  <c r="D190" i="4"/>
  <c r="D192" i="4"/>
  <c r="D194" i="4"/>
  <c r="D198" i="4"/>
  <c r="D200" i="4"/>
  <c r="D202" i="4"/>
  <c r="D204" i="4"/>
  <c r="D206" i="4"/>
  <c r="D208" i="4"/>
  <c r="D211" i="4"/>
  <c r="D213" i="4"/>
  <c r="D215" i="4"/>
  <c r="D217" i="4"/>
  <c r="D219" i="4"/>
  <c r="D221" i="4"/>
  <c r="D223" i="4"/>
  <c r="D225" i="4"/>
  <c r="D227" i="4"/>
  <c r="D229" i="4"/>
  <c r="D231" i="4"/>
  <c r="D233" i="4"/>
  <c r="D235" i="4"/>
  <c r="D237" i="4"/>
  <c r="D239" i="4"/>
  <c r="D241" i="4"/>
  <c r="D244" i="4"/>
  <c r="D246" i="4"/>
  <c r="D248" i="4"/>
  <c r="D250" i="4"/>
  <c r="D251" i="4"/>
  <c r="D253" i="4"/>
  <c r="D255" i="4"/>
  <c r="D257" i="4"/>
  <c r="D259" i="4"/>
  <c r="D262" i="4"/>
  <c r="D264" i="4"/>
  <c r="D266" i="4"/>
  <c r="D269" i="4"/>
  <c r="D271" i="4"/>
  <c r="D273" i="4"/>
  <c r="D275" i="4"/>
  <c r="D277" i="4"/>
  <c r="D279" i="4"/>
  <c r="D281" i="4"/>
  <c r="D283" i="4"/>
  <c r="D285" i="4"/>
  <c r="D287" i="4"/>
  <c r="D289" i="4"/>
  <c r="D291" i="4"/>
  <c r="D293" i="4"/>
  <c r="D297" i="4"/>
  <c r="D295" i="4"/>
  <c r="D301" i="4"/>
  <c r="D303" i="4"/>
  <c r="D305" i="4"/>
  <c r="D307" i="4"/>
  <c r="D309" i="4"/>
  <c r="D311" i="4"/>
  <c r="D313" i="4"/>
  <c r="D315" i="4"/>
  <c r="D317" i="4"/>
  <c r="D319" i="4"/>
  <c r="D322" i="4"/>
  <c r="D324" i="4"/>
  <c r="D326" i="4"/>
  <c r="D328" i="4"/>
  <c r="D330" i="4"/>
  <c r="D332" i="4"/>
  <c r="D334" i="4"/>
  <c r="D336" i="4"/>
  <c r="D338" i="4"/>
  <c r="D340" i="4"/>
  <c r="D342" i="4"/>
  <c r="D345" i="4"/>
  <c r="D347" i="4"/>
  <c r="D349" i="4"/>
  <c r="D351" i="4"/>
  <c r="D353" i="4"/>
  <c r="D355" i="4"/>
  <c r="D359" i="4"/>
  <c r="D361" i="4"/>
  <c r="D363" i="4"/>
  <c r="D365" i="4"/>
  <c r="D367" i="4"/>
  <c r="D370" i="4"/>
  <c r="D372" i="4"/>
  <c r="D374" i="4"/>
  <c r="D376" i="4"/>
  <c r="D378" i="4"/>
  <c r="D380" i="4"/>
  <c r="D383" i="4"/>
  <c r="D385" i="4"/>
  <c r="D387" i="4"/>
  <c r="D389" i="4"/>
  <c r="D391" i="4"/>
  <c r="D394" i="4"/>
  <c r="D396" i="4"/>
  <c r="D398" i="4"/>
  <c r="D400" i="4"/>
  <c r="D402" i="4"/>
  <c r="D405" i="4"/>
  <c r="D407" i="4"/>
  <c r="D409" i="4"/>
  <c r="D411" i="4"/>
  <c r="D414" i="4"/>
  <c r="D417" i="4"/>
  <c r="D419" i="4"/>
  <c r="D421" i="4"/>
  <c r="D423" i="4"/>
  <c r="D425" i="4"/>
  <c r="D427" i="4"/>
  <c r="D429" i="4"/>
  <c r="D431" i="4"/>
  <c r="D433" i="4"/>
  <c r="D436" i="4"/>
  <c r="D438" i="4"/>
  <c r="D440" i="4"/>
  <c r="D442" i="4"/>
  <c r="D444" i="4"/>
  <c r="D446" i="4"/>
  <c r="D448" i="4"/>
  <c r="D15" i="4"/>
  <c r="D23" i="4"/>
  <c r="D32" i="4"/>
  <c r="D40" i="4"/>
  <c r="D50" i="4"/>
  <c r="D60" i="4"/>
  <c r="D70" i="4"/>
  <c r="D79" i="4"/>
  <c r="D87" i="4"/>
  <c r="D95" i="4"/>
  <c r="D103" i="4"/>
  <c r="D112" i="4"/>
  <c r="D120" i="4"/>
  <c r="D129" i="4"/>
  <c r="D137" i="4"/>
  <c r="D147" i="4"/>
  <c r="D156" i="4"/>
  <c r="D164" i="4"/>
  <c r="D173" i="4"/>
  <c r="D181" i="4"/>
  <c r="D187" i="4"/>
  <c r="D193" i="4"/>
  <c r="D199" i="4"/>
  <c r="D203" i="4"/>
  <c r="D207" i="4"/>
  <c r="D212" i="4"/>
  <c r="D216" i="4"/>
  <c r="D220" i="4"/>
  <c r="D224" i="4"/>
  <c r="D228" i="4"/>
  <c r="D232" i="4"/>
  <c r="D236" i="4"/>
  <c r="D240" i="4"/>
  <c r="D245" i="4"/>
  <c r="D249" i="4"/>
  <c r="D252" i="4"/>
  <c r="D256" i="4"/>
  <c r="D261" i="4"/>
  <c r="D265" i="4"/>
  <c r="D270" i="4"/>
  <c r="D274" i="4"/>
  <c r="D278" i="4"/>
  <c r="D282" i="4"/>
  <c r="D286" i="4"/>
  <c r="D290" i="4"/>
  <c r="D294" i="4"/>
  <c r="D300" i="4"/>
  <c r="D304" i="4"/>
  <c r="D308" i="4"/>
  <c r="D312" i="4"/>
  <c r="D316" i="4"/>
  <c r="D321" i="4"/>
  <c r="D325" i="4"/>
  <c r="D329" i="4"/>
  <c r="D333" i="4"/>
  <c r="D337" i="4"/>
  <c r="D341" i="4"/>
  <c r="D346" i="4"/>
  <c r="D350" i="4"/>
  <c r="D354" i="4"/>
  <c r="D360" i="4"/>
  <c r="D364" i="4"/>
  <c r="D369" i="4"/>
  <c r="D373" i="4"/>
  <c r="D377" i="4"/>
  <c r="D381" i="4"/>
  <c r="D386" i="4"/>
  <c r="D390" i="4"/>
  <c r="D395" i="4"/>
  <c r="D399" i="4"/>
  <c r="D404" i="4"/>
  <c r="D408" i="4"/>
  <c r="D412" i="4"/>
  <c r="D418" i="4"/>
  <c r="D422" i="4"/>
  <c r="D426" i="4"/>
  <c r="D430" i="4"/>
  <c r="D434" i="4"/>
  <c r="D439" i="4"/>
  <c r="D443" i="4"/>
  <c r="D447" i="4"/>
  <c r="D11" i="4"/>
  <c r="D19" i="4"/>
  <c r="D28" i="4"/>
  <c r="D36" i="4"/>
  <c r="D44" i="4"/>
  <c r="D55" i="4"/>
  <c r="D65" i="4"/>
  <c r="D74" i="4"/>
  <c r="D83" i="4"/>
  <c r="D91" i="4"/>
  <c r="D99" i="4"/>
  <c r="D107" i="4"/>
  <c r="D117" i="4"/>
  <c r="D125" i="4"/>
  <c r="D133" i="4"/>
  <c r="D141" i="4"/>
  <c r="D152" i="4"/>
  <c r="D160" i="4"/>
  <c r="D168" i="4"/>
  <c r="D177" i="4"/>
  <c r="D184" i="4"/>
  <c r="D191" i="4"/>
  <c r="D197" i="4"/>
  <c r="D201" i="4"/>
  <c r="D205" i="4"/>
  <c r="D210" i="4"/>
  <c r="D214" i="4"/>
  <c r="D218" i="4"/>
  <c r="D222" i="4"/>
  <c r="D226" i="4"/>
  <c r="D230" i="4"/>
  <c r="D234" i="4"/>
  <c r="D238" i="4"/>
  <c r="D243" i="4"/>
  <c r="D247" i="4"/>
  <c r="D254" i="4"/>
  <c r="D258" i="4"/>
  <c r="D263" i="4"/>
  <c r="D268" i="4"/>
  <c r="D272" i="4"/>
  <c r="D276" i="4"/>
  <c r="D280" i="4"/>
  <c r="D284" i="4"/>
  <c r="D288" i="4"/>
  <c r="D292" i="4"/>
  <c r="D298" i="4"/>
  <c r="D302" i="4"/>
  <c r="D306" i="4"/>
  <c r="D310" i="4"/>
  <c r="D314" i="4"/>
  <c r="D318" i="4"/>
  <c r="D323" i="4"/>
  <c r="D327" i="4"/>
  <c r="D331" i="4"/>
  <c r="D335" i="4"/>
  <c r="D339" i="4"/>
  <c r="D344" i="4"/>
  <c r="D348" i="4"/>
  <c r="D352" i="4"/>
  <c r="D358" i="4"/>
  <c r="D362" i="4"/>
  <c r="D366" i="4"/>
  <c r="D371" i="4"/>
  <c r="D375" i="4"/>
  <c r="D379" i="4"/>
  <c r="D384" i="4"/>
  <c r="D388" i="4"/>
  <c r="D392" i="4"/>
  <c r="D397" i="4"/>
  <c r="D401" i="4"/>
  <c r="D406" i="4"/>
  <c r="D410" i="4"/>
  <c r="D416" i="4"/>
  <c r="D420" i="4"/>
  <c r="D424" i="4"/>
  <c r="D428" i="4"/>
  <c r="D432" i="4"/>
  <c r="D437" i="4"/>
  <c r="D441" i="4"/>
  <c r="D445" i="4"/>
  <c r="C116" i="4"/>
  <c r="C111" i="4"/>
  <c r="C106" i="4"/>
  <c r="C102" i="4"/>
  <c r="C98" i="4"/>
  <c r="C94" i="4"/>
  <c r="C90" i="4"/>
  <c r="C86" i="4"/>
  <c r="C9" i="4"/>
  <c r="C175" i="4"/>
  <c r="C173" i="4"/>
  <c r="C170" i="4"/>
  <c r="C168" i="4"/>
  <c r="C166" i="4"/>
  <c r="C164" i="4"/>
  <c r="C162" i="4"/>
  <c r="C160" i="4"/>
  <c r="C158" i="4"/>
  <c r="C156" i="4"/>
  <c r="C154" i="4"/>
  <c r="C152" i="4"/>
  <c r="C149" i="4"/>
  <c r="C147" i="4"/>
  <c r="C143" i="4"/>
  <c r="C141" i="4"/>
  <c r="C139" i="4"/>
  <c r="C137" i="4"/>
  <c r="C135" i="4"/>
  <c r="C133" i="4"/>
  <c r="C131" i="4"/>
  <c r="C129" i="4"/>
  <c r="C127" i="4"/>
  <c r="C125" i="4"/>
  <c r="C123" i="4"/>
  <c r="C120" i="4"/>
  <c r="C174" i="4"/>
  <c r="C172" i="4"/>
  <c r="C169" i="4"/>
  <c r="C167" i="4"/>
  <c r="C165" i="4"/>
  <c r="C163" i="4"/>
  <c r="C161" i="4"/>
  <c r="C159" i="4"/>
  <c r="C157" i="4"/>
  <c r="C155" i="4"/>
  <c r="C153" i="4"/>
  <c r="C150" i="4"/>
  <c r="C148" i="4"/>
  <c r="C146" i="4"/>
  <c r="C142" i="4"/>
  <c r="C140" i="4"/>
  <c r="C138" i="4"/>
  <c r="C136" i="4"/>
  <c r="C134" i="4"/>
  <c r="C132" i="4"/>
  <c r="C130" i="4"/>
  <c r="C128" i="4"/>
  <c r="C126" i="4"/>
  <c r="C124" i="4"/>
  <c r="C121" i="4"/>
  <c r="C119" i="4"/>
  <c r="C448" i="4"/>
  <c r="C446" i="4"/>
  <c r="C444" i="4"/>
  <c r="C442" i="4"/>
  <c r="C440" i="4"/>
  <c r="C438" i="4"/>
  <c r="C436" i="4"/>
  <c r="C433" i="4"/>
  <c r="C431" i="4"/>
  <c r="C429" i="4"/>
  <c r="C427" i="4"/>
  <c r="C425" i="4"/>
  <c r="C423" i="4"/>
  <c r="C421" i="4"/>
  <c r="C419" i="4"/>
  <c r="C417" i="4"/>
  <c r="C414" i="4"/>
  <c r="C411" i="4"/>
  <c r="C409" i="4"/>
  <c r="C407" i="4"/>
  <c r="C405" i="4"/>
  <c r="C402" i="4"/>
  <c r="C400" i="4"/>
  <c r="C398" i="4"/>
  <c r="C396" i="4"/>
  <c r="C394" i="4"/>
  <c r="C391" i="4"/>
  <c r="C389" i="4"/>
  <c r="C387" i="4"/>
  <c r="C385" i="4"/>
  <c r="C383" i="4"/>
  <c r="C380" i="4"/>
  <c r="C378" i="4"/>
  <c r="C376" i="4"/>
  <c r="C374" i="4"/>
  <c r="C372" i="4"/>
  <c r="C370" i="4"/>
  <c r="C367" i="4"/>
  <c r="C365" i="4"/>
  <c r="C363" i="4"/>
  <c r="C361" i="4"/>
  <c r="C359" i="4"/>
  <c r="C355" i="4"/>
  <c r="C353" i="4"/>
  <c r="C351" i="4"/>
  <c r="C349" i="4"/>
  <c r="C347" i="4"/>
  <c r="C345" i="4"/>
  <c r="C342" i="4"/>
  <c r="C340" i="4"/>
  <c r="C338" i="4"/>
  <c r="C336" i="4"/>
  <c r="C334" i="4"/>
  <c r="C332" i="4"/>
  <c r="C330" i="4"/>
  <c r="C328" i="4"/>
  <c r="C326" i="4"/>
  <c r="C324" i="4"/>
  <c r="C322" i="4"/>
  <c r="C319" i="4"/>
  <c r="C317" i="4"/>
  <c r="C315" i="4"/>
  <c r="C313" i="4"/>
  <c r="C311" i="4"/>
  <c r="C309" i="4"/>
  <c r="C307" i="4"/>
  <c r="C305" i="4"/>
  <c r="C303" i="4"/>
  <c r="C301" i="4"/>
  <c r="C295" i="4"/>
  <c r="C297" i="4"/>
  <c r="C293" i="4"/>
  <c r="C291" i="4"/>
  <c r="C289" i="4"/>
  <c r="C287" i="4"/>
  <c r="C285" i="4"/>
  <c r="C283" i="4"/>
  <c r="C281" i="4"/>
  <c r="C279" i="4"/>
  <c r="C277" i="4"/>
  <c r="C275" i="4"/>
  <c r="C273" i="4"/>
  <c r="C271" i="4"/>
  <c r="C269" i="4"/>
  <c r="C266" i="4"/>
  <c r="C447" i="4"/>
  <c r="C445" i="4"/>
  <c r="C443" i="4"/>
  <c r="C441" i="4"/>
  <c r="C439" i="4"/>
  <c r="C437" i="4"/>
  <c r="C434" i="4"/>
  <c r="C432" i="4"/>
  <c r="C430" i="4"/>
  <c r="C428" i="4"/>
  <c r="C426" i="4"/>
  <c r="C424" i="4"/>
  <c r="C422" i="4"/>
  <c r="C420" i="4"/>
  <c r="C418" i="4"/>
  <c r="C416" i="4"/>
  <c r="C412" i="4"/>
  <c r="C410" i="4"/>
  <c r="C408" i="4"/>
  <c r="C406" i="4"/>
  <c r="C404" i="4"/>
  <c r="C401" i="4"/>
  <c r="C399" i="4"/>
  <c r="C397" i="4"/>
  <c r="C395" i="4"/>
  <c r="C392" i="4"/>
  <c r="C390" i="4"/>
  <c r="C388" i="4"/>
  <c r="C386" i="4"/>
  <c r="C384" i="4"/>
  <c r="C381" i="4"/>
  <c r="C379" i="4"/>
  <c r="C377" i="4"/>
  <c r="C375" i="4"/>
  <c r="C373" i="4"/>
  <c r="C371" i="4"/>
  <c r="C369" i="4"/>
  <c r="C366" i="4"/>
  <c r="C364" i="4"/>
  <c r="C362" i="4"/>
  <c r="C360" i="4"/>
  <c r="C358" i="4"/>
  <c r="C354" i="4"/>
  <c r="C352" i="4"/>
  <c r="C350" i="4"/>
  <c r="C348" i="4"/>
  <c r="C346" i="4"/>
  <c r="C344" i="4"/>
  <c r="C341" i="4"/>
  <c r="C339" i="4"/>
  <c r="C337" i="4"/>
  <c r="C335" i="4"/>
  <c r="C333" i="4"/>
  <c r="C331" i="4"/>
  <c r="C329" i="4"/>
  <c r="C327" i="4"/>
  <c r="C325" i="4"/>
  <c r="C323" i="4"/>
  <c r="C321" i="4"/>
  <c r="C318" i="4"/>
  <c r="C316" i="4"/>
  <c r="C314" i="4"/>
  <c r="C312" i="4"/>
  <c r="C310" i="4"/>
  <c r="C308" i="4"/>
  <c r="C306" i="4"/>
  <c r="C304" i="4"/>
  <c r="C302" i="4"/>
  <c r="C300" i="4"/>
  <c r="C298" i="4"/>
  <c r="C294" i="4"/>
  <c r="C292" i="4"/>
  <c r="C290" i="4"/>
  <c r="C288" i="4"/>
  <c r="C286" i="4"/>
  <c r="C284" i="4"/>
  <c r="C282" i="4"/>
  <c r="C280" i="4"/>
  <c r="C278" i="4"/>
  <c r="C276" i="4"/>
  <c r="C274" i="4"/>
  <c r="C272" i="4"/>
  <c r="C270" i="4"/>
  <c r="C268" i="4"/>
  <c r="C265" i="4"/>
  <c r="C263" i="4"/>
  <c r="C261" i="4"/>
  <c r="C258" i="4"/>
  <c r="C256" i="4"/>
  <c r="C254" i="4"/>
  <c r="C252" i="4"/>
  <c r="C249" i="4"/>
  <c r="C247" i="4"/>
  <c r="C245" i="4"/>
  <c r="C243" i="4"/>
  <c r="C240" i="4"/>
  <c r="C238" i="4"/>
  <c r="C236" i="4"/>
  <c r="C234" i="4"/>
  <c r="C232" i="4"/>
  <c r="C230" i="4"/>
  <c r="C228" i="4"/>
  <c r="C226" i="4"/>
  <c r="C224" i="4"/>
  <c r="C222" i="4"/>
  <c r="C220" i="4"/>
  <c r="C218" i="4"/>
  <c r="C216" i="4"/>
  <c r="C214" i="4"/>
  <c r="C212" i="4"/>
  <c r="C210" i="4"/>
  <c r="C207" i="4"/>
  <c r="C205" i="4"/>
  <c r="C203" i="4"/>
  <c r="C201" i="4"/>
  <c r="C199" i="4"/>
  <c r="C197" i="4"/>
  <c r="C193" i="4"/>
  <c r="C191" i="4"/>
  <c r="C187" i="4"/>
  <c r="C185" i="4"/>
  <c r="C183" i="4"/>
  <c r="C182" i="4"/>
  <c r="C180" i="4"/>
  <c r="C178" i="4"/>
  <c r="C176" i="4"/>
  <c r="C264" i="4"/>
  <c r="C262" i="4"/>
  <c r="C259" i="4"/>
  <c r="C257" i="4"/>
  <c r="C255" i="4"/>
  <c r="C253" i="4"/>
  <c r="C251" i="4"/>
  <c r="C250" i="4"/>
  <c r="C248" i="4"/>
  <c r="C246" i="4"/>
  <c r="C244" i="4"/>
  <c r="C241" i="4"/>
  <c r="C239" i="4"/>
  <c r="C237" i="4"/>
  <c r="C235" i="4"/>
  <c r="C233" i="4"/>
  <c r="C231" i="4"/>
  <c r="C229" i="4"/>
  <c r="C227" i="4"/>
  <c r="C225" i="4"/>
  <c r="C223" i="4"/>
  <c r="C221" i="4"/>
  <c r="C219" i="4"/>
  <c r="C217" i="4"/>
  <c r="C215" i="4"/>
  <c r="C213" i="4"/>
  <c r="C211" i="4"/>
  <c r="C208" i="4"/>
  <c r="C206" i="4"/>
  <c r="C204" i="4"/>
  <c r="C202" i="4"/>
  <c r="C200" i="4"/>
  <c r="C198" i="4"/>
  <c r="C194" i="4"/>
  <c r="C192" i="4"/>
  <c r="C190" i="4"/>
  <c r="C186" i="4"/>
  <c r="C184" i="4"/>
  <c r="C181" i="4"/>
  <c r="C179" i="4"/>
  <c r="C177" i="4"/>
  <c r="C82" i="4"/>
  <c r="C80" i="4"/>
  <c r="C78" i="4"/>
  <c r="C75" i="4"/>
  <c r="C73" i="4"/>
  <c r="C71" i="4"/>
  <c r="C69" i="4"/>
  <c r="C66" i="4"/>
  <c r="C64" i="4"/>
  <c r="C62" i="4"/>
  <c r="C59" i="4"/>
  <c r="C57" i="4"/>
  <c r="C54" i="4"/>
  <c r="C51" i="4"/>
  <c r="C48" i="4"/>
  <c r="C45" i="4"/>
  <c r="C43" i="4"/>
  <c r="C41" i="4"/>
  <c r="C39" i="4"/>
  <c r="C37" i="4"/>
  <c r="C35" i="4"/>
  <c r="C33" i="4"/>
  <c r="C31" i="4"/>
  <c r="C29" i="4"/>
  <c r="C27" i="4"/>
  <c r="C24" i="4"/>
  <c r="C22" i="4"/>
  <c r="C20" i="4"/>
  <c r="C18" i="4"/>
  <c r="C16" i="4"/>
  <c r="C14" i="4"/>
  <c r="C12" i="4"/>
  <c r="C10" i="4"/>
  <c r="C8" i="4"/>
  <c r="C117" i="4"/>
  <c r="C115" i="4"/>
  <c r="C112" i="4"/>
  <c r="C109" i="4"/>
  <c r="C107" i="4"/>
  <c r="C105" i="4"/>
  <c r="C103" i="4"/>
  <c r="C101" i="4"/>
  <c r="C99" i="4"/>
  <c r="C97" i="4"/>
  <c r="C95" i="4"/>
  <c r="C93" i="4"/>
  <c r="C91" i="4"/>
  <c r="C89" i="4"/>
  <c r="C87" i="4"/>
  <c r="C85" i="4"/>
  <c r="C83" i="4"/>
  <c r="C81" i="4"/>
  <c r="C79" i="4"/>
  <c r="C76" i="4"/>
  <c r="C74" i="4"/>
  <c r="C72" i="4"/>
  <c r="C70" i="4"/>
  <c r="C68" i="4"/>
  <c r="C65" i="4"/>
  <c r="C63" i="4"/>
  <c r="C60" i="4"/>
  <c r="C58" i="4"/>
  <c r="C55" i="4"/>
  <c r="C53" i="4"/>
  <c r="C50" i="4"/>
  <c r="C46" i="4"/>
  <c r="C44" i="4"/>
  <c r="C42" i="4"/>
  <c r="C40" i="4"/>
  <c r="C38" i="4"/>
  <c r="C36" i="4"/>
  <c r="C34" i="4"/>
  <c r="C32" i="4"/>
  <c r="C30" i="4"/>
  <c r="C28" i="4"/>
  <c r="C26" i="4"/>
  <c r="C23" i="4"/>
  <c r="C21" i="4"/>
  <c r="C19" i="4"/>
  <c r="C17" i="4"/>
  <c r="C15" i="4"/>
  <c r="C13" i="4"/>
  <c r="C11" i="4"/>
  <c r="M5" i="4" l="1"/>
  <c r="Q5" i="4"/>
  <c r="U5" i="4"/>
  <c r="N5" i="4"/>
  <c r="R5" i="4"/>
  <c r="V5" i="4"/>
  <c r="K5" i="4"/>
  <c r="O5" i="4"/>
  <c r="S5" i="4"/>
  <c r="F5" i="4"/>
  <c r="L5" i="4"/>
  <c r="P5" i="4"/>
  <c r="T5" i="4"/>
  <c r="K57" i="5"/>
  <c r="K60" i="5" s="1"/>
  <c r="L57" i="5" s="1"/>
  <c r="L60" i="5" s="1"/>
  <c r="M57" i="5" s="1"/>
  <c r="M60" i="5" s="1"/>
  <c r="G26" i="6"/>
  <c r="E26" i="6"/>
  <c r="J26" i="6" s="1"/>
  <c r="I26" i="6"/>
  <c r="F26" i="6"/>
  <c r="G47" i="4"/>
  <c r="I47" i="4" s="1"/>
  <c r="E25" i="6"/>
  <c r="J25" i="6" s="1"/>
  <c r="I25" i="6"/>
  <c r="F25" i="6"/>
  <c r="G25" i="6"/>
  <c r="I18" i="6"/>
  <c r="F18" i="6"/>
  <c r="E18" i="6"/>
  <c r="J18" i="6" s="1"/>
  <c r="G19" i="6"/>
  <c r="G23" i="6"/>
  <c r="G22" i="6"/>
  <c r="G21" i="6"/>
  <c r="G20" i="6"/>
  <c r="G24" i="6"/>
  <c r="G82" i="4"/>
  <c r="G110" i="4"/>
  <c r="G133" i="4"/>
  <c r="G137" i="4"/>
  <c r="G143" i="4"/>
  <c r="G186" i="4"/>
  <c r="G200" i="4"/>
  <c r="G206" i="4"/>
  <c r="G223" i="4"/>
  <c r="G233" i="4"/>
  <c r="G239" i="4"/>
  <c r="G243" i="4"/>
  <c r="G249" i="4"/>
  <c r="G273" i="4"/>
  <c r="I273" i="4" s="1"/>
  <c r="G283" i="4"/>
  <c r="G291" i="4"/>
  <c r="G293" i="4"/>
  <c r="G313" i="4"/>
  <c r="G315" i="4"/>
  <c r="G335" i="4"/>
  <c r="I335" i="4" s="1"/>
  <c r="G341" i="4"/>
  <c r="I341" i="4" s="1"/>
  <c r="G347" i="4"/>
  <c r="G349" i="4"/>
  <c r="I349" i="4" s="1"/>
  <c r="G355" i="4"/>
  <c r="G357" i="4"/>
  <c r="G359" i="4"/>
  <c r="G365" i="4"/>
  <c r="G367" i="4"/>
  <c r="G369" i="4"/>
  <c r="G371" i="4"/>
  <c r="G375" i="4"/>
  <c r="G377" i="4"/>
  <c r="G379" i="4"/>
  <c r="G381" i="4"/>
  <c r="G383" i="4"/>
  <c r="I383" i="4" s="1"/>
  <c r="G385" i="4"/>
  <c r="G387" i="4"/>
  <c r="G389" i="4"/>
  <c r="G391" i="4"/>
  <c r="I391" i="4" s="1"/>
  <c r="G395" i="4"/>
  <c r="G397" i="4"/>
  <c r="G399" i="4"/>
  <c r="G401" i="4"/>
  <c r="G405" i="4"/>
  <c r="G407" i="4"/>
  <c r="G409" i="4"/>
  <c r="G411" i="4"/>
  <c r="G413" i="4"/>
  <c r="G415" i="4"/>
  <c r="I415" i="4" s="1"/>
  <c r="G417" i="4"/>
  <c r="G421" i="4"/>
  <c r="G423" i="4"/>
  <c r="I423" i="4" s="1"/>
  <c r="G425" i="4"/>
  <c r="G427" i="4"/>
  <c r="G429" i="4"/>
  <c r="G431" i="4"/>
  <c r="I431" i="4" s="1"/>
  <c r="G433" i="4"/>
  <c r="G435" i="4"/>
  <c r="G437" i="4"/>
  <c r="I437" i="4" s="1"/>
  <c r="G439" i="4"/>
  <c r="I439" i="4" s="1"/>
  <c r="G441" i="4"/>
  <c r="G443" i="4"/>
  <c r="G445" i="4"/>
  <c r="I445" i="4" s="1"/>
  <c r="G26" i="4"/>
  <c r="G42" i="4"/>
  <c r="I42" i="4" s="1"/>
  <c r="G346" i="4"/>
  <c r="G348" i="4"/>
  <c r="G384" i="4"/>
  <c r="G386" i="4"/>
  <c r="G392" i="4"/>
  <c r="G398" i="4"/>
  <c r="G400" i="4"/>
  <c r="G406" i="4"/>
  <c r="G408" i="4"/>
  <c r="G410" i="4"/>
  <c r="I410" i="4" s="1"/>
  <c r="G412" i="4"/>
  <c r="G414" i="4"/>
  <c r="I414" i="4" s="1"/>
  <c r="G416" i="4"/>
  <c r="G418" i="4"/>
  <c r="I418" i="4" s="1"/>
  <c r="G420" i="4"/>
  <c r="G422" i="4"/>
  <c r="I422" i="4" s="1"/>
  <c r="G424" i="4"/>
  <c r="G426" i="4"/>
  <c r="I426" i="4" s="1"/>
  <c r="G428" i="4"/>
  <c r="I428" i="4" s="1"/>
  <c r="G430" i="4"/>
  <c r="I430" i="4" s="1"/>
  <c r="G432" i="4"/>
  <c r="G434" i="4"/>
  <c r="G436" i="4"/>
  <c r="G438" i="4"/>
  <c r="G440" i="4"/>
  <c r="G442" i="4"/>
  <c r="I442" i="4" s="1"/>
  <c r="G444" i="4"/>
  <c r="G446" i="4"/>
  <c r="I446" i="4" s="1"/>
  <c r="G448" i="4"/>
  <c r="F33" i="7"/>
  <c r="K4" i="10"/>
  <c r="D4" i="10"/>
  <c r="H4" i="10"/>
  <c r="L4" i="10"/>
  <c r="E4" i="10"/>
  <c r="M4" i="10"/>
  <c r="G4" i="10"/>
  <c r="O4" i="10"/>
  <c r="F4" i="10"/>
  <c r="J4" i="10"/>
  <c r="N4" i="10"/>
  <c r="I4" i="10"/>
  <c r="C4" i="10"/>
  <c r="G10" i="4"/>
  <c r="G14" i="4"/>
  <c r="I14" i="4" s="1"/>
  <c r="G18" i="4"/>
  <c r="G22" i="4"/>
  <c r="G30" i="4"/>
  <c r="G34" i="4"/>
  <c r="G38" i="4"/>
  <c r="G9" i="4"/>
  <c r="G11" i="4"/>
  <c r="G13" i="4"/>
  <c r="G15" i="4"/>
  <c r="G17" i="4"/>
  <c r="I17" i="4" s="1"/>
  <c r="G19" i="4"/>
  <c r="G21" i="4"/>
  <c r="I21" i="4" s="1"/>
  <c r="G23" i="4"/>
  <c r="G25" i="4"/>
  <c r="G27" i="4"/>
  <c r="G29" i="4"/>
  <c r="G31" i="4"/>
  <c r="G33" i="4"/>
  <c r="G35" i="4"/>
  <c r="G37" i="4"/>
  <c r="G39" i="4"/>
  <c r="G41" i="4"/>
  <c r="G43" i="4"/>
  <c r="G45" i="4"/>
  <c r="G48" i="4"/>
  <c r="G50" i="4"/>
  <c r="G52" i="4"/>
  <c r="G54" i="4"/>
  <c r="G56" i="4"/>
  <c r="G58" i="4"/>
  <c r="G60" i="4"/>
  <c r="G62" i="4"/>
  <c r="G64" i="4"/>
  <c r="G66" i="4"/>
  <c r="G68" i="4"/>
  <c r="G70" i="4"/>
  <c r="G72" i="4"/>
  <c r="G74" i="4"/>
  <c r="G76" i="4"/>
  <c r="G78" i="4"/>
  <c r="G80" i="4"/>
  <c r="G84" i="4"/>
  <c r="G86" i="4"/>
  <c r="G88" i="4"/>
  <c r="G90" i="4"/>
  <c r="G92" i="4"/>
  <c r="G94" i="4"/>
  <c r="G96" i="4"/>
  <c r="G98" i="4"/>
  <c r="G100" i="4"/>
  <c r="G102" i="4"/>
  <c r="G104" i="4"/>
  <c r="G106" i="4"/>
  <c r="G108" i="4"/>
  <c r="G112" i="4"/>
  <c r="G114" i="4"/>
  <c r="G116" i="4"/>
  <c r="G118" i="4"/>
  <c r="G120" i="4"/>
  <c r="G122" i="4"/>
  <c r="G124" i="4"/>
  <c r="G126" i="4"/>
  <c r="G128" i="4"/>
  <c r="G130" i="4"/>
  <c r="G132" i="4"/>
  <c r="G134" i="4"/>
  <c r="G136" i="4"/>
  <c r="G138" i="4"/>
  <c r="G140" i="4"/>
  <c r="G142" i="4"/>
  <c r="G144" i="4"/>
  <c r="G146" i="4"/>
  <c r="G148" i="4"/>
  <c r="G150" i="4"/>
  <c r="G152" i="4"/>
  <c r="G154" i="4"/>
  <c r="G156" i="4"/>
  <c r="G158" i="4"/>
  <c r="G160" i="4"/>
  <c r="G162" i="4"/>
  <c r="G164" i="4"/>
  <c r="G166" i="4"/>
  <c r="G168" i="4"/>
  <c r="G170" i="4"/>
  <c r="G172" i="4"/>
  <c r="G174" i="4"/>
  <c r="G176" i="4"/>
  <c r="G178" i="4"/>
  <c r="G180" i="4"/>
  <c r="G182" i="4"/>
  <c r="I182" i="4" s="1"/>
  <c r="G183" i="4"/>
  <c r="G185" i="4"/>
  <c r="G187" i="4"/>
  <c r="G189" i="4"/>
  <c r="G191" i="4"/>
  <c r="G193" i="4"/>
  <c r="G195" i="4"/>
  <c r="G197" i="4"/>
  <c r="G199" i="4"/>
  <c r="G201" i="4"/>
  <c r="G203" i="4"/>
  <c r="G205" i="4"/>
  <c r="G207" i="4"/>
  <c r="G210" i="4"/>
  <c r="G212" i="4"/>
  <c r="G214" i="4"/>
  <c r="G216" i="4"/>
  <c r="G218" i="4"/>
  <c r="G220" i="4"/>
  <c r="I220" i="4" s="1"/>
  <c r="G222" i="4"/>
  <c r="G224" i="4"/>
  <c r="G226" i="4"/>
  <c r="G228" i="4"/>
  <c r="G230" i="4"/>
  <c r="G232" i="4"/>
  <c r="G234" i="4"/>
  <c r="G236" i="4"/>
  <c r="G238" i="4"/>
  <c r="G240" i="4"/>
  <c r="G242" i="4"/>
  <c r="G244" i="4"/>
  <c r="G246" i="4"/>
  <c r="G248" i="4"/>
  <c r="G250" i="4"/>
  <c r="G252" i="4"/>
  <c r="G254" i="4"/>
  <c r="I254" i="4" s="1"/>
  <c r="G256" i="4"/>
  <c r="G258" i="4"/>
  <c r="G260" i="4"/>
  <c r="G262" i="4"/>
  <c r="G264" i="4"/>
  <c r="G266" i="4"/>
  <c r="G268" i="4"/>
  <c r="G270" i="4"/>
  <c r="G272" i="4"/>
  <c r="G274" i="4"/>
  <c r="G276" i="4"/>
  <c r="G278" i="4"/>
  <c r="G280" i="4"/>
  <c r="G282" i="4"/>
  <c r="G284" i="4"/>
  <c r="G286" i="4"/>
  <c r="G288" i="4"/>
  <c r="G290" i="4"/>
  <c r="G292" i="4"/>
  <c r="G294" i="4"/>
  <c r="G296" i="4"/>
  <c r="G298" i="4"/>
  <c r="G300" i="4"/>
  <c r="G302" i="4"/>
  <c r="I302" i="4" s="1"/>
  <c r="G304" i="4"/>
  <c r="G306" i="4"/>
  <c r="G308" i="4"/>
  <c r="G310" i="4"/>
  <c r="I310" i="4" s="1"/>
  <c r="G312" i="4"/>
  <c r="I312" i="4" s="1"/>
  <c r="G314" i="4"/>
  <c r="G316" i="4"/>
  <c r="I316" i="4" s="1"/>
  <c r="G318" i="4"/>
  <c r="I318" i="4" s="1"/>
  <c r="G320" i="4"/>
  <c r="G322" i="4"/>
  <c r="G324" i="4"/>
  <c r="G326" i="4"/>
  <c r="I326" i="4" s="1"/>
  <c r="G328" i="4"/>
  <c r="I328" i="4" s="1"/>
  <c r="G330" i="4"/>
  <c r="G332" i="4"/>
  <c r="G334" i="4"/>
  <c r="I334" i="4" s="1"/>
  <c r="G336" i="4"/>
  <c r="G338" i="4"/>
  <c r="G340" i="4"/>
  <c r="G342" i="4"/>
  <c r="I342" i="4" s="1"/>
  <c r="G344" i="4"/>
  <c r="I344" i="4" s="1"/>
  <c r="G350" i="4"/>
  <c r="G352" i="4"/>
  <c r="G354" i="4"/>
  <c r="G356" i="4"/>
  <c r="G358" i="4"/>
  <c r="G360" i="4"/>
  <c r="G362" i="4"/>
  <c r="G364" i="4"/>
  <c r="G366" i="4"/>
  <c r="G368" i="4"/>
  <c r="G370" i="4"/>
  <c r="G372" i="4"/>
  <c r="G374" i="4"/>
  <c r="G376" i="4"/>
  <c r="G378" i="4"/>
  <c r="G380" i="4"/>
  <c r="G382" i="4"/>
  <c r="G388" i="4"/>
  <c r="G390" i="4"/>
  <c r="G394" i="4"/>
  <c r="G396" i="4"/>
  <c r="G402" i="4"/>
  <c r="G404" i="4"/>
  <c r="G12" i="4"/>
  <c r="G16" i="4"/>
  <c r="G20" i="4"/>
  <c r="G24" i="4"/>
  <c r="G28" i="4"/>
  <c r="G32" i="4"/>
  <c r="G36" i="4"/>
  <c r="G40" i="4"/>
  <c r="G44" i="4"/>
  <c r="G46" i="4"/>
  <c r="G49" i="4"/>
  <c r="G51" i="4"/>
  <c r="G53" i="4"/>
  <c r="G55" i="4"/>
  <c r="G57" i="4"/>
  <c r="G59" i="4"/>
  <c r="G61" i="4"/>
  <c r="G63" i="4"/>
  <c r="G65" i="4"/>
  <c r="G67" i="4"/>
  <c r="G69" i="4"/>
  <c r="G71" i="4"/>
  <c r="G73" i="4"/>
  <c r="G75" i="4"/>
  <c r="G77" i="4"/>
  <c r="G79" i="4"/>
  <c r="G81" i="4"/>
  <c r="G83" i="4"/>
  <c r="G85" i="4"/>
  <c r="G87" i="4"/>
  <c r="G89" i="4"/>
  <c r="G91" i="4"/>
  <c r="G93" i="4"/>
  <c r="G95" i="4"/>
  <c r="G97" i="4"/>
  <c r="G99" i="4"/>
  <c r="G101" i="4"/>
  <c r="G103" i="4"/>
  <c r="G105" i="4"/>
  <c r="G107" i="4"/>
  <c r="G109" i="4"/>
  <c r="G111" i="4"/>
  <c r="G113" i="4"/>
  <c r="G115" i="4"/>
  <c r="G117" i="4"/>
  <c r="G119" i="4"/>
  <c r="G121" i="4"/>
  <c r="G123" i="4"/>
  <c r="G125" i="4"/>
  <c r="G127" i="4"/>
  <c r="G129" i="4"/>
  <c r="G131" i="4"/>
  <c r="G135" i="4"/>
  <c r="G139" i="4"/>
  <c r="G141" i="4"/>
  <c r="G145" i="4"/>
  <c r="G147" i="4"/>
  <c r="G149" i="4"/>
  <c r="G151" i="4"/>
  <c r="G153" i="4"/>
  <c r="G155" i="4"/>
  <c r="G157" i="4"/>
  <c r="G159" i="4"/>
  <c r="G161" i="4"/>
  <c r="G163" i="4"/>
  <c r="G165" i="4"/>
  <c r="G167" i="4"/>
  <c r="G169" i="4"/>
  <c r="G171" i="4"/>
  <c r="G173" i="4"/>
  <c r="G175" i="4"/>
  <c r="G177" i="4"/>
  <c r="G179" i="4"/>
  <c r="G184" i="4"/>
  <c r="G188" i="4"/>
  <c r="G190" i="4"/>
  <c r="G192" i="4"/>
  <c r="G194" i="4"/>
  <c r="G196" i="4"/>
  <c r="G198" i="4"/>
  <c r="G202" i="4"/>
  <c r="G204" i="4"/>
  <c r="G208" i="4"/>
  <c r="G211" i="4"/>
  <c r="G213" i="4"/>
  <c r="G215" i="4"/>
  <c r="G217" i="4"/>
  <c r="G219" i="4"/>
  <c r="G221" i="4"/>
  <c r="I221" i="4" s="1"/>
  <c r="G225" i="4"/>
  <c r="G227" i="4"/>
  <c r="G229" i="4"/>
  <c r="G231" i="4"/>
  <c r="G235" i="4"/>
  <c r="G237" i="4"/>
  <c r="G241" i="4"/>
  <c r="G245" i="4"/>
  <c r="G247" i="4"/>
  <c r="G251" i="4"/>
  <c r="G253" i="4"/>
  <c r="G255" i="4"/>
  <c r="G257" i="4"/>
  <c r="G259" i="4"/>
  <c r="G261" i="4"/>
  <c r="G263" i="4"/>
  <c r="G265" i="4"/>
  <c r="G267" i="4"/>
  <c r="G269" i="4"/>
  <c r="G271" i="4"/>
  <c r="G275" i="4"/>
  <c r="G277" i="4"/>
  <c r="G279" i="4"/>
  <c r="G281" i="4"/>
  <c r="G285" i="4"/>
  <c r="G287" i="4"/>
  <c r="G289" i="4"/>
  <c r="G295" i="4"/>
  <c r="I295" i="4" s="1"/>
  <c r="G297" i="4"/>
  <c r="G299" i="4"/>
  <c r="G301" i="4"/>
  <c r="I301" i="4" s="1"/>
  <c r="G303" i="4"/>
  <c r="G305" i="4"/>
  <c r="G307" i="4"/>
  <c r="G309" i="4"/>
  <c r="I309" i="4" s="1"/>
  <c r="G311" i="4"/>
  <c r="G317" i="4"/>
  <c r="I317" i="4" s="1"/>
  <c r="G319" i="4"/>
  <c r="G321" i="4"/>
  <c r="I321" i="4" s="1"/>
  <c r="G323" i="4"/>
  <c r="G325" i="4"/>
  <c r="I325" i="4" s="1"/>
  <c r="G327" i="4"/>
  <c r="G329" i="4"/>
  <c r="G331" i="4"/>
  <c r="I331" i="4" s="1"/>
  <c r="G333" i="4"/>
  <c r="I333" i="4" s="1"/>
  <c r="G337" i="4"/>
  <c r="G339" i="4"/>
  <c r="G343" i="4"/>
  <c r="G345" i="4"/>
  <c r="G351" i="4"/>
  <c r="I351" i="4" s="1"/>
  <c r="G353" i="4"/>
  <c r="I353" i="4" s="1"/>
  <c r="G361" i="4"/>
  <c r="G363" i="4"/>
  <c r="G373" i="4"/>
  <c r="I447" i="4"/>
  <c r="I181" i="4"/>
  <c r="I419" i="4"/>
  <c r="I187" i="4"/>
  <c r="I393" i="4"/>
  <c r="I403" i="4"/>
  <c r="I24" i="6"/>
  <c r="F24" i="6"/>
  <c r="E24" i="6"/>
  <c r="J24" i="6" s="1"/>
  <c r="G9" i="6"/>
  <c r="I23" i="6"/>
  <c r="I22" i="6"/>
  <c r="F22" i="6"/>
  <c r="I20" i="6"/>
  <c r="F20" i="6"/>
  <c r="F23" i="6"/>
  <c r="I21" i="6"/>
  <c r="F21" i="6"/>
  <c r="I19" i="6"/>
  <c r="F19" i="6"/>
  <c r="E20" i="6"/>
  <c r="J20" i="6" s="1"/>
  <c r="G8" i="6"/>
  <c r="G7" i="6"/>
  <c r="E19" i="6"/>
  <c r="J19" i="6" s="1"/>
  <c r="E23" i="6"/>
  <c r="J23" i="6" s="1"/>
  <c r="E21" i="6"/>
  <c r="J21" i="6" s="1"/>
  <c r="E22" i="6"/>
  <c r="J22" i="6" s="1"/>
  <c r="G8" i="4"/>
  <c r="C13" i="7"/>
  <c r="H13" i="7"/>
  <c r="H23" i="7"/>
  <c r="H28" i="7"/>
  <c r="C23" i="7"/>
  <c r="H18" i="7"/>
  <c r="H33" i="7"/>
  <c r="C28" i="7"/>
  <c r="C18" i="7"/>
  <c r="H26" i="6" l="1"/>
  <c r="G5" i="4"/>
  <c r="L6" i="10"/>
  <c r="D33" i="7"/>
  <c r="D34" i="7" s="1"/>
  <c r="I416" i="4"/>
  <c r="K6" i="10"/>
  <c r="F12" i="6"/>
  <c r="I157" i="4"/>
  <c r="I366" i="4"/>
  <c r="I170" i="4"/>
  <c r="I134" i="4"/>
  <c r="I114" i="4"/>
  <c r="I70" i="4"/>
  <c r="I359" i="4"/>
  <c r="I155" i="4"/>
  <c r="I117" i="4"/>
  <c r="I394" i="4"/>
  <c r="I276" i="4"/>
  <c r="I80" i="4"/>
  <c r="I72" i="4"/>
  <c r="I407" i="4"/>
  <c r="I375" i="4"/>
  <c r="I177" i="4"/>
  <c r="I173" i="4"/>
  <c r="I169" i="4"/>
  <c r="I165" i="4"/>
  <c r="I119" i="4"/>
  <c r="I107" i="4"/>
  <c r="I162" i="4"/>
  <c r="I154" i="4"/>
  <c r="I146" i="4"/>
  <c r="I122" i="4"/>
  <c r="I54" i="4"/>
  <c r="I175" i="4"/>
  <c r="I167" i="4"/>
  <c r="I159" i="4"/>
  <c r="I129" i="4"/>
  <c r="I57" i="4"/>
  <c r="I49" i="4"/>
  <c r="I44" i="4"/>
  <c r="I102" i="4"/>
  <c r="I82" i="4"/>
  <c r="I8" i="4"/>
  <c r="P4" i="10"/>
  <c r="I197" i="4"/>
  <c r="I286" i="4"/>
  <c r="I222" i="4"/>
  <c r="J6" i="10"/>
  <c r="H6" i="10"/>
  <c r="F6" i="10"/>
  <c r="I6" i="10"/>
  <c r="G6" i="10"/>
  <c r="E6" i="10"/>
  <c r="H25" i="6"/>
  <c r="I249" i="4"/>
  <c r="I223" i="4"/>
  <c r="I279" i="4"/>
  <c r="I199" i="4"/>
  <c r="I373" i="4"/>
  <c r="I277" i="4"/>
  <c r="I245" i="4"/>
  <c r="I237" i="4"/>
  <c r="I213" i="4"/>
  <c r="I390" i="4"/>
  <c r="I382" i="4"/>
  <c r="I374" i="4"/>
  <c r="I294" i="4"/>
  <c r="I290" i="4"/>
  <c r="I278" i="4"/>
  <c r="I270" i="4"/>
  <c r="I266" i="4"/>
  <c r="I262" i="4"/>
  <c r="I246" i="4"/>
  <c r="I238" i="4"/>
  <c r="I234" i="4"/>
  <c r="I230" i="4"/>
  <c r="I214" i="4"/>
  <c r="I205" i="4"/>
  <c r="I201" i="4"/>
  <c r="I436" i="4"/>
  <c r="I269" i="4"/>
  <c r="I204" i="4"/>
  <c r="I402" i="4"/>
  <c r="I368" i="4"/>
  <c r="I360" i="4"/>
  <c r="I352" i="4"/>
  <c r="I438" i="4"/>
  <c r="I434" i="4"/>
  <c r="I406" i="4"/>
  <c r="I398" i="4"/>
  <c r="I386" i="4"/>
  <c r="I399" i="4"/>
  <c r="I369" i="4"/>
  <c r="I365" i="4"/>
  <c r="I357" i="4"/>
  <c r="I293" i="4"/>
  <c r="I239" i="4"/>
  <c r="I263" i="4"/>
  <c r="I149" i="4"/>
  <c r="I401" i="4"/>
  <c r="I435" i="4"/>
  <c r="I124" i="4"/>
  <c r="I260" i="4"/>
  <c r="I244" i="4"/>
  <c r="I228" i="4"/>
  <c r="I212" i="4"/>
  <c r="I121" i="4"/>
  <c r="I101" i="4"/>
  <c r="I339" i="4"/>
  <c r="I329" i="4"/>
  <c r="I53" i="4"/>
  <c r="F28" i="7"/>
  <c r="F29" i="7" s="1"/>
  <c r="F18" i="7"/>
  <c r="F19" i="7" s="1"/>
  <c r="I190" i="4"/>
  <c r="I171" i="4"/>
  <c r="I69" i="4"/>
  <c r="I305" i="4"/>
  <c r="I257" i="4"/>
  <c r="I241" i="4"/>
  <c r="I194" i="4"/>
  <c r="I125" i="4"/>
  <c r="I97" i="4"/>
  <c r="I89" i="4"/>
  <c r="I65" i="4"/>
  <c r="I94" i="4"/>
  <c r="I348" i="4"/>
  <c r="I443" i="4"/>
  <c r="I395" i="4"/>
  <c r="I283" i="4"/>
  <c r="I143" i="4"/>
  <c r="I133" i="4"/>
  <c r="I315" i="4"/>
  <c r="I300" i="4"/>
  <c r="I203" i="4"/>
  <c r="K28" i="7"/>
  <c r="K29" i="7" s="1"/>
  <c r="I363" i="4"/>
  <c r="I345" i="4"/>
  <c r="I275" i="4"/>
  <c r="I235" i="4"/>
  <c r="I93" i="4"/>
  <c r="I61" i="4"/>
  <c r="I200" i="4"/>
  <c r="I379" i="4"/>
  <c r="I86" i="4"/>
  <c r="I427" i="4"/>
  <c r="I387" i="4"/>
  <c r="I411" i="4"/>
  <c r="I208" i="4"/>
  <c r="K33" i="7"/>
  <c r="K34" i="7" s="1"/>
  <c r="K18" i="7"/>
  <c r="K19" i="7" s="1"/>
  <c r="I361" i="4"/>
  <c r="I343" i="4"/>
  <c r="I337" i="4"/>
  <c r="I323" i="4"/>
  <c r="I319" i="4"/>
  <c r="I251" i="4"/>
  <c r="I139" i="4"/>
  <c r="I131" i="4"/>
  <c r="I127" i="4"/>
  <c r="I123" i="4"/>
  <c r="I115" i="4"/>
  <c r="I79" i="4"/>
  <c r="I338" i="4"/>
  <c r="I306" i="4"/>
  <c r="I138" i="4"/>
  <c r="I37" i="4"/>
  <c r="I330" i="4"/>
  <c r="I298" i="4"/>
  <c r="I274" i="4"/>
  <c r="I242" i="4"/>
  <c r="I210" i="4"/>
  <c r="I174" i="4"/>
  <c r="I130" i="4"/>
  <c r="I78" i="4"/>
  <c r="I62" i="4"/>
  <c r="I45" i="4"/>
  <c r="I29" i="4"/>
  <c r="I9" i="4"/>
  <c r="I413" i="4"/>
  <c r="I432" i="4"/>
  <c r="I384" i="4"/>
  <c r="I433" i="4"/>
  <c r="I311" i="4"/>
  <c r="I303" i="4"/>
  <c r="I299" i="4"/>
  <c r="I287" i="4"/>
  <c r="I271" i="4"/>
  <c r="I267" i="4"/>
  <c r="I259" i="4"/>
  <c r="I227" i="4"/>
  <c r="I202" i="4"/>
  <c r="I192" i="4"/>
  <c r="I161" i="4"/>
  <c r="I153" i="4"/>
  <c r="I145" i="4"/>
  <c r="I111" i="4"/>
  <c r="I103" i="4"/>
  <c r="I99" i="4"/>
  <c r="I95" i="4"/>
  <c r="I91" i="4"/>
  <c r="I83" i="4"/>
  <c r="I75" i="4"/>
  <c r="I67" i="4"/>
  <c r="I63" i="4"/>
  <c r="I59" i="4"/>
  <c r="I55" i="4"/>
  <c r="I51" i="4"/>
  <c r="I46" i="4"/>
  <c r="I404" i="4"/>
  <c r="I396" i="4"/>
  <c r="I378" i="4"/>
  <c r="I322" i="4"/>
  <c r="I314" i="4"/>
  <c r="I282" i="4"/>
  <c r="I258" i="4"/>
  <c r="I250" i="4"/>
  <c r="I226" i="4"/>
  <c r="I218" i="4"/>
  <c r="I193" i="4"/>
  <c r="I185" i="4"/>
  <c r="I178" i="4"/>
  <c r="I166" i="4"/>
  <c r="I158" i="4"/>
  <c r="I150" i="4"/>
  <c r="I142" i="4"/>
  <c r="I126" i="4"/>
  <c r="I118" i="4"/>
  <c r="I74" i="4"/>
  <c r="I66" i="4"/>
  <c r="I58" i="4"/>
  <c r="I50" i="4"/>
  <c r="I41" i="4"/>
  <c r="I33" i="4"/>
  <c r="I25" i="4"/>
  <c r="I13" i="4"/>
  <c r="I22" i="4"/>
  <c r="I440" i="4"/>
  <c r="I408" i="4"/>
  <c r="I400" i="4"/>
  <c r="I421" i="4"/>
  <c r="I417" i="4"/>
  <c r="I405" i="4"/>
  <c r="I389" i="4"/>
  <c r="I381" i="4"/>
  <c r="I355" i="4"/>
  <c r="I217" i="4"/>
  <c r="I377" i="4"/>
  <c r="I233" i="4"/>
  <c r="I392" i="4"/>
  <c r="I291" i="4"/>
  <c r="I206" i="4"/>
  <c r="I289" i="4"/>
  <c r="I285" i="4"/>
  <c r="I261" i="4"/>
  <c r="I253" i="4"/>
  <c r="I247" i="4"/>
  <c r="I229" i="4"/>
  <c r="I225" i="4"/>
  <c r="I219" i="4"/>
  <c r="I211" i="4"/>
  <c r="I184" i="4"/>
  <c r="I151" i="4"/>
  <c r="I147" i="4"/>
  <c r="I141" i="4"/>
  <c r="I135" i="4"/>
  <c r="I113" i="4"/>
  <c r="I109" i="4"/>
  <c r="I85" i="4"/>
  <c r="I81" i="4"/>
  <c r="I77" i="4"/>
  <c r="I73" i="4"/>
  <c r="I26" i="4"/>
  <c r="I18" i="4"/>
  <c r="I10" i="4"/>
  <c r="I412" i="4"/>
  <c r="I313" i="4"/>
  <c r="I429" i="4"/>
  <c r="I388" i="4"/>
  <c r="I380" i="4"/>
  <c r="I376" i="4"/>
  <c r="I372" i="4"/>
  <c r="I364" i="4"/>
  <c r="I356" i="4"/>
  <c r="I346" i="4"/>
  <c r="I336" i="4"/>
  <c r="I320" i="4"/>
  <c r="I304" i="4"/>
  <c r="I292" i="4"/>
  <c r="I284" i="4"/>
  <c r="I268" i="4"/>
  <c r="I252" i="4"/>
  <c r="I236" i="4"/>
  <c r="I106" i="4"/>
  <c r="I98" i="4"/>
  <c r="I90" i="4"/>
  <c r="I110" i="4"/>
  <c r="I444" i="4"/>
  <c r="I409" i="4"/>
  <c r="I347" i="4"/>
  <c r="I297" i="4"/>
  <c r="I441" i="4"/>
  <c r="I424" i="4"/>
  <c r="I397" i="4"/>
  <c r="I425" i="4"/>
  <c r="I367" i="4"/>
  <c r="I12" i="4"/>
  <c r="I448" i="4"/>
  <c r="I243" i="4"/>
  <c r="I137" i="4"/>
  <c r="I420" i="4"/>
  <c r="I371" i="4"/>
  <c r="I385" i="4"/>
  <c r="I186" i="4"/>
  <c r="H18" i="6"/>
  <c r="G12" i="6"/>
  <c r="G13" i="6" s="1"/>
  <c r="I327" i="4"/>
  <c r="I105" i="4"/>
  <c r="I231" i="4"/>
  <c r="I40" i="4"/>
  <c r="I16" i="4"/>
  <c r="F7" i="7"/>
  <c r="F34" i="7"/>
  <c r="I179" i="4"/>
  <c r="I265" i="4"/>
  <c r="I163" i="4"/>
  <c r="I281" i="4"/>
  <c r="I38" i="4"/>
  <c r="I36" i="4"/>
  <c r="I30" i="4"/>
  <c r="I28" i="4"/>
  <c r="I20" i="4"/>
  <c r="I198" i="4"/>
  <c r="I32" i="4"/>
  <c r="I307" i="4"/>
  <c r="I215" i="4"/>
  <c r="I71" i="4"/>
  <c r="I34" i="4"/>
  <c r="I24" i="4"/>
  <c r="I370" i="4"/>
  <c r="I362" i="4"/>
  <c r="I358" i="4"/>
  <c r="I354" i="4"/>
  <c r="I350" i="4"/>
  <c r="I340" i="4"/>
  <c r="I332" i="4"/>
  <c r="I324" i="4"/>
  <c r="I308" i="4"/>
  <c r="I296" i="4"/>
  <c r="I288" i="4"/>
  <c r="I280" i="4"/>
  <c r="I272" i="4"/>
  <c r="I264" i="4"/>
  <c r="I256" i="4"/>
  <c r="I248" i="4"/>
  <c r="I240" i="4"/>
  <c r="I232" i="4"/>
  <c r="I224" i="4"/>
  <c r="I216" i="4"/>
  <c r="I207" i="4"/>
  <c r="I191" i="4"/>
  <c r="I183" i="4"/>
  <c r="I180" i="4"/>
  <c r="I176" i="4"/>
  <c r="I172" i="4"/>
  <c r="I168" i="4"/>
  <c r="I164" i="4"/>
  <c r="I160" i="4"/>
  <c r="I156" i="4"/>
  <c r="I152" i="4"/>
  <c r="I148" i="4"/>
  <c r="I144" i="4"/>
  <c r="I140" i="4"/>
  <c r="I136" i="4"/>
  <c r="I132" i="4"/>
  <c r="I128" i="4"/>
  <c r="I120" i="4"/>
  <c r="I116" i="4"/>
  <c r="I112" i="4"/>
  <c r="I108" i="4"/>
  <c r="I104" i="4"/>
  <c r="I100" i="4"/>
  <c r="I96" i="4"/>
  <c r="I92" i="4"/>
  <c r="I88" i="4"/>
  <c r="I84" i="4"/>
  <c r="I76" i="4"/>
  <c r="I68" i="4"/>
  <c r="I64" i="4"/>
  <c r="I60" i="4"/>
  <c r="I56" i="4"/>
  <c r="I52" i="4"/>
  <c r="I48" i="4"/>
  <c r="I43" i="4"/>
  <c r="I39" i="4"/>
  <c r="I35" i="4"/>
  <c r="I31" i="4"/>
  <c r="I27" i="4"/>
  <c r="I23" i="4"/>
  <c r="I19" i="4"/>
  <c r="I15" i="4"/>
  <c r="I11" i="4"/>
  <c r="I87" i="4"/>
  <c r="I255" i="4"/>
  <c r="K23" i="7"/>
  <c r="K24" i="7" s="1"/>
  <c r="F23" i="7"/>
  <c r="F24" i="7" s="1"/>
  <c r="K13" i="7"/>
  <c r="K14" i="7" s="1"/>
  <c r="I188" i="4"/>
  <c r="F13" i="7"/>
  <c r="H24" i="6"/>
  <c r="H22" i="6"/>
  <c r="H19" i="6"/>
  <c r="H23" i="6"/>
  <c r="H20" i="6"/>
  <c r="H21" i="6"/>
  <c r="Q4" i="10" l="1"/>
  <c r="L18" i="10" s="1"/>
  <c r="L21" i="10" s="1"/>
  <c r="I18" i="7"/>
  <c r="I19" i="7" s="1"/>
  <c r="D18" i="7"/>
  <c r="D19" i="7" s="1"/>
  <c r="I33" i="7"/>
  <c r="I34" i="7" s="1"/>
  <c r="D23" i="7"/>
  <c r="D24" i="7" s="1"/>
  <c r="I7" i="7"/>
  <c r="L24" i="10" s="1"/>
  <c r="F8" i="7"/>
  <c r="C34" i="7"/>
  <c r="H29" i="7"/>
  <c r="C29" i="7"/>
  <c r="H24" i="7"/>
  <c r="H34" i="7"/>
  <c r="H14" i="7"/>
  <c r="H19" i="7"/>
  <c r="C14" i="7"/>
  <c r="C24" i="7"/>
  <c r="C19" i="7"/>
  <c r="I28" i="7"/>
  <c r="I29" i="7" s="1"/>
  <c r="D13" i="7"/>
  <c r="I13" i="7"/>
  <c r="I14" i="7" s="1"/>
  <c r="D28" i="7"/>
  <c r="D29" i="7" s="1"/>
  <c r="I23" i="7"/>
  <c r="I24" i="7" s="1"/>
  <c r="F14" i="7"/>
  <c r="I8" i="7" l="1"/>
  <c r="J24" i="10"/>
  <c r="K24" i="10"/>
  <c r="D14" i="7"/>
  <c r="G7" i="7"/>
  <c r="G8" i="7" s="1"/>
  <c r="J69" i="9" l="1"/>
  <c r="J70" i="9"/>
  <c r="J71" i="9" s="1"/>
  <c r="J72" i="9" s="1"/>
  <c r="J73" i="9" s="1"/>
  <c r="J75" i="9" s="1"/>
  <c r="J76" i="9" s="1"/>
  <c r="J77" i="9" s="1"/>
  <c r="J78" i="9" s="1"/>
  <c r="J79" i="9" s="1"/>
  <c r="J80" i="9" s="1"/>
  <c r="J81" i="9" s="1"/>
  <c r="J82" i="9" s="1"/>
  <c r="J84" i="9" s="1"/>
  <c r="J85" i="9" s="1"/>
  <c r="J86" i="9" s="1"/>
  <c r="J87" i="9" s="1"/>
  <c r="J88" i="9" s="1"/>
  <c r="J89" i="9" s="1"/>
  <c r="J90" i="9" s="1"/>
  <c r="J92" i="9" s="1"/>
  <c r="J93" i="9" s="1"/>
  <c r="J94" i="9" s="1"/>
  <c r="J95" i="9" s="1"/>
  <c r="J96" i="9" s="1"/>
</calcChain>
</file>

<file path=xl/comments1.xml><?xml version="1.0" encoding="utf-8"?>
<comments xmlns="http://schemas.openxmlformats.org/spreadsheetml/2006/main">
  <authors>
    <author>ERamírez Lepe</author>
  </authors>
  <commentList>
    <comment ref="I39" authorId="0">
      <text>
        <r>
          <rPr>
            <b/>
            <sz val="9"/>
            <color indexed="81"/>
            <rFont val="Tahoma"/>
            <family val="2"/>
          </rPr>
          <t>¿Es Estévez, únicamente?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4" authorId="0">
      <text>
        <r>
          <rPr>
            <b/>
            <sz val="9"/>
            <color indexed="81"/>
            <rFont val="Tahoma"/>
            <family val="2"/>
          </rPr>
          <t>¿Es Loyo Ochoa o Rueda?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5" authorId="0">
      <text>
        <r>
          <rPr>
            <i/>
            <sz val="9"/>
            <color indexed="81"/>
            <rFont val="Tahoma"/>
            <family val="2"/>
          </rPr>
          <t>El registro original es Edgar Mendoza</t>
        </r>
      </text>
    </comment>
    <comment ref="I156" authorId="0">
      <text>
        <r>
          <rPr>
            <sz val="9"/>
            <color indexed="81"/>
            <rFont val="Tahoma"/>
            <family val="2"/>
          </rPr>
          <t xml:space="preserve">El registro original es García María del C.
José Luis Salcedo es su esposo.
</t>
        </r>
      </text>
    </comment>
    <comment ref="J157" authorId="0">
      <text>
        <r>
          <rPr>
            <sz val="9"/>
            <color indexed="81"/>
            <rFont val="Tahoma"/>
            <family val="2"/>
          </rPr>
          <t>A partir del 29/JUL/2013 se modifica de $300 a $150.</t>
        </r>
      </text>
    </comment>
    <comment ref="I180" authorId="0">
      <text>
        <r>
          <rPr>
            <sz val="9"/>
            <color indexed="81"/>
            <rFont val="Tahoma"/>
            <family val="2"/>
          </rPr>
          <t>Conserje del colegio</t>
        </r>
      </text>
    </comment>
    <comment ref="I210" authorId="0">
      <text>
        <r>
          <rPr>
            <b/>
            <sz val="9"/>
            <color indexed="81"/>
            <rFont val="Tahoma"/>
            <family val="2"/>
          </rPr>
          <t>¿Es Zamudio - Pineda o Zamora Vera?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8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número 53 se dio de baja. BS 14JUN13</t>
        </r>
      </text>
    </comment>
    <comment ref="I250" authorId="0">
      <text>
        <r>
          <rPr>
            <i/>
            <sz val="9"/>
            <color indexed="81"/>
            <rFont val="Tahoma"/>
            <family val="2"/>
          </rPr>
          <t>El registro original es Castillo Hernández.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96" authorId="0">
      <text>
        <r>
          <rPr>
            <b/>
            <sz val="9"/>
            <color indexed="81"/>
            <rFont val="Tahoma"/>
            <family val="2"/>
          </rPr>
          <t>¿Es González Alba?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03" authorId="0">
      <text>
        <r>
          <rPr>
            <b/>
            <sz val="9"/>
            <color indexed="81"/>
            <rFont val="Tahoma"/>
            <family val="2"/>
          </rPr>
          <t>¿Es Calderón o García Calderón?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06" authorId="0">
      <text>
        <r>
          <rPr>
            <sz val="9"/>
            <color indexed="81"/>
            <rFont val="Tahoma"/>
            <family val="2"/>
          </rPr>
          <t xml:space="preserve">El registro original es Torices González (arrendador).
</t>
        </r>
      </text>
    </comment>
    <comment ref="I362" authorId="0">
      <text>
        <r>
          <rPr>
            <b/>
            <sz val="9"/>
            <color indexed="81"/>
            <rFont val="Tahoma"/>
            <family val="2"/>
          </rPr>
          <t>¿Es Lozano o Torres o Romero?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90" authorId="0">
      <text>
        <r>
          <rPr>
            <b/>
            <sz val="9"/>
            <color indexed="81"/>
            <rFont val="Tahoma"/>
            <family val="2"/>
          </rPr>
          <t>¿Es Carrasco o Chávez Cenieros?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17" authorId="0">
      <text>
        <r>
          <rPr>
            <b/>
            <sz val="9"/>
            <color indexed="81"/>
            <rFont val="Tahoma"/>
            <family val="2"/>
          </rPr>
          <t>¿Es SP Endoscopic, S. A. de C. V.?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18" authorId="0">
      <text>
        <r>
          <rPr>
            <b/>
            <sz val="9"/>
            <color indexed="81"/>
            <rFont val="Tahoma"/>
            <family val="2"/>
          </rPr>
          <t>¿Es García Reyes Guadalupe o Familia García Reyes</t>
        </r>
      </text>
    </comment>
  </commentList>
</comments>
</file>

<file path=xl/comments2.xml><?xml version="1.0" encoding="utf-8"?>
<comments xmlns="http://schemas.openxmlformats.org/spreadsheetml/2006/main">
  <authors>
    <author>ERamírez Lepe</author>
  </authors>
  <commentList>
    <comment ref="H221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nombre no coincide. Es reparación de pluma electrónica.</t>
        </r>
      </text>
    </comment>
    <comment ref="H250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familia Rodríguez</t>
        </r>
      </text>
    </comment>
    <comment ref="D1402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"Romeral 42", que no existe</t>
        </r>
      </text>
    </comment>
    <comment ref="F1495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Cheque de Santander</t>
        </r>
      </text>
    </comment>
    <comment ref="E1498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familia Salcedo</t>
        </r>
      </text>
    </comment>
    <comment ref="H1526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Su cuota es de $300.00</t>
        </r>
      </text>
    </comment>
    <comment ref="E1527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PAREDES</t>
        </r>
      </text>
    </comment>
    <comment ref="D1612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LANDERO 52-2</t>
        </r>
      </text>
    </comment>
    <comment ref="E1612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MONTEMAYOR SANTANA</t>
        </r>
      </text>
    </comment>
    <comment ref="E1614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MONTEMAYOR SANTANA</t>
        </r>
      </text>
    </comment>
    <comment ref="E1651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TRUJILLO</t>
        </r>
      </text>
    </comment>
  </commentList>
</comments>
</file>

<file path=xl/comments3.xml><?xml version="1.0" encoding="utf-8"?>
<comments xmlns="http://schemas.openxmlformats.org/spreadsheetml/2006/main">
  <authors>
    <author>ERamírez Lepe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 xml:space="preserve">ERamírez Lepe
</t>
        </r>
        <r>
          <rPr>
            <sz val="9"/>
            <color indexed="81"/>
            <rFont val="Tahoma"/>
            <family val="2"/>
          </rPr>
          <t>Eliminada de la base el 14JUN13. BS</t>
        </r>
      </text>
    </comment>
    <comment ref="D130" authorId="0">
      <text>
        <r>
          <rPr>
            <b/>
            <sz val="9"/>
            <color indexed="81"/>
            <rFont val="Tahoma"/>
            <family val="2"/>
          </rPr>
          <t>Funciona en la chequera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6" authorId="0">
      <text>
        <r>
          <rPr>
            <b/>
            <sz val="9"/>
            <color indexed="81"/>
            <rFont val="Tahoma"/>
            <family val="2"/>
          </rPr>
          <t>Funciona en la chequera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9" authorId="0">
      <text>
        <r>
          <rPr>
            <b/>
            <sz val="9"/>
            <color indexed="81"/>
            <rFont val="Tahoma"/>
            <family val="2"/>
          </rPr>
          <t>Funciona en la chequera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5" authorId="0">
      <text>
        <r>
          <rPr>
            <b/>
            <sz val="9"/>
            <color indexed="81"/>
            <rFont val="Tahoma"/>
            <family val="2"/>
          </rPr>
          <t xml:space="preserve">ERamírez Lepe
</t>
        </r>
        <r>
          <rPr>
            <sz val="9"/>
            <color indexed="81"/>
            <rFont val="Tahoma"/>
            <family val="2"/>
          </rPr>
          <t>Eliminada de la base el 14JUN13. BS</t>
        </r>
      </text>
    </comment>
  </commentList>
</comments>
</file>

<file path=xl/comments4.xml><?xml version="1.0" encoding="utf-8"?>
<comments xmlns="http://schemas.openxmlformats.org/spreadsheetml/2006/main">
  <authors>
    <author>ERamírez Lepe</author>
  </authors>
  <commentList>
    <comment ref="F14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$250</t>
        </r>
      </text>
    </comment>
    <comment ref="A26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N28" authorId="0">
      <text>
        <r>
          <rPr>
            <i/>
            <sz val="10"/>
            <color indexed="81"/>
            <rFont val="Tahoma"/>
            <family val="2"/>
          </rPr>
          <t>En vez de cuota, multiplica por $100.00</t>
        </r>
      </text>
    </comment>
    <comment ref="R90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factor no es la cuota, sino $200.00</t>
        </r>
      </text>
    </comment>
    <comment ref="A133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F153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$200 a $300</t>
        </r>
      </text>
    </comment>
    <comment ref="K163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  <comment ref="L163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  <comment ref="A181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A206" authorId="0">
      <text>
        <r>
          <rPr>
            <sz val="9"/>
            <color indexed="81"/>
            <rFont val="Tahoma"/>
            <family val="2"/>
          </rPr>
          <t>Facturado</t>
        </r>
      </text>
    </comment>
    <comment ref="A346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Deposita en cuenta.
En julio de 2013 se presentó personalmente a la mesa de cobranza a liquidar tres mensualidades.</t>
        </r>
      </text>
    </comment>
  </commentList>
</comments>
</file>

<file path=xl/comments5.xml><?xml version="1.0" encoding="utf-8"?>
<comments xmlns="http://schemas.openxmlformats.org/spreadsheetml/2006/main">
  <authors>
    <author>ERamírez Lepe</author>
  </authors>
  <commentList>
    <comment ref="J18" authorId="0">
      <text>
        <r>
          <rPr>
            <sz val="9"/>
            <color indexed="81"/>
            <rFont val="Tahoma"/>
            <family val="2"/>
          </rPr>
          <t>Verifica que el recibo se encuentra en el rango del mes (archivo Recibos)</t>
        </r>
      </text>
    </comment>
  </commentList>
</comments>
</file>

<file path=xl/comments6.xml><?xml version="1.0" encoding="utf-8"?>
<comments xmlns="http://schemas.openxmlformats.org/spreadsheetml/2006/main">
  <authors>
    <author>ERamírez Lepe</author>
  </authors>
  <commentList>
    <comment ref="F33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Conciliada el 18 de agosto de 2013.</t>
        </r>
      </text>
    </comment>
  </commentList>
</comments>
</file>

<file path=xl/sharedStrings.xml><?xml version="1.0" encoding="utf-8"?>
<sst xmlns="http://schemas.openxmlformats.org/spreadsheetml/2006/main" count="16925" uniqueCount="2086">
  <si>
    <t>Domicilio</t>
  </si>
  <si>
    <t>Cuchil 7-101</t>
  </si>
  <si>
    <t>Cuhill 7- 102</t>
  </si>
  <si>
    <t>García Moreno</t>
  </si>
  <si>
    <t>Cuchil 7-201</t>
  </si>
  <si>
    <t>Cuc 7-202</t>
  </si>
  <si>
    <t>Carbajal Zayas</t>
  </si>
  <si>
    <t xml:space="preserve">Cuchi  9 </t>
  </si>
  <si>
    <t>Martín del Campo</t>
  </si>
  <si>
    <t>Cuchi 11</t>
  </si>
  <si>
    <t>Santiago</t>
  </si>
  <si>
    <t>Rivera Flores</t>
  </si>
  <si>
    <t>Cuchi 13</t>
  </si>
  <si>
    <t>Torres</t>
  </si>
  <si>
    <t>Cuchi 14</t>
  </si>
  <si>
    <t>Chávez</t>
  </si>
  <si>
    <t>Cuchi 15</t>
  </si>
  <si>
    <t>Guerrero Ponce</t>
  </si>
  <si>
    <t xml:space="preserve">Cuchi 19 </t>
  </si>
  <si>
    <t>Tapia Vázquez</t>
  </si>
  <si>
    <t>Sánchez López</t>
  </si>
  <si>
    <t>Cuchil  23</t>
  </si>
  <si>
    <t>Ocampo</t>
  </si>
  <si>
    <t>Cuchi 25</t>
  </si>
  <si>
    <t>García de León</t>
  </si>
  <si>
    <t>Cuchi 27</t>
  </si>
  <si>
    <t>Montoya</t>
  </si>
  <si>
    <t>Cuchil 30</t>
  </si>
  <si>
    <t>Ruiz Navarrete</t>
  </si>
  <si>
    <t xml:space="preserve"> Cuch 31</t>
  </si>
  <si>
    <t>Espinoza Serrano</t>
  </si>
  <si>
    <t>Cuchi 32</t>
  </si>
  <si>
    <t>Hernández</t>
  </si>
  <si>
    <t>Tanús</t>
  </si>
  <si>
    <t>Cuchill 35</t>
  </si>
  <si>
    <t>Mendoza</t>
  </si>
  <si>
    <t>Cuchill 38</t>
  </si>
  <si>
    <t>Cerecedo</t>
  </si>
  <si>
    <t>Cuchill 39</t>
  </si>
  <si>
    <t>Arenas</t>
  </si>
  <si>
    <t>López Pico</t>
  </si>
  <si>
    <t>Cuchill 41C.E</t>
  </si>
  <si>
    <t>Arriaga Lemus</t>
  </si>
  <si>
    <t>Cuchi 43-A</t>
  </si>
  <si>
    <t xml:space="preserve"> Cuchil 43-B</t>
  </si>
  <si>
    <t>Cuchill 44</t>
  </si>
  <si>
    <t>Garduño</t>
  </si>
  <si>
    <t>Cuchill 45</t>
  </si>
  <si>
    <t>Cruz López</t>
  </si>
  <si>
    <t>López</t>
  </si>
  <si>
    <t>Cuchi 49</t>
  </si>
  <si>
    <t>Cuchi 52</t>
  </si>
  <si>
    <t>Cuchi 55</t>
  </si>
  <si>
    <t>López Velázquez</t>
  </si>
  <si>
    <t xml:space="preserve">Cuchi 58 </t>
  </si>
  <si>
    <t>Serdán</t>
  </si>
  <si>
    <t>Cuchi 59</t>
  </si>
  <si>
    <t>Ortega</t>
  </si>
  <si>
    <t>Cuchi 61</t>
  </si>
  <si>
    <t>Rivera</t>
  </si>
  <si>
    <t>Cuchi 62</t>
  </si>
  <si>
    <t>Frías</t>
  </si>
  <si>
    <t>Cuchi  63</t>
  </si>
  <si>
    <t>Díaz de la Rosa</t>
  </si>
  <si>
    <t>Prieto</t>
  </si>
  <si>
    <t>Cuchi 67</t>
  </si>
  <si>
    <t>Quezada Viruega</t>
  </si>
  <si>
    <t>Cuchi 68</t>
  </si>
  <si>
    <t>Montesinos</t>
  </si>
  <si>
    <t>Cuchi 69</t>
  </si>
  <si>
    <t>Romero</t>
  </si>
  <si>
    <t xml:space="preserve">Cuchi 71 </t>
  </si>
  <si>
    <t>Pulido</t>
  </si>
  <si>
    <t>Ortiz González</t>
  </si>
  <si>
    <t>Cuchill 73</t>
  </si>
  <si>
    <t>Cooper</t>
  </si>
  <si>
    <t>Cuchi 74</t>
  </si>
  <si>
    <t>Gil</t>
  </si>
  <si>
    <t>Cuchl 77</t>
  </si>
  <si>
    <t>Loperena</t>
  </si>
  <si>
    <t>Cuchl 79</t>
  </si>
  <si>
    <t>Hernández Laurel</t>
  </si>
  <si>
    <t>Cuchi 81-A</t>
  </si>
  <si>
    <t xml:space="preserve">Cuch 81 B      C. Extra </t>
  </si>
  <si>
    <t>Cruz</t>
  </si>
  <si>
    <t>Cuch 83</t>
  </si>
  <si>
    <t>Barradas</t>
  </si>
  <si>
    <t>Cuch 86</t>
  </si>
  <si>
    <t>Del Villar</t>
  </si>
  <si>
    <t>Porras Fuentes</t>
  </si>
  <si>
    <t>Roldán Flores</t>
  </si>
  <si>
    <t>Cabrera</t>
  </si>
  <si>
    <t>Alcántara Silva</t>
  </si>
  <si>
    <t>Sánchez Márquez</t>
  </si>
  <si>
    <t>Cuchil  95</t>
  </si>
  <si>
    <t>Gutiérrez Sánchez</t>
  </si>
  <si>
    <t>Cuchil  96</t>
  </si>
  <si>
    <t>Valdez</t>
  </si>
  <si>
    <t xml:space="preserve"> Cuchi  97</t>
  </si>
  <si>
    <t>López Ruiz</t>
  </si>
  <si>
    <t>Cuchi  101</t>
  </si>
  <si>
    <t>Rodríguez Ramírez</t>
  </si>
  <si>
    <t>CuC  107 C.E</t>
  </si>
  <si>
    <t>Olivares Rivera</t>
  </si>
  <si>
    <t>Domínguez C.</t>
  </si>
  <si>
    <t>García Santos O.</t>
  </si>
  <si>
    <t>Cuch 112 P.B</t>
  </si>
  <si>
    <t xml:space="preserve"> Cuch 112   Planta Alta</t>
  </si>
  <si>
    <t>Villalpando Pineda</t>
  </si>
  <si>
    <t>Cuchi 115</t>
  </si>
  <si>
    <t>Alfaro</t>
  </si>
  <si>
    <t>Cuchi 116</t>
  </si>
  <si>
    <t>Miranda</t>
  </si>
  <si>
    <t>Gómez</t>
  </si>
  <si>
    <t>Cuchill 118</t>
  </si>
  <si>
    <t>Astorga Ruiz</t>
  </si>
  <si>
    <t>Cuchill 119</t>
  </si>
  <si>
    <t>Vilchis</t>
  </si>
  <si>
    <t>Pozos Vilchis</t>
  </si>
  <si>
    <t>Ramírez Márquez</t>
  </si>
  <si>
    <t>Cuchi 122</t>
  </si>
  <si>
    <t xml:space="preserve"> Cuch 125</t>
  </si>
  <si>
    <t>Ordoñez Villalpando</t>
  </si>
  <si>
    <t>Quiñones</t>
  </si>
  <si>
    <t>Cuchi 129</t>
  </si>
  <si>
    <t>De la Huerta</t>
  </si>
  <si>
    <t>Cabrera Esc.</t>
  </si>
  <si>
    <t>Téllez Girón</t>
  </si>
  <si>
    <t>Cuchi  133</t>
  </si>
  <si>
    <t>Moreno Sánchez</t>
  </si>
  <si>
    <t>Cuchi 135</t>
  </si>
  <si>
    <t>Ruiz</t>
  </si>
  <si>
    <t>Cuchi 139</t>
  </si>
  <si>
    <t>Gloria García</t>
  </si>
  <si>
    <t>Cuch  147</t>
  </si>
  <si>
    <t>Vázquez Vázquez</t>
  </si>
  <si>
    <t xml:space="preserve"> La Cuchilla  (terreno)</t>
  </si>
  <si>
    <t>Martínez Flores</t>
  </si>
  <si>
    <t>Cuchi 12C.E</t>
  </si>
  <si>
    <t xml:space="preserve">Cuc 18   C.E </t>
  </si>
  <si>
    <t>Cuc 20   C.EX</t>
  </si>
  <si>
    <t>Cuch 21  C.E</t>
  </si>
  <si>
    <t>Cuc 2   C. E</t>
  </si>
  <si>
    <t>Cuch 29  C.E</t>
  </si>
  <si>
    <t>Cuchi 33 C.E</t>
  </si>
  <si>
    <t>Cuch 36 C.E</t>
  </si>
  <si>
    <t>Cuchil 40 C.E</t>
  </si>
  <si>
    <t>Cuchi 42 C.E</t>
  </si>
  <si>
    <t>Cuch 46 C.E</t>
  </si>
  <si>
    <t>Cuch 47 C.E</t>
  </si>
  <si>
    <t>Cuch 53 C.E</t>
  </si>
  <si>
    <t>Cuchi  66 C.E</t>
  </si>
  <si>
    <t>Cuchi 72 C.E</t>
  </si>
  <si>
    <t>Cuch 75   C.E</t>
  </si>
  <si>
    <t xml:space="preserve">Cuch 80   C.E         </t>
  </si>
  <si>
    <t>Cuchi 82 C.E</t>
  </si>
  <si>
    <t>Cuch 87   C.E</t>
  </si>
  <si>
    <t xml:space="preserve">Cuch  89  C.E </t>
  </si>
  <si>
    <t>Cuch  90  C.E</t>
  </si>
  <si>
    <t>Cuch 91  C.E.</t>
  </si>
  <si>
    <t>Cuch 92  C.E.</t>
  </si>
  <si>
    <t>Cuch 93  C.E.</t>
  </si>
  <si>
    <t>Cuch 94   C.E</t>
  </si>
  <si>
    <t>Cuch 110  C.E</t>
  </si>
  <si>
    <t>Cuch 111 C.E</t>
  </si>
  <si>
    <t>Cuch 117 C.E</t>
  </si>
  <si>
    <t>Cuch 120 C.E</t>
  </si>
  <si>
    <t>Cuch 121 C.E</t>
  </si>
  <si>
    <t>Cuchi 127 C.E</t>
  </si>
  <si>
    <t>Cuch 130 C.E</t>
  </si>
  <si>
    <t>Cuch 131 C.E</t>
  </si>
  <si>
    <t>Cuch 132 C.E</t>
  </si>
  <si>
    <t>Cuchi 134C.E.</t>
  </si>
  <si>
    <t>Cuch 141 C.E</t>
  </si>
  <si>
    <t>Cuch  145  C.E</t>
  </si>
  <si>
    <t xml:space="preserve">Cuchi 148 C.E  </t>
  </si>
  <si>
    <t>Cuch 149 C.E</t>
  </si>
  <si>
    <t>Upácu  5-B</t>
  </si>
  <si>
    <t xml:space="preserve">Upácu  7 </t>
  </si>
  <si>
    <t xml:space="preserve">Troncoso </t>
  </si>
  <si>
    <t xml:space="preserve">Upácu  8 </t>
  </si>
  <si>
    <t>Ibarra</t>
  </si>
  <si>
    <t>Upácu  9</t>
  </si>
  <si>
    <t>Núñez</t>
  </si>
  <si>
    <t>Upácu 10</t>
  </si>
  <si>
    <t>Upácu 12  C.E</t>
  </si>
  <si>
    <t>Moreno Chávez</t>
  </si>
  <si>
    <t>Upácu 14</t>
  </si>
  <si>
    <t>Upácu 15</t>
  </si>
  <si>
    <t>Chávez Miranda</t>
  </si>
  <si>
    <t>Upácu 16</t>
  </si>
  <si>
    <t>Rodríguez</t>
  </si>
  <si>
    <t>Upácu 18</t>
  </si>
  <si>
    <t>Guzmán</t>
  </si>
  <si>
    <t>Upácu 19</t>
  </si>
  <si>
    <t>Peña Inclán</t>
  </si>
  <si>
    <t>Upácu 20</t>
  </si>
  <si>
    <t>Upácu 21</t>
  </si>
  <si>
    <t>Fierro Betancourt</t>
  </si>
  <si>
    <t>Upácu 23  C.E</t>
  </si>
  <si>
    <t>Arredondo</t>
  </si>
  <si>
    <t>Upácu 24</t>
  </si>
  <si>
    <t>Parra</t>
  </si>
  <si>
    <t>Upácu 26   C.E</t>
  </si>
  <si>
    <t>Salazar</t>
  </si>
  <si>
    <t>Upácu 30</t>
  </si>
  <si>
    <t>Dorantes</t>
  </si>
  <si>
    <t>Upácu 31</t>
  </si>
  <si>
    <t>Gallardo Ávila</t>
  </si>
  <si>
    <t>Upácu 32   C.E</t>
  </si>
  <si>
    <t>Upácu 33   C.E</t>
  </si>
  <si>
    <t>Ulloa Miranda</t>
  </si>
  <si>
    <t xml:space="preserve"> Upácu 34</t>
  </si>
  <si>
    <t>Upácu 35</t>
  </si>
  <si>
    <t>García</t>
  </si>
  <si>
    <t>Upácu 36</t>
  </si>
  <si>
    <t>Araiza</t>
  </si>
  <si>
    <t>Upácu 37</t>
  </si>
  <si>
    <t>García Valdés</t>
  </si>
  <si>
    <t>Upácu 39</t>
  </si>
  <si>
    <t>Upácu 40</t>
  </si>
  <si>
    <t>López Ramírez</t>
  </si>
  <si>
    <t>Upácu 42   C.E</t>
  </si>
  <si>
    <t>García Ramírez</t>
  </si>
  <si>
    <t>Upácu 44</t>
  </si>
  <si>
    <t>Basurto</t>
  </si>
  <si>
    <t>Upácu 45</t>
  </si>
  <si>
    <t>Enrique Vázquez</t>
  </si>
  <si>
    <t>Upácu 46   C.E</t>
  </si>
  <si>
    <t>Fuentes</t>
  </si>
  <si>
    <t>Upácu 47    C.E</t>
  </si>
  <si>
    <t>Upácu 48</t>
  </si>
  <si>
    <t>Bernal</t>
  </si>
  <si>
    <t>Upácu 49</t>
  </si>
  <si>
    <t>Sánchez Romano</t>
  </si>
  <si>
    <t>Upácu 50</t>
  </si>
  <si>
    <t>Rivera Rodríguez</t>
  </si>
  <si>
    <t>Upácu 51-1</t>
  </si>
  <si>
    <t>Casas Nájera</t>
  </si>
  <si>
    <t>Upácu 51-2</t>
  </si>
  <si>
    <t>Santoyo</t>
  </si>
  <si>
    <t>Upácua 52</t>
  </si>
  <si>
    <t>Velázquez V.</t>
  </si>
  <si>
    <t>Upácua 54</t>
  </si>
  <si>
    <t>García Rueda</t>
  </si>
  <si>
    <t>Upácu 55</t>
  </si>
  <si>
    <t>Ávila</t>
  </si>
  <si>
    <t>Upácu 60   C.E</t>
  </si>
  <si>
    <t>Zavala</t>
  </si>
  <si>
    <t>Upácu 61</t>
  </si>
  <si>
    <t>Campos Granados</t>
  </si>
  <si>
    <t>Upácu 62</t>
  </si>
  <si>
    <t>Jiménez Escutia</t>
  </si>
  <si>
    <t>Upácu 63    C.E</t>
  </si>
  <si>
    <t>Upácu 64   C.E</t>
  </si>
  <si>
    <t>Méndez Oliva</t>
  </si>
  <si>
    <t>Upácua 65</t>
  </si>
  <si>
    <t>Olguín</t>
  </si>
  <si>
    <t>Upácua 68</t>
  </si>
  <si>
    <t>Upácua 69</t>
  </si>
  <si>
    <t>Upácua 70 C.E</t>
  </si>
  <si>
    <t>Ramírez Tejeda</t>
  </si>
  <si>
    <t>Upácu 71</t>
  </si>
  <si>
    <t>Trejo Méndez</t>
  </si>
  <si>
    <t>Upácu 73-A</t>
  </si>
  <si>
    <t>Upácu 73-B</t>
  </si>
  <si>
    <t>Upácu 74</t>
  </si>
  <si>
    <t>Flores</t>
  </si>
  <si>
    <t>Upácu 75</t>
  </si>
  <si>
    <t>Montaño Zetina</t>
  </si>
  <si>
    <t>Upácu 76  C.E</t>
  </si>
  <si>
    <t>Ruiz de San Pedro</t>
  </si>
  <si>
    <t>Upácu 77</t>
  </si>
  <si>
    <t>Alvarado</t>
  </si>
  <si>
    <t>Upácu 78  C.E.</t>
  </si>
  <si>
    <t>Upácu 79  C.E</t>
  </si>
  <si>
    <t>Macías</t>
  </si>
  <si>
    <t>Upácu 80</t>
  </si>
  <si>
    <t>De los Ríos</t>
  </si>
  <si>
    <t>Upácu 85  C.E</t>
  </si>
  <si>
    <t>Del Toro Huerta</t>
  </si>
  <si>
    <t>Upácu 86   C.E</t>
  </si>
  <si>
    <t>López Canseco</t>
  </si>
  <si>
    <t>Upácu 87</t>
  </si>
  <si>
    <t>Rodríguez Pares</t>
  </si>
  <si>
    <t>Upácu 88   C.E</t>
  </si>
  <si>
    <t>Millán Núñez</t>
  </si>
  <si>
    <t>Upácu 90</t>
  </si>
  <si>
    <t>Moreno Calderón</t>
  </si>
  <si>
    <t>Upácu 91   C.E</t>
  </si>
  <si>
    <t>Mallen Aponte</t>
  </si>
  <si>
    <t>Upácu 92</t>
  </si>
  <si>
    <t>Díaz Jiménez</t>
  </si>
  <si>
    <t>Upácu 93  C.E</t>
  </si>
  <si>
    <t>Valdés</t>
  </si>
  <si>
    <t>Upácu 94</t>
  </si>
  <si>
    <t>Juárez Patiño</t>
  </si>
  <si>
    <t>Upácu 95</t>
  </si>
  <si>
    <t>Upácu 96  C.E</t>
  </si>
  <si>
    <t>Daza Gutiérrez</t>
  </si>
  <si>
    <t>Upácu 99</t>
  </si>
  <si>
    <t xml:space="preserve">Upácu 100  </t>
  </si>
  <si>
    <t xml:space="preserve">Upácu  101 C.E  </t>
  </si>
  <si>
    <t>Upácu 103</t>
  </si>
  <si>
    <t>Upácu 104</t>
  </si>
  <si>
    <t>Jiménez Almazo</t>
  </si>
  <si>
    <t>Upácu 106</t>
  </si>
  <si>
    <t>Upácu 108</t>
  </si>
  <si>
    <t>Mejía</t>
  </si>
  <si>
    <t>Upácu 110  C.E</t>
  </si>
  <si>
    <t>Ruiz Mijangos</t>
  </si>
  <si>
    <t>Upácu 114</t>
  </si>
  <si>
    <t>Upácu 116</t>
  </si>
  <si>
    <t>García Zamudio</t>
  </si>
  <si>
    <t>Upácu 118  C.E</t>
  </si>
  <si>
    <t>Siegrist</t>
  </si>
  <si>
    <t>Upácu 120</t>
  </si>
  <si>
    <t>Rayas Rivera</t>
  </si>
  <si>
    <t>Upácu 124</t>
  </si>
  <si>
    <t>Upácu 128</t>
  </si>
  <si>
    <t>Briz Cabrera</t>
  </si>
  <si>
    <t>Upácu 130</t>
  </si>
  <si>
    <t>Rodríguez Álvarez</t>
  </si>
  <si>
    <t xml:space="preserve">Upácu 132 </t>
  </si>
  <si>
    <t>Upácu 134</t>
  </si>
  <si>
    <t>Flores Pérez</t>
  </si>
  <si>
    <t>Upácu 136  C.E</t>
  </si>
  <si>
    <t>López Lena</t>
  </si>
  <si>
    <t>Upácu 138  C.E</t>
  </si>
  <si>
    <t>Ramírez Valencia</t>
  </si>
  <si>
    <t>Upácu 140</t>
  </si>
  <si>
    <t>Gozain</t>
  </si>
  <si>
    <t>Upácu 142   C.E</t>
  </si>
  <si>
    <t>Fierro Villaneda</t>
  </si>
  <si>
    <t>Upácu 146</t>
  </si>
  <si>
    <t>Islas</t>
  </si>
  <si>
    <t>Esta  3     C.E</t>
  </si>
  <si>
    <t>Villanueva</t>
  </si>
  <si>
    <t>Esta  5-A</t>
  </si>
  <si>
    <t>Zapata</t>
  </si>
  <si>
    <t>Estan  5-B</t>
  </si>
  <si>
    <t>Juárez Guerrero</t>
  </si>
  <si>
    <t>Est  7-A   C.E</t>
  </si>
  <si>
    <t>Estan  7-B</t>
  </si>
  <si>
    <t>Camargo Romero</t>
  </si>
  <si>
    <t>Estan  9-A</t>
  </si>
  <si>
    <t>Castañeda</t>
  </si>
  <si>
    <t>Est 9- B   C.E</t>
  </si>
  <si>
    <t>Velasco Rojas</t>
  </si>
  <si>
    <t>Est 11 A  C.E</t>
  </si>
  <si>
    <t>Evans González</t>
  </si>
  <si>
    <t>Est 11-B   C.E</t>
  </si>
  <si>
    <t>Est 15-A   C.E</t>
  </si>
  <si>
    <t>González</t>
  </si>
  <si>
    <t>Estan 15 B</t>
  </si>
  <si>
    <t>Frade Torres</t>
  </si>
  <si>
    <t>Estan .17</t>
  </si>
  <si>
    <t>Enciso Ledesma</t>
  </si>
  <si>
    <t>Esta 19   C.E</t>
  </si>
  <si>
    <t>Robles</t>
  </si>
  <si>
    <t>Esta 21</t>
  </si>
  <si>
    <t>Chavero Barrera</t>
  </si>
  <si>
    <t>Esta 25   C.E</t>
  </si>
  <si>
    <t>Contreras Figueroa</t>
  </si>
  <si>
    <t>Esta 31   C.E</t>
  </si>
  <si>
    <t>Chávez Valdés</t>
  </si>
  <si>
    <t>Esta 33</t>
  </si>
  <si>
    <t>Arauz</t>
  </si>
  <si>
    <t>Esta 35   C.E</t>
  </si>
  <si>
    <t>Esta 37</t>
  </si>
  <si>
    <t>Esta 41</t>
  </si>
  <si>
    <t>Díaz</t>
  </si>
  <si>
    <t>Esta 47   C.E</t>
  </si>
  <si>
    <t>Bussey García</t>
  </si>
  <si>
    <t>Esta 49   C.E</t>
  </si>
  <si>
    <t>Sánchez Zamora</t>
  </si>
  <si>
    <t>Esta 53</t>
  </si>
  <si>
    <t>Cáceres Palomares</t>
  </si>
  <si>
    <t>Esta 55  C.E</t>
  </si>
  <si>
    <t>Esta 57</t>
  </si>
  <si>
    <t>Olivares</t>
  </si>
  <si>
    <t>Esta 61  C.E</t>
  </si>
  <si>
    <t>Esta 63</t>
  </si>
  <si>
    <t>Esta 65    C.E</t>
  </si>
  <si>
    <t>López Becerril</t>
  </si>
  <si>
    <t>Esta 67    C.E</t>
  </si>
  <si>
    <t>Esta  69   C.E</t>
  </si>
  <si>
    <t xml:space="preserve">Esta   71  </t>
  </si>
  <si>
    <t>Esta  73   C.E</t>
  </si>
  <si>
    <t>Esta 75    C.E</t>
  </si>
  <si>
    <t>Candela Pons</t>
  </si>
  <si>
    <t>Esta 77</t>
  </si>
  <si>
    <t>De la Rosa Rico</t>
  </si>
  <si>
    <t>Esta 79    C.E</t>
  </si>
  <si>
    <t>Esta 89</t>
  </si>
  <si>
    <t>Romero Ortiz</t>
  </si>
  <si>
    <t>Esta 91    C.E</t>
  </si>
  <si>
    <t>Lobato Torres</t>
  </si>
  <si>
    <t>Esta 93</t>
  </si>
  <si>
    <t>Alcocer</t>
  </si>
  <si>
    <t>Esta 95    C.E</t>
  </si>
  <si>
    <t>Castro Puente</t>
  </si>
  <si>
    <t>Esta 97</t>
  </si>
  <si>
    <t>Bolaños</t>
  </si>
  <si>
    <t>Esta 99    C.E.</t>
  </si>
  <si>
    <t>García López</t>
  </si>
  <si>
    <t>Esta 100  C.E</t>
  </si>
  <si>
    <t>Arias Monter</t>
  </si>
  <si>
    <t>Esta 101</t>
  </si>
  <si>
    <t>Calderón Celis</t>
  </si>
  <si>
    <t>Esta 103   C.E</t>
  </si>
  <si>
    <t>Valencia Aranda</t>
  </si>
  <si>
    <t>Esta  111  C.E</t>
  </si>
  <si>
    <t>Esta 115   C.E</t>
  </si>
  <si>
    <t>Frías Solórzano</t>
  </si>
  <si>
    <t>Esta 117</t>
  </si>
  <si>
    <t>Cordero Nieto</t>
  </si>
  <si>
    <t>Esta 119</t>
  </si>
  <si>
    <t>López Tovar</t>
  </si>
  <si>
    <t>Esta 119-2</t>
  </si>
  <si>
    <t>García Medina</t>
  </si>
  <si>
    <t>Esta 121</t>
  </si>
  <si>
    <t>López López</t>
  </si>
  <si>
    <t>Esta 123   C.E</t>
  </si>
  <si>
    <t>Esta 127</t>
  </si>
  <si>
    <t>Luna Zepeda</t>
  </si>
  <si>
    <t>Esta 129</t>
  </si>
  <si>
    <t>Esta 130</t>
  </si>
  <si>
    <t>Colegio Carmel</t>
  </si>
  <si>
    <t>Morales</t>
  </si>
  <si>
    <t>Rivas</t>
  </si>
  <si>
    <t xml:space="preserve">Esta 133 </t>
  </si>
  <si>
    <t>Hernández Salazar</t>
  </si>
  <si>
    <t>Esta 135</t>
  </si>
  <si>
    <t>Iglesias</t>
  </si>
  <si>
    <t>Esta 139</t>
  </si>
  <si>
    <t>Ortiz</t>
  </si>
  <si>
    <t>Esta 141</t>
  </si>
  <si>
    <t>Castillo Toledano</t>
  </si>
  <si>
    <t>Estan 147-  Depto.  1, 2, 3</t>
  </si>
  <si>
    <t>Esta 149   C.E</t>
  </si>
  <si>
    <t>Sala</t>
  </si>
  <si>
    <t>Esta 151   C.E</t>
  </si>
  <si>
    <t>Pérez Salazar</t>
  </si>
  <si>
    <t xml:space="preserve"> Estanz 153</t>
  </si>
  <si>
    <t>Torres Cázares</t>
  </si>
  <si>
    <t>Estan 155 C.E</t>
  </si>
  <si>
    <t>Estan   157 Depto. 1,2 ,3</t>
  </si>
  <si>
    <t>Estan 159</t>
  </si>
  <si>
    <t>Reyes</t>
  </si>
  <si>
    <t>Estan  161-1</t>
  </si>
  <si>
    <t>Guevara</t>
  </si>
  <si>
    <t>Estanz 161-B</t>
  </si>
  <si>
    <t>Pomián</t>
  </si>
  <si>
    <t>Estanz 163</t>
  </si>
  <si>
    <t>Estanz 165</t>
  </si>
  <si>
    <t xml:space="preserve"> Lande 1</t>
  </si>
  <si>
    <t xml:space="preserve"> Lande 2</t>
  </si>
  <si>
    <t>Zepeda</t>
  </si>
  <si>
    <t>Land 2  d-3</t>
  </si>
  <si>
    <t xml:space="preserve">Lande 2 </t>
  </si>
  <si>
    <t>Zamora Vera</t>
  </si>
  <si>
    <t>Lande 7</t>
  </si>
  <si>
    <t>Lande 8</t>
  </si>
  <si>
    <t>Lande 10</t>
  </si>
  <si>
    <t>Gómez Facio</t>
  </si>
  <si>
    <t>Lande 11</t>
  </si>
  <si>
    <t>Callejas</t>
  </si>
  <si>
    <t>Guzmán Silva</t>
  </si>
  <si>
    <t xml:space="preserve">Lande 13 </t>
  </si>
  <si>
    <t>Lande 14</t>
  </si>
  <si>
    <t>Lande 17</t>
  </si>
  <si>
    <t>Lande 18</t>
  </si>
  <si>
    <t>Rosado</t>
  </si>
  <si>
    <t>Lande 19</t>
  </si>
  <si>
    <t>Jiménez Guadarrama</t>
  </si>
  <si>
    <t>Lande 20</t>
  </si>
  <si>
    <t>Velasco</t>
  </si>
  <si>
    <t>Meza</t>
  </si>
  <si>
    <t>Lande 22</t>
  </si>
  <si>
    <t>Vázquez Peralta</t>
  </si>
  <si>
    <t>Lande 26</t>
  </si>
  <si>
    <t>Lande 28</t>
  </si>
  <si>
    <t>Lande 29</t>
  </si>
  <si>
    <t>Ulrich Cervantes</t>
  </si>
  <si>
    <t>Díaz Hernández</t>
  </si>
  <si>
    <t>Lande 33</t>
  </si>
  <si>
    <t>González Uribe</t>
  </si>
  <si>
    <t>Lande 34</t>
  </si>
  <si>
    <t>Barro</t>
  </si>
  <si>
    <t>Lande 35</t>
  </si>
  <si>
    <t>Jaime</t>
  </si>
  <si>
    <t>Lande 37</t>
  </si>
  <si>
    <t>Sánchez Peña</t>
  </si>
  <si>
    <t>Lande 39</t>
  </si>
  <si>
    <t>Soto del Cueto</t>
  </si>
  <si>
    <t>Lande 40</t>
  </si>
  <si>
    <t>Almaguer Mireles</t>
  </si>
  <si>
    <t>Lande 44</t>
  </si>
  <si>
    <t>Rodríguez C.</t>
  </si>
  <si>
    <t>Lande 45</t>
  </si>
  <si>
    <t>Almazán</t>
  </si>
  <si>
    <t>García González</t>
  </si>
  <si>
    <t>Lande 49</t>
  </si>
  <si>
    <t>Lande 50</t>
  </si>
  <si>
    <t>Colín</t>
  </si>
  <si>
    <t>Lande 52</t>
  </si>
  <si>
    <t>Lande 54-1</t>
  </si>
  <si>
    <t>Montes de Oca</t>
  </si>
  <si>
    <t>Lande 54-2</t>
  </si>
  <si>
    <t>Valero</t>
  </si>
  <si>
    <t>Lande 60</t>
  </si>
  <si>
    <t>Guerrero Flores</t>
  </si>
  <si>
    <t>Lande 61</t>
  </si>
  <si>
    <t>Miramontes Pérez</t>
  </si>
  <si>
    <t>Lande 62</t>
  </si>
  <si>
    <t>Lande 63</t>
  </si>
  <si>
    <t>Hernández Chávez</t>
  </si>
  <si>
    <t>Lande 64</t>
  </si>
  <si>
    <t>Ocampo Melchor</t>
  </si>
  <si>
    <t>Alpizar</t>
  </si>
  <si>
    <t>Moreno</t>
  </si>
  <si>
    <t>Gómez Ayala</t>
  </si>
  <si>
    <t>Lande 70</t>
  </si>
  <si>
    <t>Lande 71</t>
  </si>
  <si>
    <t>Cabrera Balcázar</t>
  </si>
  <si>
    <t>Lande 72</t>
  </si>
  <si>
    <t>Islas Palacios</t>
  </si>
  <si>
    <t>Lande 76</t>
  </si>
  <si>
    <t>Ugarte</t>
  </si>
  <si>
    <t>Lande 77</t>
  </si>
  <si>
    <t>Muñoz</t>
  </si>
  <si>
    <t>Villaseñor</t>
  </si>
  <si>
    <t>Lande 81</t>
  </si>
  <si>
    <t>Cebrían Saldaña</t>
  </si>
  <si>
    <t>Lande 83</t>
  </si>
  <si>
    <t>Aguilar</t>
  </si>
  <si>
    <t>Alcántara</t>
  </si>
  <si>
    <t>Lande 86</t>
  </si>
  <si>
    <t>Cuervo</t>
  </si>
  <si>
    <t>Fey Lafferla</t>
  </si>
  <si>
    <t>Lande 88</t>
  </si>
  <si>
    <t>Lande 89</t>
  </si>
  <si>
    <t>Del Pozo Solís</t>
  </si>
  <si>
    <t>Lande 90</t>
  </si>
  <si>
    <t>Córdova Reséndiz</t>
  </si>
  <si>
    <t>Llaca</t>
  </si>
  <si>
    <t>Ruiz Velasco</t>
  </si>
  <si>
    <t>Ortega López</t>
  </si>
  <si>
    <t>Lande 94</t>
  </si>
  <si>
    <t>Medina</t>
  </si>
  <si>
    <t>Lande 96</t>
  </si>
  <si>
    <t>Espinoza Aguirre</t>
  </si>
  <si>
    <t>Lande 99</t>
  </si>
  <si>
    <t>Rangel</t>
  </si>
  <si>
    <t>Lande 100</t>
  </si>
  <si>
    <t>Meingüer Gómez</t>
  </si>
  <si>
    <t>Ramírez</t>
  </si>
  <si>
    <t>Lande 12   C.E</t>
  </si>
  <si>
    <t>Lande 15   C.E</t>
  </si>
  <si>
    <t>Lande 21   C.E</t>
  </si>
  <si>
    <t>Lande 24  C.E</t>
  </si>
  <si>
    <t>Lande 25  C.E</t>
  </si>
  <si>
    <t>Lande 30  C.E</t>
  </si>
  <si>
    <t>Lande 31  C.E</t>
  </si>
  <si>
    <t>Lande 36  C.E</t>
  </si>
  <si>
    <t>Lande 38   C.E</t>
  </si>
  <si>
    <t>Lande 42  C.E</t>
  </si>
  <si>
    <t>Lande 47  C.E</t>
  </si>
  <si>
    <t>Lande 51  C.E</t>
  </si>
  <si>
    <t>Lande 58   C.E</t>
  </si>
  <si>
    <t>Lande 65  C.E</t>
  </si>
  <si>
    <t>Lande 68  C.E</t>
  </si>
  <si>
    <t>Lande 69  C.E</t>
  </si>
  <si>
    <t>Lande73   C.E</t>
  </si>
  <si>
    <t>Lande 75  C.E.</t>
  </si>
  <si>
    <t>Lande 80   C.E</t>
  </si>
  <si>
    <t>Lande 84  C.E</t>
  </si>
  <si>
    <t>Lande 85  C.E</t>
  </si>
  <si>
    <t>Lande 87  C.E</t>
  </si>
  <si>
    <t>Lande 91   C.E</t>
  </si>
  <si>
    <t>Lande 92   C.E</t>
  </si>
  <si>
    <t>Lande 93   C.E</t>
  </si>
  <si>
    <t>Lande 95   C.E</t>
  </si>
  <si>
    <t>Lande 101  C.E</t>
  </si>
  <si>
    <t>Zinam 6     C.E</t>
  </si>
  <si>
    <t>Villafaña</t>
  </si>
  <si>
    <t>Zinam  8</t>
  </si>
  <si>
    <t>Florido</t>
  </si>
  <si>
    <t>Zinam 10   C.E.</t>
  </si>
  <si>
    <t>Roy Sánchez</t>
  </si>
  <si>
    <t>Zinam 12   C.E</t>
  </si>
  <si>
    <t>Zinam 14   C.E.</t>
  </si>
  <si>
    <t>Zinam 18</t>
  </si>
  <si>
    <t>Zinam 20</t>
  </si>
  <si>
    <t>Alegre Retana</t>
  </si>
  <si>
    <t>Zinam 22</t>
  </si>
  <si>
    <t>Berúmen</t>
  </si>
  <si>
    <t>Zinam 24    C.E</t>
  </si>
  <si>
    <t>Zinam 26</t>
  </si>
  <si>
    <t>Ayala</t>
  </si>
  <si>
    <t>Zinam 30</t>
  </si>
  <si>
    <t xml:space="preserve">Arroyo </t>
  </si>
  <si>
    <t>Zinam 34</t>
  </si>
  <si>
    <t>Zinam 36   C.E.</t>
  </si>
  <si>
    <t>Rodríguez Ortiz</t>
  </si>
  <si>
    <t>Zinam 38   C.E.</t>
  </si>
  <si>
    <t>Ramírez Díaz</t>
  </si>
  <si>
    <t>Zinam 40</t>
  </si>
  <si>
    <t>Correa Rojas</t>
  </si>
  <si>
    <t>Zinam 42   C.E.</t>
  </si>
  <si>
    <t>Zinam 44    C.E</t>
  </si>
  <si>
    <t>Canales</t>
  </si>
  <si>
    <t>Zinam 46</t>
  </si>
  <si>
    <t>Zinam 50</t>
  </si>
  <si>
    <t>Del Castillo</t>
  </si>
  <si>
    <t>Zinam 56    C.E</t>
  </si>
  <si>
    <t>Aguado</t>
  </si>
  <si>
    <t>Zinam 58</t>
  </si>
  <si>
    <t>Almaraz Morales</t>
  </si>
  <si>
    <t>Zinam 60</t>
  </si>
  <si>
    <t>Guerrero Jiménez</t>
  </si>
  <si>
    <t>Zinam 62</t>
  </si>
  <si>
    <t>Zinam 66</t>
  </si>
  <si>
    <t>Pacheco</t>
  </si>
  <si>
    <t>Zinam 68</t>
  </si>
  <si>
    <t>Rivera Villicaña</t>
  </si>
  <si>
    <t>Zinam 72</t>
  </si>
  <si>
    <t>Romo de Vivar</t>
  </si>
  <si>
    <t>Zinam 74</t>
  </si>
  <si>
    <t>García Castellanos</t>
  </si>
  <si>
    <t>Zinam 76</t>
  </si>
  <si>
    <t>Márquez</t>
  </si>
  <si>
    <t>Zinam 80</t>
  </si>
  <si>
    <t>Vázquez</t>
  </si>
  <si>
    <t>Zinam 82</t>
  </si>
  <si>
    <t>Zinam 84   C.E</t>
  </si>
  <si>
    <t>Lobato</t>
  </si>
  <si>
    <t>Zinam 88    C.E.</t>
  </si>
  <si>
    <t>Martínez</t>
  </si>
  <si>
    <t>C. del Hueso</t>
  </si>
  <si>
    <t>La Lechuga</t>
  </si>
  <si>
    <t>C. del Hueso 840</t>
  </si>
  <si>
    <t>Pérez Retis</t>
  </si>
  <si>
    <t>C. del Hueso 828</t>
  </si>
  <si>
    <t>CARSO</t>
  </si>
  <si>
    <t>Estética</t>
  </si>
  <si>
    <t>Rome 9-A  C.E</t>
  </si>
  <si>
    <t>Rome 9 B</t>
  </si>
  <si>
    <t>Morales Macías</t>
  </si>
  <si>
    <t>Rome 10 B</t>
  </si>
  <si>
    <t>López Castellano</t>
  </si>
  <si>
    <t>Rome 10 A</t>
  </si>
  <si>
    <t>Rome  17</t>
  </si>
  <si>
    <t>Aguilar Lomelí</t>
  </si>
  <si>
    <t>Rom 123 A</t>
  </si>
  <si>
    <t>Rome  30</t>
  </si>
  <si>
    <t>Osorio</t>
  </si>
  <si>
    <t>Rome  33</t>
  </si>
  <si>
    <t>Juárez Alva</t>
  </si>
  <si>
    <t>García Calderón</t>
  </si>
  <si>
    <t>Vidal García</t>
  </si>
  <si>
    <t>Sandoval</t>
  </si>
  <si>
    <t>Colín González</t>
  </si>
  <si>
    <t xml:space="preserve"> Estopi   15</t>
  </si>
  <si>
    <t>Zhang</t>
  </si>
  <si>
    <t xml:space="preserve"> Estop 18  C.E</t>
  </si>
  <si>
    <t>Aguilar Zarmeño</t>
  </si>
  <si>
    <t xml:space="preserve"> Estopi  22 A</t>
  </si>
  <si>
    <t>Ayala Carranza</t>
  </si>
  <si>
    <t xml:space="preserve"> Estopi  44</t>
  </si>
  <si>
    <t>Christian</t>
  </si>
  <si>
    <t>A</t>
  </si>
  <si>
    <t>B</t>
  </si>
  <si>
    <t>PB</t>
  </si>
  <si>
    <t>PA</t>
  </si>
  <si>
    <t>terreno</t>
  </si>
  <si>
    <t>RM</t>
  </si>
  <si>
    <t>RV</t>
  </si>
  <si>
    <t>EP</t>
  </si>
  <si>
    <t>CL</t>
  </si>
  <si>
    <t>UP</t>
  </si>
  <si>
    <t>EZ</t>
  </si>
  <si>
    <t>LD</t>
  </si>
  <si>
    <t>ZB</t>
  </si>
  <si>
    <t>HS</t>
  </si>
  <si>
    <t>CALLE</t>
  </si>
  <si>
    <t>N°</t>
  </si>
  <si>
    <t>INT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</si>
  <si>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</si>
  <si>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</si>
  <si>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</si>
  <si>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</si>
  <si>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</si>
  <si>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</si>
  <si>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</si>
  <si>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</si>
  <si>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</si>
  <si>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</si>
  <si>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</si>
  <si>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</si>
  <si>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</si>
  <si>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CUOTA</t>
  </si>
  <si>
    <t>Solís Susana</t>
  </si>
  <si>
    <t>Aldana Sánchez</t>
  </si>
  <si>
    <t>Luna Albertano</t>
  </si>
  <si>
    <t>Orozco Castelazo</t>
  </si>
  <si>
    <t>Velázquez</t>
  </si>
  <si>
    <t>Suárez</t>
  </si>
  <si>
    <t>CT</t>
  </si>
  <si>
    <t>Velázquez Marisol</t>
  </si>
  <si>
    <t>Guerrero</t>
  </si>
  <si>
    <t>Villaseñor Jorge</t>
  </si>
  <si>
    <t>Sairafi Carmen</t>
  </si>
  <si>
    <t>Flores Muñoz</t>
  </si>
  <si>
    <t>Mancera Rodríguez</t>
  </si>
  <si>
    <t>Reyes Nicandro</t>
  </si>
  <si>
    <t>Gómez Miguel</t>
  </si>
  <si>
    <t>Cabello Eduardo</t>
  </si>
  <si>
    <t>Rodríguez Acevedo</t>
  </si>
  <si>
    <t>Mendoza Q.</t>
  </si>
  <si>
    <t>García María del C.</t>
  </si>
  <si>
    <t>González Rodríguez</t>
  </si>
  <si>
    <t>Campos Jorge</t>
  </si>
  <si>
    <t>Cervantes Luis S.</t>
  </si>
  <si>
    <t>Pineda Laura</t>
  </si>
  <si>
    <t>Peña Torres</t>
  </si>
  <si>
    <t>Escamilla Martínez</t>
  </si>
  <si>
    <t>Balderas Martínez</t>
  </si>
  <si>
    <t>H. Robles Tamayo</t>
  </si>
  <si>
    <t>Castillo Hernández</t>
  </si>
  <si>
    <t>Narvaez Sara</t>
  </si>
  <si>
    <t>Villaseñor Hernández</t>
  </si>
  <si>
    <t>Torres Raúl</t>
  </si>
  <si>
    <t>Hernández Castro</t>
  </si>
  <si>
    <t>Quiñones Hernández</t>
  </si>
  <si>
    <t>Velarde</t>
  </si>
  <si>
    <t>Flores Delgado</t>
  </si>
  <si>
    <t>Torices González</t>
  </si>
  <si>
    <t>Atilano Limón</t>
  </si>
  <si>
    <t>Recoveco  1    C.E</t>
  </si>
  <si>
    <t>Recovecoco   2</t>
  </si>
  <si>
    <t>Recoveco   3</t>
  </si>
  <si>
    <t>Recoveco 173 C.E</t>
  </si>
  <si>
    <t>Recovecoco 175  Bis-A        C.E</t>
  </si>
  <si>
    <t>Recoveco   175</t>
  </si>
  <si>
    <t>Recoveco  175</t>
  </si>
  <si>
    <t>Recoveco 179  C.E</t>
  </si>
  <si>
    <t>Recovecoco 181</t>
  </si>
  <si>
    <t>Recoveco 183 C.E</t>
  </si>
  <si>
    <t>Recoveco 187  C.E</t>
  </si>
  <si>
    <t xml:space="preserve">Recovecoco 189 </t>
  </si>
  <si>
    <t>Recovecoco 193</t>
  </si>
  <si>
    <t>Recoveco 195</t>
  </si>
  <si>
    <t>Recoveco 197 C.E</t>
  </si>
  <si>
    <t>CANCELADO</t>
  </si>
  <si>
    <t>NÚMERO</t>
  </si>
  <si>
    <t>IMPORTE</t>
  </si>
  <si>
    <t>FECHA</t>
  </si>
  <si>
    <t>OBSERVACIONES</t>
  </si>
  <si>
    <t>importe</t>
  </si>
  <si>
    <t>EZ_151_</t>
  </si>
  <si>
    <t>EZ_139_</t>
  </si>
  <si>
    <t>LD_63_</t>
  </si>
  <si>
    <t>CL_139_</t>
  </si>
  <si>
    <t>LD_96_</t>
  </si>
  <si>
    <t>CL_127_</t>
  </si>
  <si>
    <t>ZB_38_</t>
  </si>
  <si>
    <t>EZ_31_</t>
  </si>
  <si>
    <t>LD_91_</t>
  </si>
  <si>
    <t>LD_83_</t>
  </si>
  <si>
    <t>UP_99_</t>
  </si>
  <si>
    <t>CL_43_B</t>
  </si>
  <si>
    <t>UP_120_</t>
  </si>
  <si>
    <t>UP_45_</t>
  </si>
  <si>
    <t>CL_89_</t>
  </si>
  <si>
    <t>RV_173_</t>
  </si>
  <si>
    <t>UP_47_</t>
  </si>
  <si>
    <t>UP_100_</t>
  </si>
  <si>
    <t>UP_32_</t>
  </si>
  <si>
    <t>UP_93_</t>
  </si>
  <si>
    <t>UP_140_</t>
  </si>
  <si>
    <t>RV_195_</t>
  </si>
  <si>
    <t>CL_42_</t>
  </si>
  <si>
    <t>ZB_20_</t>
  </si>
  <si>
    <t>CL_47_</t>
  </si>
  <si>
    <t>EZ_37_</t>
  </si>
  <si>
    <t>LD_80_</t>
  </si>
  <si>
    <t>CL_45_</t>
  </si>
  <si>
    <t>CL_110_</t>
  </si>
  <si>
    <t>EZ_65_</t>
  </si>
  <si>
    <t>CL_7_101</t>
  </si>
  <si>
    <t>CL_7_102</t>
  </si>
  <si>
    <t>CL_7_201</t>
  </si>
  <si>
    <t>CL_7_202</t>
  </si>
  <si>
    <t>CL_9_</t>
  </si>
  <si>
    <t>CL_11_</t>
  </si>
  <si>
    <t>CL_12_</t>
  </si>
  <si>
    <t>CL_13_</t>
  </si>
  <si>
    <t>CL_14_</t>
  </si>
  <si>
    <t>CL_15_</t>
  </si>
  <si>
    <t>CL_18_</t>
  </si>
  <si>
    <t>CL_19_</t>
  </si>
  <si>
    <t>CL_20_</t>
  </si>
  <si>
    <t>CL_21_</t>
  </si>
  <si>
    <t>CL_23_</t>
  </si>
  <si>
    <t>CL_25_</t>
  </si>
  <si>
    <t>CL_27_</t>
  </si>
  <si>
    <t>CL_29_</t>
  </si>
  <si>
    <t>CL_30_</t>
  </si>
  <si>
    <t>CL_31_</t>
  </si>
  <si>
    <t>CL_32_</t>
  </si>
  <si>
    <t>CL_33_</t>
  </si>
  <si>
    <t>CL_35_</t>
  </si>
  <si>
    <t>CL_36_</t>
  </si>
  <si>
    <t>CL_38_</t>
  </si>
  <si>
    <t>CL_39_</t>
  </si>
  <si>
    <t>CL_40_</t>
  </si>
  <si>
    <t>CL_41_</t>
  </si>
  <si>
    <t>CL_43_A</t>
  </si>
  <si>
    <t>CL_44_</t>
  </si>
  <si>
    <t>CL_46_</t>
  </si>
  <si>
    <t>CL_49_</t>
  </si>
  <si>
    <t>CL_52_</t>
  </si>
  <si>
    <t>CL_53_</t>
  </si>
  <si>
    <t>CL_55_</t>
  </si>
  <si>
    <t>CL_58_</t>
  </si>
  <si>
    <t>CL_59_</t>
  </si>
  <si>
    <t>CL_61_</t>
  </si>
  <si>
    <t>CL_62_</t>
  </si>
  <si>
    <t>CL_63_</t>
  </si>
  <si>
    <t>CL_66_</t>
  </si>
  <si>
    <t>CL_67_</t>
  </si>
  <si>
    <t>CL_68_</t>
  </si>
  <si>
    <t>CL_69_</t>
  </si>
  <si>
    <t>CL_71_</t>
  </si>
  <si>
    <t>CL_72_</t>
  </si>
  <si>
    <t>CL_73_</t>
  </si>
  <si>
    <t>CL_74_</t>
  </si>
  <si>
    <t>CL_75_</t>
  </si>
  <si>
    <t>CL_77_</t>
  </si>
  <si>
    <t>CL_79_</t>
  </si>
  <si>
    <t>CL_80_</t>
  </si>
  <si>
    <t>CL_81_A</t>
  </si>
  <si>
    <t>CL_81_B</t>
  </si>
  <si>
    <t>CL_82_</t>
  </si>
  <si>
    <t>CL_83_</t>
  </si>
  <si>
    <t>CL_86_</t>
  </si>
  <si>
    <t>CL_87_</t>
  </si>
  <si>
    <t>CL_90_</t>
  </si>
  <si>
    <t>CL_91_</t>
  </si>
  <si>
    <t>CL_92_</t>
  </si>
  <si>
    <t>CL_93_</t>
  </si>
  <si>
    <t>CL_94_</t>
  </si>
  <si>
    <t>CL_95_</t>
  </si>
  <si>
    <t>CL_96_</t>
  </si>
  <si>
    <t>CL_97_</t>
  </si>
  <si>
    <t>CL_101_</t>
  </si>
  <si>
    <t>CL_107_</t>
  </si>
  <si>
    <t>CL_111_</t>
  </si>
  <si>
    <t>CL_112_PA</t>
  </si>
  <si>
    <t>CL_112_PB</t>
  </si>
  <si>
    <t>CL_115_</t>
  </si>
  <si>
    <t>CL_116_</t>
  </si>
  <si>
    <t>CL_117_</t>
  </si>
  <si>
    <t>CL_118_</t>
  </si>
  <si>
    <t>CL_119_</t>
  </si>
  <si>
    <t>CL_120_</t>
  </si>
  <si>
    <t>CL_121_</t>
  </si>
  <si>
    <t>CL_122_</t>
  </si>
  <si>
    <t>CL_125_</t>
  </si>
  <si>
    <t>CL_129_</t>
  </si>
  <si>
    <t>CL_130_</t>
  </si>
  <si>
    <t>CL_131_</t>
  </si>
  <si>
    <t>CL_132_</t>
  </si>
  <si>
    <t>CL_133_</t>
  </si>
  <si>
    <t>CL_134_</t>
  </si>
  <si>
    <t>CL_135_</t>
  </si>
  <si>
    <t>CL_141_</t>
  </si>
  <si>
    <t>CL_145_</t>
  </si>
  <si>
    <t>CL_147_</t>
  </si>
  <si>
    <t>CL_148_</t>
  </si>
  <si>
    <t>CL_149_</t>
  </si>
  <si>
    <t>CL_terreno_</t>
  </si>
  <si>
    <t>Rancho La Cuchilla</t>
  </si>
  <si>
    <t>DOMICILIO</t>
  </si>
  <si>
    <t>Cafetales</t>
  </si>
  <si>
    <t>Rancho Estopila</t>
  </si>
  <si>
    <t>Rancho Estanzuela</t>
  </si>
  <si>
    <t>Calzada del Hueso</t>
  </si>
  <si>
    <t>Rancho Landero</t>
  </si>
  <si>
    <t>Rancho Romeral</t>
  </si>
  <si>
    <t>Rancho Recoveco</t>
  </si>
  <si>
    <t>Rancho Upácuaro</t>
  </si>
  <si>
    <t>Rancho Zinamba</t>
  </si>
  <si>
    <t>Cuotas extraordinarias</t>
  </si>
  <si>
    <t>Venta de llaves</t>
  </si>
  <si>
    <t>Venta de tarjetas electrónicas</t>
  </si>
  <si>
    <t>Venta de tarjetones</t>
  </si>
  <si>
    <t>Aportación Colegio Carmel</t>
  </si>
  <si>
    <t>Otros ingresos</t>
  </si>
  <si>
    <t>Cuotas de vigilancia</t>
  </si>
  <si>
    <t>Calles</t>
  </si>
  <si>
    <t>CASA</t>
  </si>
  <si>
    <t>EP_18_</t>
  </si>
  <si>
    <t>EP_22_A</t>
  </si>
  <si>
    <t>EP_44_</t>
  </si>
  <si>
    <t>EZ_3_</t>
  </si>
  <si>
    <t>EZ_5_A</t>
  </si>
  <si>
    <t>EZ_5_B</t>
  </si>
  <si>
    <t>EZ_7_A</t>
  </si>
  <si>
    <t>EZ_7_B</t>
  </si>
  <si>
    <t>EZ_9_A</t>
  </si>
  <si>
    <t>EZ_9_B</t>
  </si>
  <si>
    <t>EZ_11_A</t>
  </si>
  <si>
    <t>EZ_11_B</t>
  </si>
  <si>
    <t>EZ_15_A</t>
  </si>
  <si>
    <t>EZ_15_B</t>
  </si>
  <si>
    <t>EZ_17_</t>
  </si>
  <si>
    <t>EZ_19_</t>
  </si>
  <si>
    <t>EZ_21_</t>
  </si>
  <si>
    <t>EZ_25_</t>
  </si>
  <si>
    <t>EZ_33_</t>
  </si>
  <si>
    <t>EZ_35_</t>
  </si>
  <si>
    <t>EZ_41_</t>
  </si>
  <si>
    <t>EZ_47_</t>
  </si>
  <si>
    <t>EZ_49_</t>
  </si>
  <si>
    <t>EZ_53_</t>
  </si>
  <si>
    <t>EZ_55_</t>
  </si>
  <si>
    <t>EZ_57_</t>
  </si>
  <si>
    <t>EZ_61_</t>
  </si>
  <si>
    <t>EZ_63_</t>
  </si>
  <si>
    <t>EZ_67_</t>
  </si>
  <si>
    <t>EZ_69_</t>
  </si>
  <si>
    <t>EZ_71_</t>
  </si>
  <si>
    <t>EZ_73_</t>
  </si>
  <si>
    <t>EZ_75_</t>
  </si>
  <si>
    <t>EZ_77_</t>
  </si>
  <si>
    <t>EZ_79_</t>
  </si>
  <si>
    <t>EZ_89_</t>
  </si>
  <si>
    <t>EZ_91_</t>
  </si>
  <si>
    <t>EZ_93_</t>
  </si>
  <si>
    <t>EZ_95_</t>
  </si>
  <si>
    <t>EZ_97_</t>
  </si>
  <si>
    <t>EZ_99_</t>
  </si>
  <si>
    <t>EZ_100_</t>
  </si>
  <si>
    <t>EZ_101_</t>
  </si>
  <si>
    <t>EZ_103_</t>
  </si>
  <si>
    <t>EZ_111_</t>
  </si>
  <si>
    <t>EZ_115_</t>
  </si>
  <si>
    <t>EZ_117_</t>
  </si>
  <si>
    <t>EZ_119_2</t>
  </si>
  <si>
    <t>EZ_121_</t>
  </si>
  <si>
    <t>EZ_123_</t>
  </si>
  <si>
    <t>EZ_127_</t>
  </si>
  <si>
    <t>EZ_129_</t>
  </si>
  <si>
    <t>EZ_135_</t>
  </si>
  <si>
    <t>EZ_141_</t>
  </si>
  <si>
    <t>EZ_149_</t>
  </si>
  <si>
    <t>EZ_153_</t>
  </si>
  <si>
    <t>EZ_155_</t>
  </si>
  <si>
    <t>EZ_159_</t>
  </si>
  <si>
    <t>EZ_161_1</t>
  </si>
  <si>
    <t>EZ_161_B</t>
  </si>
  <si>
    <t>EZ_163_</t>
  </si>
  <si>
    <t>EZ_130_B</t>
  </si>
  <si>
    <t>EZ_133_B</t>
  </si>
  <si>
    <t>EZ_165_A</t>
  </si>
  <si>
    <t>EZ_165_B</t>
  </si>
  <si>
    <t>C</t>
  </si>
  <si>
    <t>HS_828_</t>
  </si>
  <si>
    <t>HS_840_</t>
  </si>
  <si>
    <t>HS_A_</t>
  </si>
  <si>
    <t>HS_B_</t>
  </si>
  <si>
    <t>HS_C_</t>
  </si>
  <si>
    <t>LD_1_</t>
  </si>
  <si>
    <t>LD_2_3</t>
  </si>
  <si>
    <t>LD_7_</t>
  </si>
  <si>
    <t>LD_8_</t>
  </si>
  <si>
    <t>LD_10_</t>
  </si>
  <si>
    <t>LD_11_</t>
  </si>
  <si>
    <t>LD_12_</t>
  </si>
  <si>
    <t>LD_13_</t>
  </si>
  <si>
    <t>LD_14_</t>
  </si>
  <si>
    <t>LD_15_</t>
  </si>
  <si>
    <t>LD_17_</t>
  </si>
  <si>
    <t>LD_18_</t>
  </si>
  <si>
    <t>LD_19_</t>
  </si>
  <si>
    <t>LD_20_</t>
  </si>
  <si>
    <t>LD_21_</t>
  </si>
  <si>
    <t>LD_22_</t>
  </si>
  <si>
    <t>LD_24_</t>
  </si>
  <si>
    <t>LD_25_</t>
  </si>
  <si>
    <t>LD_26_</t>
  </si>
  <si>
    <t>LD_28_</t>
  </si>
  <si>
    <t>LD_29_</t>
  </si>
  <si>
    <t>LD_30_</t>
  </si>
  <si>
    <t>LD_31_</t>
  </si>
  <si>
    <t>LD_33_</t>
  </si>
  <si>
    <t>LD_34_</t>
  </si>
  <si>
    <t>LD_35_</t>
  </si>
  <si>
    <t>LD_36_</t>
  </si>
  <si>
    <t>LD_37_</t>
  </si>
  <si>
    <t>LD_38_</t>
  </si>
  <si>
    <t>LD_39_</t>
  </si>
  <si>
    <t>LD_40_</t>
  </si>
  <si>
    <t>LD_42_</t>
  </si>
  <si>
    <t>LD_44_</t>
  </si>
  <si>
    <t>LD_45_</t>
  </si>
  <si>
    <t>LD_47_</t>
  </si>
  <si>
    <t>LD_49_</t>
  </si>
  <si>
    <t>LD_50_</t>
  </si>
  <si>
    <t>LD_51_</t>
  </si>
  <si>
    <t>LD_52_</t>
  </si>
  <si>
    <t>LD_54_1</t>
  </si>
  <si>
    <t>LD_54_2</t>
  </si>
  <si>
    <t>LD_58_</t>
  </si>
  <si>
    <t>LD_60_</t>
  </si>
  <si>
    <t>LD_61_</t>
  </si>
  <si>
    <t>LD_62_</t>
  </si>
  <si>
    <t>LD_64_</t>
  </si>
  <si>
    <t>LD_65_</t>
  </si>
  <si>
    <t>LD_68_</t>
  </si>
  <si>
    <t>LD_69_</t>
  </si>
  <si>
    <t>LD_70_</t>
  </si>
  <si>
    <t>LD_71_</t>
  </si>
  <si>
    <t>LD_72_</t>
  </si>
  <si>
    <t>LD_73_</t>
  </si>
  <si>
    <t>LD_75_</t>
  </si>
  <si>
    <t>LD_76_</t>
  </si>
  <si>
    <t>LD_77_</t>
  </si>
  <si>
    <t>LD_81_</t>
  </si>
  <si>
    <t>LD_84_</t>
  </si>
  <si>
    <t>LD_85_</t>
  </si>
  <si>
    <t>LD_86_</t>
  </si>
  <si>
    <t>LD_87_</t>
  </si>
  <si>
    <t>LD_88_</t>
  </si>
  <si>
    <t>LD_89_</t>
  </si>
  <si>
    <t>LD_90_</t>
  </si>
  <si>
    <t>LD_92_</t>
  </si>
  <si>
    <t>LD_93_</t>
  </si>
  <si>
    <t>LD_94_</t>
  </si>
  <si>
    <t>LD_95_</t>
  </si>
  <si>
    <t>LD_99_</t>
  </si>
  <si>
    <t>LD_100_</t>
  </si>
  <si>
    <t>LD_101_</t>
  </si>
  <si>
    <t>LD_2_A</t>
  </si>
  <si>
    <t>LD_2_B</t>
  </si>
  <si>
    <t>RM_9_A</t>
  </si>
  <si>
    <t>RM_9_B</t>
  </si>
  <si>
    <t>RM_10_A</t>
  </si>
  <si>
    <t>RM_10_B</t>
  </si>
  <si>
    <t>RM_17_</t>
  </si>
  <si>
    <t>RM_30_</t>
  </si>
  <si>
    <t>RM_33_</t>
  </si>
  <si>
    <t>RV_1_</t>
  </si>
  <si>
    <t>RV_2_</t>
  </si>
  <si>
    <t>RV_3_</t>
  </si>
  <si>
    <t>RV_175_A</t>
  </si>
  <si>
    <t>RV_175_B</t>
  </si>
  <si>
    <t>RV_179_</t>
  </si>
  <si>
    <t>RV_181_</t>
  </si>
  <si>
    <t>RV_183_</t>
  </si>
  <si>
    <t>RV_187_</t>
  </si>
  <si>
    <t>RV_189_</t>
  </si>
  <si>
    <t>RV_193_</t>
  </si>
  <si>
    <t>RV_197_</t>
  </si>
  <si>
    <t>UP_5_B</t>
  </si>
  <si>
    <t>UP_7_</t>
  </si>
  <si>
    <t>UP_8_</t>
  </si>
  <si>
    <t>UP_9_</t>
  </si>
  <si>
    <t>UP_10_</t>
  </si>
  <si>
    <t>UP_12_</t>
  </si>
  <si>
    <t>UP_14_</t>
  </si>
  <si>
    <t>UP_15_</t>
  </si>
  <si>
    <t>UP_16_</t>
  </si>
  <si>
    <t>UP_18_</t>
  </si>
  <si>
    <t>UP_19_</t>
  </si>
  <si>
    <t>UP_20_</t>
  </si>
  <si>
    <t>UP_21_</t>
  </si>
  <si>
    <t>UP_23_</t>
  </si>
  <si>
    <t>UP_24_</t>
  </si>
  <si>
    <t>UP_26_</t>
  </si>
  <si>
    <t>UP_30_</t>
  </si>
  <si>
    <t>UP_31_</t>
  </si>
  <si>
    <t>UP_33_</t>
  </si>
  <si>
    <t>UP_34_</t>
  </si>
  <si>
    <t>UP_35_</t>
  </si>
  <si>
    <t>UP_36_</t>
  </si>
  <si>
    <t>UP_37_</t>
  </si>
  <si>
    <t>UP_39_</t>
  </si>
  <si>
    <t>UP_40_</t>
  </si>
  <si>
    <t>UP_42_</t>
  </si>
  <si>
    <t>UP_44_</t>
  </si>
  <si>
    <t>UP_46_</t>
  </si>
  <si>
    <t>UP_48_</t>
  </si>
  <si>
    <t>UP_49_</t>
  </si>
  <si>
    <t>UP_50_</t>
  </si>
  <si>
    <t>UP_51_1</t>
  </si>
  <si>
    <t>UP_51_2</t>
  </si>
  <si>
    <t>UP_52_</t>
  </si>
  <si>
    <t>UP_54_</t>
  </si>
  <si>
    <t>UP_55_</t>
  </si>
  <si>
    <t>UP_60_</t>
  </si>
  <si>
    <t>UP_61_</t>
  </si>
  <si>
    <t>UP_62_</t>
  </si>
  <si>
    <t>UP_63_</t>
  </si>
  <si>
    <t>UP_64_</t>
  </si>
  <si>
    <t>UP_65_</t>
  </si>
  <si>
    <t>UP_68_</t>
  </si>
  <si>
    <t>UP_69_</t>
  </si>
  <si>
    <t>UP_70_</t>
  </si>
  <si>
    <t>UP_71_</t>
  </si>
  <si>
    <t>UP_73_A</t>
  </si>
  <si>
    <t>UP_73_B</t>
  </si>
  <si>
    <t>UP_74_</t>
  </si>
  <si>
    <t>UP_75_</t>
  </si>
  <si>
    <t>UP_76_</t>
  </si>
  <si>
    <t>UP_77_</t>
  </si>
  <si>
    <t>UP_78_</t>
  </si>
  <si>
    <t>UP_79_</t>
  </si>
  <si>
    <t>UP_80_</t>
  </si>
  <si>
    <t>UP_85_</t>
  </si>
  <si>
    <t>UP_86_</t>
  </si>
  <si>
    <t>UP_87_</t>
  </si>
  <si>
    <t>UP_88_</t>
  </si>
  <si>
    <t>UP_90_</t>
  </si>
  <si>
    <t>UP_91_</t>
  </si>
  <si>
    <t>UP_92_</t>
  </si>
  <si>
    <t>UP_94_</t>
  </si>
  <si>
    <t>UP_95_</t>
  </si>
  <si>
    <t>UP_96_</t>
  </si>
  <si>
    <t>UP_101_</t>
  </si>
  <si>
    <t>UP_103_</t>
  </si>
  <si>
    <t>UP_104_</t>
  </si>
  <si>
    <t>UP_106_</t>
  </si>
  <si>
    <t>UP_108_</t>
  </si>
  <si>
    <t>UP_110_</t>
  </si>
  <si>
    <t>UP_114_</t>
  </si>
  <si>
    <t>UP_116_</t>
  </si>
  <si>
    <t>UP_118_</t>
  </si>
  <si>
    <t>UP_124_</t>
  </si>
  <si>
    <t>UP_128_</t>
  </si>
  <si>
    <t>UP_130_</t>
  </si>
  <si>
    <t>UP_132_</t>
  </si>
  <si>
    <t>UP_134_</t>
  </si>
  <si>
    <t>UP_136_</t>
  </si>
  <si>
    <t>UP_138_</t>
  </si>
  <si>
    <t>UP_142_</t>
  </si>
  <si>
    <t>UP_146_</t>
  </si>
  <si>
    <t>ZB_6_</t>
  </si>
  <si>
    <t>ZB_8_</t>
  </si>
  <si>
    <t>ZB_10_</t>
  </si>
  <si>
    <t>ZB_12_</t>
  </si>
  <si>
    <t>ZB_14_</t>
  </si>
  <si>
    <t>ZB_18_</t>
  </si>
  <si>
    <t>ZB_22_</t>
  </si>
  <si>
    <t>ZB_24_</t>
  </si>
  <si>
    <t>ZB_26_</t>
  </si>
  <si>
    <t>ZB_30_</t>
  </si>
  <si>
    <t>ZB_34_</t>
  </si>
  <si>
    <t>ZB_36_</t>
  </si>
  <si>
    <t>ZB_40_</t>
  </si>
  <si>
    <t>ZB_42_</t>
  </si>
  <si>
    <t>ZB_44_</t>
  </si>
  <si>
    <t>ZB_46_</t>
  </si>
  <si>
    <t>ZB_50_</t>
  </si>
  <si>
    <t>ZB_56_</t>
  </si>
  <si>
    <t>ZB_58_</t>
  </si>
  <si>
    <t>ZB_60_</t>
  </si>
  <si>
    <t>ZB_62_</t>
  </si>
  <si>
    <t>ZB_66_</t>
  </si>
  <si>
    <t>ZB_68_</t>
  </si>
  <si>
    <t>ZB_72_</t>
  </si>
  <si>
    <t>ZB_74_</t>
  </si>
  <si>
    <t>ZB_76_</t>
  </si>
  <si>
    <t>ZB_80_</t>
  </si>
  <si>
    <t>ZB_82_</t>
  </si>
  <si>
    <t>ZB_84_</t>
  </si>
  <si>
    <t>ZB_88_</t>
  </si>
  <si>
    <t>EZ_119_0</t>
  </si>
  <si>
    <t>RV_175_0</t>
  </si>
  <si>
    <t>C_ING</t>
  </si>
  <si>
    <t>De la Rosa</t>
  </si>
  <si>
    <t>Morales D.</t>
  </si>
  <si>
    <t>Reporte de cuotas de vigilancia recibidas</t>
  </si>
  <si>
    <t>Familia</t>
  </si>
  <si>
    <t>factor</t>
  </si>
  <si>
    <t>Casas / código de cobranza</t>
  </si>
  <si>
    <t>Barrientos López</t>
  </si>
  <si>
    <t>Salazar Pérez</t>
  </si>
  <si>
    <t>CUOTAS REGISTRADAS</t>
  </si>
  <si>
    <t>FEB_2013</t>
  </si>
  <si>
    <t>ENE_2013</t>
  </si>
  <si>
    <t>MAR_2013</t>
  </si>
  <si>
    <t>ABR_2013</t>
  </si>
  <si>
    <t>MAY_2013</t>
  </si>
  <si>
    <t>MES</t>
  </si>
  <si>
    <t>RECIBO N°</t>
  </si>
  <si>
    <t>Prado de los S.</t>
  </si>
  <si>
    <t>Vega Sánchez C.</t>
  </si>
  <si>
    <t>Castillo</t>
  </si>
  <si>
    <t>Mac Kinney</t>
  </si>
  <si>
    <t>Rueda</t>
  </si>
  <si>
    <t>Sosa Lucio</t>
  </si>
  <si>
    <t>Aparicio</t>
  </si>
  <si>
    <t>Villanueva S.</t>
  </si>
  <si>
    <t>Gálvez</t>
  </si>
  <si>
    <t>Soreque</t>
  </si>
  <si>
    <t>Arámburu C.</t>
  </si>
  <si>
    <t>Montes Irineos</t>
  </si>
  <si>
    <t>Carmona Galarza</t>
  </si>
  <si>
    <t>Apaez</t>
  </si>
  <si>
    <t>Soriano</t>
  </si>
  <si>
    <t>Anchondo Valerio</t>
  </si>
  <si>
    <t>Hernández Hort.</t>
  </si>
  <si>
    <t>Torres Guzmán</t>
  </si>
  <si>
    <t>Ávila Fidel</t>
  </si>
  <si>
    <t>Martínez Olague</t>
  </si>
  <si>
    <t>Rivas Rangel</t>
  </si>
  <si>
    <t>Casillas Álvarez</t>
  </si>
  <si>
    <t>González Benavides</t>
  </si>
  <si>
    <t>Villaseñor Carranza</t>
  </si>
  <si>
    <t>Tornero Saldaña</t>
  </si>
  <si>
    <t>Monroy García</t>
  </si>
  <si>
    <t>López Aldave</t>
  </si>
  <si>
    <t>Martínez León</t>
  </si>
  <si>
    <t>Morán Carmona</t>
  </si>
  <si>
    <t>INGRESOS</t>
  </si>
  <si>
    <t>MAYO</t>
  </si>
  <si>
    <t>SUMA INGRESOS</t>
  </si>
  <si>
    <t>REPORTE FINANCIERO</t>
  </si>
  <si>
    <t>AÑO: 2013</t>
  </si>
  <si>
    <t>CONCEPTO</t>
  </si>
  <si>
    <t>Asociación de Colonos HACIENDAS DE COYOACÁN</t>
  </si>
  <si>
    <t>Valdez Álvarez</t>
  </si>
  <si>
    <t>DIC_2012, ENE 2013</t>
  </si>
  <si>
    <t>JUL_2012-DIC_2012.</t>
  </si>
  <si>
    <t>NOV_2012</t>
  </si>
  <si>
    <t>Gutiérrez García</t>
  </si>
  <si>
    <t>DIC_2012</t>
  </si>
  <si>
    <t>NOV_2012, DIC_2012</t>
  </si>
  <si>
    <t>AGO_2012, SEP_2012</t>
  </si>
  <si>
    <t>OCT_2012 - DIC_2012</t>
  </si>
  <si>
    <t>ENE_2013 - DIC_2013</t>
  </si>
  <si>
    <t>Solórzano Calderón</t>
  </si>
  <si>
    <t>ANUAL 2013</t>
  </si>
  <si>
    <t>Cervantes, Miguel</t>
  </si>
  <si>
    <t>SEP_2012, OCT_2012</t>
  </si>
  <si>
    <t>NOV_2012, ENE_2013</t>
  </si>
  <si>
    <t>JUL_2012-DIC_2012, ENE_2013.</t>
  </si>
  <si>
    <t>NOV_2012, DIC_2012, ENE_2013</t>
  </si>
  <si>
    <t>Gamboa Rueda</t>
  </si>
  <si>
    <t>OCT_2012 - DIC_2012, ENE_2013</t>
  </si>
  <si>
    <t>NOV_2012, DIC_2012, ENE 2013</t>
  </si>
  <si>
    <t>Fernández García</t>
  </si>
  <si>
    <t>Pintura</t>
  </si>
  <si>
    <t>DIC_2012, ENE 2013, FEB_2013</t>
  </si>
  <si>
    <t>DIC_2012, ENE_2013</t>
  </si>
  <si>
    <t>NOV_2012, DIC_2012, ENE_2013, FEB_2013</t>
  </si>
  <si>
    <t>CANCELADO (No está el original)</t>
  </si>
  <si>
    <t>Bueno Rendón</t>
  </si>
  <si>
    <t>Herrera Izquierdo</t>
  </si>
  <si>
    <t>CL_Terreno_</t>
  </si>
  <si>
    <t>OCT_2012, NOV_2012</t>
  </si>
  <si>
    <t>DIC_2012, ENE_2013 - MAR_2013</t>
  </si>
  <si>
    <t>Hernández Sánchez</t>
  </si>
  <si>
    <t>ENERO</t>
  </si>
  <si>
    <t>FEBRERO</t>
  </si>
  <si>
    <t>Estévez Hernández</t>
  </si>
  <si>
    <t>Chávez, Arturo</t>
  </si>
  <si>
    <t>Ortega Vega</t>
  </si>
  <si>
    <t>DIC_2012, ENE_2012 - MAR_2013</t>
  </si>
  <si>
    <t>González Almazán</t>
  </si>
  <si>
    <t>Hernández Cornejo</t>
  </si>
  <si>
    <t>Torres Zavala</t>
  </si>
  <si>
    <t>Cuchilla</t>
  </si>
  <si>
    <t>Estopila</t>
  </si>
  <si>
    <t>Estanzuela</t>
  </si>
  <si>
    <t>Hueso</t>
  </si>
  <si>
    <t>Landero</t>
  </si>
  <si>
    <t>Romeral</t>
  </si>
  <si>
    <t>Recoveco</t>
  </si>
  <si>
    <t>Upácuaro</t>
  </si>
  <si>
    <t>Zinamba</t>
  </si>
  <si>
    <t>calle</t>
  </si>
  <si>
    <t>&gt;0</t>
  </si>
  <si>
    <t>CASAS</t>
  </si>
  <si>
    <t>PAGAN</t>
  </si>
  <si>
    <t>Fraccionamiento</t>
  </si>
  <si>
    <t>CUOTA MENSUAL</t>
  </si>
  <si>
    <t>COBRO DEL AÑO</t>
  </si>
  <si>
    <t>IDEAL</t>
  </si>
  <si>
    <t>ALCANZADO</t>
  </si>
  <si>
    <t>MARZO</t>
  </si>
  <si>
    <t>ABRIL</t>
  </si>
  <si>
    <t>DEL AÑO ANTERIOR</t>
  </si>
  <si>
    <t>TOTAL</t>
  </si>
  <si>
    <t>OCT_2012, FEB_2013</t>
  </si>
  <si>
    <t>DEL AÑO
2013</t>
  </si>
  <si>
    <t>CUOTAS</t>
  </si>
  <si>
    <t>COBRADO</t>
  </si>
  <si>
    <t>CUOTAS Y COBRADO en miles de pesos.</t>
  </si>
  <si>
    <t>De la Rosa Enrique</t>
  </si>
  <si>
    <t>Castrejón Ocampo</t>
  </si>
  <si>
    <t>Corrales</t>
  </si>
  <si>
    <t>Anzures</t>
  </si>
  <si>
    <t>Conde</t>
  </si>
  <si>
    <t>Yolanda</t>
  </si>
  <si>
    <t>Pérez</t>
  </si>
  <si>
    <t>Ingresos / código de ingresos</t>
  </si>
  <si>
    <t>Suma de ingresos</t>
  </si>
  <si>
    <t>Criterios para índices de cobranza. Todas las viviendas</t>
  </si>
  <si>
    <t>Criterios para índices de cobranza. Viviendas con algún pago en el período.</t>
  </si>
  <si>
    <t>CL_28_</t>
  </si>
  <si>
    <t>Cambio de número de vivienda de 2 a 28. BS 14JUN13</t>
  </si>
  <si>
    <t>Agregado el 14JUN13. BS</t>
  </si>
  <si>
    <t>CL_57_</t>
  </si>
  <si>
    <t>CL_60_</t>
  </si>
  <si>
    <t>CL_65_</t>
  </si>
  <si>
    <t>CL_70_</t>
  </si>
  <si>
    <t>CL_76_</t>
  </si>
  <si>
    <t>CL_88_</t>
  </si>
  <si>
    <t>CL_137_</t>
  </si>
  <si>
    <t>CL_144_</t>
  </si>
  <si>
    <t>El número de la vivienda cambia de 5 a 15. BS 14JUN13</t>
  </si>
  <si>
    <t>EP_15_</t>
  </si>
  <si>
    <t>EP_22_B</t>
  </si>
  <si>
    <t>EZ_43_</t>
  </si>
  <si>
    <t>EZ_45_</t>
  </si>
  <si>
    <t>EZ_59_</t>
  </si>
  <si>
    <t>EZ_105_</t>
  </si>
  <si>
    <t>EZ_147_1</t>
  </si>
  <si>
    <t>EZ_147_2</t>
  </si>
  <si>
    <t>EZ_147_3</t>
  </si>
  <si>
    <t>Se desagrupa en tres viviendas diferentes. BS 14JUN13</t>
  </si>
  <si>
    <t>EZ_157_1</t>
  </si>
  <si>
    <t>EZ_157_2</t>
  </si>
  <si>
    <t>EZ_157_3</t>
  </si>
  <si>
    <t>LD_41_</t>
  </si>
  <si>
    <t>LD_66_</t>
  </si>
  <si>
    <t>LD_74_</t>
  </si>
  <si>
    <t>RM_23_A</t>
  </si>
  <si>
    <t>RM_23_B</t>
  </si>
  <si>
    <t>El número de la vivienda cambia de 123 A a 23 A. BS 14JUN13</t>
  </si>
  <si>
    <t>RM_58_</t>
  </si>
  <si>
    <t>UP_11_</t>
  </si>
  <si>
    <t>UP_43_</t>
  </si>
  <si>
    <t>UP_56_</t>
  </si>
  <si>
    <t>UP_57_</t>
  </si>
  <si>
    <t>De la Chica</t>
  </si>
  <si>
    <t>UP_72_</t>
  </si>
  <si>
    <t>UP_89_</t>
  </si>
  <si>
    <t>UP_102_</t>
  </si>
  <si>
    <t>UP_122_</t>
  </si>
  <si>
    <t>UP_144_</t>
  </si>
  <si>
    <t>UP_148_</t>
  </si>
  <si>
    <t>ZB_54_</t>
  </si>
  <si>
    <t>Lozano</t>
  </si>
  <si>
    <t>Rancho Recoveco No. 187</t>
  </si>
  <si>
    <t>Rancho La Cuchilla No. 96</t>
  </si>
  <si>
    <t>Rancho Estopila No. 18</t>
  </si>
  <si>
    <t/>
  </si>
  <si>
    <t>Rancho Upácuaro No. 101</t>
  </si>
  <si>
    <t>Rancho Upácuaro No. 87</t>
  </si>
  <si>
    <t>Rancho La Cuchilla No. 75</t>
  </si>
  <si>
    <t>Rancho Landero No. 85</t>
  </si>
  <si>
    <t>Rancho Zinamba No. 14</t>
  </si>
  <si>
    <t>Rancho Estanzuela No. 79</t>
  </si>
  <si>
    <t>Rancho Upácuaro No. 94</t>
  </si>
  <si>
    <t>Rancho Landero No. 42</t>
  </si>
  <si>
    <t>Rancho Estanzuela No. 47</t>
  </si>
  <si>
    <t>Rancho Upácuaro No. 40</t>
  </si>
  <si>
    <t>Rancho Upácuaro No. 96</t>
  </si>
  <si>
    <t>Rancho Upácuaro No. 51, 2</t>
  </si>
  <si>
    <t>Rancho La Cuchilla No. 41</t>
  </si>
  <si>
    <t>Rancho Upácuaro No. 34</t>
  </si>
  <si>
    <t>Rancho Landero No. 31</t>
  </si>
  <si>
    <t>Rancho Landero No. 71</t>
  </si>
  <si>
    <t>Rancho Estanzuela No. 100</t>
  </si>
  <si>
    <t>Rancho Romeral No. 10, A</t>
  </si>
  <si>
    <t>Rancho Estanzuela No. 157, 1</t>
  </si>
  <si>
    <t>Rancho La Cuchilla No. 40</t>
  </si>
  <si>
    <t>Rancho La Cuchilla No. 72</t>
  </si>
  <si>
    <t>Rancho Landero No. 35</t>
  </si>
  <si>
    <t>Rancho La Cuchilla No. 131</t>
  </si>
  <si>
    <t>Rancho La Cuchilla No. 139</t>
  </si>
  <si>
    <t>Rancho Upácuaro No. 47</t>
  </si>
  <si>
    <t>Rancho La Cuchilla No. 89</t>
  </si>
  <si>
    <t>Rancho Estanzuela No. 49</t>
  </si>
  <si>
    <t>Rancho Zinamba No. 68</t>
  </si>
  <si>
    <t>Rancho Upácuaro No. 32</t>
  </si>
  <si>
    <t>Rancho Landero No. 21</t>
  </si>
  <si>
    <t>Rancho Estanzuela No. 55</t>
  </si>
  <si>
    <t>Rancho Landero No. 38</t>
  </si>
  <si>
    <t>Rancho Upácuaro No. 18</t>
  </si>
  <si>
    <t>Rancho Upácuaro No. 30</t>
  </si>
  <si>
    <t>Rancho Estanzuela No. 163</t>
  </si>
  <si>
    <t>Rancho Landero No. 65</t>
  </si>
  <si>
    <t>Rancho Estanzuela No. 31</t>
  </si>
  <si>
    <t>Rancho Estanzuela No. 119</t>
  </si>
  <si>
    <t>Rancho Upácuaro No. 140</t>
  </si>
  <si>
    <t>Rancho Zinamba No. 30</t>
  </si>
  <si>
    <t>Rancho La Cuchilla No. 20</t>
  </si>
  <si>
    <t>Rancho La Cuchilla No. 111</t>
  </si>
  <si>
    <t>Rancho La Cuchilla No. 12</t>
  </si>
  <si>
    <t>Rancho Zinamba No. 44</t>
  </si>
  <si>
    <t>Rancho Upácuaro No. 60</t>
  </si>
  <si>
    <t>Rancho Upácuaro No. 33</t>
  </si>
  <si>
    <t>Rancho La Cuchilla No. 43, B</t>
  </si>
  <si>
    <t>Rancho Landero No. 20</t>
  </si>
  <si>
    <t>Rancho Zinamba No. 38</t>
  </si>
  <si>
    <t>Rancho La Cuchilla No. 19</t>
  </si>
  <si>
    <t>Rancho Recoveco No. 173</t>
  </si>
  <si>
    <t>Rancho Zinamba No. 80</t>
  </si>
  <si>
    <t>Rancho Estanzuela No. 9, B</t>
  </si>
  <si>
    <t>Rancho Landero No. 26</t>
  </si>
  <si>
    <t>Rancho La Cuchilla No. 15</t>
  </si>
  <si>
    <t>Rancho Recoveco No. 195</t>
  </si>
  <si>
    <t>Rancho Estanzuela No. 151</t>
  </si>
  <si>
    <t>Rancho La Cuchilla No. 33</t>
  </si>
  <si>
    <t>Rancho Landero No. 77</t>
  </si>
  <si>
    <t>Rancho Zinamba No. 20</t>
  </si>
  <si>
    <t>Rancho Estanzuela No. 115</t>
  </si>
  <si>
    <t>Rancho Estanzuela No. 21</t>
  </si>
  <si>
    <t>Rancho Recoveco No. 175</t>
  </si>
  <si>
    <t>Rancho Recoveco No. 175, B</t>
  </si>
  <si>
    <t>Rancho Estanzuela No. 69</t>
  </si>
  <si>
    <t>Rancho La Cuchilla No. 46</t>
  </si>
  <si>
    <t>Rancho Upácuaro No. 19</t>
  </si>
  <si>
    <t>Rancho Upácuaro No. 76</t>
  </si>
  <si>
    <t>Rancho La Cuchilla No. 59</t>
  </si>
  <si>
    <t>Rancho Zinamba No. 56</t>
  </si>
  <si>
    <t>Rancho Upácuaro No. 63</t>
  </si>
  <si>
    <t>Rancho La Cuchilla No. 81, A</t>
  </si>
  <si>
    <t>Rancho Landero No. 101</t>
  </si>
  <si>
    <t>Rancho Zinamba No. 12</t>
  </si>
  <si>
    <t>Rancho Upácuaro No. 124</t>
  </si>
  <si>
    <t>Rancho Landero No. 83</t>
  </si>
  <si>
    <t>Rancho Estanzuela No. 15, B</t>
  </si>
  <si>
    <t>Rancho Upácuaro No. 146</t>
  </si>
  <si>
    <t>Rancho La Cuchilla No. 21</t>
  </si>
  <si>
    <t>Rancho Romeral No. 10, B</t>
  </si>
  <si>
    <t>Rancho Estanzuela No. 67</t>
  </si>
  <si>
    <t>Calzada del Hueso No. 828</t>
  </si>
  <si>
    <t>Rancho Estanzuela No. 147, 2</t>
  </si>
  <si>
    <t>Rancho La Cuchilla No. 112, PB</t>
  </si>
  <si>
    <t>Rancho Upácuaro No. 7</t>
  </si>
  <si>
    <t>Rancho La Cuchilla No. 141</t>
  </si>
  <si>
    <t>Rancho Estanzuela No. 127</t>
  </si>
  <si>
    <t>Rancho Estanzuela No. 130, A</t>
  </si>
  <si>
    <t>Rancho Landero No. 91</t>
  </si>
  <si>
    <t>Rancho Zinamba No. 88</t>
  </si>
  <si>
    <t>Rancho Upácuaro No. 64</t>
  </si>
  <si>
    <t>Rancho Landero No. 15</t>
  </si>
  <si>
    <t>Rancho Landero No. 2, 3</t>
  </si>
  <si>
    <t>Rancho Landero No. 24</t>
  </si>
  <si>
    <t>Rancho La Cuchilla No. 91</t>
  </si>
  <si>
    <t>Rancho Estanzuela No. 149</t>
  </si>
  <si>
    <t>Rancho La Cuchilla No. 132</t>
  </si>
  <si>
    <t>Rancho Recoveco No. 179</t>
  </si>
  <si>
    <t>Rancho Upácuaro No. 20</t>
  </si>
  <si>
    <t>Rancho Zinamba No. 74</t>
  </si>
  <si>
    <t>Rancho Upácuaro No. 110</t>
  </si>
  <si>
    <t>Rancho Upácuaro No. 99</t>
  </si>
  <si>
    <t>Rancho La Cuchilla No. 92</t>
  </si>
  <si>
    <t>Rancho Upácuaro No. 65</t>
  </si>
  <si>
    <t>Rancho Recoveco No. 1</t>
  </si>
  <si>
    <t>Rancho La Cuchilla No. 45</t>
  </si>
  <si>
    <t>Rancho Upácuaro No. 48</t>
  </si>
  <si>
    <t>Rancho Upácuaro No. 142</t>
  </si>
  <si>
    <t>Rancho Romeral No. 33</t>
  </si>
  <si>
    <t>Rancho La Cuchilla No. 117</t>
  </si>
  <si>
    <t>Rancho Estanzuela No. 95</t>
  </si>
  <si>
    <t>Rancho Landero No. 51</t>
  </si>
  <si>
    <t>Rancho Upácuaro No. 130</t>
  </si>
  <si>
    <t>Rancho Landero No. 84</t>
  </si>
  <si>
    <t>Rancho La Cuchilla No. 93</t>
  </si>
  <si>
    <t>Rancho La Cuchilla No. 95</t>
  </si>
  <si>
    <t>Rancho La Cuchilla No. 129</t>
  </si>
  <si>
    <t>Rancho Landero No. 2, A</t>
  </si>
  <si>
    <t>Rancho Estanzuela No. 159</t>
  </si>
  <si>
    <t>Rancho Landero No. 76</t>
  </si>
  <si>
    <t>Rancho Landero No. 18</t>
  </si>
  <si>
    <t>Rancho La Cuchilla No. 74</t>
  </si>
  <si>
    <t>Rancho La Cuchilla No. 110</t>
  </si>
  <si>
    <t>Rancho La Cuchilla No. 94</t>
  </si>
  <si>
    <t>Rancho Zinamba No. 24</t>
  </si>
  <si>
    <t>Rancho Upácuaro No. 78</t>
  </si>
  <si>
    <t>Rancho Upácuaro No. 134</t>
  </si>
  <si>
    <t>Rancho Upácuaro No. 103</t>
  </si>
  <si>
    <t>Rancho La Cuchilla No. 80</t>
  </si>
  <si>
    <t>Rancho Zinamba No. 42</t>
  </si>
  <si>
    <t>Rancho Upácuaro No. 114</t>
  </si>
  <si>
    <t>Rancho Landero No. 7</t>
  </si>
  <si>
    <t>Rancho Landero No. 96</t>
  </si>
  <si>
    <t>Rancho Landero No. 58</t>
  </si>
  <si>
    <t>Rancho La Cuchilla No. 9</t>
  </si>
  <si>
    <t>Rancho Zinamba No. 50</t>
  </si>
  <si>
    <t>Rancho La Cuchilla No. 134</t>
  </si>
  <si>
    <t>Rancho La Cuchilla No. 149</t>
  </si>
  <si>
    <t>Rancho La Cuchilla No. 130</t>
  </si>
  <si>
    <t>Rancho Upácuaro No. 108</t>
  </si>
  <si>
    <t>Rancho Recoveco No. 183</t>
  </si>
  <si>
    <t>Rancho Estanzuela No. 111</t>
  </si>
  <si>
    <t>Rancho La Cuchilla No. 36</t>
  </si>
  <si>
    <t>Rancho La Cuchilla No. 53</t>
  </si>
  <si>
    <t>Rancho Estanzuela No. 89</t>
  </si>
  <si>
    <t>Rancho Romeral No. 30</t>
  </si>
  <si>
    <t>Rancho Upácuaro No. 8</t>
  </si>
  <si>
    <t>Rancho Estanzuela No. 19</t>
  </si>
  <si>
    <t>Rancho Landero No. 93</t>
  </si>
  <si>
    <t>Rancho Landero No. 62</t>
  </si>
  <si>
    <t>Rancho La Cuchilla No. 120</t>
  </si>
  <si>
    <t>Rancho Estanzuela No. 7, A</t>
  </si>
  <si>
    <t>Rancho La Cuchilla No. 97</t>
  </si>
  <si>
    <t>Rancho Estanzuela No. 75</t>
  </si>
  <si>
    <t>Rancho La Cuchilla No. 7, 102</t>
  </si>
  <si>
    <t>Rancho La Cuchilla No. 7, 202</t>
  </si>
  <si>
    <t>Rancho Zinamba No. 82</t>
  </si>
  <si>
    <t>Rancho Landero No. 29</t>
  </si>
  <si>
    <t>Rancho Landero No. 87</t>
  </si>
  <si>
    <t>Rancho Estanzuela No. 65</t>
  </si>
  <si>
    <t>Rancho Estanzuela No. 103</t>
  </si>
  <si>
    <t>Rancho Estopila No. 22, A</t>
  </si>
  <si>
    <t>Rancho Estanzuela No. 99</t>
  </si>
  <si>
    <t>Rancho Estanzuela No. 133, B</t>
  </si>
  <si>
    <t>Rancho La Cuchilla No. 107</t>
  </si>
  <si>
    <t>Rancho Upácuaro No. 116</t>
  </si>
  <si>
    <t>Rancho La Cuchilla No. 18</t>
  </si>
  <si>
    <t>Rancho La Cuchilla No. 43, A</t>
  </si>
  <si>
    <t>Rancho Upácuaro No. 73, A</t>
  </si>
  <si>
    <t>Rancho Landero No. 86</t>
  </si>
  <si>
    <t>Rancho Upácuaro No. 68</t>
  </si>
  <si>
    <t>Rancho La Cuchilla No. 66</t>
  </si>
  <si>
    <t>Rancho Estanzuela No. 77</t>
  </si>
  <si>
    <t>Rancho Landero No. 88</t>
  </si>
  <si>
    <t>Rancho Upácuaro No. 120</t>
  </si>
  <si>
    <t>Rancho La Cuchilla No. 77</t>
  </si>
  <si>
    <t>Rancho Estanzuela No. 61</t>
  </si>
  <si>
    <t>Rancho Estanzuela No. 63</t>
  </si>
  <si>
    <t>Rancho Landero No. 69</t>
  </si>
  <si>
    <t>Rancho Landero No. 22</t>
  </si>
  <si>
    <t>Rancho Upácuaro No. 88</t>
  </si>
  <si>
    <t>Rancho Upácuaro No. 26</t>
  </si>
  <si>
    <t>Rancho La Cuchilla No. 87</t>
  </si>
  <si>
    <t>Rancho Estanzuela No. 25</t>
  </si>
  <si>
    <t>Rancho Upácuaro No. 10</t>
  </si>
  <si>
    <t>Rancho Recoveco No. 3</t>
  </si>
  <si>
    <t>Rancho La Cuchilla No. 145</t>
  </si>
  <si>
    <t>Rancho Romeral No. 9, B</t>
  </si>
  <si>
    <t>Rancho Upácuaro No. 138</t>
  </si>
  <si>
    <t>Rancho Upácuaro No. 21</t>
  </si>
  <si>
    <t>Rancho Landero No. 54, 1</t>
  </si>
  <si>
    <t>Rancho Estanzuela No. 71</t>
  </si>
  <si>
    <t>Rancho La Cuchilla No. 7, 101</t>
  </si>
  <si>
    <t>Rancho Upácuaro No. 104</t>
  </si>
  <si>
    <t>Rancho La Cuchilla No. 127</t>
  </si>
  <si>
    <t>Rancho La Cuchilla No. 90</t>
  </si>
  <si>
    <t>Rancho Upácuaro No. 37</t>
  </si>
  <si>
    <t>Rancho Zinamba No. 8</t>
  </si>
  <si>
    <t>Rancho Estanzuela No. 35</t>
  </si>
  <si>
    <t>Rancho Landero No. 33</t>
  </si>
  <si>
    <t>Rancho Upácuaro No. 54</t>
  </si>
  <si>
    <t>Rancho La Cuchilla No. 148</t>
  </si>
  <si>
    <t>Rancho Landero No. 73</t>
  </si>
  <si>
    <t>Rancho Upácuaro No. 71</t>
  </si>
  <si>
    <t>Rancho Estanzuela No. 11, A</t>
  </si>
  <si>
    <t>Rancho Landero No. 99</t>
  </si>
  <si>
    <t>Rancho Upácuaro No. 42</t>
  </si>
  <si>
    <t>Loyo Ochoa</t>
  </si>
  <si>
    <t>Rancho Romeral No. 17</t>
  </si>
  <si>
    <t>Rancho La Cuchilla No. 42</t>
  </si>
  <si>
    <t>Rancho Upácuaro No. 100</t>
  </si>
  <si>
    <t>Rancho Upácuaro No. 118</t>
  </si>
  <si>
    <t>Rancho Estanzuela No. 91</t>
  </si>
  <si>
    <t>Rancho Upácuaro No. 136</t>
  </si>
  <si>
    <t>Rancho Upácuaro No. 85</t>
  </si>
  <si>
    <t>Rancho Zinamba No. 84</t>
  </si>
  <si>
    <t>Rancho Estanzuela No. 139</t>
  </si>
  <si>
    <t>Rancho La Cuchilla No. 55</t>
  </si>
  <si>
    <t>Rancho Landero No. 100</t>
  </si>
  <si>
    <t>Rancho Zinamba No. 36</t>
  </si>
  <si>
    <t>Rancho Upácuaro No. 69</t>
  </si>
  <si>
    <t>Rancho Upácuaro No. 80</t>
  </si>
  <si>
    <t>Rancho La Cuchilla No. 121</t>
  </si>
  <si>
    <t>Rancho Zinamba No. 10</t>
  </si>
  <si>
    <t>Rancho Landero No. 45</t>
  </si>
  <si>
    <t>Rancho Estanzuela No. 37</t>
  </si>
  <si>
    <t>Rancho La Cuchilla No. 115</t>
  </si>
  <si>
    <t>Rancho Zinamba No. 26</t>
  </si>
  <si>
    <t>Rancho Recoveco No. 197</t>
  </si>
  <si>
    <t>Rancho Estanzuela No. 11, B</t>
  </si>
  <si>
    <t>Rancho Upácuaro No. 93</t>
  </si>
  <si>
    <t>Rancho Recoveco No. 175, A</t>
  </si>
  <si>
    <t>Rancho Landero No. 30</t>
  </si>
  <si>
    <t>Rancho Zinamba No. 18</t>
  </si>
  <si>
    <t>Rancho La Cuchilla No. 71</t>
  </si>
  <si>
    <t>Rancho Upácuaro No. 23</t>
  </si>
  <si>
    <t>Rancho Landero No. 70</t>
  </si>
  <si>
    <t>Rancho Upácuaro No. 70</t>
  </si>
  <si>
    <t>Rancho Upácuaro No. 79</t>
  </si>
  <si>
    <t>Rancho Estanzuela No. 101</t>
  </si>
  <si>
    <t>Rancho Upácuaro No. 75</t>
  </si>
  <si>
    <t>Rancho Estanzuela No. 123</t>
  </si>
  <si>
    <t>Rancho Upácuaro No. 132</t>
  </si>
  <si>
    <t>Rancho La Cuchilla No. terreno</t>
  </si>
  <si>
    <t>Rancho Estanzuela No. 7, B</t>
  </si>
  <si>
    <t>Rancho Zinamba No. 34</t>
  </si>
  <si>
    <t>Rancho Estanzuela No. 161, 1</t>
  </si>
  <si>
    <t>Rancho Landero No. 63</t>
  </si>
  <si>
    <t>Rancho Landero No. 68</t>
  </si>
  <si>
    <t>Rancho Landero No. 89</t>
  </si>
  <si>
    <t>Rancho Estanzuela No. 73</t>
  </si>
  <si>
    <t>Rancho Estanzuela No. 3</t>
  </si>
  <si>
    <t>Rancho La Cuchilla No. 23</t>
  </si>
  <si>
    <t>Rancho Landero No. 8</t>
  </si>
  <si>
    <t>Rancho Landero No. 75</t>
  </si>
  <si>
    <t>Rancho Landero No. 80</t>
  </si>
  <si>
    <t>Rancho La Cuchilla No. 82</t>
  </si>
  <si>
    <t>Rancho Landero No. 40</t>
  </si>
  <si>
    <t>Rancho La Cuchilla No. 61</t>
  </si>
  <si>
    <t>Rancho Romeral No. 9, A</t>
  </si>
  <si>
    <t>Rancho Zinamba No. 76</t>
  </si>
  <si>
    <t>Rancho Landero No. 25</t>
  </si>
  <si>
    <t>Rancho Upácuaro No. 106</t>
  </si>
  <si>
    <t>Rancho Upácuaro No. 14</t>
  </si>
  <si>
    <t>Rancho Landero No. 92</t>
  </si>
  <si>
    <t>Rancho La Cuchilla No. 73</t>
  </si>
  <si>
    <t>Rancho Upácuaro No. 12</t>
  </si>
  <si>
    <t>Rodríguez Parés</t>
  </si>
  <si>
    <t>Rancho Upácuaro No. 90</t>
  </si>
  <si>
    <t>Rancho Landero No. 47</t>
  </si>
  <si>
    <t>Rancho Landero No. 64</t>
  </si>
  <si>
    <t>Rancho Landero No. 34</t>
  </si>
  <si>
    <t>Rancho La Cuchilla No. 133</t>
  </si>
  <si>
    <t>Rancho La Cuchilla No. 47</t>
  </si>
  <si>
    <t>Rancho Zinamba No. 6</t>
  </si>
  <si>
    <t>Rancho Landero No. 19</t>
  </si>
  <si>
    <t>Rancho Landero No. 37</t>
  </si>
  <si>
    <t>Rancho La Cuchilla No. 62</t>
  </si>
  <si>
    <t>Rancho Upácuaro No. 61</t>
  </si>
  <si>
    <t>Rancho Estanzuela No. 57</t>
  </si>
  <si>
    <t>Rancho Landero No. 36</t>
  </si>
  <si>
    <t>Rancho La Cuchilla No. 68</t>
  </si>
  <si>
    <t>Rancho Landero No. 90</t>
  </si>
  <si>
    <t>Rancho Estopila No. 15</t>
  </si>
  <si>
    <t>Rancho La Cuchilla No. 86</t>
  </si>
  <si>
    <t>Rancho Estanzuela No. 41</t>
  </si>
  <si>
    <t>Rancho Estanzuela No. 141</t>
  </si>
  <si>
    <t>Rancho La Cuchilla No. 32</t>
  </si>
  <si>
    <t>Rancho Estanzuela No. 15, A</t>
  </si>
  <si>
    <t>Rancho Upácuaro No. 24</t>
  </si>
  <si>
    <t>Rancho La Cuchilla No. 35</t>
  </si>
  <si>
    <t>Rancho Landero No. 94</t>
  </si>
  <si>
    <t>Rancho Landero No. 12</t>
  </si>
  <si>
    <t>Rancho Upácuaro No. 49</t>
  </si>
  <si>
    <t>Rancho Upácuaro No. 45</t>
  </si>
  <si>
    <t>Rancho La Cuchilla No. 67</t>
  </si>
  <si>
    <t>Rancho Upácuaro No. 62</t>
  </si>
  <si>
    <t>Rancho Landero No. 39</t>
  </si>
  <si>
    <t>Rancho La Cuchilla No. 14</t>
  </si>
  <si>
    <t>Rancho Recoveco No. 193</t>
  </si>
  <si>
    <t>Reyes Núñez</t>
  </si>
  <si>
    <t>JUNIO</t>
  </si>
  <si>
    <t>Rancho Estanzuela No. 93</t>
  </si>
  <si>
    <t>Domínguez Canudas</t>
  </si>
  <si>
    <t>Romero o Lezama</t>
  </si>
  <si>
    <t>JUN_2013</t>
  </si>
  <si>
    <t>cuota</t>
  </si>
  <si>
    <t>Haciendas de Coyoacán</t>
  </si>
  <si>
    <t>Cuota mensual asignada</t>
  </si>
  <si>
    <t>CHEQUE
No.</t>
  </si>
  <si>
    <t>DEPÓSITO</t>
  </si>
  <si>
    <t>RETIRO</t>
  </si>
  <si>
    <t>SALDO</t>
  </si>
  <si>
    <t>Depósito en efectivo</t>
  </si>
  <si>
    <t>Comisión por cheques expedidos</t>
  </si>
  <si>
    <t>I.V.A. sobre comisiones</t>
  </si>
  <si>
    <t>Comisión por expedición de estado de cuenta</t>
  </si>
  <si>
    <t>FECHA
EMISIÓN</t>
  </si>
  <si>
    <t>FECHA
OPERACIÓN</t>
  </si>
  <si>
    <t>Criterios para localizar depósitos de cuotas en chequera</t>
  </si>
  <si>
    <t>Aportación Colegio Carmel y otros depósitos</t>
  </si>
  <si>
    <t>En el recibo dice 29 de enero de 2013</t>
  </si>
  <si>
    <t>En el recibo dice 30 de enero de 2013</t>
  </si>
  <si>
    <t>No se identificó el domicilio ni el nombre</t>
  </si>
  <si>
    <t>Cuotas cobradas</t>
  </si>
  <si>
    <t>Hoja cobranza 2013</t>
  </si>
  <si>
    <t>Hoja chequera</t>
  </si>
  <si>
    <t>Cuotas condonadas</t>
  </si>
  <si>
    <t>Recibo 4956</t>
  </si>
  <si>
    <t>En conciliación:</t>
  </si>
  <si>
    <t>abril</t>
  </si>
  <si>
    <t>mayo</t>
  </si>
  <si>
    <t>pagado</t>
  </si>
  <si>
    <t>registrado</t>
  </si>
  <si>
    <t>febrero</t>
  </si>
  <si>
    <t>marzo</t>
  </si>
  <si>
    <t>enero</t>
  </si>
  <si>
    <t>Cuotas condonadas por pago de anualidad 2013</t>
  </si>
  <si>
    <t>Carmel</t>
  </si>
  <si>
    <t>CM</t>
  </si>
  <si>
    <t>CM_130_A</t>
  </si>
  <si>
    <t>Gómez González</t>
  </si>
  <si>
    <t>CT_1770</t>
  </si>
  <si>
    <t>Rancho Estanzuela No. 9, A</t>
  </si>
  <si>
    <t>Rancho Estanzuela No. 119, 2</t>
  </si>
  <si>
    <t>Rancho La Cuchilla No. 38</t>
  </si>
  <si>
    <t>Rancho La Cuchilla No. 81, B</t>
  </si>
  <si>
    <t>Rancho La Cuchilla No. 49</t>
  </si>
  <si>
    <t>Rancho Landero No. 14</t>
  </si>
  <si>
    <t>Rancho Estanzuela No. 130, B</t>
  </si>
  <si>
    <t>Rancho Landero No. 95</t>
  </si>
  <si>
    <t>Rancho Upácuaro No. 73, B</t>
  </si>
  <si>
    <t>2012</t>
  </si>
  <si>
    <t>Recibo 3897</t>
  </si>
  <si>
    <t>junio</t>
  </si>
  <si>
    <t>NÚMERO DE MESES COBRADOS</t>
  </si>
  <si>
    <t>Importe del depósito mensual:</t>
  </si>
  <si>
    <t>Rancho Upácuaro No. 9</t>
  </si>
  <si>
    <t>Rancho Recoveco No. 181</t>
  </si>
  <si>
    <t>Chávez Lara</t>
  </si>
  <si>
    <t>Villaseñor Sánchez</t>
  </si>
  <si>
    <t>Cabrera Escudero</t>
  </si>
  <si>
    <t>Salazar Torres</t>
  </si>
  <si>
    <t>Villanueva Nájera</t>
  </si>
  <si>
    <t>CL_54_</t>
  </si>
  <si>
    <t>Mendoza Edgar</t>
  </si>
  <si>
    <t>Registro nuevo en julio</t>
  </si>
  <si>
    <t>JUL_2013</t>
  </si>
  <si>
    <t>JULIO</t>
  </si>
  <si>
    <t>Recibo 5206</t>
  </si>
  <si>
    <t>El domicilio no está en la base de datos</t>
  </si>
  <si>
    <t>Sin nombre</t>
  </si>
  <si>
    <t>DICIEMBRE
2012</t>
  </si>
  <si>
    <t>ANUAL
2013</t>
  </si>
  <si>
    <t>Artículos de limpieza</t>
  </si>
  <si>
    <t>Agua purificada</t>
  </si>
  <si>
    <t>Mantenimiento a chapas</t>
  </si>
  <si>
    <t>Mantenimiento del jardín</t>
  </si>
  <si>
    <t>Duplicado de llaves</t>
  </si>
  <si>
    <t>Comercial Mexicana</t>
  </si>
  <si>
    <t>Electropura, S. de R. L. de C. V.</t>
  </si>
  <si>
    <t>Luis Hernández</t>
  </si>
  <si>
    <t>Roberto Miranda</t>
  </si>
  <si>
    <t>Óscar Medina</t>
  </si>
  <si>
    <t>Cerrajería Gran Sur</t>
  </si>
  <si>
    <t>Gastronomía Avanzada Pastelerías, S. A. de C. V.</t>
  </si>
  <si>
    <t>Bebidas</t>
  </si>
  <si>
    <t>Alimentación a vigilantes</t>
  </si>
  <si>
    <t>Sabina</t>
  </si>
  <si>
    <t>Office Depot de México, S. A. de C. V.</t>
  </si>
  <si>
    <t>Papelería</t>
  </si>
  <si>
    <t>Francisco Razo Luquin</t>
  </si>
  <si>
    <t>Vigilancia</t>
  </si>
  <si>
    <t>Bono</t>
  </si>
  <si>
    <t>Total</t>
  </si>
  <si>
    <t>1° al 15 de junio de 2013</t>
  </si>
  <si>
    <t>Artemio Mora Torres</t>
  </si>
  <si>
    <t>Luis Antonio Soriano Miranda</t>
  </si>
  <si>
    <t>Jesús Iván Hernández García</t>
  </si>
  <si>
    <t>Pedro Pérez Reséndiz</t>
  </si>
  <si>
    <t>Carlos Geovanny Elizondo</t>
  </si>
  <si>
    <t>José Francisco Soriano</t>
  </si>
  <si>
    <t>Erwin Ortíz Pérez</t>
  </si>
  <si>
    <t>Suma:</t>
  </si>
  <si>
    <t>Nómina de vigilantes</t>
  </si>
  <si>
    <t>Tiendas Chedraui, S. A. de C. V.</t>
  </si>
  <si>
    <t>Lilia Carolina Revueltas Ugalde</t>
  </si>
  <si>
    <t>Distribuidora de Bicicletas Benotto, S. A. de C. V.</t>
  </si>
  <si>
    <t>Artículos para bicicletas</t>
  </si>
  <si>
    <t>No disponible</t>
  </si>
  <si>
    <t>16 al 30 de junio de 2013</t>
  </si>
  <si>
    <t>MD Gran Formato, S. A. de C. V.</t>
  </si>
  <si>
    <t>Comunicados a colonos</t>
  </si>
  <si>
    <t>Moisés Cedeño Rivas</t>
  </si>
  <si>
    <t>Cambio de luminarias</t>
  </si>
  <si>
    <t>Sistemas inteligentes en Seguridad</t>
  </si>
  <si>
    <r>
      <t>Instalación de 16 cámaras (3</t>
    </r>
    <r>
      <rPr>
        <vertAlign val="superscript"/>
        <sz val="10"/>
        <color theme="1"/>
        <rFont val="Tahoma"/>
        <family val="2"/>
      </rPr>
      <t>era</t>
    </r>
    <r>
      <rPr>
        <sz val="10"/>
        <color theme="1"/>
        <rFont val="Tahoma"/>
        <family val="2"/>
      </rPr>
      <t>. etapa)</t>
    </r>
  </si>
  <si>
    <t>clave</t>
  </si>
  <si>
    <t>fecha</t>
  </si>
  <si>
    <t>Beneficiario</t>
  </si>
  <si>
    <t>Concepto</t>
  </si>
  <si>
    <t>Gasto</t>
  </si>
  <si>
    <t>I.V.A.</t>
  </si>
  <si>
    <t>G_PAPE</t>
  </si>
  <si>
    <t>G_TRSP</t>
  </si>
  <si>
    <t>G_AGUA</t>
  </si>
  <si>
    <t>G_MTPTA</t>
  </si>
  <si>
    <t>G_ORG</t>
  </si>
  <si>
    <t>G_JDN</t>
  </si>
  <si>
    <t>G_ALMVG</t>
  </si>
  <si>
    <t>G_NMNVG</t>
  </si>
  <si>
    <t>G_MTILM</t>
  </si>
  <si>
    <t>G_MTLPZ</t>
  </si>
  <si>
    <t>G_DIF</t>
  </si>
  <si>
    <t>EGRESOS</t>
  </si>
  <si>
    <t>COSTO DE VIGILANCIA</t>
  </si>
  <si>
    <t>Agua</t>
  </si>
  <si>
    <t>Alimentos</t>
  </si>
  <si>
    <t>Juárez Illana Xochitl Elizabeth</t>
  </si>
  <si>
    <t>Mantenimiento para bicicletas</t>
  </si>
  <si>
    <t>MANTENIMIENTO</t>
  </si>
  <si>
    <t>Al jardín del fraccionamiento</t>
  </si>
  <si>
    <t>A luminarias</t>
  </si>
  <si>
    <t>A las puertas de acceso peatonal</t>
  </si>
  <si>
    <t>GASTOS ADMINISTRATIVOS</t>
  </si>
  <si>
    <t>Gastos de organización</t>
  </si>
  <si>
    <t>IMPUESTOS Y CONTRIBUCIONES</t>
  </si>
  <si>
    <t>I.V.A. Pagado</t>
  </si>
  <si>
    <t>Cámaras de vigilancia</t>
  </si>
  <si>
    <t>INFRA</t>
  </si>
  <si>
    <t>Código de gastos</t>
  </si>
  <si>
    <t>SUMA EGRESOS</t>
  </si>
  <si>
    <t>DÉFICIT / SUPERAVIT DEL MES</t>
  </si>
  <si>
    <t>CONCEPTO  /  MES</t>
  </si>
  <si>
    <t>FECHA/ CONCEPTO
NOMBRE</t>
  </si>
  <si>
    <t>Devengado, acumulado</t>
  </si>
  <si>
    <t>Cuotas del ejercicio 2013 cobradas en diciembre de 2012</t>
  </si>
  <si>
    <t>Cuotas del ejercicio 2012 cobradas en 2013</t>
  </si>
  <si>
    <t>Acumulado</t>
  </si>
  <si>
    <t>Recibos cobrados en 2013, sin identificación de domicilio y familia</t>
  </si>
  <si>
    <t>Hoja recibos (sólo cuotas de vigilancia)</t>
  </si>
  <si>
    <t>Acumulado 2013</t>
  </si>
  <si>
    <t>Acumulado 2012 + 2013</t>
  </si>
  <si>
    <t>Diferencia (Hoja cobranza 2013 - Total cuotas cobradas)</t>
  </si>
  <si>
    <t>Recibos sin identificación</t>
  </si>
  <si>
    <t>Cifra para conciliar</t>
  </si>
  <si>
    <t>2012 + 2013</t>
  </si>
  <si>
    <t>Total cuotas cobradas 2012, 2013 (recibos + chequera)</t>
  </si>
  <si>
    <t>Hoja estadística</t>
  </si>
  <si>
    <t>Acumulado 2013 Hoja recibos + Hoja chequera</t>
  </si>
  <si>
    <t>Recibos cobrados sin identificación de domicilio y familia</t>
  </si>
  <si>
    <t>2013</t>
  </si>
  <si>
    <t>Rancho La Cuchilla No. 54</t>
  </si>
  <si>
    <t>Rancho Estanzuela No. 157, 3</t>
  </si>
  <si>
    <t>Rancho Landero No. 54, 2</t>
  </si>
  <si>
    <t>Partida</t>
  </si>
  <si>
    <t>Rancho La Cuchilla No. 63</t>
  </si>
  <si>
    <t>Rancho Upácuaro No. 86</t>
  </si>
  <si>
    <t>Rancho Upácuaro No. 11</t>
  </si>
  <si>
    <t>EZ_133_</t>
  </si>
  <si>
    <t>Sueldos y bono de puntualidad</t>
  </si>
  <si>
    <t>Mantenimiento de bicicletas</t>
  </si>
  <si>
    <t>Publicidad</t>
  </si>
  <si>
    <t>Actualización:</t>
  </si>
  <si>
    <t>Mendoza León</t>
  </si>
  <si>
    <t>Salcedo García</t>
  </si>
  <si>
    <t>Montemayor Santana</t>
  </si>
  <si>
    <t>Paredes</t>
  </si>
  <si>
    <t>LD_1_A</t>
  </si>
  <si>
    <t>Agregado el 29JUL13. BS</t>
  </si>
  <si>
    <t>LD_1_B</t>
  </si>
  <si>
    <t>Recibo 5302</t>
  </si>
  <si>
    <t>Calzada del Hueso No. B</t>
  </si>
  <si>
    <t>Rancho Landero No. 1, B</t>
  </si>
  <si>
    <t>Reparación de pluma</t>
  </si>
  <si>
    <t>Teléfonos de México, S.A.B. de C.V.</t>
  </si>
  <si>
    <t>Comercializadora CASPIN, S. A. de C.V.</t>
  </si>
  <si>
    <t>Felpas COMEX</t>
  </si>
  <si>
    <t>Pintura, aguarrás, estopa y felpas</t>
  </si>
  <si>
    <t>Compañía Sherwin Williams, S. A. de C. V.</t>
  </si>
  <si>
    <t>Thinner</t>
  </si>
  <si>
    <t>Pintura, brocha, masking y rodillo</t>
  </si>
  <si>
    <t>Boligrafos y cuadernos</t>
  </si>
  <si>
    <t>Sujetador, folder y copias</t>
  </si>
  <si>
    <t>Antonio González García</t>
  </si>
  <si>
    <t>Consulta médica</t>
  </si>
  <si>
    <t>Farmacia de Genéricos, S. A. de C. V.</t>
  </si>
  <si>
    <t>Medicamentos</t>
  </si>
  <si>
    <t>Aldo Grado</t>
  </si>
  <si>
    <t>20 tarjetas electrónicas</t>
  </si>
  <si>
    <t>David Elizalde Arrieta</t>
  </si>
  <si>
    <t>Comercializadora de fármacos Similares, S. A. de C.V.</t>
  </si>
  <si>
    <t>Constantino Cabrera</t>
  </si>
  <si>
    <t>Cambio y configuración de tarjetas electrónicas</t>
  </si>
  <si>
    <t>Configuración de tarjetas electrónicas</t>
  </si>
  <si>
    <t>César Ramírez</t>
  </si>
  <si>
    <t>Centro Médico Coyoacán</t>
  </si>
  <si>
    <t>RX</t>
  </si>
  <si>
    <t>Pintura, aguarrás y estopa</t>
  </si>
  <si>
    <t>Memoria USB</t>
  </si>
  <si>
    <t>Elvia Cortés</t>
  </si>
  <si>
    <t>Reparación de chapa</t>
  </si>
  <si>
    <t>Iris Luna Hernández</t>
  </si>
  <si>
    <t>Botas</t>
  </si>
  <si>
    <t>Reyna Romano Ríos</t>
  </si>
  <si>
    <t>Bajar información a USB y configurar tarjetas</t>
  </si>
  <si>
    <t>Mantenimiento de cámaras de vigilancia</t>
  </si>
  <si>
    <t>Compra de DVR</t>
  </si>
  <si>
    <t>Ricardo Betanzos Zamudio</t>
  </si>
  <si>
    <t>Mano de obra para pintura</t>
  </si>
  <si>
    <t>Graciela Hernández Martínez</t>
  </si>
  <si>
    <t>Cuaderno, sobres y cartuchos</t>
  </si>
  <si>
    <t>Concepto Profesional Strategga Style, S. A. de C. V.</t>
  </si>
  <si>
    <t>Uniforme</t>
  </si>
  <si>
    <t>1° al 15 de julio de 2013</t>
  </si>
  <si>
    <t>16 al 31 de julio de 2013</t>
  </si>
  <si>
    <t>Cadena Comercial Oxxo, S. A. de C. V.</t>
  </si>
  <si>
    <t>Comisión pago Telmex</t>
  </si>
  <si>
    <t>A cámaras de vigilancia y plumas de acceso</t>
  </si>
  <si>
    <t>G_MTCYP</t>
  </si>
  <si>
    <t>Teléfono e Internet</t>
  </si>
  <si>
    <t>G_TLF</t>
  </si>
  <si>
    <t>Atención médica</t>
  </si>
  <si>
    <t>G_MDC</t>
  </si>
  <si>
    <t>Uniformes</t>
  </si>
  <si>
    <t>G_UNF</t>
  </si>
  <si>
    <t>Dispositivos USB</t>
  </si>
  <si>
    <t>G_USB</t>
  </si>
  <si>
    <t>G_INFRA</t>
  </si>
  <si>
    <t>AGOSTO</t>
  </si>
  <si>
    <t xml:space="preserve"> Trabajos de herrería</t>
  </si>
  <si>
    <t xml:space="preserve"> Pago mano de obra trabajos diversos en casetas</t>
  </si>
  <si>
    <t xml:space="preserve"> Pago de llaves y una chapa de alta seguridad</t>
  </si>
  <si>
    <t xml:space="preserve"> Materiales</t>
  </si>
  <si>
    <t xml:space="preserve"> Gasolina</t>
  </si>
  <si>
    <t xml:space="preserve"> Papelería e imprenta</t>
  </si>
  <si>
    <t xml:space="preserve"> Pago de vigilancia del 1 al 15 de enero 2013</t>
  </si>
  <si>
    <t xml:space="preserve"> Pago de vigilancia del 16 al 31 de enero 2013</t>
  </si>
  <si>
    <t xml:space="preserve"> Comida para vigilantes</t>
  </si>
  <si>
    <t xml:space="preserve"> Segundo pago de cámaras, tercera etapa</t>
  </si>
  <si>
    <t xml:space="preserve"> Reposición de macetones, árboles, plantas, pasto…</t>
  </si>
  <si>
    <t xml:space="preserve"> Gratificaciones diversas (jardinería, recolección, basura,etc</t>
  </si>
  <si>
    <t xml:space="preserve"> Gratificación por reparación de luminarias</t>
  </si>
  <si>
    <t xml:space="preserve"> Gastos de administración</t>
  </si>
  <si>
    <t xml:space="preserve"> Pago de tarjetas electrónicas</t>
  </si>
  <si>
    <t xml:space="preserve"> Agua para casetas y artículos de limpieza</t>
  </si>
  <si>
    <t xml:space="preserve"> Telmex: pago enero</t>
  </si>
  <si>
    <t xml:space="preserve"> Gastos de contabilidad</t>
  </si>
  <si>
    <t xml:space="preserve"> Pago vigilancia del 1 al 15 de febrero del 2013</t>
  </si>
  <si>
    <t xml:space="preserve"> Pago vigilancia del 16 al 28 de febrero del 2013</t>
  </si>
  <si>
    <t xml:space="preserve"> Gstos de contabilidad</t>
  </si>
  <si>
    <t xml:space="preserve"> Reparación, cableado, control y cambio de luminarias</t>
  </si>
  <si>
    <t xml:space="preserve"> Asesoría legal</t>
  </si>
  <si>
    <t xml:space="preserve"> Mano de mano de obra de mantenimiento de casetas</t>
  </si>
  <si>
    <t xml:space="preserve"> Gratificación recolección de basura</t>
  </si>
  <si>
    <t xml:space="preserve"> Telmex: pago febrero</t>
  </si>
  <si>
    <t xml:space="preserve"> Tercer pago de cámaras, 3ra Etapa</t>
  </si>
  <si>
    <t xml:space="preserve"> Gratificación por cobranza al Sr Pedro Chávez</t>
  </si>
  <si>
    <t xml:space="preserve"> Pago de mano de obra trabajos diversos en casetas</t>
  </si>
  <si>
    <t xml:space="preserve"> Uniformes para vigilantes</t>
  </si>
  <si>
    <t xml:space="preserve"> Pago de vigilancia del 1 al 15 de marzo 2013</t>
  </si>
  <si>
    <t xml:space="preserve"> Pago de vigilancia del 16 al 31 de marzo 2013</t>
  </si>
  <si>
    <t xml:space="preserve"> Gratificación alumbrado público y recolección de basura</t>
  </si>
  <si>
    <t xml:space="preserve"> Telmex: pago marzo</t>
  </si>
  <si>
    <t xml:space="preserve"> Pago de llaves</t>
  </si>
  <si>
    <t xml:space="preserve"> Medicinas para vigilantes</t>
  </si>
  <si>
    <t xml:space="preserve"> Pago de vigilancia del 01 al 15 de abril</t>
  </si>
  <si>
    <t xml:space="preserve"> Pago de vigilancia del 16 al 30 de abril</t>
  </si>
  <si>
    <t xml:space="preserve"> Mantenimiento y reparación de plumas y cámaras</t>
  </si>
  <si>
    <t xml:space="preserve"> Telmex: pago abril</t>
  </si>
  <si>
    <t>Comida para  vigilantes del 29 abril al 13 de mayo</t>
  </si>
  <si>
    <t>Gratificación recolección de basura</t>
  </si>
  <si>
    <t>G_TOTAL</t>
  </si>
  <si>
    <t>A casetas</t>
  </si>
  <si>
    <t>G_MTCST</t>
  </si>
  <si>
    <t>G_ADQ</t>
  </si>
  <si>
    <t>INFRAESTRUCTURA Y SUMINISTROS</t>
  </si>
  <si>
    <t>Llaves electrónicas y de acceso peatonal</t>
  </si>
  <si>
    <t>Cobranza</t>
  </si>
  <si>
    <t>G_CBR</t>
  </si>
  <si>
    <t>G_HCTB</t>
  </si>
  <si>
    <t>Honorarios contables</t>
  </si>
  <si>
    <t>G_HJRD</t>
  </si>
  <si>
    <t>Honorarios jurídicos</t>
  </si>
  <si>
    <t>16 al 31 de mayo de 2013</t>
  </si>
  <si>
    <t>NO ESTÁ LA COPIA DEL RECIBO</t>
  </si>
  <si>
    <t>García Santos Ofelia</t>
  </si>
  <si>
    <t>Índices de cobranza.</t>
  </si>
  <si>
    <t>CANCELADO (Falta el recibo original)</t>
  </si>
  <si>
    <t>Instalación de cámaras</t>
  </si>
  <si>
    <t>Notaría</t>
  </si>
  <si>
    <t>Lic. Manuel García</t>
  </si>
  <si>
    <t>Lic. Manuel Ruiz</t>
  </si>
  <si>
    <t>Gastos de notaría</t>
  </si>
  <si>
    <t>Gastos y productos financieros</t>
  </si>
  <si>
    <t>G_P_Fin</t>
  </si>
  <si>
    <t>HJRD</t>
  </si>
  <si>
    <t>REMANENTE DEL PERÍODO ANTERIOR</t>
  </si>
  <si>
    <t>Caja</t>
  </si>
  <si>
    <t>Banco</t>
  </si>
  <si>
    <t>REMANENTE AL CIERRE DEL PERÍODO</t>
  </si>
  <si>
    <t>s/n</t>
  </si>
  <si>
    <t>Rancho Upácuaro No. 46</t>
  </si>
  <si>
    <t>Rancho La Cuchilla No. 29</t>
  </si>
  <si>
    <t>KB TEL Telecomunicaciones</t>
  </si>
  <si>
    <t>Alberto Augusto Fuentes Herrera</t>
  </si>
  <si>
    <t>Cuota de vigilancia y mantenimiento julio 2013</t>
  </si>
  <si>
    <t>Cuotas recibidas en cheque</t>
  </si>
  <si>
    <t>Norma Lorena González Arevyan</t>
  </si>
  <si>
    <t>Cuota de vigilancia y mantenimiento mayo - agosto 2013</t>
  </si>
  <si>
    <t>AGO_2013</t>
  </si>
  <si>
    <t>16 al 31 de agosto de 2013</t>
  </si>
  <si>
    <t>Angel Razo</t>
  </si>
  <si>
    <t>1° al 15 de agosto de 2013</t>
  </si>
  <si>
    <t>Aldan Electrónica, S. A. de C. V.</t>
  </si>
  <si>
    <t>Batería alcalina</t>
  </si>
  <si>
    <t>Cornejo Pérez Raúl</t>
  </si>
  <si>
    <t>Copias y engargolados</t>
  </si>
  <si>
    <t>Trillo Becerra Carlos</t>
  </si>
  <si>
    <t>Servicio de vigilancia por emergencia</t>
  </si>
  <si>
    <t>Distribuidora Tamex, S. A. de C. V.</t>
  </si>
  <si>
    <t>Materiales para mantenimiento a rejas</t>
  </si>
  <si>
    <t>Felipe Terreros A.</t>
  </si>
  <si>
    <t>Mano de obra para mantenimiento a rejas</t>
  </si>
  <si>
    <t>Materiales para pintura de banqueta</t>
  </si>
  <si>
    <t>Botas tipo Swat</t>
  </si>
  <si>
    <t>Copias</t>
  </si>
  <si>
    <t>Papel premium</t>
  </si>
  <si>
    <t>Mano de obra por pintura de banquetas</t>
  </si>
  <si>
    <t>Thinner y brochas</t>
  </si>
  <si>
    <t>Materiales para reparación de caseta</t>
  </si>
  <si>
    <t>Ocampo Tolentino Horacio</t>
  </si>
  <si>
    <t>Mantenimiento y reparación de chapa en Estanzuela y Hueso</t>
  </si>
  <si>
    <t>Home Depot México, S. de R. L. de C. V.</t>
  </si>
  <si>
    <t>Conos para señalización</t>
  </si>
  <si>
    <t>Señalización en calles</t>
  </si>
  <si>
    <t>G_SÑ</t>
  </si>
  <si>
    <t>A calles y banquetas</t>
  </si>
  <si>
    <t>G_MTCBQ</t>
  </si>
  <si>
    <t>Mano de obra por mantenimiento en caseta</t>
  </si>
  <si>
    <t>Horacio Campos</t>
  </si>
  <si>
    <t>Bajar video a USB</t>
  </si>
  <si>
    <t>Configurar 20 tarjetas y reconfigurar 10 más</t>
  </si>
  <si>
    <t>Revisión y mantenimiento de 8 cámaras</t>
  </si>
  <si>
    <t>Ajuste en cámaras y cambio de accesorios</t>
  </si>
  <si>
    <t>Javier Escobedo</t>
  </si>
  <si>
    <t>Gratificación por poda de jardín (3 semanas)</t>
  </si>
  <si>
    <t>20 m de cable</t>
  </si>
  <si>
    <t>45 m de cable, cambio de accesorios a cámaras y mano de obra</t>
  </si>
  <si>
    <t>Gratificación por limpieza del parque y Recoveco</t>
  </si>
  <si>
    <t>Ángel Razo</t>
  </si>
  <si>
    <t>Limpieza en Recoveco y Hueso</t>
  </si>
  <si>
    <t>Plantar cincuenta arbolitos en el parque</t>
  </si>
  <si>
    <t>Federico Morales</t>
  </si>
  <si>
    <t>Tirar ramas y hojas del parque y sacar tres sacos de cascajo en Recoveco</t>
  </si>
  <si>
    <t>Preparar banquetas de Recoveco para poder pintar</t>
  </si>
  <si>
    <t>Rehabilitación de cuatro cámaras de vigilancia</t>
  </si>
  <si>
    <t>Familia Vega Sánchez C.</t>
  </si>
  <si>
    <t>Cuota de vigilancia y mantenimiento agosto 2013</t>
  </si>
  <si>
    <t>Comida para  vigilantes</t>
  </si>
  <si>
    <t>Pago de vigilancia del 1 al 15 de mayo</t>
  </si>
  <si>
    <t>Pago quincena y liquidación de Oscar Gutiérrez Segundo</t>
  </si>
  <si>
    <t>Pago de llaves</t>
  </si>
  <si>
    <t>Papelería e imprenta</t>
  </si>
  <si>
    <t>Agua para casetas y artículos de limpieza</t>
  </si>
  <si>
    <t>Gastos de administración</t>
  </si>
  <si>
    <t>Gasolina</t>
  </si>
  <si>
    <t>Reparación y mantenimiento de cámaras y plumas aut</t>
  </si>
  <si>
    <t>Gastos de protocolización</t>
  </si>
  <si>
    <t>Globo</t>
  </si>
  <si>
    <t>Arias</t>
  </si>
  <si>
    <t>SEPTIEMBRE</t>
  </si>
  <si>
    <t>Período: enero - septiembre de 2013</t>
  </si>
  <si>
    <t>Asesoría Legal</t>
  </si>
  <si>
    <t>G_ASLE</t>
  </si>
  <si>
    <t>Papelería y fotocopiado</t>
  </si>
  <si>
    <t>Rancho Zinamba No. 62</t>
  </si>
  <si>
    <t>Rancho Estanzuela No. 147, 1</t>
  </si>
  <si>
    <t>Rancho Estanzuela No. 157, 2</t>
  </si>
  <si>
    <t>Rancho Estanzuela No. 133</t>
  </si>
  <si>
    <t>Rancho La Cuchilla No. 31</t>
  </si>
  <si>
    <t>Calzada del Hueso No. 840</t>
  </si>
  <si>
    <t>ENERO - SEPTIEMBRE 2013</t>
  </si>
  <si>
    <t>Rancho Landero No. 52</t>
  </si>
  <si>
    <t>ok</t>
  </si>
  <si>
    <t>error</t>
  </si>
  <si>
    <t>CHK</t>
  </si>
  <si>
    <t>Incremento de cuota</t>
  </si>
  <si>
    <t>Incremento de cuota oct, nov, dic</t>
  </si>
  <si>
    <t>dónde se regrista la tarjeta electrónica</t>
  </si>
  <si>
    <t>dijo después pagaba 100 de incremento oct</t>
  </si>
  <si>
    <t>L</t>
  </si>
  <si>
    <t>COMPLEMENTO OCTUBRE</t>
  </si>
  <si>
    <t>NO COINCIDE APELLIDO NI DOMICILIO</t>
  </si>
  <si>
    <t>$160.00 LLAVE ? DONDE APLICA</t>
  </si>
  <si>
    <t>3 LLAVES</t>
  </si>
  <si>
    <t>TARJETA 1064</t>
  </si>
  <si>
    <t>DIFERENCIA PAGO ANUAL</t>
  </si>
  <si>
    <t>TARJETA 1065</t>
  </si>
  <si>
    <t>LLAVE</t>
  </si>
  <si>
    <t>Ebysos</t>
  </si>
  <si>
    <t>TARJETA 1056</t>
  </si>
  <si>
    <t>PENDIENTE LLAVE $160.00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</si>
</sst>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$&quot;* #,##0.00_-;\-&quot;$&quot;* #,##0.00_-;_-&quot;$&quot;* &quot;-&quot;??_-;_-@_-"/>
    <numFmt numFmtId="164" formatCode="&quot;&quot;"/>
    <numFmt numFmtId="165" formatCode="0.0%"/>
    <numFmt numFmtId="166" formatCode="#,##0.00;[Red]\(#,##0.00\)"/>
    <numFmt numFmtId="167" formatCode="#,##0.0"/>
    <numFmt numFmtId="168" formatCode="dd/mmm/yy"/>
    <numFmt numFmtId="169" formatCode="0#########"/>
    <numFmt numFmtId="170" formatCode="0##"/>
    <numFmt numFmtId="171" formatCode="00#"/>
  </numFmts>
  <fonts count="33" x14ac:knownFonts="1">
    <font>
      <sz val="10"/>
      <color theme="1"/>
      <name val="Tahoma"/>
      <family val="2"/>
    </font>
    <font>
      <b/>
      <sz val="10"/>
      <color theme="1"/>
      <name val="Tahoma"/>
      <family val="2"/>
    </font>
    <font>
      <sz val="8"/>
      <color theme="1"/>
      <name val="Tahoma"/>
      <family val="2"/>
    </font>
    <font>
      <b/>
      <sz val="12"/>
      <color theme="0"/>
      <name val="Tahoma"/>
      <family val="2"/>
    </font>
    <font>
      <b/>
      <sz val="8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</font>
    <font>
      <sz val="10"/>
      <color theme="0"/>
      <name val="Tahoma"/>
      <family val="2"/>
    </font>
    <font>
      <b/>
      <sz val="12"/>
      <color theme="1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1"/>
      <color theme="1"/>
      <name val="Tahoma"/>
      <family val="2"/>
    </font>
    <font>
      <sz val="16"/>
      <color theme="1"/>
      <name val="Baskerville Old Face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Baskerville Old Face"/>
      <family val="1"/>
    </font>
    <font>
      <i/>
      <sz val="10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0"/>
      <name val="Tahoma"/>
      <family val="2"/>
    </font>
    <font>
      <i/>
      <sz val="8"/>
      <color theme="1"/>
      <name val="Tahoma"/>
      <family val="2"/>
    </font>
    <font>
      <b/>
      <i/>
      <sz val="8"/>
      <color theme="1"/>
      <name val="Tahoma"/>
      <family val="2"/>
    </font>
    <font>
      <sz val="10"/>
      <color theme="1"/>
      <name val="Tahoma"/>
      <family val="2"/>
    </font>
    <font>
      <i/>
      <sz val="14"/>
      <color theme="0"/>
      <name val="Tahoma"/>
      <family val="2"/>
    </font>
    <font>
      <sz val="11"/>
      <color indexed="81"/>
      <name val="Tahoma"/>
      <family val="2"/>
    </font>
    <font>
      <b/>
      <i/>
      <sz val="10"/>
      <color theme="1"/>
      <name val="Tahoma"/>
      <family val="2"/>
    </font>
    <font>
      <b/>
      <sz val="10"/>
      <color theme="0"/>
      <name val="Tahoma"/>
      <family val="2"/>
    </font>
    <font>
      <vertAlign val="superscript"/>
      <sz val="10"/>
      <color theme="1"/>
      <name val="Tahoma"/>
      <family val="2"/>
    </font>
    <font>
      <sz val="10"/>
      <color indexed="81"/>
      <name val="Tahoma"/>
      <family val="2"/>
    </font>
    <font>
      <i/>
      <sz val="12"/>
      <color theme="0"/>
      <name val="Tahoma"/>
      <family val="2"/>
    </font>
    <font>
      <i/>
      <sz val="9"/>
      <color indexed="81"/>
      <name val="Tahoma"/>
      <family val="2"/>
    </font>
    <font>
      <i/>
      <sz val="10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double">
        <color theme="0" tint="-0.499984740745262"/>
      </left>
      <right style="thin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 style="thin">
        <color indexed="64"/>
      </bottom>
      <diagonal/>
    </border>
    <border>
      <left/>
      <right/>
      <top style="double">
        <color theme="0" tint="-0.499984740745262"/>
      </top>
      <bottom style="thin">
        <color indexed="64"/>
      </bottom>
      <diagonal/>
    </border>
    <border>
      <left/>
      <right style="double">
        <color theme="0" tint="-0.499984740745262"/>
      </right>
      <top style="double">
        <color theme="0" tint="-0.499984740745262"/>
      </top>
      <bottom style="thin">
        <color indexed="64"/>
      </bottom>
      <diagonal/>
    </border>
    <border>
      <left style="double">
        <color theme="0" tint="-0.499984740745262"/>
      </left>
      <right style="thin">
        <color indexed="64"/>
      </right>
      <top style="thin">
        <color indexed="64"/>
      </top>
      <bottom style="double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0" tint="-0.499984740745262"/>
      </bottom>
      <diagonal/>
    </border>
    <border>
      <left style="thin">
        <color indexed="64"/>
      </left>
      <right style="double">
        <color theme="0" tint="-0.499984740745262"/>
      </right>
      <top style="thin">
        <color indexed="64"/>
      </top>
      <bottom style="double">
        <color theme="0" tint="-0.499984740745262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indexed="64"/>
      </left>
      <right/>
      <top style="thick">
        <color theme="0"/>
      </top>
      <bottom style="thin">
        <color indexed="64"/>
      </bottom>
      <diagonal/>
    </border>
    <border>
      <left/>
      <right style="thin">
        <color indexed="64"/>
      </right>
      <top style="thick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2">
    <xf numFmtId="0" fontId="0" fillId="0" borderId="0"/>
    <xf numFmtId="44" fontId="23" fillId="0" borderId="0" applyFont="0" applyFill="0" applyBorder="0" applyAlignment="0" applyProtection="0"/>
  </cellStyleXfs>
  <cellXfs count="448">
    <xf numFmtId="0" fontId="0" fillId="0" borderId="0" xfId="0"/>
    <xf numFmtId="0" fontId="0" fillId="0" borderId="2" xfId="0" applyBorder="1"/>
    <xf numFmtId="0" fontId="0" fillId="0" borderId="3" xfId="0" applyBorder="1"/>
    <xf numFmtId="4" fontId="0" fillId="0" borderId="0" xfId="0" applyNumberFormat="1"/>
    <xf numFmtId="0" fontId="0" fillId="0" borderId="5" xfId="0" applyBorder="1"/>
    <xf numFmtId="0" fontId="0" fillId="0" borderId="4" xfId="0" applyBorder="1"/>
    <xf numFmtId="0" fontId="0" fillId="0" borderId="2" xfId="0" applyBorder="1" applyAlignment="1">
      <alignment horizontal="left" indent="1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0" fillId="3" borderId="2" xfId="0" applyFill="1" applyBorder="1"/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0" fillId="0" borderId="2" xfId="0" applyBorder="1" applyAlignment="1" applyProtection="1">
      <alignment horizontal="left" indent="1"/>
      <protection hidden="1"/>
    </xf>
    <xf numFmtId="2" fontId="1" fillId="0" borderId="2" xfId="0" applyNumberFormat="1" applyFont="1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left" indent="1"/>
      <protection hidden="1"/>
    </xf>
    <xf numFmtId="2" fontId="1" fillId="0" borderId="3" xfId="0" applyNumberFormat="1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0" fillId="2" borderId="0" xfId="0" applyFill="1" applyProtection="1"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left" indent="1"/>
      <protection hidden="1"/>
    </xf>
    <xf numFmtId="0" fontId="1" fillId="0" borderId="6" xfId="0" applyFont="1" applyBorder="1" applyProtection="1"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left" indent="1"/>
      <protection hidden="1"/>
    </xf>
    <xf numFmtId="0" fontId="1" fillId="0" borderId="7" xfId="0" applyFont="1" applyBorder="1" applyProtection="1">
      <protection hidden="1"/>
    </xf>
    <xf numFmtId="0" fontId="0" fillId="2" borderId="0" xfId="0" applyFill="1" applyBorder="1" applyProtection="1">
      <protection hidden="1"/>
    </xf>
    <xf numFmtId="0" fontId="0" fillId="2" borderId="0" xfId="0" applyFill="1" applyBorder="1" applyAlignment="1" applyProtection="1">
      <alignment horizontal="center"/>
      <protection hidden="1"/>
    </xf>
    <xf numFmtId="164" fontId="0" fillId="0" borderId="0" xfId="0" applyNumberFormat="1"/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left" indent="1"/>
    </xf>
    <xf numFmtId="12" fontId="8" fillId="0" borderId="0" xfId="0" applyNumberFormat="1" applyFont="1" applyAlignment="1" applyProtection="1">
      <alignment horizontal="center" vertical="center"/>
      <protection hidden="1"/>
    </xf>
    <xf numFmtId="0" fontId="0" fillId="0" borderId="24" xfId="0" applyBorder="1"/>
    <xf numFmtId="0" fontId="0" fillId="3" borderId="24" xfId="0" applyFill="1" applyBorder="1"/>
    <xf numFmtId="0" fontId="0" fillId="0" borderId="25" xfId="0" applyBorder="1"/>
    <xf numFmtId="0" fontId="9" fillId="0" borderId="2" xfId="0" applyFont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6" fillId="0" borderId="2" xfId="0" applyFont="1" applyBorder="1"/>
    <xf numFmtId="0" fontId="9" fillId="3" borderId="2" xfId="0" applyFont="1" applyFill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10" fillId="0" borderId="0" xfId="0" applyNumberFormat="1" applyFont="1"/>
    <xf numFmtId="0" fontId="10" fillId="0" borderId="0" xfId="0" applyNumberFormat="1" applyFont="1" applyFill="1"/>
    <xf numFmtId="0" fontId="11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Protection="1">
      <protection locked="0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 applyProtection="1">
      <alignment horizontal="center" vertical="center"/>
      <protection locked="0"/>
    </xf>
    <xf numFmtId="0" fontId="7" fillId="6" borderId="0" xfId="0" applyNumberFormat="1" applyFont="1" applyFill="1" applyAlignment="1" applyProtection="1">
      <alignment horizontal="center" vertical="center"/>
      <protection locked="0"/>
    </xf>
    <xf numFmtId="0" fontId="12" fillId="0" borderId="3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>
      <alignment horizontal="left" indent="1"/>
    </xf>
    <xf numFmtId="0" fontId="13" fillId="0" borderId="0" xfId="0" applyFont="1" applyAlignment="1">
      <alignment vertical="center"/>
    </xf>
    <xf numFmtId="0" fontId="1" fillId="0" borderId="29" xfId="0" applyFont="1" applyFill="1" applyBorder="1" applyAlignment="1">
      <alignment horizontal="left" vertical="center" indent="1"/>
    </xf>
    <xf numFmtId="4" fontId="0" fillId="0" borderId="2" xfId="0" applyNumberFormat="1" applyBorder="1" applyProtection="1">
      <protection hidden="1"/>
    </xf>
    <xf numFmtId="4" fontId="0" fillId="0" borderId="3" xfId="0" applyNumberFormat="1" applyBorder="1" applyProtection="1">
      <protection hidden="1"/>
    </xf>
    <xf numFmtId="4" fontId="1" fillId="0" borderId="29" xfId="0" applyNumberFormat="1" applyFont="1" applyBorder="1" applyAlignment="1" applyProtection="1">
      <alignment vertical="center"/>
      <protection hidden="1"/>
    </xf>
    <xf numFmtId="0" fontId="14" fillId="0" borderId="0" xfId="0" applyFont="1"/>
    <xf numFmtId="0" fontId="0" fillId="0" borderId="2" xfId="0" applyBorder="1" applyProtection="1">
      <protection hidden="1"/>
    </xf>
    <xf numFmtId="0" fontId="0" fillId="3" borderId="2" xfId="0" applyFill="1" applyBorder="1" applyProtection="1">
      <protection hidden="1"/>
    </xf>
    <xf numFmtId="0" fontId="0" fillId="3" borderId="2" xfId="0" applyFill="1" applyBorder="1" applyAlignment="1" applyProtection="1">
      <alignment horizontal="left" indent="1"/>
      <protection hidden="1"/>
    </xf>
    <xf numFmtId="0" fontId="0" fillId="0" borderId="3" xfId="0" applyBorder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9" fillId="4" borderId="2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49" fontId="0" fillId="0" borderId="2" xfId="0" applyNumberFormat="1" applyBorder="1"/>
    <xf numFmtId="2" fontId="1" fillId="0" borderId="5" xfId="0" applyNumberFormat="1" applyFont="1" applyBorder="1" applyAlignment="1" applyProtection="1">
      <alignment horizontal="center" vertical="center"/>
      <protection hidden="1"/>
    </xf>
    <xf numFmtId="0" fontId="0" fillId="0" borderId="5" xfId="0" applyBorder="1" applyAlignment="1">
      <alignment horizontal="left" indent="1"/>
    </xf>
    <xf numFmtId="0" fontId="0" fillId="0" borderId="4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5" fontId="7" fillId="6" borderId="0" xfId="0" applyNumberFormat="1" applyFont="1" applyFill="1"/>
    <xf numFmtId="4" fontId="0" fillId="7" borderId="4" xfId="0" applyNumberFormat="1" applyFont="1" applyFill="1" applyBorder="1" applyAlignment="1" applyProtection="1">
      <alignment horizontal="center" vertical="center"/>
      <protection hidden="1"/>
    </xf>
    <xf numFmtId="0" fontId="0" fillId="7" borderId="32" xfId="0" applyFill="1" applyBorder="1"/>
    <xf numFmtId="0" fontId="13" fillId="7" borderId="32" xfId="0" applyFont="1" applyFill="1" applyBorder="1" applyAlignment="1" applyProtection="1">
      <alignment horizontal="right" vertical="center"/>
      <protection hidden="1"/>
    </xf>
    <xf numFmtId="0" fontId="0" fillId="7" borderId="33" xfId="0" applyFill="1" applyBorder="1"/>
    <xf numFmtId="0" fontId="1" fillId="7" borderId="33" xfId="0" applyFont="1" applyFill="1" applyBorder="1" applyAlignment="1" applyProtection="1">
      <alignment horizontal="right" vertical="center"/>
      <protection hidden="1"/>
    </xf>
    <xf numFmtId="0" fontId="0" fillId="7" borderId="4" xfId="0" applyFont="1" applyFill="1" applyBorder="1" applyAlignment="1">
      <alignment horizontal="center" vertical="center"/>
    </xf>
    <xf numFmtId="4" fontId="13" fillId="7" borderId="34" xfId="0" applyNumberFormat="1" applyFont="1" applyFill="1" applyBorder="1" applyAlignment="1" applyProtection="1">
      <alignment horizontal="right" vertical="center"/>
      <protection hidden="1"/>
    </xf>
    <xf numFmtId="4" fontId="1" fillId="7" borderId="4" xfId="0" applyNumberFormat="1" applyFont="1" applyFill="1" applyBorder="1" applyAlignment="1" applyProtection="1">
      <alignment horizontal="right" vertical="center"/>
      <protection hidden="1"/>
    </xf>
    <xf numFmtId="0" fontId="0" fillId="0" borderId="1" xfId="0" applyBorder="1"/>
    <xf numFmtId="166" fontId="0" fillId="0" borderId="2" xfId="0" applyNumberFormat="1" applyBorder="1"/>
    <xf numFmtId="166" fontId="0" fillId="0" borderId="1" xfId="0" applyNumberFormat="1" applyBorder="1"/>
    <xf numFmtId="4" fontId="0" fillId="0" borderId="2" xfId="0" applyNumberFormat="1" applyBorder="1" applyAlignment="1" applyProtection="1">
      <alignment horizontal="right" vertical="center"/>
      <protection hidden="1"/>
    </xf>
    <xf numFmtId="4" fontId="0" fillId="0" borderId="2" xfId="0" applyNumberFormat="1" applyFill="1" applyBorder="1" applyAlignment="1" applyProtection="1">
      <alignment horizontal="right" vertical="center"/>
      <protection hidden="1"/>
    </xf>
    <xf numFmtId="4" fontId="0" fillId="0" borderId="3" xfId="0" applyNumberFormat="1" applyBorder="1" applyAlignment="1" applyProtection="1">
      <alignment horizontal="right" vertical="center"/>
      <protection hidden="1"/>
    </xf>
    <xf numFmtId="0" fontId="5" fillId="0" borderId="3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Continuous" vertical="center"/>
    </xf>
    <xf numFmtId="0" fontId="1" fillId="0" borderId="19" xfId="0" applyFont="1" applyBorder="1" applyAlignment="1">
      <alignment horizontal="centerContinuous" vertical="center"/>
    </xf>
    <xf numFmtId="0" fontId="1" fillId="0" borderId="20" xfId="0" applyFont="1" applyBorder="1" applyAlignment="1">
      <alignment horizontal="centerContinuous" vertical="center"/>
    </xf>
    <xf numFmtId="0" fontId="0" fillId="0" borderId="38" xfId="0" applyFont="1" applyBorder="1" applyAlignment="1" applyProtection="1">
      <alignment horizontal="center" vertical="center"/>
      <protection hidden="1"/>
    </xf>
    <xf numFmtId="15" fontId="5" fillId="0" borderId="38" xfId="0" applyNumberFormat="1" applyFont="1" applyBorder="1" applyAlignment="1" applyProtection="1">
      <alignment horizontal="center" vertical="center"/>
      <protection hidden="1"/>
    </xf>
    <xf numFmtId="4" fontId="0" fillId="0" borderId="38" xfId="0" applyNumberFormat="1" applyBorder="1" applyAlignment="1" applyProtection="1">
      <alignment horizontal="right" vertical="center"/>
      <protection hidden="1"/>
    </xf>
    <xf numFmtId="4" fontId="0" fillId="0" borderId="39" xfId="0" applyNumberFormat="1" applyBorder="1" applyAlignment="1" applyProtection="1">
      <alignment horizontal="right" vertical="center"/>
      <protection hidden="1"/>
    </xf>
    <xf numFmtId="0" fontId="0" fillId="0" borderId="37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right" vertical="center"/>
    </xf>
    <xf numFmtId="0" fontId="13" fillId="9" borderId="30" xfId="0" applyFont="1" applyFill="1" applyBorder="1" applyAlignment="1">
      <alignment horizontal="centerContinuous" vertical="center"/>
    </xf>
    <xf numFmtId="0" fontId="13" fillId="9" borderId="40" xfId="0" applyFont="1" applyFill="1" applyBorder="1" applyAlignment="1">
      <alignment horizontal="centerContinuous" vertical="center"/>
    </xf>
    <xf numFmtId="0" fontId="6" fillId="9" borderId="40" xfId="0" applyFont="1" applyFill="1" applyBorder="1" applyAlignment="1">
      <alignment horizontal="centerContinuous" vertical="center"/>
    </xf>
    <xf numFmtId="0" fontId="6" fillId="9" borderId="31" xfId="0" applyFont="1" applyFill="1" applyBorder="1" applyAlignment="1">
      <alignment horizontal="centerContinuous" vertical="center"/>
    </xf>
    <xf numFmtId="0" fontId="1" fillId="10" borderId="4" xfId="0" applyFont="1" applyFill="1" applyBorder="1" applyAlignment="1">
      <alignment horizontal="center" vertical="center"/>
    </xf>
    <xf numFmtId="4" fontId="1" fillId="0" borderId="0" xfId="0" applyNumberFormat="1" applyFont="1"/>
    <xf numFmtId="0" fontId="0" fillId="11" borderId="2" xfId="0" applyFill="1" applyBorder="1" applyProtection="1">
      <protection hidden="1"/>
    </xf>
    <xf numFmtId="0" fontId="0" fillId="0" borderId="2" xfId="0" applyFill="1" applyBorder="1"/>
    <xf numFmtId="0" fontId="0" fillId="0" borderId="2" xfId="0" applyFill="1" applyBorder="1" applyProtection="1">
      <protection hidden="1"/>
    </xf>
    <xf numFmtId="0" fontId="0" fillId="0" borderId="0" xfId="0" applyBorder="1" applyAlignment="1" applyProtection="1">
      <alignment horizontal="left" indent="1"/>
      <protection hidden="1"/>
    </xf>
    <xf numFmtId="0" fontId="0" fillId="0" borderId="0" xfId="0" applyFill="1" applyBorder="1" applyAlignment="1" applyProtection="1">
      <alignment horizontal="left" indent="1"/>
      <protection hidden="1"/>
    </xf>
    <xf numFmtId="0" fontId="0" fillId="0" borderId="7" xfId="0" applyBorder="1"/>
    <xf numFmtId="0" fontId="0" fillId="0" borderId="7" xfId="0" applyFill="1" applyBorder="1" applyAlignment="1" applyProtection="1">
      <alignment horizontal="left" indent="1"/>
      <protection hidden="1"/>
    </xf>
    <xf numFmtId="0" fontId="0" fillId="0" borderId="0" xfId="0" applyBorder="1"/>
    <xf numFmtId="0" fontId="0" fillId="0" borderId="0" xfId="0" applyBorder="1" applyAlignment="1">
      <alignment horizontal="left" indent="1"/>
    </xf>
    <xf numFmtId="2" fontId="1" fillId="0" borderId="0" xfId="0" applyNumberFormat="1" applyFont="1" applyBorder="1" applyAlignment="1" applyProtection="1">
      <alignment horizontal="center" vertical="center"/>
      <protection hidden="1"/>
    </xf>
    <xf numFmtId="0" fontId="2" fillId="0" borderId="26" xfId="0" applyFont="1" applyBorder="1"/>
    <xf numFmtId="0" fontId="20" fillId="2" borderId="0" xfId="0" applyFont="1" applyFill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2" fillId="0" borderId="0" xfId="0" applyFont="1"/>
    <xf numFmtId="0" fontId="0" fillId="0" borderId="0" xfId="0" applyNumberFormat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4" fontId="0" fillId="0" borderId="27" xfId="0" applyNumberFormat="1" applyBorder="1"/>
    <xf numFmtId="4" fontId="0" fillId="0" borderId="28" xfId="0" applyNumberFormat="1" applyBorder="1"/>
    <xf numFmtId="0" fontId="0" fillId="0" borderId="2" xfId="0" applyBorder="1" applyAlignment="1" applyProtection="1">
      <alignment horizontal="left" vertical="center" indent="1"/>
      <protection hidden="1"/>
    </xf>
    <xf numFmtId="0" fontId="0" fillId="0" borderId="2" xfId="0" applyFill="1" applyBorder="1" applyAlignment="1" applyProtection="1">
      <alignment horizontal="left" vertical="center" indent="1"/>
      <protection hidden="1"/>
    </xf>
    <xf numFmtId="0" fontId="0" fillId="0" borderId="3" xfId="0" applyBorder="1" applyAlignment="1" applyProtection="1">
      <alignment horizontal="left" vertical="center" indent="1"/>
      <protection hidden="1"/>
    </xf>
    <xf numFmtId="0" fontId="18" fillId="0" borderId="0" xfId="0" applyFont="1" applyAlignment="1">
      <alignment horizontal="right" indent="1"/>
    </xf>
    <xf numFmtId="4" fontId="21" fillId="0" borderId="0" xfId="0" applyNumberFormat="1" applyFont="1"/>
    <xf numFmtId="165" fontId="22" fillId="0" borderId="0" xfId="0" applyNumberFormat="1" applyFont="1"/>
    <xf numFmtId="0" fontId="1" fillId="0" borderId="0" xfId="0" applyFont="1" applyAlignment="1"/>
    <xf numFmtId="4" fontId="10" fillId="0" borderId="1" xfId="0" applyNumberFormat="1" applyFont="1" applyBorder="1" applyAlignment="1">
      <alignment vertical="center"/>
    </xf>
    <xf numFmtId="4" fontId="10" fillId="0" borderId="2" xfId="0" applyNumberFormat="1" applyFont="1" applyBorder="1" applyAlignment="1">
      <alignment vertical="center"/>
    </xf>
    <xf numFmtId="4" fontId="10" fillId="0" borderId="3" xfId="0" applyNumberFormat="1" applyFont="1" applyBorder="1" applyAlignment="1">
      <alignment vertical="center"/>
    </xf>
    <xf numFmtId="0" fontId="0" fillId="0" borderId="1" xfId="0" applyBorder="1" applyAlignment="1" applyProtection="1">
      <alignment horizontal="left" vertical="center" indent="1"/>
      <protection hidden="1"/>
    </xf>
    <xf numFmtId="4" fontId="0" fillId="0" borderId="1" xfId="0" applyNumberFormat="1" applyBorder="1" applyAlignment="1" applyProtection="1">
      <alignment horizontal="right" vertical="center"/>
      <protection hidden="1"/>
    </xf>
    <xf numFmtId="2" fontId="1" fillId="0" borderId="1" xfId="0" applyNumberFormat="1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>
      <alignment horizontal="center" vertical="center" wrapText="1"/>
    </xf>
    <xf numFmtId="44" fontId="0" fillId="0" borderId="4" xfId="1" applyFont="1" applyBorder="1" applyAlignment="1">
      <alignment horizontal="center" vertical="center"/>
    </xf>
    <xf numFmtId="4" fontId="0" fillId="0" borderId="2" xfId="0" applyNumberFormat="1" applyFill="1" applyBorder="1"/>
    <xf numFmtId="15" fontId="5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4" fontId="0" fillId="0" borderId="1" xfId="1" applyNumberFormat="1" applyFont="1" applyFill="1" applyBorder="1" applyAlignment="1">
      <alignment horizontal="right" vertical="center"/>
    </xf>
    <xf numFmtId="0" fontId="0" fillId="0" borderId="0" xfId="0" applyFill="1"/>
    <xf numFmtId="168" fontId="0" fillId="0" borderId="2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inden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2" fillId="0" borderId="2" xfId="0" applyNumberFormat="1" applyFont="1" applyBorder="1" applyAlignment="1">
      <alignment vertical="center"/>
    </xf>
    <xf numFmtId="0" fontId="0" fillId="6" borderId="0" xfId="0" applyFill="1"/>
    <xf numFmtId="2" fontId="1" fillId="0" borderId="2" xfId="0" applyNumberFormat="1" applyFont="1" applyFill="1" applyBorder="1" applyAlignment="1" applyProtection="1">
      <alignment horizontal="center" vertical="center"/>
      <protection hidden="1"/>
    </xf>
    <xf numFmtId="0" fontId="14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17" fillId="0" borderId="0" xfId="0" applyFont="1" applyAlignment="1">
      <alignment horizontal="left" indent="1"/>
    </xf>
    <xf numFmtId="0" fontId="26" fillId="0" borderId="0" xfId="0" applyFont="1"/>
    <xf numFmtId="4" fontId="2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4" fontId="2" fillId="0" borderId="4" xfId="0" applyNumberFormat="1" applyFont="1" applyBorder="1"/>
    <xf numFmtId="4" fontId="0" fillId="0" borderId="4" xfId="0" applyNumberFormat="1" applyBorder="1"/>
    <xf numFmtId="4" fontId="2" fillId="0" borderId="4" xfId="0" applyNumberFormat="1" applyFont="1" applyBorder="1" applyProtection="1">
      <protection hidden="1"/>
    </xf>
    <xf numFmtId="0" fontId="0" fillId="0" borderId="6" xfId="0" applyBorder="1"/>
    <xf numFmtId="4" fontId="2" fillId="0" borderId="7" xfId="0" applyNumberFormat="1" applyFont="1" applyBorder="1"/>
    <xf numFmtId="4" fontId="4" fillId="0" borderId="42" xfId="0" applyNumberFormat="1" applyFont="1" applyBorder="1"/>
    <xf numFmtId="0" fontId="0" fillId="0" borderId="7" xfId="0" applyBorder="1" applyAlignment="1">
      <alignment horizontal="right"/>
    </xf>
    <xf numFmtId="0" fontId="0" fillId="0" borderId="43" xfId="0" applyBorder="1"/>
    <xf numFmtId="0" fontId="0" fillId="0" borderId="6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43" xfId="0" applyBorder="1" applyAlignment="1">
      <alignment horizontal="right"/>
    </xf>
    <xf numFmtId="0" fontId="0" fillId="0" borderId="0" xfId="0" applyFill="1" applyBorder="1"/>
    <xf numFmtId="0" fontId="0" fillId="0" borderId="41" xfId="0" applyBorder="1"/>
    <xf numFmtId="4" fontId="4" fillId="0" borderId="41" xfId="0" applyNumberFormat="1" applyFont="1" applyBorder="1"/>
    <xf numFmtId="0" fontId="1" fillId="0" borderId="41" xfId="0" applyFont="1" applyBorder="1"/>
    <xf numFmtId="4" fontId="0" fillId="0" borderId="40" xfId="0" applyNumberFormat="1" applyBorder="1"/>
    <xf numFmtId="165" fontId="2" fillId="0" borderId="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indent="1"/>
    </xf>
    <xf numFmtId="0" fontId="18" fillId="0" borderId="0" xfId="0" applyFont="1" applyAlignment="1">
      <alignment horizontal="right"/>
    </xf>
    <xf numFmtId="0" fontId="0" fillId="0" borderId="2" xfId="0" applyFill="1" applyBorder="1" applyAlignment="1">
      <alignment horizontal="left" indent="1"/>
    </xf>
    <xf numFmtId="0" fontId="0" fillId="0" borderId="46" xfId="0" applyFill="1" applyBorder="1" applyAlignment="1">
      <alignment horizontal="center" vertical="center"/>
    </xf>
    <xf numFmtId="0" fontId="0" fillId="0" borderId="46" xfId="0" applyFill="1" applyBorder="1"/>
    <xf numFmtId="4" fontId="0" fillId="0" borderId="46" xfId="0" applyNumberFormat="1" applyFill="1" applyBorder="1"/>
    <xf numFmtId="0" fontId="1" fillId="0" borderId="46" xfId="0" applyFont="1" applyFill="1" applyBorder="1" applyAlignment="1">
      <alignment horizontal="center" vertical="center"/>
    </xf>
    <xf numFmtId="15" fontId="0" fillId="0" borderId="46" xfId="0" applyNumberFormat="1" applyFont="1" applyFill="1" applyBorder="1" applyAlignment="1">
      <alignment horizontal="center" vertical="center"/>
    </xf>
    <xf numFmtId="0" fontId="0" fillId="0" borderId="46" xfId="0" applyFill="1" applyBorder="1" applyAlignment="1">
      <alignment horizontal="left" indent="1"/>
    </xf>
    <xf numFmtId="0" fontId="0" fillId="0" borderId="13" xfId="0" applyFill="1" applyBorder="1" applyAlignment="1">
      <alignment horizontal="center" vertical="center"/>
    </xf>
    <xf numFmtId="0" fontId="0" fillId="0" borderId="13" xfId="0" applyFill="1" applyBorder="1"/>
    <xf numFmtId="4" fontId="0" fillId="0" borderId="13" xfId="0" applyNumberFormat="1" applyFill="1" applyBorder="1"/>
    <xf numFmtId="0" fontId="1" fillId="0" borderId="13" xfId="0" applyFont="1" applyFill="1" applyBorder="1" applyAlignment="1">
      <alignment horizontal="center" vertical="center"/>
    </xf>
    <xf numFmtId="15" fontId="0" fillId="0" borderId="13" xfId="0" applyNumberFormat="1" applyFont="1" applyFill="1" applyBorder="1" applyAlignment="1">
      <alignment horizontal="center" vertical="center"/>
    </xf>
    <xf numFmtId="0" fontId="0" fillId="0" borderId="13" xfId="0" applyFill="1" applyBorder="1" applyAlignment="1">
      <alignment horizontal="left" indent="1"/>
    </xf>
    <xf numFmtId="0" fontId="0" fillId="0" borderId="47" xfId="0" applyFill="1" applyBorder="1" applyAlignment="1">
      <alignment horizontal="center" vertical="center"/>
    </xf>
    <xf numFmtId="0" fontId="0" fillId="0" borderId="47" xfId="0" applyFill="1" applyBorder="1"/>
    <xf numFmtId="4" fontId="0" fillId="0" borderId="47" xfId="0" applyNumberFormat="1" applyFill="1" applyBorder="1"/>
    <xf numFmtId="0" fontId="1" fillId="0" borderId="47" xfId="0" applyFont="1" applyFill="1" applyBorder="1" applyAlignment="1">
      <alignment horizontal="center" vertical="center"/>
    </xf>
    <xf numFmtId="15" fontId="0" fillId="0" borderId="47" xfId="0" applyNumberFormat="1" applyFont="1" applyFill="1" applyBorder="1" applyAlignment="1">
      <alignment horizontal="center" vertical="center"/>
    </xf>
    <xf numFmtId="0" fontId="0" fillId="0" borderId="47" xfId="0" applyFill="1" applyBorder="1" applyAlignment="1">
      <alignment horizontal="left" indent="1"/>
    </xf>
    <xf numFmtId="0" fontId="1" fillId="0" borderId="13" xfId="0" applyFont="1" applyFill="1" applyBorder="1" applyAlignment="1" applyProtection="1">
      <alignment horizontal="center" vertical="center"/>
      <protection locked="0"/>
    </xf>
    <xf numFmtId="4" fontId="0" fillId="0" borderId="13" xfId="0" applyNumberFormat="1" applyFill="1" applyBorder="1" applyProtection="1">
      <protection locked="0"/>
    </xf>
    <xf numFmtId="15" fontId="0" fillId="0" borderId="13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Fill="1" applyBorder="1" applyAlignment="1" applyProtection="1">
      <alignment horizontal="left" indent="1"/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0" fontId="0" fillId="0" borderId="13" xfId="0" applyFill="1" applyBorder="1" applyProtection="1">
      <protection locked="0"/>
    </xf>
    <xf numFmtId="0" fontId="0" fillId="0" borderId="47" xfId="0" applyFill="1" applyBorder="1" applyAlignment="1" applyProtection="1">
      <alignment horizontal="center" vertical="center"/>
      <protection locked="0"/>
    </xf>
    <xf numFmtId="0" fontId="0" fillId="0" borderId="47" xfId="0" applyFill="1" applyBorder="1" applyProtection="1">
      <protection locked="0"/>
    </xf>
    <xf numFmtId="0" fontId="1" fillId="0" borderId="47" xfId="0" applyFont="1" applyFill="1" applyBorder="1" applyAlignment="1" applyProtection="1">
      <alignment horizontal="center" vertical="center"/>
      <protection locked="0"/>
    </xf>
    <xf numFmtId="4" fontId="0" fillId="0" borderId="47" xfId="0" applyNumberFormat="1" applyFill="1" applyBorder="1" applyProtection="1">
      <protection locked="0"/>
    </xf>
    <xf numFmtId="15" fontId="0" fillId="0" borderId="47" xfId="0" applyNumberFormat="1" applyFont="1" applyFill="1" applyBorder="1" applyAlignment="1" applyProtection="1">
      <alignment horizontal="center" vertical="center"/>
      <protection locked="0"/>
    </xf>
    <xf numFmtId="0" fontId="0" fillId="0" borderId="47" xfId="0" applyFill="1" applyBorder="1" applyAlignment="1" applyProtection="1">
      <alignment horizontal="left" indent="1"/>
      <protection locked="0"/>
    </xf>
    <xf numFmtId="0" fontId="0" fillId="0" borderId="46" xfId="0" applyFill="1" applyBorder="1" applyAlignment="1" applyProtection="1">
      <alignment horizontal="center" vertical="center"/>
      <protection locked="0"/>
    </xf>
    <xf numFmtId="0" fontId="0" fillId="0" borderId="46" xfId="0" applyFill="1" applyBorder="1" applyProtection="1">
      <protection locked="0"/>
    </xf>
    <xf numFmtId="0" fontId="1" fillId="0" borderId="46" xfId="0" applyFont="1" applyFill="1" applyBorder="1" applyAlignment="1" applyProtection="1">
      <alignment horizontal="center" vertical="center"/>
      <protection locked="0"/>
    </xf>
    <xf numFmtId="4" fontId="0" fillId="0" borderId="46" xfId="0" applyNumberFormat="1" applyFill="1" applyBorder="1" applyProtection="1">
      <protection locked="0"/>
    </xf>
    <xf numFmtId="15" fontId="0" fillId="0" borderId="46" xfId="0" applyNumberFormat="1" applyFont="1" applyFill="1" applyBorder="1" applyAlignment="1" applyProtection="1">
      <alignment horizontal="center" vertical="center"/>
      <protection locked="0"/>
    </xf>
    <xf numFmtId="0" fontId="0" fillId="0" borderId="46" xfId="0" applyFill="1" applyBorder="1" applyAlignment="1" applyProtection="1">
      <alignment horizontal="left" indent="1"/>
      <protection locked="0"/>
    </xf>
    <xf numFmtId="0" fontId="0" fillId="0" borderId="45" xfId="0" applyFill="1" applyBorder="1" applyAlignment="1">
      <alignment horizontal="center" vertical="center"/>
    </xf>
    <xf numFmtId="0" fontId="0" fillId="0" borderId="45" xfId="0" applyFill="1" applyBorder="1"/>
    <xf numFmtId="4" fontId="0" fillId="0" borderId="45" xfId="0" applyNumberFormat="1" applyFill="1" applyBorder="1"/>
    <xf numFmtId="0" fontId="1" fillId="0" borderId="45" xfId="0" applyFont="1" applyFill="1" applyBorder="1" applyAlignment="1">
      <alignment horizontal="center" vertical="center"/>
    </xf>
    <xf numFmtId="15" fontId="0" fillId="0" borderId="45" xfId="0" applyNumberFormat="1" applyFont="1" applyFill="1" applyBorder="1" applyAlignment="1">
      <alignment horizontal="center" vertical="center"/>
    </xf>
    <xf numFmtId="0" fontId="0" fillId="0" borderId="45" xfId="0" applyFill="1" applyBorder="1" applyAlignment="1">
      <alignment horizontal="left" indent="1"/>
    </xf>
    <xf numFmtId="0" fontId="0" fillId="12" borderId="13" xfId="0" applyFill="1" applyBorder="1" applyAlignment="1" applyProtection="1">
      <alignment horizontal="left" indent="1"/>
      <protection hidden="1"/>
    </xf>
    <xf numFmtId="0" fontId="0" fillId="12" borderId="45" xfId="0" applyFill="1" applyBorder="1" applyAlignment="1" applyProtection="1">
      <alignment horizontal="left" indent="1"/>
      <protection hidden="1"/>
    </xf>
    <xf numFmtId="0" fontId="0" fillId="12" borderId="47" xfId="0" applyFill="1" applyBorder="1" applyAlignment="1" applyProtection="1">
      <alignment horizontal="left" indent="1"/>
      <protection hidden="1"/>
    </xf>
    <xf numFmtId="0" fontId="0" fillId="12" borderId="46" xfId="0" applyFill="1" applyBorder="1" applyAlignment="1" applyProtection="1">
      <alignment horizontal="left" indent="1"/>
      <protection hidden="1"/>
    </xf>
    <xf numFmtId="0" fontId="0" fillId="0" borderId="45" xfId="0" applyFill="1" applyBorder="1" applyAlignment="1" applyProtection="1">
      <alignment horizontal="center" vertical="center"/>
      <protection locked="0"/>
    </xf>
    <xf numFmtId="0" fontId="0" fillId="0" borderId="45" xfId="0" applyFill="1" applyBorder="1" applyProtection="1">
      <protection locked="0"/>
    </xf>
    <xf numFmtId="4" fontId="4" fillId="10" borderId="4" xfId="0" applyNumberFormat="1" applyFont="1" applyFill="1" applyBorder="1" applyAlignment="1">
      <alignment horizontal="center" vertical="center"/>
    </xf>
    <xf numFmtId="4" fontId="0" fillId="12" borderId="13" xfId="0" applyNumberFormat="1" applyFill="1" applyBorder="1" applyAlignment="1">
      <alignment horizontal="right" vertical="center"/>
    </xf>
    <xf numFmtId="4" fontId="0" fillId="12" borderId="45" xfId="0" applyNumberFormat="1" applyFill="1" applyBorder="1" applyAlignment="1">
      <alignment horizontal="right" vertical="center"/>
    </xf>
    <xf numFmtId="4" fontId="0" fillId="12" borderId="47" xfId="0" applyNumberFormat="1" applyFill="1" applyBorder="1" applyAlignment="1">
      <alignment horizontal="right" vertical="center"/>
    </xf>
    <xf numFmtId="4" fontId="0" fillId="12" borderId="46" xfId="0" applyNumberFormat="1" applyFill="1" applyBorder="1" applyAlignment="1" applyProtection="1">
      <alignment horizontal="right" vertical="center"/>
      <protection hidden="1"/>
    </xf>
    <xf numFmtId="4" fontId="0" fillId="12" borderId="13" xfId="0" applyNumberFormat="1" applyFill="1" applyBorder="1" applyAlignment="1" applyProtection="1">
      <alignment horizontal="right" vertical="center"/>
      <protection hidden="1"/>
    </xf>
    <xf numFmtId="4" fontId="0" fillId="12" borderId="47" xfId="0" applyNumberFormat="1" applyFill="1" applyBorder="1" applyAlignment="1" applyProtection="1">
      <alignment horizontal="right" vertical="center"/>
      <protection hidden="1"/>
    </xf>
    <xf numFmtId="4" fontId="0" fillId="12" borderId="45" xfId="0" applyNumberFormat="1" applyFill="1" applyBorder="1" applyAlignment="1" applyProtection="1">
      <alignment horizontal="right" vertical="center"/>
      <protection hidden="1"/>
    </xf>
    <xf numFmtId="0" fontId="0" fillId="0" borderId="42" xfId="0" applyBorder="1"/>
    <xf numFmtId="0" fontId="0" fillId="0" borderId="49" xfId="0" applyBorder="1"/>
    <xf numFmtId="0" fontId="3" fillId="6" borderId="50" xfId="0" applyFont="1" applyFill="1" applyBorder="1" applyAlignment="1">
      <alignment horizontal="center" vertical="center"/>
    </xf>
    <xf numFmtId="0" fontId="3" fillId="6" borderId="51" xfId="0" applyFont="1" applyFill="1" applyBorder="1" applyAlignment="1">
      <alignment horizontal="center" vertical="center"/>
    </xf>
    <xf numFmtId="0" fontId="3" fillId="6" borderId="52" xfId="0" applyFont="1" applyFill="1" applyBorder="1" applyAlignment="1">
      <alignment horizontal="center" vertical="center"/>
    </xf>
    <xf numFmtId="49" fontId="19" fillId="10" borderId="4" xfId="0" applyNumberFormat="1" applyFont="1" applyFill="1" applyBorder="1" applyAlignment="1">
      <alignment horizontal="center" vertical="center"/>
    </xf>
    <xf numFmtId="4" fontId="10" fillId="8" borderId="2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13" borderId="12" xfId="0" applyFill="1" applyBorder="1" applyAlignment="1">
      <alignment horizontal="left" indent="1"/>
    </xf>
    <xf numFmtId="0" fontId="0" fillId="13" borderId="13" xfId="0" applyFont="1" applyFill="1" applyBorder="1" applyAlignment="1" applyProtection="1">
      <alignment horizontal="center" vertical="center"/>
      <protection hidden="1"/>
    </xf>
    <xf numFmtId="15" fontId="5" fillId="13" borderId="13" xfId="0" applyNumberFormat="1" applyFont="1" applyFill="1" applyBorder="1" applyAlignment="1" applyProtection="1">
      <alignment horizontal="center" vertical="center"/>
      <protection hidden="1"/>
    </xf>
    <xf numFmtId="4" fontId="0" fillId="13" borderId="13" xfId="0" applyNumberFormat="1" applyFill="1" applyBorder="1" applyAlignment="1" applyProtection="1">
      <alignment horizontal="right" vertical="center"/>
      <protection hidden="1"/>
    </xf>
    <xf numFmtId="4" fontId="0" fillId="13" borderId="14" xfId="0" applyNumberFormat="1" applyFill="1" applyBorder="1" applyAlignment="1" applyProtection="1">
      <alignment horizontal="right" vertical="center"/>
      <protection hidden="1"/>
    </xf>
    <xf numFmtId="0" fontId="0" fillId="13" borderId="13" xfId="0" applyFill="1" applyBorder="1"/>
    <xf numFmtId="0" fontId="5" fillId="13" borderId="13" xfId="0" applyFont="1" applyFill="1" applyBorder="1"/>
    <xf numFmtId="0" fontId="0" fillId="13" borderId="14" xfId="0" applyFill="1" applyBorder="1"/>
    <xf numFmtId="0" fontId="0" fillId="13" borderId="15" xfId="0" applyFill="1" applyBorder="1" applyAlignment="1">
      <alignment horizontal="left" indent="1"/>
    </xf>
    <xf numFmtId="0" fontId="0" fillId="13" borderId="16" xfId="0" applyFill="1" applyBorder="1"/>
    <xf numFmtId="0" fontId="5" fillId="13" borderId="16" xfId="0" applyFont="1" applyFill="1" applyBorder="1"/>
    <xf numFmtId="0" fontId="0" fillId="13" borderId="17" xfId="0" applyFill="1" applyBorder="1"/>
    <xf numFmtId="12" fontId="3" fillId="6" borderId="0" xfId="0" applyNumberFormat="1" applyFont="1" applyFill="1" applyAlignment="1" applyProtection="1">
      <protection hidden="1"/>
    </xf>
    <xf numFmtId="0" fontId="0" fillId="0" borderId="10" xfId="0" applyFill="1" applyBorder="1"/>
    <xf numFmtId="4" fontId="2" fillId="12" borderId="4" xfId="0" applyNumberFormat="1" applyFont="1" applyFill="1" applyBorder="1" applyAlignment="1">
      <alignment horizontal="center" vertical="center"/>
    </xf>
    <xf numFmtId="0" fontId="1" fillId="0" borderId="53" xfId="0" applyFont="1" applyFill="1" applyBorder="1" applyAlignment="1" applyProtection="1">
      <alignment horizontal="center" vertical="center"/>
      <protection locked="0"/>
    </xf>
    <xf numFmtId="4" fontId="0" fillId="0" borderId="53" xfId="0" applyNumberFormat="1" applyFill="1" applyBorder="1" applyProtection="1">
      <protection locked="0"/>
    </xf>
    <xf numFmtId="15" fontId="0" fillId="0" borderId="53" xfId="0" applyNumberFormat="1" applyFont="1" applyFill="1" applyBorder="1" applyAlignment="1" applyProtection="1">
      <alignment horizontal="center" vertical="center"/>
      <protection locked="0"/>
    </xf>
    <xf numFmtId="1" fontId="1" fillId="0" borderId="0" xfId="0" applyNumberFormat="1" applyFont="1" applyAlignment="1">
      <alignment horizontal="center" vertical="center"/>
    </xf>
    <xf numFmtId="0" fontId="0" fillId="14" borderId="2" xfId="0" applyFill="1" applyBorder="1" applyProtection="1">
      <protection hidden="1"/>
    </xf>
    <xf numFmtId="0" fontId="0" fillId="4" borderId="13" xfId="0" applyFill="1" applyBorder="1" applyAlignment="1" applyProtection="1">
      <alignment horizontal="left" indent="1"/>
      <protection hidden="1"/>
    </xf>
    <xf numFmtId="4" fontId="0" fillId="4" borderId="13" xfId="0" applyNumberFormat="1" applyFill="1" applyBorder="1" applyAlignment="1">
      <alignment horizontal="right" vertical="center"/>
    </xf>
    <xf numFmtId="0" fontId="0" fillId="4" borderId="13" xfId="0" applyFill="1" applyBorder="1" applyProtection="1">
      <protection locked="0"/>
    </xf>
    <xf numFmtId="0" fontId="0" fillId="4" borderId="13" xfId="0" applyFill="1" applyBorder="1"/>
    <xf numFmtId="4" fontId="0" fillId="4" borderId="13" xfId="0" applyNumberFormat="1" applyFill="1" applyBorder="1" applyAlignment="1" applyProtection="1">
      <alignment horizontal="right" vertical="center"/>
      <protection hidden="1"/>
    </xf>
    <xf numFmtId="4" fontId="0" fillId="0" borderId="2" xfId="0" applyNumberFormat="1" applyFill="1" applyBorder="1" applyProtection="1">
      <protection hidden="1"/>
    </xf>
    <xf numFmtId="0" fontId="1" fillId="12" borderId="4" xfId="0" applyFont="1" applyFill="1" applyBorder="1" applyAlignment="1">
      <alignment horizontal="left" vertical="center" indent="1"/>
    </xf>
    <xf numFmtId="0" fontId="1" fillId="12" borderId="4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168" fontId="0" fillId="0" borderId="54" xfId="0" applyNumberForma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0" fillId="0" borderId="54" xfId="0" applyFill="1" applyBorder="1" applyAlignment="1">
      <alignment horizontal="left" vertical="center" indent="1"/>
    </xf>
    <xf numFmtId="4" fontId="0" fillId="0" borderId="54" xfId="0" applyNumberFormat="1" applyFill="1" applyBorder="1"/>
    <xf numFmtId="0" fontId="1" fillId="0" borderId="4" xfId="0" applyFont="1" applyBorder="1" applyAlignment="1">
      <alignment horizontal="center" vertical="center" wrapText="1"/>
    </xf>
    <xf numFmtId="166" fontId="0" fillId="0" borderId="0" xfId="0" applyNumberFormat="1"/>
    <xf numFmtId="0" fontId="0" fillId="0" borderId="2" xfId="0" applyFont="1" applyFill="1" applyBorder="1" applyAlignment="1">
      <alignment horizontal="left" vertical="center" indent="1"/>
    </xf>
    <xf numFmtId="15" fontId="0" fillId="0" borderId="2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2" fillId="0" borderId="4" xfId="0" applyFont="1" applyBorder="1" applyAlignment="1">
      <alignment horizontal="center" vertical="center"/>
    </xf>
    <xf numFmtId="4" fontId="0" fillId="0" borderId="0" xfId="0" applyNumberFormat="1" applyBorder="1" applyProtection="1">
      <protection hidden="1"/>
    </xf>
    <xf numFmtId="0" fontId="0" fillId="0" borderId="40" xfId="0" applyBorder="1"/>
    <xf numFmtId="0" fontId="0" fillId="0" borderId="31" xfId="0" applyBorder="1"/>
    <xf numFmtId="0" fontId="0" fillId="0" borderId="2" xfId="0" applyBorder="1" applyAlignment="1">
      <alignment horizontal="left" indent="3"/>
    </xf>
    <xf numFmtId="4" fontId="0" fillId="0" borderId="2" xfId="0" applyNumberFormat="1" applyBorder="1"/>
    <xf numFmtId="0" fontId="0" fillId="0" borderId="3" xfId="0" applyBorder="1" applyAlignment="1">
      <alignment horizontal="left" indent="3"/>
    </xf>
    <xf numFmtId="4" fontId="0" fillId="0" borderId="3" xfId="0" applyNumberFormat="1" applyBorder="1"/>
    <xf numFmtId="0" fontId="0" fillId="0" borderId="5" xfId="0" applyBorder="1" applyAlignment="1">
      <alignment horizontal="left" indent="3"/>
    </xf>
    <xf numFmtId="4" fontId="0" fillId="0" borderId="5" xfId="0" applyNumberFormat="1" applyBorder="1"/>
    <xf numFmtId="0" fontId="2" fillId="0" borderId="4" xfId="0" applyFont="1" applyFill="1" applyBorder="1" applyAlignment="1">
      <alignment horizontal="center" vertical="center"/>
    </xf>
    <xf numFmtId="4" fontId="1" fillId="0" borderId="4" xfId="0" applyNumberFormat="1" applyFont="1" applyBorder="1" applyAlignment="1" applyProtection="1">
      <alignment vertical="center"/>
      <protection hidden="1"/>
    </xf>
    <xf numFmtId="0" fontId="0" fillId="0" borderId="4" xfId="0" applyBorder="1" applyAlignment="1">
      <alignment horizontal="left" indent="3"/>
    </xf>
    <xf numFmtId="0" fontId="1" fillId="0" borderId="56" xfId="0" applyFont="1" applyFill="1" applyBorder="1" applyAlignment="1">
      <alignment horizontal="left" vertical="center" indent="1"/>
    </xf>
    <xf numFmtId="4" fontId="1" fillId="0" borderId="56" xfId="0" applyNumberFormat="1" applyFont="1" applyBorder="1" applyAlignment="1" applyProtection="1">
      <alignment vertical="center"/>
      <protection hidden="1"/>
    </xf>
    <xf numFmtId="0" fontId="0" fillId="0" borderId="30" xfId="0" applyBorder="1" applyAlignment="1">
      <alignment horizontal="left" indent="3"/>
    </xf>
    <xf numFmtId="4" fontId="0" fillId="0" borderId="40" xfId="0" applyNumberFormat="1" applyBorder="1" applyProtection="1">
      <protection hidden="1"/>
    </xf>
    <xf numFmtId="166" fontId="0" fillId="0" borderId="3" xfId="0" applyNumberFormat="1" applyBorder="1"/>
    <xf numFmtId="0" fontId="1" fillId="0" borderId="4" xfId="0" applyFont="1" applyBorder="1" applyAlignment="1">
      <alignment horizontal="right" vertical="center" indent="1"/>
    </xf>
    <xf numFmtId="166" fontId="1" fillId="0" borderId="4" xfId="0" applyNumberFormat="1" applyFont="1" applyBorder="1" applyAlignment="1">
      <alignment horizontal="right" vertical="center"/>
    </xf>
    <xf numFmtId="4" fontId="2" fillId="0" borderId="7" xfId="0" applyNumberFormat="1" applyFont="1" applyFill="1" applyBorder="1"/>
    <xf numFmtId="4" fontId="2" fillId="0" borderId="44" xfId="0" applyNumberFormat="1" applyFont="1" applyFill="1" applyBorder="1"/>
    <xf numFmtId="0" fontId="2" fillId="0" borderId="7" xfId="0" applyFont="1" applyFill="1" applyBorder="1"/>
    <xf numFmtId="0" fontId="2" fillId="0" borderId="44" xfId="0" applyFont="1" applyFill="1" applyBorder="1"/>
    <xf numFmtId="4" fontId="2" fillId="0" borderId="0" xfId="0" applyNumberFormat="1" applyFont="1" applyBorder="1" applyProtection="1">
      <protection hidden="1"/>
    </xf>
    <xf numFmtId="4" fontId="0" fillId="0" borderId="0" xfId="0" applyNumberFormat="1" applyBorder="1"/>
    <xf numFmtId="4" fontId="2" fillId="0" borderId="0" xfId="0" applyNumberFormat="1" applyFont="1" applyBorder="1"/>
    <xf numFmtId="4" fontId="2" fillId="0" borderId="55" xfId="0" applyNumberFormat="1" applyFont="1" applyBorder="1"/>
    <xf numFmtId="4" fontId="2" fillId="0" borderId="58" xfId="0" applyNumberFormat="1" applyFont="1" applyBorder="1" applyProtection="1">
      <protection hidden="1"/>
    </xf>
    <xf numFmtId="4" fontId="12" fillId="7" borderId="0" xfId="0" applyNumberFormat="1" applyFont="1" applyFill="1" applyBorder="1"/>
    <xf numFmtId="4" fontId="2" fillId="7" borderId="0" xfId="0" applyNumberFormat="1" applyFont="1" applyFill="1" applyBorder="1"/>
    <xf numFmtId="0" fontId="2" fillId="0" borderId="7" xfId="0" applyFont="1" applyBorder="1" applyAlignment="1">
      <alignment horizontal="right" indent="1"/>
    </xf>
    <xf numFmtId="0" fontId="2" fillId="0" borderId="7" xfId="0" applyFont="1" applyBorder="1"/>
    <xf numFmtId="0" fontId="2" fillId="0" borderId="44" xfId="0" applyFont="1" applyBorder="1"/>
    <xf numFmtId="0" fontId="21" fillId="0" borderId="0" xfId="0" applyFont="1" applyAlignment="1">
      <alignment horizontal="right" indent="1"/>
    </xf>
    <xf numFmtId="166" fontId="2" fillId="0" borderId="6" xfId="0" applyNumberFormat="1" applyFont="1" applyBorder="1"/>
    <xf numFmtId="166" fontId="2" fillId="0" borderId="7" xfId="0" applyNumberFormat="1" applyFont="1" applyBorder="1"/>
    <xf numFmtId="166" fontId="2" fillId="0" borderId="0" xfId="0" applyNumberFormat="1" applyFont="1" applyBorder="1"/>
    <xf numFmtId="15" fontId="2" fillId="0" borderId="7" xfId="0" applyNumberFormat="1" applyFont="1" applyBorder="1" applyAlignment="1">
      <alignment horizontal="center" vertical="center"/>
    </xf>
    <xf numFmtId="15" fontId="2" fillId="0" borderId="44" xfId="0" applyNumberFormat="1" applyFont="1" applyBorder="1" applyAlignment="1">
      <alignment horizontal="center" vertical="center"/>
    </xf>
    <xf numFmtId="4" fontId="0" fillId="0" borderId="1" xfId="0" applyNumberFormat="1" applyFill="1" applyBorder="1" applyAlignment="1" applyProtection="1">
      <alignment horizontal="right" vertical="center"/>
      <protection hidden="1"/>
    </xf>
    <xf numFmtId="4" fontId="0" fillId="0" borderId="3" xfId="0" applyNumberFormat="1" applyFill="1" applyBorder="1" applyAlignment="1" applyProtection="1">
      <alignment horizontal="right" vertical="center"/>
      <protection hidden="1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30" fillId="6" borderId="0" xfId="0" applyNumberFormat="1" applyFont="1" applyFill="1" applyAlignment="1">
      <alignment horizontal="center" vertical="center"/>
    </xf>
    <xf numFmtId="170" fontId="27" fillId="6" borderId="13" xfId="0" applyNumberFormat="1" applyFont="1" applyFill="1" applyBorder="1" applyAlignment="1" applyProtection="1">
      <alignment horizontal="center" vertical="center"/>
      <protection locked="0"/>
    </xf>
    <xf numFmtId="4" fontId="4" fillId="0" borderId="0" xfId="0" applyNumberFormat="1" applyFont="1" applyBorder="1"/>
    <xf numFmtId="171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left" indent="3"/>
    </xf>
    <xf numFmtId="4" fontId="0" fillId="0" borderId="1" xfId="0" applyNumberFormat="1" applyBorder="1"/>
    <xf numFmtId="0" fontId="0" fillId="0" borderId="0" xfId="0" applyFill="1" applyBorder="1" applyProtection="1">
      <protection locked="0"/>
    </xf>
    <xf numFmtId="0" fontId="26" fillId="7" borderId="30" xfId="0" applyFont="1" applyFill="1" applyBorder="1" applyAlignment="1">
      <alignment horizontal="left" indent="1"/>
    </xf>
    <xf numFmtId="0" fontId="26" fillId="7" borderId="40" xfId="0" applyFont="1" applyFill="1" applyBorder="1"/>
    <xf numFmtId="4" fontId="26" fillId="7" borderId="40" xfId="0" applyNumberFormat="1" applyFont="1" applyFill="1" applyBorder="1"/>
    <xf numFmtId="4" fontId="26" fillId="7" borderId="42" xfId="0" applyNumberFormat="1" applyFont="1" applyFill="1" applyBorder="1"/>
    <xf numFmtId="4" fontId="5" fillId="0" borderId="2" xfId="0" applyNumberFormat="1" applyFont="1" applyBorder="1" applyProtection="1">
      <protection hidden="1"/>
    </xf>
    <xf numFmtId="4" fontId="5" fillId="0" borderId="2" xfId="0" applyNumberFormat="1" applyFont="1" applyFill="1" applyBorder="1" applyProtection="1">
      <protection hidden="1"/>
    </xf>
    <xf numFmtId="4" fontId="5" fillId="0" borderId="1" xfId="0" applyNumberFormat="1" applyFont="1" applyFill="1" applyBorder="1" applyProtection="1">
      <protection hidden="1"/>
    </xf>
    <xf numFmtId="4" fontId="5" fillId="0" borderId="5" xfId="0" applyNumberFormat="1" applyFont="1" applyFill="1" applyBorder="1" applyProtection="1">
      <protection hidden="1"/>
    </xf>
    <xf numFmtId="4" fontId="5" fillId="0" borderId="5" xfId="0" applyNumberFormat="1" applyFont="1" applyBorder="1" applyProtection="1">
      <protection hidden="1"/>
    </xf>
    <xf numFmtId="4" fontId="5" fillId="0" borderId="57" xfId="0" applyNumberFormat="1" applyFont="1" applyFill="1" applyBorder="1" applyProtection="1">
      <protection hidden="1"/>
    </xf>
    <xf numFmtId="4" fontId="5" fillId="0" borderId="4" xfId="0" applyNumberFormat="1" applyFont="1" applyBorder="1" applyProtection="1">
      <protection hidden="1"/>
    </xf>
    <xf numFmtId="0" fontId="5" fillId="0" borderId="0" xfId="0" applyFont="1" applyFill="1"/>
    <xf numFmtId="166" fontId="1" fillId="0" borderId="56" xfId="0" applyNumberFormat="1" applyFont="1" applyBorder="1" applyAlignment="1" applyProtection="1">
      <alignment vertical="center"/>
      <protection hidden="1"/>
    </xf>
    <xf numFmtId="0" fontId="1" fillId="0" borderId="0" xfId="0" applyFont="1" applyAlignment="1">
      <alignment horizontal="right"/>
    </xf>
    <xf numFmtId="0" fontId="0" fillId="2" borderId="0" xfId="0" applyFill="1"/>
    <xf numFmtId="171" fontId="0" fillId="0" borderId="54" xfId="0" applyNumberFormat="1" applyBorder="1" applyAlignment="1">
      <alignment horizontal="center" vertical="center"/>
    </xf>
    <xf numFmtId="0" fontId="0" fillId="0" borderId="54" xfId="0" applyBorder="1"/>
    <xf numFmtId="15" fontId="0" fillId="0" borderId="54" xfId="0" applyNumberFormat="1" applyBorder="1" applyAlignment="1">
      <alignment horizontal="center" vertical="center"/>
    </xf>
    <xf numFmtId="15" fontId="0" fillId="0" borderId="54" xfId="0" applyNumberFormat="1" applyBorder="1" applyAlignment="1">
      <alignment horizontal="left" vertical="center" indent="1"/>
    </xf>
    <xf numFmtId="0" fontId="0" fillId="0" borderId="54" xfId="0" applyBorder="1" applyAlignment="1">
      <alignment horizontal="left" indent="1"/>
    </xf>
    <xf numFmtId="166" fontId="0" fillId="0" borderId="54" xfId="0" applyNumberFormat="1" applyBorder="1"/>
    <xf numFmtId="0" fontId="2" fillId="0" borderId="44" xfId="0" applyFont="1" applyBorder="1" applyAlignment="1">
      <alignment horizontal="right" indent="1"/>
    </xf>
    <xf numFmtId="0" fontId="1" fillId="0" borderId="59" xfId="0" applyFont="1" applyFill="1" applyBorder="1" applyAlignment="1">
      <alignment horizontal="left" vertical="center" indent="1"/>
    </xf>
    <xf numFmtId="4" fontId="1" fillId="0" borderId="60" xfId="0" applyNumberFormat="1" applyFont="1" applyBorder="1" applyAlignment="1" applyProtection="1">
      <alignment vertical="center"/>
      <protection hidden="1"/>
    </xf>
    <xf numFmtId="166" fontId="1" fillId="0" borderId="60" xfId="0" applyNumberFormat="1" applyFont="1" applyBorder="1" applyAlignment="1" applyProtection="1">
      <alignment vertical="center"/>
      <protection hidden="1"/>
    </xf>
    <xf numFmtId="166" fontId="1" fillId="0" borderId="61" xfId="0" applyNumberFormat="1" applyFont="1" applyBorder="1" applyAlignment="1" applyProtection="1">
      <alignment vertical="center"/>
      <protection hidden="1"/>
    </xf>
    <xf numFmtId="166" fontId="5" fillId="0" borderId="5" xfId="0" applyNumberFormat="1" applyFont="1" applyFill="1" applyBorder="1" applyProtection="1">
      <protection hidden="1"/>
    </xf>
    <xf numFmtId="166" fontId="5" fillId="0" borderId="3" xfId="0" applyNumberFormat="1" applyFont="1" applyFill="1" applyBorder="1" applyProtection="1">
      <protection hidden="1"/>
    </xf>
    <xf numFmtId="0" fontId="0" fillId="12" borderId="0" xfId="0" applyFill="1" applyBorder="1" applyAlignment="1" applyProtection="1">
      <alignment horizontal="left" indent="1"/>
      <protection hidden="1"/>
    </xf>
    <xf numFmtId="4" fontId="0" fillId="12" borderId="0" xfId="0" applyNumberFormat="1" applyFill="1" applyBorder="1" applyAlignment="1" applyProtection="1">
      <alignment horizontal="right" vertical="center"/>
      <protection hidden="1"/>
    </xf>
    <xf numFmtId="0" fontId="0" fillId="0" borderId="0" xfId="0" applyFill="1" applyBorder="1" applyAlignment="1" applyProtection="1">
      <alignment horizontal="left" indent="1"/>
      <protection locked="0"/>
    </xf>
    <xf numFmtId="0" fontId="1" fillId="9" borderId="13" xfId="0" applyFon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>
      <alignment horizontal="center" vertical="center"/>
    </xf>
    <xf numFmtId="4" fontId="0" fillId="12" borderId="0" xfId="0" applyNumberForma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4" fontId="0" fillId="0" borderId="0" xfId="0" applyNumberFormat="1" applyFill="1" applyBorder="1"/>
    <xf numFmtId="15" fontId="0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indent="1"/>
    </xf>
    <xf numFmtId="166" fontId="0" fillId="0" borderId="10" xfId="0" applyNumberFormat="1" applyBorder="1"/>
    <xf numFmtId="4" fontId="5" fillId="0" borderId="5" xfId="0" applyNumberFormat="1" applyFont="1" applyBorder="1"/>
    <xf numFmtId="166" fontId="5" fillId="0" borderId="5" xfId="0" applyNumberFormat="1" applyFont="1" applyBorder="1" applyProtection="1">
      <protection hidden="1"/>
    </xf>
    <xf numFmtId="4" fontId="0" fillId="9" borderId="2" xfId="0" applyNumberFormat="1" applyFill="1" applyBorder="1"/>
    <xf numFmtId="166" fontId="0" fillId="0" borderId="2" xfId="0" applyNumberFormat="1" applyFill="1" applyBorder="1"/>
    <xf numFmtId="0" fontId="0" fillId="7" borderId="2" xfId="0" applyFill="1" applyBorder="1"/>
    <xf numFmtId="15" fontId="0" fillId="7" borderId="2" xfId="0" applyNumberFormat="1" applyFill="1" applyBorder="1" applyAlignment="1">
      <alignment horizontal="center" vertical="center"/>
    </xf>
    <xf numFmtId="15" fontId="0" fillId="7" borderId="2" xfId="0" applyNumberFormat="1" applyFill="1" applyBorder="1" applyAlignment="1">
      <alignment horizontal="left" vertical="center" indent="1"/>
    </xf>
    <xf numFmtId="0" fontId="0" fillId="7" borderId="2" xfId="0" applyFill="1" applyBorder="1" applyAlignment="1">
      <alignment horizontal="left"/>
    </xf>
    <xf numFmtId="166" fontId="0" fillId="7" borderId="2" xfId="0" applyNumberFormat="1" applyFill="1" applyBorder="1"/>
    <xf numFmtId="171" fontId="0" fillId="0" borderId="1" xfId="0" applyNumberFormat="1" applyBorder="1" applyAlignment="1">
      <alignment horizontal="center" vertical="center"/>
    </xf>
    <xf numFmtId="171" fontId="0" fillId="0" borderId="3" xfId="0" applyNumberFormat="1" applyBorder="1" applyAlignment="1">
      <alignment horizontal="center" vertical="center"/>
    </xf>
    <xf numFmtId="0" fontId="0" fillId="7" borderId="3" xfId="0" applyFill="1" applyBorder="1"/>
    <xf numFmtId="15" fontId="0" fillId="7" borderId="3" xfId="0" applyNumberFormat="1" applyFill="1" applyBorder="1" applyAlignment="1">
      <alignment horizontal="center" vertical="center"/>
    </xf>
    <xf numFmtId="15" fontId="0" fillId="7" borderId="3" xfId="0" applyNumberFormat="1" applyFill="1" applyBorder="1" applyAlignment="1">
      <alignment horizontal="left" vertical="center" indent="1"/>
    </xf>
    <xf numFmtId="0" fontId="0" fillId="7" borderId="3" xfId="0" applyFill="1" applyBorder="1" applyAlignment="1">
      <alignment horizontal="left"/>
    </xf>
    <xf numFmtId="166" fontId="0" fillId="7" borderId="3" xfId="0" applyNumberFormat="1" applyFill="1" applyBorder="1"/>
    <xf numFmtId="0" fontId="0" fillId="0" borderId="1" xfId="0" applyFill="1" applyBorder="1"/>
    <xf numFmtId="15" fontId="0" fillId="0" borderId="1" xfId="0" applyNumberFormat="1" applyFill="1" applyBorder="1" applyAlignment="1">
      <alignment horizontal="center" vertical="center"/>
    </xf>
    <xf numFmtId="15" fontId="0" fillId="0" borderId="1" xfId="0" applyNumberFormat="1" applyFill="1" applyBorder="1" applyAlignment="1">
      <alignment horizontal="left" vertical="center" indent="1"/>
    </xf>
    <xf numFmtId="0" fontId="0" fillId="0" borderId="1" xfId="0" applyFill="1" applyBorder="1" applyAlignment="1">
      <alignment horizontal="left"/>
    </xf>
    <xf numFmtId="166" fontId="0" fillId="0" borderId="1" xfId="0" applyNumberFormat="1" applyFill="1" applyBorder="1"/>
    <xf numFmtId="15" fontId="0" fillId="0" borderId="2" xfId="0" applyNumberFormat="1" applyFill="1" applyBorder="1" applyAlignment="1">
      <alignment horizontal="center" vertical="center"/>
    </xf>
    <xf numFmtId="15" fontId="0" fillId="0" borderId="2" xfId="0" applyNumberFormat="1" applyFill="1" applyBorder="1" applyAlignment="1">
      <alignment horizontal="left" vertical="center" indent="1"/>
    </xf>
    <xf numFmtId="0" fontId="0" fillId="0" borderId="2" xfId="0" applyFill="1" applyBorder="1" applyAlignment="1">
      <alignment horizontal="left"/>
    </xf>
    <xf numFmtId="0" fontId="4" fillId="10" borderId="55" xfId="0" applyFont="1" applyFill="1" applyBorder="1" applyAlignment="1">
      <alignment horizontal="center" vertical="center"/>
    </xf>
    <xf numFmtId="4" fontId="4" fillId="10" borderId="55" xfId="0" applyNumberFormat="1" applyFont="1" applyFill="1" applyBorder="1" applyAlignment="1">
      <alignment horizontal="center" vertical="center"/>
    </xf>
    <xf numFmtId="0" fontId="0" fillId="0" borderId="62" xfId="0" applyBorder="1"/>
    <xf numFmtId="0" fontId="0" fillId="0" borderId="63" xfId="0" applyFill="1" applyBorder="1" applyAlignment="1" applyProtection="1">
      <alignment horizontal="left" indent="1"/>
      <protection locked="0"/>
    </xf>
    <xf numFmtId="0" fontId="0" fillId="0" borderId="64" xfId="0" applyBorder="1"/>
    <xf numFmtId="0" fontId="0" fillId="0" borderId="65" xfId="0" applyFill="1" applyBorder="1" applyAlignment="1" applyProtection="1">
      <alignment horizontal="left" indent="1"/>
      <protection locked="0"/>
    </xf>
    <xf numFmtId="10" fontId="0" fillId="0" borderId="0" xfId="0" applyNumberFormat="1"/>
    <xf numFmtId="3" fontId="0" fillId="0" borderId="13" xfId="0" applyNumberFormat="1" applyFont="1" applyFill="1" applyBorder="1" applyAlignment="1">
      <alignment horizontal="right" vertical="center"/>
    </xf>
    <xf numFmtId="3" fontId="0" fillId="12" borderId="13" xfId="0" applyNumberFormat="1" applyFill="1" applyBorder="1" applyAlignment="1">
      <alignment horizontal="right" vertical="center"/>
    </xf>
    <xf numFmtId="3" fontId="0" fillId="12" borderId="45" xfId="0" applyNumberFormat="1" applyFill="1" applyBorder="1" applyAlignment="1">
      <alignment horizontal="right" vertical="center"/>
    </xf>
    <xf numFmtId="3" fontId="0" fillId="12" borderId="47" xfId="0" applyNumberFormat="1" applyFill="1" applyBorder="1" applyAlignment="1">
      <alignment horizontal="right" vertical="center"/>
    </xf>
    <xf numFmtId="3" fontId="0" fillId="12" borderId="0" xfId="0" applyNumberFormat="1" applyFill="1" applyBorder="1" applyAlignment="1">
      <alignment horizontal="right" vertical="center"/>
    </xf>
    <xf numFmtId="3" fontId="0" fillId="12" borderId="46" xfId="0" applyNumberFormat="1" applyFill="1" applyBorder="1" applyAlignment="1">
      <alignment horizontal="right" vertical="center"/>
    </xf>
    <xf numFmtId="3" fontId="0" fillId="12" borderId="46" xfId="0" applyNumberFormat="1" applyFont="1" applyFill="1" applyBorder="1" applyAlignment="1">
      <alignment horizontal="right" vertical="center"/>
    </xf>
    <xf numFmtId="3" fontId="0" fillId="12" borderId="13" xfId="0" applyNumberFormat="1" applyFont="1" applyFill="1" applyBorder="1" applyAlignment="1">
      <alignment horizontal="right" vertical="center"/>
    </xf>
    <xf numFmtId="3" fontId="0" fillId="0" borderId="46" xfId="0" applyNumberFormat="1" applyFont="1" applyFill="1" applyBorder="1" applyAlignment="1">
      <alignment horizontal="right" vertical="center"/>
    </xf>
    <xf numFmtId="3" fontId="0" fillId="12" borderId="47" xfId="0" applyNumberFormat="1" applyFont="1" applyFill="1" applyBorder="1" applyAlignment="1">
      <alignment horizontal="right" vertical="center"/>
    </xf>
    <xf numFmtId="3" fontId="0" fillId="0" borderId="47" xfId="0" applyNumberFormat="1" applyFont="1" applyFill="1" applyBorder="1" applyAlignment="1">
      <alignment horizontal="right" vertical="center"/>
    </xf>
    <xf numFmtId="3" fontId="0" fillId="12" borderId="0" xfId="0" applyNumberFormat="1" applyFont="1" applyFill="1" applyBorder="1" applyAlignment="1">
      <alignment horizontal="right" vertical="center"/>
    </xf>
    <xf numFmtId="3" fontId="0" fillId="0" borderId="0" xfId="0" applyNumberFormat="1" applyFont="1" applyFill="1" applyBorder="1" applyAlignment="1">
      <alignment horizontal="right" vertical="center"/>
    </xf>
    <xf numFmtId="3" fontId="0" fillId="12" borderId="53" xfId="0" applyNumberFormat="1" applyFont="1" applyFill="1" applyBorder="1" applyAlignment="1">
      <alignment horizontal="right" vertical="center"/>
    </xf>
    <xf numFmtId="3" fontId="0" fillId="0" borderId="53" xfId="0" applyNumberFormat="1" applyFont="1" applyFill="1" applyBorder="1" applyAlignment="1">
      <alignment horizontal="right" vertical="center"/>
    </xf>
    <xf numFmtId="3" fontId="0" fillId="7" borderId="13" xfId="0" applyNumberFormat="1" applyFont="1" applyFill="1" applyBorder="1" applyAlignment="1">
      <alignment horizontal="right" vertical="center"/>
    </xf>
    <xf numFmtId="3" fontId="0" fillId="7" borderId="46" xfId="0" applyNumberFormat="1" applyFont="1" applyFill="1" applyBorder="1" applyAlignment="1">
      <alignment horizontal="right" vertical="center"/>
    </xf>
    <xf numFmtId="0" fontId="0" fillId="7" borderId="0" xfId="0" applyFill="1"/>
    <xf numFmtId="0" fontId="0" fillId="0" borderId="0" xfId="0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4" fontId="0" fillId="0" borderId="0" xfId="0" applyNumberFormat="1" applyFill="1" applyBorder="1" applyProtection="1">
      <protection locked="0"/>
    </xf>
    <xf numFmtId="15" fontId="0" fillId="0" borderId="13" xfId="0" applyNumberFormat="1" applyFill="1" applyBorder="1" applyAlignment="1">
      <alignment horizontal="center" vertical="center"/>
    </xf>
    <xf numFmtId="0" fontId="0" fillId="0" borderId="66" xfId="0" applyFill="1" applyBorder="1" applyProtection="1">
      <protection locked="0"/>
    </xf>
    <xf numFmtId="15" fontId="0" fillId="0" borderId="66" xfId="0" applyNumberFormat="1" applyFont="1" applyFill="1" applyBorder="1" applyAlignment="1">
      <alignment horizontal="center" vertical="center"/>
    </xf>
    <xf numFmtId="0" fontId="1" fillId="0" borderId="48" xfId="0" applyFont="1" applyBorder="1" applyAlignment="1">
      <alignment horizontal="left" indent="1"/>
    </xf>
    <xf numFmtId="0" fontId="1" fillId="0" borderId="42" xfId="0" applyFont="1" applyBorder="1" applyAlignment="1">
      <alignment horizontal="left" indent="1"/>
    </xf>
    <xf numFmtId="0" fontId="14" fillId="0" borderId="0" xfId="0" applyFont="1" applyAlignment="1">
      <alignment horizontal="left"/>
    </xf>
    <xf numFmtId="0" fontId="1" fillId="0" borderId="42" xfId="0" applyFont="1" applyBorder="1" applyAlignment="1">
      <alignment horizontal="center" vertical="center"/>
    </xf>
    <xf numFmtId="0" fontId="0" fillId="7" borderId="35" xfId="0" applyFont="1" applyFill="1" applyBorder="1" applyAlignment="1">
      <alignment horizontal="center"/>
    </xf>
    <xf numFmtId="0" fontId="0" fillId="7" borderId="36" xfId="0" applyFont="1" applyFill="1" applyBorder="1" applyAlignment="1">
      <alignment horizontal="center"/>
    </xf>
    <xf numFmtId="169" fontId="24" fillId="6" borderId="0" xfId="0" applyNumberFormat="1" applyFont="1" applyFill="1" applyAlignment="1">
      <alignment horizontal="right"/>
    </xf>
    <xf numFmtId="0" fontId="0" fillId="0" borderId="3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55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16" fmlaLink="$A$4" fmlaRange="base!$B$6:$B$446" noThreeD="1" sel="19" val="12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161925</xdr:colOff>
          <xdr:row>6</xdr:row>
          <xdr:rowOff>9525</xdr:rowOff>
        </xdr:from>
        <xdr:to>
          <xdr:col>8</xdr:col>
          <xdr:colOff>561975</xdr:colOff>
          <xdr:row>7</xdr:row>
          <xdr:rowOff>0</xdr:rowOff>
        </xdr:to>
        <xdr:sp macro="" textlink="">
          <xdr:nvSpPr>
            <xdr:cNvPr id="1048" name="Drop Down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5.xml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 filterMode="1"/>
  <dimension ref="A4:K446"/>
  <sheetViews>
    <sheetView showGridLines="0" zoomScale="70" zoomScaleNormal="70" workbookViewId="0">
      <selection activeCell="I206" sqref="I206"/>
    </sheetView>
  </sheetViews>
  <sheetFormatPr baseColWidth="10" defaultRowHeight="12.75" x14ac:dyDescent="0.2"/>
  <cols>
    <col min="1" max="1" width="4.5703125" customWidth="1"/>
    <col min="2" max="2" width="19.7109375" customWidth="1"/>
    <col min="3" max="3" width="6.5703125" customWidth="1"/>
    <col min="4" max="4" width="9" customWidth="1"/>
    <col min="5" max="5" width="4.7109375" customWidth="1"/>
    <col min="6" max="6" width="21.140625" customWidth="1"/>
    <col min="7" max="7" width="36" customWidth="1"/>
    <col min="8" max="8" width="19.7109375" customWidth="1"/>
    <col min="9" max="9" width="26.85546875" bestFit="1" customWidth="1"/>
    <col min="10" max="10" width="11.7109375" customWidth="1"/>
    <col min="11" max="11" width="38.85546875" style="124" bestFit="1" customWidth="1"/>
  </cols>
  <sheetData>
    <row r="4" spans="1:11" ht="15" x14ac:dyDescent="0.2"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121"/>
    </row>
    <row r="5" spans="1:11" ht="20.100000000000001" customHeight="1" x14ac:dyDescent="0.2">
      <c r="A5" s="76" t="s">
        <v>687</v>
      </c>
      <c r="B5" s="11" t="s">
        <v>903</v>
      </c>
      <c r="C5" s="11" t="s">
        <v>686</v>
      </c>
      <c r="D5" s="11" t="s">
        <v>687</v>
      </c>
      <c r="E5" s="11" t="s">
        <v>688</v>
      </c>
      <c r="F5" s="11"/>
      <c r="G5" s="11" t="s">
        <v>885</v>
      </c>
      <c r="H5" s="11" t="s">
        <v>0</v>
      </c>
      <c r="I5" s="11" t="s">
        <v>689</v>
      </c>
      <c r="J5" s="11" t="s">
        <v>702</v>
      </c>
      <c r="K5" s="72"/>
    </row>
    <row r="6" spans="1:11" hidden="1" x14ac:dyDescent="0.2">
      <c r="A6" s="125">
        <v>1</v>
      </c>
      <c r="B6" s="66" t="str">
        <f t="shared" ref="B6:B77" si="0">CONCATENATE(C6,"_",D6,"_",E6)</f>
        <v>CL_7_101</v>
      </c>
      <c r="C6" s="1" t="s">
        <v>680</v>
      </c>
      <c r="D6" s="1">
        <v>7</v>
      </c>
      <c r="E6" s="1">
        <v>101</v>
      </c>
      <c r="F6" s="4" t="s">
        <v>884</v>
      </c>
      <c r="G6" s="16" t="str">
        <f>IF(E6=0,CONCATENATE(F6," No. ",D6),CONCATENATE(F6," No. ",D6,", ",E6))</f>
        <v>Rancho La Cuchilla No. 7, 101</v>
      </c>
      <c r="H6" s="41" t="s">
        <v>1</v>
      </c>
      <c r="I6" s="44" t="s">
        <v>380</v>
      </c>
      <c r="J6" s="127">
        <v>100</v>
      </c>
      <c r="K6" s="122"/>
    </row>
    <row r="7" spans="1:11" hidden="1" x14ac:dyDescent="0.2">
      <c r="A7" s="125">
        <v>2</v>
      </c>
      <c r="B7" s="66" t="str">
        <f t="shared" si="0"/>
        <v>CL_7_102</v>
      </c>
      <c r="C7" s="1" t="s">
        <v>680</v>
      </c>
      <c r="D7" s="1">
        <v>7</v>
      </c>
      <c r="E7" s="1">
        <v>102</v>
      </c>
      <c r="F7" s="4" t="s">
        <v>884</v>
      </c>
      <c r="G7" s="16" t="str">
        <f t="shared" ref="G7:G78" si="1">IF(E7=0,CONCATENATE(F7," No. ",D7),CONCATENATE(F7," No. ",D7,", ",E7))</f>
        <v>Rancho La Cuchilla No. 7, 102</v>
      </c>
      <c r="H7" s="41" t="s">
        <v>2</v>
      </c>
      <c r="I7" s="44" t="s">
        <v>3</v>
      </c>
      <c r="J7" s="127">
        <v>100</v>
      </c>
      <c r="K7" s="122"/>
    </row>
    <row r="8" spans="1:11" hidden="1" x14ac:dyDescent="0.2">
      <c r="A8" s="125">
        <v>3</v>
      </c>
      <c r="B8" s="66" t="str">
        <f t="shared" si="0"/>
        <v>CL_7_201</v>
      </c>
      <c r="C8" s="1" t="s">
        <v>680</v>
      </c>
      <c r="D8" s="1">
        <v>7</v>
      </c>
      <c r="E8" s="1">
        <v>201</v>
      </c>
      <c r="F8" s="4" t="s">
        <v>884</v>
      </c>
      <c r="G8" s="16" t="str">
        <f t="shared" si="1"/>
        <v>Rancho La Cuchilla No. 7, 201</v>
      </c>
      <c r="H8" s="41" t="s">
        <v>4</v>
      </c>
      <c r="I8" s="44" t="s">
        <v>703</v>
      </c>
      <c r="J8" s="127">
        <v>100</v>
      </c>
      <c r="K8" s="122"/>
    </row>
    <row r="9" spans="1:11" hidden="1" x14ac:dyDescent="0.2">
      <c r="A9" s="125">
        <v>4</v>
      </c>
      <c r="B9" s="66" t="str">
        <f t="shared" si="0"/>
        <v>CL_7_202</v>
      </c>
      <c r="C9" s="1" t="s">
        <v>680</v>
      </c>
      <c r="D9" s="1">
        <v>7</v>
      </c>
      <c r="E9" s="1">
        <v>202</v>
      </c>
      <c r="F9" s="4" t="s">
        <v>884</v>
      </c>
      <c r="G9" s="16" t="str">
        <f t="shared" si="1"/>
        <v>Rancho La Cuchilla No. 7, 202</v>
      </c>
      <c r="H9" s="41" t="s">
        <v>5</v>
      </c>
      <c r="I9" s="44" t="s">
        <v>6</v>
      </c>
      <c r="J9" s="127">
        <v>100</v>
      </c>
      <c r="K9" s="122"/>
    </row>
    <row r="10" spans="1:11" hidden="1" x14ac:dyDescent="0.2">
      <c r="A10" s="125">
        <v>5</v>
      </c>
      <c r="B10" s="66" t="str">
        <f t="shared" si="0"/>
        <v>CL_9_</v>
      </c>
      <c r="C10" s="1" t="s">
        <v>680</v>
      </c>
      <c r="D10" s="1">
        <v>9</v>
      </c>
      <c r="E10" s="1"/>
      <c r="F10" s="4" t="s">
        <v>884</v>
      </c>
      <c r="G10" s="16" t="str">
        <f t="shared" si="1"/>
        <v>Rancho La Cuchilla No. 9</v>
      </c>
      <c r="H10" s="41" t="s">
        <v>7</v>
      </c>
      <c r="I10" s="44" t="s">
        <v>8</v>
      </c>
      <c r="J10" s="127">
        <v>300</v>
      </c>
      <c r="K10" s="122"/>
    </row>
    <row r="11" spans="1:11" hidden="1" x14ac:dyDescent="0.2">
      <c r="A11" s="125">
        <v>6</v>
      </c>
      <c r="B11" s="66" t="str">
        <f t="shared" si="0"/>
        <v>CL_11_</v>
      </c>
      <c r="C11" s="1" t="s">
        <v>680</v>
      </c>
      <c r="D11" s="1">
        <v>11</v>
      </c>
      <c r="E11" s="1"/>
      <c r="F11" s="4" t="s">
        <v>884</v>
      </c>
      <c r="G11" s="16" t="str">
        <f t="shared" si="1"/>
        <v>Rancho La Cuchilla No. 11</v>
      </c>
      <c r="H11" s="41" t="s">
        <v>9</v>
      </c>
      <c r="I11" s="44" t="s">
        <v>10</v>
      </c>
      <c r="J11" s="127">
        <v>300</v>
      </c>
      <c r="K11" s="122"/>
    </row>
    <row r="12" spans="1:11" hidden="1" x14ac:dyDescent="0.2">
      <c r="A12" s="125">
        <v>7</v>
      </c>
      <c r="B12" s="66" t="str">
        <f t="shared" si="0"/>
        <v>CL_12_</v>
      </c>
      <c r="C12" s="1" t="s">
        <v>680</v>
      </c>
      <c r="D12" s="1">
        <v>12</v>
      </c>
      <c r="E12" s="1"/>
      <c r="F12" s="4" t="s">
        <v>884</v>
      </c>
      <c r="G12" s="16" t="str">
        <f t="shared" si="1"/>
        <v>Rancho La Cuchilla No. 12</v>
      </c>
      <c r="H12" s="41" t="s">
        <v>138</v>
      </c>
      <c r="I12" s="44" t="s">
        <v>11</v>
      </c>
      <c r="J12" s="127">
        <v>300</v>
      </c>
      <c r="K12" s="122"/>
    </row>
    <row r="13" spans="1:11" hidden="1" x14ac:dyDescent="0.2">
      <c r="A13" s="125">
        <v>8</v>
      </c>
      <c r="B13" s="66" t="str">
        <f t="shared" si="0"/>
        <v>CL_13_</v>
      </c>
      <c r="C13" s="1" t="s">
        <v>680</v>
      </c>
      <c r="D13" s="1">
        <v>13</v>
      </c>
      <c r="E13" s="1"/>
      <c r="F13" s="4" t="s">
        <v>884</v>
      </c>
      <c r="G13" s="16" t="str">
        <f t="shared" si="1"/>
        <v>Rancho La Cuchilla No. 13</v>
      </c>
      <c r="H13" s="41" t="s">
        <v>12</v>
      </c>
      <c r="I13" s="44" t="s">
        <v>13</v>
      </c>
      <c r="J13" s="127">
        <v>300</v>
      </c>
      <c r="K13" s="122"/>
    </row>
    <row r="14" spans="1:11" hidden="1" x14ac:dyDescent="0.2">
      <c r="A14" s="125">
        <v>9</v>
      </c>
      <c r="B14" s="66" t="str">
        <f t="shared" si="0"/>
        <v>CL_14_</v>
      </c>
      <c r="C14" s="1" t="s">
        <v>680</v>
      </c>
      <c r="D14" s="1">
        <v>14</v>
      </c>
      <c r="E14" s="1"/>
      <c r="F14" s="4" t="s">
        <v>884</v>
      </c>
      <c r="G14" s="16" t="str">
        <f t="shared" si="1"/>
        <v>Rancho La Cuchilla No. 14</v>
      </c>
      <c r="H14" s="41" t="s">
        <v>14</v>
      </c>
      <c r="I14" s="44" t="s">
        <v>1722</v>
      </c>
      <c r="J14" s="127">
        <v>300</v>
      </c>
      <c r="K14" s="122"/>
    </row>
    <row r="15" spans="1:11" hidden="1" x14ac:dyDescent="0.2">
      <c r="A15" s="125">
        <v>10</v>
      </c>
      <c r="B15" s="66" t="str">
        <f t="shared" si="0"/>
        <v>CL_15_</v>
      </c>
      <c r="C15" s="1" t="s">
        <v>680</v>
      </c>
      <c r="D15" s="1">
        <v>15</v>
      </c>
      <c r="E15" s="1"/>
      <c r="F15" s="4" t="s">
        <v>884</v>
      </c>
      <c r="G15" s="16" t="str">
        <f t="shared" si="1"/>
        <v>Rancho La Cuchilla No. 15</v>
      </c>
      <c r="H15" s="41" t="s">
        <v>16</v>
      </c>
      <c r="I15" s="44" t="s">
        <v>17</v>
      </c>
      <c r="J15" s="127">
        <v>300</v>
      </c>
      <c r="K15" s="122"/>
    </row>
    <row r="16" spans="1:11" hidden="1" x14ac:dyDescent="0.2">
      <c r="A16" s="125">
        <v>11</v>
      </c>
      <c r="B16" s="66" t="str">
        <f t="shared" si="0"/>
        <v>CL_18_</v>
      </c>
      <c r="C16" s="1" t="s">
        <v>680</v>
      </c>
      <c r="D16" s="1">
        <v>18</v>
      </c>
      <c r="E16" s="1"/>
      <c r="F16" s="4" t="s">
        <v>884</v>
      </c>
      <c r="G16" s="16" t="str">
        <f t="shared" si="1"/>
        <v>Rancho La Cuchilla No. 18</v>
      </c>
      <c r="H16" s="41" t="s">
        <v>139</v>
      </c>
      <c r="I16" s="44" t="s">
        <v>704</v>
      </c>
      <c r="J16" s="127">
        <v>300</v>
      </c>
      <c r="K16" s="122"/>
    </row>
    <row r="17" spans="1:11" hidden="1" x14ac:dyDescent="0.2">
      <c r="A17" s="125">
        <v>12</v>
      </c>
      <c r="B17" s="66" t="str">
        <f t="shared" si="0"/>
        <v>CL_19_</v>
      </c>
      <c r="C17" s="1" t="s">
        <v>680</v>
      </c>
      <c r="D17" s="1">
        <v>19</v>
      </c>
      <c r="E17" s="1"/>
      <c r="F17" s="4" t="s">
        <v>884</v>
      </c>
      <c r="G17" s="16" t="str">
        <f t="shared" si="1"/>
        <v>Rancho La Cuchilla No. 19</v>
      </c>
      <c r="H17" s="41" t="s">
        <v>18</v>
      </c>
      <c r="I17" s="44" t="s">
        <v>19</v>
      </c>
      <c r="J17" s="127">
        <v>300</v>
      </c>
      <c r="K17" s="122"/>
    </row>
    <row r="18" spans="1:11" hidden="1" x14ac:dyDescent="0.2">
      <c r="A18" s="125">
        <v>13</v>
      </c>
      <c r="B18" s="66" t="str">
        <f t="shared" si="0"/>
        <v>CL_20_</v>
      </c>
      <c r="C18" s="1" t="s">
        <v>680</v>
      </c>
      <c r="D18" s="1">
        <v>20</v>
      </c>
      <c r="E18" s="1"/>
      <c r="F18" s="4" t="s">
        <v>884</v>
      </c>
      <c r="G18" s="16" t="str">
        <f t="shared" si="1"/>
        <v>Rancho La Cuchilla No. 20</v>
      </c>
      <c r="H18" s="41" t="s">
        <v>140</v>
      </c>
      <c r="I18" s="44" t="s">
        <v>20</v>
      </c>
      <c r="J18" s="127">
        <v>300</v>
      </c>
      <c r="K18" s="122"/>
    </row>
    <row r="19" spans="1:11" hidden="1" x14ac:dyDescent="0.2">
      <c r="A19" s="125">
        <v>14</v>
      </c>
      <c r="B19" s="66" t="str">
        <f t="shared" si="0"/>
        <v>CL_21_</v>
      </c>
      <c r="C19" s="1" t="s">
        <v>680</v>
      </c>
      <c r="D19" s="1">
        <v>21</v>
      </c>
      <c r="E19" s="1"/>
      <c r="F19" s="4" t="s">
        <v>884</v>
      </c>
      <c r="G19" s="16" t="str">
        <f t="shared" si="1"/>
        <v>Rancho La Cuchilla No. 21</v>
      </c>
      <c r="H19" s="41" t="s">
        <v>141</v>
      </c>
      <c r="I19" s="44" t="s">
        <v>1245</v>
      </c>
      <c r="J19" s="127">
        <v>300</v>
      </c>
      <c r="K19" s="122"/>
    </row>
    <row r="20" spans="1:11" hidden="1" x14ac:dyDescent="0.2">
      <c r="A20" s="125">
        <v>15</v>
      </c>
      <c r="B20" s="66" t="str">
        <f t="shared" si="0"/>
        <v>CL_23_</v>
      </c>
      <c r="C20" s="1" t="s">
        <v>680</v>
      </c>
      <c r="D20" s="1">
        <v>23</v>
      </c>
      <c r="E20" s="1"/>
      <c r="F20" s="4" t="s">
        <v>884</v>
      </c>
      <c r="G20" s="16" t="str">
        <f t="shared" si="1"/>
        <v>Rancho La Cuchilla No. 23</v>
      </c>
      <c r="H20" s="41" t="s">
        <v>21</v>
      </c>
      <c r="I20" s="44" t="s">
        <v>22</v>
      </c>
      <c r="J20" s="127">
        <v>200</v>
      </c>
      <c r="K20" s="122"/>
    </row>
    <row r="21" spans="1:11" hidden="1" x14ac:dyDescent="0.2">
      <c r="A21" s="125">
        <v>16</v>
      </c>
      <c r="B21" s="66" t="str">
        <f t="shared" si="0"/>
        <v>CL_25_</v>
      </c>
      <c r="C21" s="1" t="s">
        <v>680</v>
      </c>
      <c r="D21" s="1">
        <v>25</v>
      </c>
      <c r="E21" s="1"/>
      <c r="F21" s="4" t="s">
        <v>884</v>
      </c>
      <c r="G21" s="16" t="str">
        <f t="shared" si="1"/>
        <v>Rancho La Cuchilla No. 25</v>
      </c>
      <c r="H21" s="41" t="s">
        <v>23</v>
      </c>
      <c r="I21" s="44" t="s">
        <v>24</v>
      </c>
      <c r="J21" s="127">
        <v>300</v>
      </c>
      <c r="K21" s="122"/>
    </row>
    <row r="22" spans="1:11" hidden="1" x14ac:dyDescent="0.2">
      <c r="A22" s="125">
        <v>17</v>
      </c>
      <c r="B22" s="66" t="str">
        <f t="shared" si="0"/>
        <v>CL_27_</v>
      </c>
      <c r="C22" s="1" t="s">
        <v>680</v>
      </c>
      <c r="D22" s="1">
        <v>27</v>
      </c>
      <c r="E22" s="1"/>
      <c r="F22" s="4" t="s">
        <v>884</v>
      </c>
      <c r="G22" s="16" t="str">
        <f t="shared" si="1"/>
        <v>Rancho La Cuchilla No. 27</v>
      </c>
      <c r="H22" s="41" t="s">
        <v>25</v>
      </c>
      <c r="I22" s="44" t="s">
        <v>26</v>
      </c>
      <c r="J22" s="127">
        <v>300</v>
      </c>
      <c r="K22" s="122"/>
    </row>
    <row r="23" spans="1:11" hidden="1" x14ac:dyDescent="0.2">
      <c r="A23" s="125">
        <v>18</v>
      </c>
      <c r="B23" s="66" t="str">
        <f t="shared" ref="B23" si="2">CONCATENATE(C23,"_",D23,"_",E23)</f>
        <v>CL_28_</v>
      </c>
      <c r="C23" s="1" t="s">
        <v>680</v>
      </c>
      <c r="D23" s="1">
        <v>28</v>
      </c>
      <c r="E23" s="1"/>
      <c r="F23" s="4" t="s">
        <v>884</v>
      </c>
      <c r="G23" s="16" t="str">
        <f t="shared" ref="G23" si="3">IF(E23=0,CONCATENATE(F23," No. ",D23),CONCATENATE(F23," No. ",D23,", ",E23))</f>
        <v>Rancho La Cuchilla No. 28</v>
      </c>
      <c r="H23" s="41" t="s">
        <v>142</v>
      </c>
      <c r="I23" s="44" t="s">
        <v>1199</v>
      </c>
      <c r="J23" s="127">
        <v>300</v>
      </c>
      <c r="K23" s="120" t="s">
        <v>1315</v>
      </c>
    </row>
    <row r="24" spans="1:11" hidden="1" x14ac:dyDescent="0.2">
      <c r="A24" s="125">
        <v>19</v>
      </c>
      <c r="B24" s="66" t="str">
        <f t="shared" si="0"/>
        <v>CL_29_</v>
      </c>
      <c r="C24" s="1" t="s">
        <v>680</v>
      </c>
      <c r="D24" s="1">
        <v>29</v>
      </c>
      <c r="E24" s="1"/>
      <c r="F24" s="4" t="s">
        <v>884</v>
      </c>
      <c r="G24" s="16" t="str">
        <f t="shared" si="1"/>
        <v>Rancho La Cuchilla No. 29</v>
      </c>
      <c r="H24" s="41" t="s">
        <v>143</v>
      </c>
      <c r="I24" s="44" t="s">
        <v>1200</v>
      </c>
      <c r="J24" s="127">
        <v>300</v>
      </c>
      <c r="K24" s="122"/>
    </row>
    <row r="25" spans="1:11" hidden="1" x14ac:dyDescent="0.2">
      <c r="A25" s="125">
        <v>20</v>
      </c>
      <c r="B25" s="66" t="str">
        <f t="shared" si="0"/>
        <v>CL_30_</v>
      </c>
      <c r="C25" s="1" t="s">
        <v>680</v>
      </c>
      <c r="D25" s="1">
        <v>30</v>
      </c>
      <c r="E25" s="1"/>
      <c r="F25" s="4" t="s">
        <v>884</v>
      </c>
      <c r="G25" s="16" t="str">
        <f t="shared" si="1"/>
        <v>Rancho La Cuchilla No. 30</v>
      </c>
      <c r="H25" s="41" t="s">
        <v>27</v>
      </c>
      <c r="I25" s="44" t="s">
        <v>28</v>
      </c>
      <c r="J25" s="127">
        <v>300</v>
      </c>
      <c r="K25" s="122"/>
    </row>
    <row r="26" spans="1:11" hidden="1" x14ac:dyDescent="0.2">
      <c r="A26" s="125">
        <v>21</v>
      </c>
      <c r="B26" s="66" t="str">
        <f t="shared" si="0"/>
        <v>CL_31_</v>
      </c>
      <c r="C26" s="1" t="s">
        <v>680</v>
      </c>
      <c r="D26" s="1">
        <v>31</v>
      </c>
      <c r="E26" s="1"/>
      <c r="F26" s="4" t="s">
        <v>884</v>
      </c>
      <c r="G26" s="16" t="str">
        <f t="shared" si="1"/>
        <v>Rancho La Cuchilla No. 31</v>
      </c>
      <c r="H26" s="41" t="s">
        <v>29</v>
      </c>
      <c r="I26" s="44" t="s">
        <v>30</v>
      </c>
      <c r="J26" s="127">
        <v>300</v>
      </c>
      <c r="K26" s="122"/>
    </row>
    <row r="27" spans="1:11" hidden="1" x14ac:dyDescent="0.2">
      <c r="A27" s="125">
        <v>22</v>
      </c>
      <c r="B27" s="66" t="str">
        <f t="shared" si="0"/>
        <v>CL_32_</v>
      </c>
      <c r="C27" s="1" t="s">
        <v>680</v>
      </c>
      <c r="D27" s="1">
        <v>32</v>
      </c>
      <c r="E27" s="1"/>
      <c r="F27" s="4" t="s">
        <v>884</v>
      </c>
      <c r="G27" s="16" t="str">
        <f t="shared" si="1"/>
        <v>Rancho La Cuchilla No. 32</v>
      </c>
      <c r="H27" s="41" t="s">
        <v>31</v>
      </c>
      <c r="I27" s="44" t="s">
        <v>32</v>
      </c>
      <c r="J27" s="127">
        <v>300</v>
      </c>
      <c r="K27" s="122"/>
    </row>
    <row r="28" spans="1:11" hidden="1" x14ac:dyDescent="0.2">
      <c r="A28" s="125">
        <v>23</v>
      </c>
      <c r="B28" s="66" t="str">
        <f t="shared" si="0"/>
        <v>CL_33_</v>
      </c>
      <c r="C28" s="1" t="s">
        <v>680</v>
      </c>
      <c r="D28" s="1">
        <v>33</v>
      </c>
      <c r="E28" s="1"/>
      <c r="F28" s="4" t="s">
        <v>884</v>
      </c>
      <c r="G28" s="16" t="str">
        <f t="shared" si="1"/>
        <v>Rancho La Cuchilla No. 33</v>
      </c>
      <c r="H28" s="41" t="s">
        <v>144</v>
      </c>
      <c r="I28" s="44" t="s">
        <v>33</v>
      </c>
      <c r="J28" s="127">
        <v>300</v>
      </c>
      <c r="K28" s="122"/>
    </row>
    <row r="29" spans="1:11" hidden="1" x14ac:dyDescent="0.2">
      <c r="A29" s="125">
        <v>24</v>
      </c>
      <c r="B29" s="66" t="str">
        <f t="shared" si="0"/>
        <v>CL_35_</v>
      </c>
      <c r="C29" s="1" t="s">
        <v>680</v>
      </c>
      <c r="D29" s="1">
        <v>35</v>
      </c>
      <c r="E29" s="1"/>
      <c r="F29" s="4" t="s">
        <v>884</v>
      </c>
      <c r="G29" s="16" t="str">
        <f t="shared" si="1"/>
        <v>Rancho La Cuchilla No. 35</v>
      </c>
      <c r="H29" s="41" t="s">
        <v>34</v>
      </c>
      <c r="I29" s="44" t="s">
        <v>35</v>
      </c>
      <c r="J29" s="127">
        <v>150</v>
      </c>
      <c r="K29" s="122"/>
    </row>
    <row r="30" spans="1:11" hidden="1" x14ac:dyDescent="0.2">
      <c r="A30" s="125">
        <v>25</v>
      </c>
      <c r="B30" s="66" t="str">
        <f t="shared" si="0"/>
        <v>CL_36_</v>
      </c>
      <c r="C30" s="1" t="s">
        <v>680</v>
      </c>
      <c r="D30" s="1">
        <v>36</v>
      </c>
      <c r="E30" s="1"/>
      <c r="F30" s="4" t="s">
        <v>884</v>
      </c>
      <c r="G30" s="16" t="str">
        <f t="shared" si="1"/>
        <v>Rancho La Cuchilla No. 36</v>
      </c>
      <c r="H30" s="41" t="s">
        <v>145</v>
      </c>
      <c r="I30" s="44" t="s">
        <v>1201</v>
      </c>
      <c r="J30" s="127">
        <v>300</v>
      </c>
      <c r="K30" s="122"/>
    </row>
    <row r="31" spans="1:11" hidden="1" x14ac:dyDescent="0.2">
      <c r="A31" s="125">
        <v>26</v>
      </c>
      <c r="B31" s="66" t="str">
        <f t="shared" si="0"/>
        <v>CL_38_</v>
      </c>
      <c r="C31" s="1" t="s">
        <v>680</v>
      </c>
      <c r="D31" s="1">
        <v>38</v>
      </c>
      <c r="E31" s="1"/>
      <c r="F31" s="4" t="s">
        <v>884</v>
      </c>
      <c r="G31" s="16" t="str">
        <f t="shared" si="1"/>
        <v>Rancho La Cuchilla No. 38</v>
      </c>
      <c r="H31" s="41" t="s">
        <v>36</v>
      </c>
      <c r="I31" s="44" t="s">
        <v>37</v>
      </c>
      <c r="J31" s="127">
        <v>300</v>
      </c>
      <c r="K31" s="122"/>
    </row>
    <row r="32" spans="1:11" hidden="1" x14ac:dyDescent="0.2">
      <c r="A32" s="125">
        <v>27</v>
      </c>
      <c r="B32" s="66" t="str">
        <f t="shared" si="0"/>
        <v>CL_39_</v>
      </c>
      <c r="C32" s="1" t="s">
        <v>680</v>
      </c>
      <c r="D32" s="1">
        <v>39</v>
      </c>
      <c r="E32" s="1"/>
      <c r="F32" s="4" t="s">
        <v>884</v>
      </c>
      <c r="G32" s="16" t="str">
        <f t="shared" si="1"/>
        <v>Rancho La Cuchilla No. 39</v>
      </c>
      <c r="H32" s="41" t="s">
        <v>38</v>
      </c>
      <c r="I32" s="44" t="s">
        <v>39</v>
      </c>
      <c r="J32" s="127">
        <v>300</v>
      </c>
      <c r="K32" s="122"/>
    </row>
    <row r="33" spans="1:11" hidden="1" x14ac:dyDescent="0.2">
      <c r="A33" s="125">
        <v>28</v>
      </c>
      <c r="B33" s="66" t="str">
        <f t="shared" si="0"/>
        <v>CL_40_</v>
      </c>
      <c r="C33" s="1" t="s">
        <v>680</v>
      </c>
      <c r="D33" s="1">
        <v>40</v>
      </c>
      <c r="E33" s="1"/>
      <c r="F33" s="4" t="s">
        <v>884</v>
      </c>
      <c r="G33" s="16" t="str">
        <f t="shared" si="1"/>
        <v>Rancho La Cuchilla No. 40</v>
      </c>
      <c r="H33" s="41" t="s">
        <v>146</v>
      </c>
      <c r="I33" s="44" t="s">
        <v>40</v>
      </c>
      <c r="J33" s="127">
        <v>300</v>
      </c>
      <c r="K33" s="122"/>
    </row>
    <row r="34" spans="1:11" hidden="1" x14ac:dyDescent="0.2">
      <c r="A34" s="125">
        <v>29</v>
      </c>
      <c r="B34" s="66" t="str">
        <f t="shared" si="0"/>
        <v>CL_41_</v>
      </c>
      <c r="C34" s="1" t="s">
        <v>680</v>
      </c>
      <c r="D34" s="1">
        <v>41</v>
      </c>
      <c r="E34" s="1"/>
      <c r="F34" s="4" t="s">
        <v>884</v>
      </c>
      <c r="G34" s="16" t="str">
        <f t="shared" si="1"/>
        <v>Rancho La Cuchilla No. 41</v>
      </c>
      <c r="H34" s="41" t="s">
        <v>41</v>
      </c>
      <c r="I34" s="44" t="s">
        <v>42</v>
      </c>
      <c r="J34" s="127">
        <v>250</v>
      </c>
      <c r="K34" s="122"/>
    </row>
    <row r="35" spans="1:11" hidden="1" x14ac:dyDescent="0.2">
      <c r="A35" s="125">
        <v>30</v>
      </c>
      <c r="B35" s="66" t="str">
        <f t="shared" si="0"/>
        <v>CL_42_</v>
      </c>
      <c r="C35" s="1" t="s">
        <v>680</v>
      </c>
      <c r="D35" s="1">
        <v>42</v>
      </c>
      <c r="E35" s="1"/>
      <c r="F35" s="4" t="s">
        <v>884</v>
      </c>
      <c r="G35" s="16" t="str">
        <f t="shared" si="1"/>
        <v>Rancho La Cuchilla No. 42</v>
      </c>
      <c r="H35" s="41" t="s">
        <v>147</v>
      </c>
      <c r="I35" s="44" t="s">
        <v>1202</v>
      </c>
      <c r="J35" s="127">
        <v>300</v>
      </c>
      <c r="K35" s="122"/>
    </row>
    <row r="36" spans="1:11" hidden="1" x14ac:dyDescent="0.2">
      <c r="A36" s="125">
        <v>31</v>
      </c>
      <c r="B36" s="66" t="str">
        <f t="shared" si="0"/>
        <v>CL_43_A</v>
      </c>
      <c r="C36" s="1" t="s">
        <v>680</v>
      </c>
      <c r="D36" s="1">
        <v>43</v>
      </c>
      <c r="E36" s="1" t="s">
        <v>672</v>
      </c>
      <c r="F36" s="4" t="s">
        <v>884</v>
      </c>
      <c r="G36" s="16" t="str">
        <f t="shared" si="1"/>
        <v>Rancho La Cuchilla No. 43, A</v>
      </c>
      <c r="H36" s="41" t="s">
        <v>43</v>
      </c>
      <c r="I36" s="44" t="s">
        <v>1183</v>
      </c>
      <c r="J36" s="127">
        <v>200</v>
      </c>
      <c r="K36" s="122"/>
    </row>
    <row r="37" spans="1:11" hidden="1" x14ac:dyDescent="0.2">
      <c r="A37" s="125">
        <v>32</v>
      </c>
      <c r="B37" s="66" t="str">
        <f t="shared" si="0"/>
        <v>CL_43_B</v>
      </c>
      <c r="C37" s="1" t="s">
        <v>680</v>
      </c>
      <c r="D37" s="1">
        <v>43</v>
      </c>
      <c r="E37" s="1" t="s">
        <v>673</v>
      </c>
      <c r="F37" s="4" t="s">
        <v>884</v>
      </c>
      <c r="G37" s="16" t="str">
        <f t="shared" si="1"/>
        <v>Rancho La Cuchilla No. 43, B</v>
      </c>
      <c r="H37" s="41" t="s">
        <v>44</v>
      </c>
      <c r="I37" s="44" t="s">
        <v>705</v>
      </c>
      <c r="J37" s="127">
        <v>125</v>
      </c>
      <c r="K37" s="122"/>
    </row>
    <row r="38" spans="1:11" hidden="1" x14ac:dyDescent="0.2">
      <c r="A38" s="125">
        <v>33</v>
      </c>
      <c r="B38" s="66" t="str">
        <f t="shared" si="0"/>
        <v>CL_44_</v>
      </c>
      <c r="C38" s="1" t="s">
        <v>680</v>
      </c>
      <c r="D38" s="1">
        <v>44</v>
      </c>
      <c r="E38" s="1"/>
      <c r="F38" s="4" t="s">
        <v>884</v>
      </c>
      <c r="G38" s="16" t="str">
        <f t="shared" si="1"/>
        <v>Rancho La Cuchilla No. 44</v>
      </c>
      <c r="H38" s="41" t="s">
        <v>45</v>
      </c>
      <c r="I38" s="44" t="s">
        <v>46</v>
      </c>
      <c r="J38" s="127">
        <v>300</v>
      </c>
      <c r="K38" s="122"/>
    </row>
    <row r="39" spans="1:11" hidden="1" x14ac:dyDescent="0.2">
      <c r="A39" s="125">
        <v>34</v>
      </c>
      <c r="B39" s="66" t="str">
        <f t="shared" si="0"/>
        <v>CL_45_</v>
      </c>
      <c r="C39" s="1" t="s">
        <v>680</v>
      </c>
      <c r="D39" s="1">
        <v>45</v>
      </c>
      <c r="E39" s="1"/>
      <c r="F39" s="4" t="s">
        <v>884</v>
      </c>
      <c r="G39" s="16" t="str">
        <f t="shared" si="1"/>
        <v>Rancho La Cuchilla No. 45</v>
      </c>
      <c r="H39" s="41" t="s">
        <v>47</v>
      </c>
      <c r="I39" s="71" t="s">
        <v>1269</v>
      </c>
      <c r="J39" s="127">
        <v>300</v>
      </c>
      <c r="K39" s="122"/>
    </row>
    <row r="40" spans="1:11" hidden="1" x14ac:dyDescent="0.2">
      <c r="A40" s="125">
        <v>35</v>
      </c>
      <c r="B40" s="66" t="str">
        <f t="shared" si="0"/>
        <v>CL_46_</v>
      </c>
      <c r="C40" s="1" t="s">
        <v>680</v>
      </c>
      <c r="D40" s="1">
        <v>46</v>
      </c>
      <c r="E40" s="1"/>
      <c r="F40" s="4" t="s">
        <v>884</v>
      </c>
      <c r="G40" s="16" t="str">
        <f t="shared" si="1"/>
        <v>Rancho La Cuchilla No. 46</v>
      </c>
      <c r="H40" s="41" t="s">
        <v>148</v>
      </c>
      <c r="I40" s="44" t="s">
        <v>48</v>
      </c>
      <c r="J40" s="127">
        <v>300</v>
      </c>
      <c r="K40" s="122"/>
    </row>
    <row r="41" spans="1:11" hidden="1" x14ac:dyDescent="0.2">
      <c r="A41" s="125">
        <v>36</v>
      </c>
      <c r="B41" s="66" t="str">
        <f t="shared" si="0"/>
        <v>CL_47_</v>
      </c>
      <c r="C41" s="1" t="s">
        <v>680</v>
      </c>
      <c r="D41" s="1">
        <v>47</v>
      </c>
      <c r="E41" s="1"/>
      <c r="F41" s="4" t="s">
        <v>884</v>
      </c>
      <c r="G41" s="16" t="str">
        <f t="shared" si="1"/>
        <v>Rancho La Cuchilla No. 47</v>
      </c>
      <c r="H41" s="41" t="s">
        <v>149</v>
      </c>
      <c r="I41" s="44" t="s">
        <v>49</v>
      </c>
      <c r="J41" s="127">
        <v>300</v>
      </c>
      <c r="K41" s="122"/>
    </row>
    <row r="42" spans="1:11" hidden="1" x14ac:dyDescent="0.2">
      <c r="A42" s="125">
        <v>37</v>
      </c>
      <c r="B42" s="66" t="str">
        <f t="shared" si="0"/>
        <v>CL_49_</v>
      </c>
      <c r="C42" s="1" t="s">
        <v>680</v>
      </c>
      <c r="D42" s="1">
        <v>49</v>
      </c>
      <c r="E42" s="1"/>
      <c r="F42" s="4" t="s">
        <v>884</v>
      </c>
      <c r="G42" s="16" t="str">
        <f t="shared" si="1"/>
        <v>Rancho La Cuchilla No. 49</v>
      </c>
      <c r="H42" s="41" t="s">
        <v>50</v>
      </c>
      <c r="I42" s="44" t="s">
        <v>706</v>
      </c>
      <c r="J42" s="127">
        <v>300</v>
      </c>
      <c r="K42" s="122"/>
    </row>
    <row r="43" spans="1:11" hidden="1" x14ac:dyDescent="0.2">
      <c r="A43" s="125">
        <v>38</v>
      </c>
      <c r="B43" s="66" t="str">
        <f t="shared" si="0"/>
        <v>CL_52_</v>
      </c>
      <c r="C43" s="1" t="s">
        <v>680</v>
      </c>
      <c r="D43" s="1">
        <v>52</v>
      </c>
      <c r="E43" s="1"/>
      <c r="F43" s="4" t="s">
        <v>884</v>
      </c>
      <c r="G43" s="16" t="str">
        <f t="shared" si="1"/>
        <v>Rancho La Cuchilla No. 52</v>
      </c>
      <c r="H43" s="41" t="s">
        <v>51</v>
      </c>
      <c r="I43" s="44" t="s">
        <v>707</v>
      </c>
      <c r="J43" s="127">
        <v>300</v>
      </c>
      <c r="K43" s="122"/>
    </row>
    <row r="44" spans="1:11" hidden="1" x14ac:dyDescent="0.2">
      <c r="A44" s="125">
        <v>39</v>
      </c>
      <c r="B44" s="66" t="str">
        <f t="shared" si="0"/>
        <v>CL_53_</v>
      </c>
      <c r="C44" s="1" t="s">
        <v>680</v>
      </c>
      <c r="D44" s="1">
        <v>53</v>
      </c>
      <c r="E44" s="1"/>
      <c r="F44" s="4" t="s">
        <v>884</v>
      </c>
      <c r="G44" s="16" t="str">
        <f t="shared" si="1"/>
        <v>Rancho La Cuchilla No. 53</v>
      </c>
      <c r="H44" s="41" t="s">
        <v>150</v>
      </c>
      <c r="I44" s="44" t="s">
        <v>1570</v>
      </c>
      <c r="J44" s="127">
        <v>300</v>
      </c>
      <c r="K44" s="122"/>
    </row>
    <row r="45" spans="1:11" hidden="1" x14ac:dyDescent="0.2">
      <c r="A45" s="125">
        <v>40</v>
      </c>
      <c r="B45" s="270" t="s">
        <v>1727</v>
      </c>
      <c r="C45" s="1" t="s">
        <v>680</v>
      </c>
      <c r="D45" s="1">
        <v>54</v>
      </c>
      <c r="E45" s="1"/>
      <c r="F45" s="4" t="s">
        <v>884</v>
      </c>
      <c r="G45" s="16" t="str">
        <f t="shared" ref="G45" si="4">IF(E45=0,CONCATENATE(F45," No. ",D45),CONCATENATE(F45," No. ",D45,", ",E45))</f>
        <v>Rancho La Cuchilla No. 54</v>
      </c>
      <c r="H45" s="41"/>
      <c r="I45" s="44" t="s">
        <v>1847</v>
      </c>
      <c r="J45" s="127">
        <v>300</v>
      </c>
      <c r="K45" s="122"/>
    </row>
    <row r="46" spans="1:11" hidden="1" x14ac:dyDescent="0.2">
      <c r="A46" s="125">
        <v>41</v>
      </c>
      <c r="B46" s="66" t="str">
        <f t="shared" si="0"/>
        <v>CL_55_</v>
      </c>
      <c r="C46" s="1" t="s">
        <v>680</v>
      </c>
      <c r="D46" s="1">
        <v>55</v>
      </c>
      <c r="E46" s="1"/>
      <c r="F46" s="4" t="s">
        <v>884</v>
      </c>
      <c r="G46" s="16" t="str">
        <f t="shared" si="1"/>
        <v>Rancho La Cuchilla No. 55</v>
      </c>
      <c r="H46" s="41" t="s">
        <v>52</v>
      </c>
      <c r="I46" s="44" t="s">
        <v>53</v>
      </c>
      <c r="J46" s="127">
        <v>300</v>
      </c>
      <c r="K46" s="122"/>
    </row>
    <row r="47" spans="1:11" hidden="1" x14ac:dyDescent="0.2">
      <c r="A47" s="125">
        <v>42</v>
      </c>
      <c r="B47" s="110" t="str">
        <f t="shared" ref="B47" si="5">CONCATENATE(C47,"_",D47,"_",E47)</f>
        <v>CL_57_</v>
      </c>
      <c r="C47" s="1" t="s">
        <v>680</v>
      </c>
      <c r="D47" s="1">
        <v>57</v>
      </c>
      <c r="E47" s="1"/>
      <c r="F47" s="4" t="s">
        <v>884</v>
      </c>
      <c r="G47" s="16" t="str">
        <f t="shared" ref="G47" si="6">IF(E47=0,CONCATENATE(F47," No. ",D47),CONCATENATE(F47," No. ",D47,", ",E47))</f>
        <v>Rancho La Cuchilla No. 57</v>
      </c>
      <c r="H47" s="41"/>
      <c r="I47" s="44"/>
      <c r="J47" s="127">
        <v>300</v>
      </c>
      <c r="K47" s="122" t="s">
        <v>1316</v>
      </c>
    </row>
    <row r="48" spans="1:11" hidden="1" x14ac:dyDescent="0.2">
      <c r="A48" s="125">
        <v>43</v>
      </c>
      <c r="B48" s="66" t="str">
        <f t="shared" si="0"/>
        <v>CL_58_</v>
      </c>
      <c r="C48" s="1" t="s">
        <v>680</v>
      </c>
      <c r="D48" s="1">
        <v>58</v>
      </c>
      <c r="E48" s="1"/>
      <c r="F48" s="4" t="s">
        <v>884</v>
      </c>
      <c r="G48" s="16" t="str">
        <f t="shared" si="1"/>
        <v>Rancho La Cuchilla No. 58</v>
      </c>
      <c r="H48" s="41" t="s">
        <v>54</v>
      </c>
      <c r="I48" s="44" t="s">
        <v>55</v>
      </c>
      <c r="J48" s="127">
        <v>300</v>
      </c>
      <c r="K48" s="122"/>
    </row>
    <row r="49" spans="1:11" hidden="1" x14ac:dyDescent="0.2">
      <c r="A49" s="125">
        <v>44</v>
      </c>
      <c r="B49" s="66" t="str">
        <f t="shared" si="0"/>
        <v>CL_59_</v>
      </c>
      <c r="C49" s="1" t="s">
        <v>680</v>
      </c>
      <c r="D49" s="1">
        <v>59</v>
      </c>
      <c r="E49" s="1"/>
      <c r="F49" s="4" t="s">
        <v>884</v>
      </c>
      <c r="G49" s="16" t="str">
        <f t="shared" si="1"/>
        <v>Rancho La Cuchilla No. 59</v>
      </c>
      <c r="H49" s="41" t="s">
        <v>56</v>
      </c>
      <c r="I49" s="44" t="s">
        <v>1271</v>
      </c>
      <c r="J49" s="127">
        <v>300</v>
      </c>
      <c r="K49" s="122"/>
    </row>
    <row r="50" spans="1:11" hidden="1" x14ac:dyDescent="0.2">
      <c r="A50" s="125">
        <v>45</v>
      </c>
      <c r="B50" s="110" t="str">
        <f t="shared" ref="B50" si="7">CONCATENATE(C50,"_",D50,"_",E50)</f>
        <v>CL_60_</v>
      </c>
      <c r="C50" s="1" t="s">
        <v>680</v>
      </c>
      <c r="D50" s="1">
        <v>60</v>
      </c>
      <c r="E50" s="1"/>
      <c r="F50" s="4" t="s">
        <v>884</v>
      </c>
      <c r="G50" s="16" t="str">
        <f t="shared" ref="G50" si="8">IF(E50=0,CONCATENATE(F50," No. ",D50),CONCATENATE(F50," No. ",D50,", ",E50))</f>
        <v>Rancho La Cuchilla No. 60</v>
      </c>
      <c r="H50" s="41"/>
      <c r="I50" s="44"/>
      <c r="J50" s="127">
        <v>300</v>
      </c>
      <c r="K50" s="122" t="s">
        <v>1316</v>
      </c>
    </row>
    <row r="51" spans="1:11" hidden="1" x14ac:dyDescent="0.2">
      <c r="A51" s="125">
        <v>46</v>
      </c>
      <c r="B51" s="66" t="str">
        <f t="shared" si="0"/>
        <v>CL_61_</v>
      </c>
      <c r="C51" s="1" t="s">
        <v>680</v>
      </c>
      <c r="D51" s="1">
        <v>61</v>
      </c>
      <c r="E51" s="1"/>
      <c r="F51" s="4" t="s">
        <v>884</v>
      </c>
      <c r="G51" s="16" t="str">
        <f t="shared" si="1"/>
        <v>Rancho La Cuchilla No. 61</v>
      </c>
      <c r="H51" s="41" t="s">
        <v>58</v>
      </c>
      <c r="I51" s="44" t="s">
        <v>59</v>
      </c>
      <c r="J51" s="127">
        <v>300</v>
      </c>
      <c r="K51" s="122"/>
    </row>
    <row r="52" spans="1:11" hidden="1" x14ac:dyDescent="0.2">
      <c r="A52" s="125">
        <v>47</v>
      </c>
      <c r="B52" s="66" t="str">
        <f t="shared" si="0"/>
        <v>CL_62_</v>
      </c>
      <c r="C52" s="1" t="s">
        <v>680</v>
      </c>
      <c r="D52" s="1">
        <v>62</v>
      </c>
      <c r="E52" s="1"/>
      <c r="F52" s="4" t="s">
        <v>884</v>
      </c>
      <c r="G52" s="16" t="str">
        <f t="shared" si="1"/>
        <v>Rancho La Cuchilla No. 62</v>
      </c>
      <c r="H52" s="41" t="s">
        <v>60</v>
      </c>
      <c r="I52" s="44" t="s">
        <v>61</v>
      </c>
      <c r="J52" s="127">
        <v>200</v>
      </c>
      <c r="K52" s="122"/>
    </row>
    <row r="53" spans="1:11" hidden="1" x14ac:dyDescent="0.2">
      <c r="A53" s="125">
        <v>48</v>
      </c>
      <c r="B53" s="66" t="str">
        <f t="shared" si="0"/>
        <v>CL_63_</v>
      </c>
      <c r="C53" s="1" t="s">
        <v>680</v>
      </c>
      <c r="D53" s="1">
        <v>63</v>
      </c>
      <c r="E53" s="1"/>
      <c r="F53" s="4" t="s">
        <v>884</v>
      </c>
      <c r="G53" s="16" t="str">
        <f t="shared" si="1"/>
        <v>Rancho La Cuchilla No. 63</v>
      </c>
      <c r="H53" s="41" t="s">
        <v>62</v>
      </c>
      <c r="I53" s="44" t="s">
        <v>63</v>
      </c>
      <c r="J53" s="127">
        <v>300</v>
      </c>
      <c r="K53" s="122"/>
    </row>
    <row r="54" spans="1:11" hidden="1" x14ac:dyDescent="0.2">
      <c r="A54" s="125">
        <v>49</v>
      </c>
      <c r="B54" s="110" t="str">
        <f t="shared" ref="B54" si="9">CONCATENATE(C54,"_",D54,"_",E54)</f>
        <v>CL_65_</v>
      </c>
      <c r="C54" s="1" t="s">
        <v>680</v>
      </c>
      <c r="D54" s="1">
        <v>65</v>
      </c>
      <c r="E54" s="1"/>
      <c r="F54" s="4" t="s">
        <v>884</v>
      </c>
      <c r="G54" s="16" t="str">
        <f t="shared" ref="G54" si="10">IF(E54=0,CONCATENATE(F54," No. ",D54),CONCATENATE(F54," No. ",D54,", ",E54))</f>
        <v>Rancho La Cuchilla No. 65</v>
      </c>
      <c r="H54" s="41"/>
      <c r="I54" s="44" t="s">
        <v>46</v>
      </c>
      <c r="J54" s="127">
        <v>300</v>
      </c>
      <c r="K54" s="122" t="s">
        <v>1316</v>
      </c>
    </row>
    <row r="55" spans="1:11" hidden="1" x14ac:dyDescent="0.2">
      <c r="A55" s="125">
        <v>50</v>
      </c>
      <c r="B55" s="66" t="str">
        <f t="shared" si="0"/>
        <v>CL_66_</v>
      </c>
      <c r="C55" s="1" t="s">
        <v>680</v>
      </c>
      <c r="D55" s="1">
        <v>66</v>
      </c>
      <c r="E55" s="1"/>
      <c r="F55" s="4" t="s">
        <v>884</v>
      </c>
      <c r="G55" s="16" t="str">
        <f t="shared" si="1"/>
        <v>Rancho La Cuchilla No. 66</v>
      </c>
      <c r="H55" s="41" t="s">
        <v>151</v>
      </c>
      <c r="I55" s="44" t="s">
        <v>64</v>
      </c>
      <c r="J55" s="127">
        <v>300</v>
      </c>
      <c r="K55" s="122"/>
    </row>
    <row r="56" spans="1:11" hidden="1" x14ac:dyDescent="0.2">
      <c r="A56" s="125">
        <v>51</v>
      </c>
      <c r="B56" s="66" t="str">
        <f t="shared" si="0"/>
        <v>CL_67_</v>
      </c>
      <c r="C56" s="1" t="s">
        <v>680</v>
      </c>
      <c r="D56" s="1">
        <v>67</v>
      </c>
      <c r="E56" s="1"/>
      <c r="F56" s="4" t="s">
        <v>884</v>
      </c>
      <c r="G56" s="16" t="str">
        <f t="shared" si="1"/>
        <v>Rancho La Cuchilla No. 67</v>
      </c>
      <c r="H56" s="41" t="s">
        <v>65</v>
      </c>
      <c r="I56" s="44" t="s">
        <v>66</v>
      </c>
      <c r="J56" s="127">
        <v>300</v>
      </c>
      <c r="K56" s="122"/>
    </row>
    <row r="57" spans="1:11" hidden="1" x14ac:dyDescent="0.2">
      <c r="A57" s="125">
        <v>52</v>
      </c>
      <c r="B57" s="66" t="str">
        <f t="shared" si="0"/>
        <v>CL_68_</v>
      </c>
      <c r="C57" s="1" t="s">
        <v>680</v>
      </c>
      <c r="D57" s="1">
        <v>68</v>
      </c>
      <c r="E57" s="1"/>
      <c r="F57" s="4" t="s">
        <v>884</v>
      </c>
      <c r="G57" s="16" t="str">
        <f t="shared" si="1"/>
        <v>Rancho La Cuchilla No. 68</v>
      </c>
      <c r="H57" s="41" t="s">
        <v>67</v>
      </c>
      <c r="I57" s="44" t="s">
        <v>68</v>
      </c>
      <c r="J57" s="127">
        <v>300</v>
      </c>
      <c r="K57" s="122"/>
    </row>
    <row r="58" spans="1:11" hidden="1" x14ac:dyDescent="0.2">
      <c r="A58" s="125">
        <v>53</v>
      </c>
      <c r="B58" s="66" t="str">
        <f t="shared" si="0"/>
        <v>CL_69_</v>
      </c>
      <c r="C58" s="1" t="s">
        <v>680</v>
      </c>
      <c r="D58" s="1">
        <v>69</v>
      </c>
      <c r="E58" s="1"/>
      <c r="F58" s="4" t="s">
        <v>884</v>
      </c>
      <c r="G58" s="16" t="str">
        <f t="shared" si="1"/>
        <v>Rancho La Cuchilla No. 69</v>
      </c>
      <c r="H58" s="41" t="s">
        <v>69</v>
      </c>
      <c r="I58" s="44" t="s">
        <v>70</v>
      </c>
      <c r="J58" s="127">
        <v>300</v>
      </c>
      <c r="K58" s="122"/>
    </row>
    <row r="59" spans="1:11" hidden="1" x14ac:dyDescent="0.2">
      <c r="A59" s="125">
        <v>54</v>
      </c>
      <c r="B59" s="110" t="str">
        <f t="shared" ref="B59" si="11">CONCATENATE(C59,"_",D59,"_",E59)</f>
        <v>CL_70_</v>
      </c>
      <c r="C59" s="1" t="s">
        <v>680</v>
      </c>
      <c r="D59" s="1">
        <v>70</v>
      </c>
      <c r="E59" s="1"/>
      <c r="F59" s="4" t="s">
        <v>884</v>
      </c>
      <c r="G59" s="16" t="str">
        <f t="shared" ref="G59" si="12">IF(E59=0,CONCATENATE(F59," No. ",D59),CONCATENATE(F59," No. ",D59,", ",E59))</f>
        <v>Rancho La Cuchilla No. 70</v>
      </c>
      <c r="H59" s="41"/>
      <c r="I59" s="44"/>
      <c r="J59" s="127">
        <v>300</v>
      </c>
      <c r="K59" s="122" t="s">
        <v>1316</v>
      </c>
    </row>
    <row r="60" spans="1:11" hidden="1" x14ac:dyDescent="0.2">
      <c r="A60" s="125">
        <v>55</v>
      </c>
      <c r="B60" s="66" t="str">
        <f t="shared" si="0"/>
        <v>CL_71_</v>
      </c>
      <c r="C60" s="1" t="s">
        <v>680</v>
      </c>
      <c r="D60" s="1">
        <v>71</v>
      </c>
      <c r="E60" s="1"/>
      <c r="F60" s="4" t="s">
        <v>884</v>
      </c>
      <c r="G60" s="16" t="str">
        <f t="shared" si="1"/>
        <v>Rancho La Cuchilla No. 71</v>
      </c>
      <c r="H60" s="41" t="s">
        <v>71</v>
      </c>
      <c r="I60" s="44" t="s">
        <v>72</v>
      </c>
      <c r="J60" s="127">
        <v>300</v>
      </c>
      <c r="K60" s="122"/>
    </row>
    <row r="61" spans="1:11" hidden="1" x14ac:dyDescent="0.2">
      <c r="A61" s="125">
        <v>56</v>
      </c>
      <c r="B61" s="66" t="str">
        <f t="shared" si="0"/>
        <v>CL_72_</v>
      </c>
      <c r="C61" s="1" t="s">
        <v>680</v>
      </c>
      <c r="D61" s="1">
        <v>72</v>
      </c>
      <c r="E61" s="1"/>
      <c r="F61" s="4" t="s">
        <v>884</v>
      </c>
      <c r="G61" s="16" t="str">
        <f t="shared" si="1"/>
        <v>Rancho La Cuchilla No. 72</v>
      </c>
      <c r="H61" s="41" t="s">
        <v>152</v>
      </c>
      <c r="I61" s="44" t="s">
        <v>73</v>
      </c>
      <c r="J61" s="127">
        <v>300</v>
      </c>
      <c r="K61" s="122"/>
    </row>
    <row r="62" spans="1:11" hidden="1" x14ac:dyDescent="0.2">
      <c r="A62" s="125">
        <v>57</v>
      </c>
      <c r="B62" s="66" t="str">
        <f t="shared" si="0"/>
        <v>CL_73_</v>
      </c>
      <c r="C62" s="1" t="s">
        <v>680</v>
      </c>
      <c r="D62" s="1">
        <v>73</v>
      </c>
      <c r="E62" s="1"/>
      <c r="F62" s="4" t="s">
        <v>884</v>
      </c>
      <c r="G62" s="16" t="str">
        <f t="shared" si="1"/>
        <v>Rancho La Cuchilla No. 73</v>
      </c>
      <c r="H62" s="41" t="s">
        <v>74</v>
      </c>
      <c r="I62" s="44" t="s">
        <v>75</v>
      </c>
      <c r="J62" s="127">
        <v>300</v>
      </c>
      <c r="K62" s="122"/>
    </row>
    <row r="63" spans="1:11" hidden="1" x14ac:dyDescent="0.2">
      <c r="A63" s="125">
        <v>58</v>
      </c>
      <c r="B63" s="66" t="str">
        <f t="shared" si="0"/>
        <v>CL_74_</v>
      </c>
      <c r="C63" s="1" t="s">
        <v>680</v>
      </c>
      <c r="D63" s="1">
        <v>74</v>
      </c>
      <c r="E63" s="1"/>
      <c r="F63" s="4" t="s">
        <v>884</v>
      </c>
      <c r="G63" s="16" t="str">
        <f t="shared" si="1"/>
        <v>Rancho La Cuchilla No. 74</v>
      </c>
      <c r="H63" s="41" t="s">
        <v>76</v>
      </c>
      <c r="I63" s="44" t="s">
        <v>77</v>
      </c>
      <c r="J63" s="127">
        <v>300</v>
      </c>
      <c r="K63" s="122"/>
    </row>
    <row r="64" spans="1:11" hidden="1" x14ac:dyDescent="0.2">
      <c r="A64" s="125">
        <v>59</v>
      </c>
      <c r="B64" s="66" t="str">
        <f t="shared" si="0"/>
        <v>CL_75_</v>
      </c>
      <c r="C64" s="1" t="s">
        <v>680</v>
      </c>
      <c r="D64" s="1">
        <v>75</v>
      </c>
      <c r="E64" s="1"/>
      <c r="F64" s="4" t="s">
        <v>884</v>
      </c>
      <c r="G64" s="16" t="str">
        <f t="shared" si="1"/>
        <v>Rancho La Cuchilla No. 75</v>
      </c>
      <c r="H64" s="41" t="s">
        <v>153</v>
      </c>
      <c r="I64" s="44" t="s">
        <v>1204</v>
      </c>
      <c r="J64" s="127">
        <v>300</v>
      </c>
      <c r="K64" s="122"/>
    </row>
    <row r="65" spans="1:11" hidden="1" x14ac:dyDescent="0.2">
      <c r="A65" s="125">
        <v>60</v>
      </c>
      <c r="B65" s="110" t="str">
        <f t="shared" ref="B65" si="13">CONCATENATE(C65,"_",D65,"_",E65)</f>
        <v>CL_76_</v>
      </c>
      <c r="C65" s="1" t="s">
        <v>680</v>
      </c>
      <c r="D65" s="1">
        <v>76</v>
      </c>
      <c r="E65" s="1"/>
      <c r="F65" s="4" t="s">
        <v>884</v>
      </c>
      <c r="G65" s="16" t="str">
        <f t="shared" ref="G65" si="14">IF(E65=0,CONCATENATE(F65," No. ",D65),CONCATENATE(F65," No. ",D65,", ",E65))</f>
        <v>Rancho La Cuchilla No. 76</v>
      </c>
      <c r="H65" s="41"/>
      <c r="I65" s="44"/>
      <c r="J65" s="127">
        <v>300</v>
      </c>
      <c r="K65" s="122" t="s">
        <v>1316</v>
      </c>
    </row>
    <row r="66" spans="1:11" hidden="1" x14ac:dyDescent="0.2">
      <c r="A66" s="125">
        <v>61</v>
      </c>
      <c r="B66" s="66" t="str">
        <f t="shared" si="0"/>
        <v>CL_77_</v>
      </c>
      <c r="C66" s="1" t="s">
        <v>680</v>
      </c>
      <c r="D66" s="1">
        <v>77</v>
      </c>
      <c r="E66" s="1"/>
      <c r="F66" s="4" t="s">
        <v>884</v>
      </c>
      <c r="G66" s="16" t="str">
        <f t="shared" si="1"/>
        <v>Rancho La Cuchilla No. 77</v>
      </c>
      <c r="H66" s="41" t="s">
        <v>78</v>
      </c>
      <c r="I66" s="44" t="s">
        <v>79</v>
      </c>
      <c r="J66" s="127">
        <v>300</v>
      </c>
      <c r="K66" s="122"/>
    </row>
    <row r="67" spans="1:11" hidden="1" x14ac:dyDescent="0.2">
      <c r="A67" s="125">
        <v>62</v>
      </c>
      <c r="B67" s="66" t="str">
        <f t="shared" si="0"/>
        <v>CL_79_</v>
      </c>
      <c r="C67" s="1" t="s">
        <v>680</v>
      </c>
      <c r="D67" s="1">
        <v>79</v>
      </c>
      <c r="E67" s="1"/>
      <c r="F67" s="4" t="s">
        <v>884</v>
      </c>
      <c r="G67" s="16" t="str">
        <f t="shared" si="1"/>
        <v>Rancho La Cuchilla No. 79</v>
      </c>
      <c r="H67" s="41" t="s">
        <v>80</v>
      </c>
      <c r="I67" s="44" t="s">
        <v>81</v>
      </c>
      <c r="J67" s="127">
        <v>300</v>
      </c>
      <c r="K67" s="122"/>
    </row>
    <row r="68" spans="1:11" hidden="1" x14ac:dyDescent="0.2">
      <c r="A68" s="125">
        <v>63</v>
      </c>
      <c r="B68" s="66" t="str">
        <f t="shared" si="0"/>
        <v>CL_80_</v>
      </c>
      <c r="C68" s="1" t="s">
        <v>680</v>
      </c>
      <c r="D68" s="1">
        <v>80</v>
      </c>
      <c r="E68" s="1"/>
      <c r="F68" s="4" t="s">
        <v>884</v>
      </c>
      <c r="G68" s="16" t="str">
        <f t="shared" si="1"/>
        <v>Rancho La Cuchilla No. 80</v>
      </c>
      <c r="H68" s="41" t="s">
        <v>154</v>
      </c>
      <c r="I68" s="44" t="s">
        <v>1205</v>
      </c>
      <c r="J68" s="127">
        <v>300</v>
      </c>
      <c r="K68" s="122"/>
    </row>
    <row r="69" spans="1:11" hidden="1" x14ac:dyDescent="0.2">
      <c r="A69" s="125">
        <v>64</v>
      </c>
      <c r="B69" s="66" t="str">
        <f t="shared" si="0"/>
        <v>CL_81_A</v>
      </c>
      <c r="C69" s="1" t="s">
        <v>680</v>
      </c>
      <c r="D69" s="1">
        <v>81</v>
      </c>
      <c r="E69" s="1" t="s">
        <v>672</v>
      </c>
      <c r="F69" s="4" t="s">
        <v>884</v>
      </c>
      <c r="G69" s="16" t="str">
        <f t="shared" si="1"/>
        <v>Rancho La Cuchilla No. 81, A</v>
      </c>
      <c r="H69" s="41" t="s">
        <v>82</v>
      </c>
      <c r="I69" s="44" t="s">
        <v>1189</v>
      </c>
      <c r="J69" s="127">
        <v>300</v>
      </c>
      <c r="K69" s="122"/>
    </row>
    <row r="70" spans="1:11" hidden="1" x14ac:dyDescent="0.2">
      <c r="A70" s="125">
        <v>65</v>
      </c>
      <c r="B70" s="66" t="str">
        <f t="shared" si="0"/>
        <v>CL_81_B</v>
      </c>
      <c r="C70" s="1" t="s">
        <v>680</v>
      </c>
      <c r="D70" s="1">
        <v>81</v>
      </c>
      <c r="E70" s="1" t="s">
        <v>673</v>
      </c>
      <c r="F70" s="4" t="s">
        <v>884</v>
      </c>
      <c r="G70" s="16" t="str">
        <f t="shared" si="1"/>
        <v>Rancho La Cuchilla No. 81, B</v>
      </c>
      <c r="H70" s="41" t="s">
        <v>83</v>
      </c>
      <c r="I70" s="44" t="s">
        <v>708</v>
      </c>
      <c r="J70" s="127">
        <v>300</v>
      </c>
      <c r="K70" s="122"/>
    </row>
    <row r="71" spans="1:11" hidden="1" x14ac:dyDescent="0.2">
      <c r="A71" s="125">
        <v>66</v>
      </c>
      <c r="B71" s="66" t="str">
        <f t="shared" si="0"/>
        <v>CL_82_</v>
      </c>
      <c r="C71" s="1" t="s">
        <v>680</v>
      </c>
      <c r="D71" s="1">
        <v>82</v>
      </c>
      <c r="E71" s="1"/>
      <c r="F71" s="4" t="s">
        <v>884</v>
      </c>
      <c r="G71" s="16" t="str">
        <f t="shared" si="1"/>
        <v>Rancho La Cuchilla No. 82</v>
      </c>
      <c r="H71" s="41" t="s">
        <v>155</v>
      </c>
      <c r="I71" s="44" t="s">
        <v>84</v>
      </c>
      <c r="J71" s="127">
        <v>300</v>
      </c>
      <c r="K71" s="122"/>
    </row>
    <row r="72" spans="1:11" hidden="1" x14ac:dyDescent="0.2">
      <c r="A72" s="125">
        <v>67</v>
      </c>
      <c r="B72" s="66" t="str">
        <f t="shared" si="0"/>
        <v>CL_83_</v>
      </c>
      <c r="C72" s="1" t="s">
        <v>680</v>
      </c>
      <c r="D72" s="1">
        <v>83</v>
      </c>
      <c r="E72" s="1"/>
      <c r="F72" s="4" t="s">
        <v>884</v>
      </c>
      <c r="G72" s="16" t="str">
        <f t="shared" si="1"/>
        <v>Rancho La Cuchilla No. 83</v>
      </c>
      <c r="H72" s="41" t="s">
        <v>85</v>
      </c>
      <c r="I72" s="44" t="s">
        <v>86</v>
      </c>
      <c r="J72" s="127">
        <v>300</v>
      </c>
      <c r="K72" s="122"/>
    </row>
    <row r="73" spans="1:11" hidden="1" x14ac:dyDescent="0.2">
      <c r="A73" s="125">
        <v>68</v>
      </c>
      <c r="B73" s="66" t="str">
        <f t="shared" si="0"/>
        <v>CL_86_</v>
      </c>
      <c r="C73" s="1" t="s">
        <v>680</v>
      </c>
      <c r="D73" s="1">
        <v>86</v>
      </c>
      <c r="E73" s="1"/>
      <c r="F73" s="4" t="s">
        <v>884</v>
      </c>
      <c r="G73" s="16" t="str">
        <f t="shared" si="1"/>
        <v>Rancho La Cuchilla No. 86</v>
      </c>
      <c r="H73" s="41" t="s">
        <v>87</v>
      </c>
      <c r="I73" s="44" t="s">
        <v>88</v>
      </c>
      <c r="J73" s="127">
        <v>300</v>
      </c>
      <c r="K73" s="122"/>
    </row>
    <row r="74" spans="1:11" hidden="1" x14ac:dyDescent="0.2">
      <c r="A74" s="125">
        <v>69</v>
      </c>
      <c r="B74" s="66" t="str">
        <f t="shared" si="0"/>
        <v>CL_87_</v>
      </c>
      <c r="C74" s="1" t="s">
        <v>680</v>
      </c>
      <c r="D74" s="1">
        <v>87</v>
      </c>
      <c r="E74" s="1"/>
      <c r="F74" s="4" t="s">
        <v>884</v>
      </c>
      <c r="G74" s="16" t="str">
        <f t="shared" si="1"/>
        <v>Rancho La Cuchilla No. 87</v>
      </c>
      <c r="H74" s="41" t="s">
        <v>156</v>
      </c>
      <c r="I74" s="44" t="s">
        <v>1206</v>
      </c>
      <c r="J74" s="127">
        <v>300</v>
      </c>
      <c r="K74" s="122"/>
    </row>
    <row r="75" spans="1:11" hidden="1" x14ac:dyDescent="0.2">
      <c r="A75" s="125">
        <v>70</v>
      </c>
      <c r="B75" s="110" t="str">
        <f t="shared" ref="B75" si="15">CONCATENATE(C75,"_",D75,"_",E75)</f>
        <v>CL_88_</v>
      </c>
      <c r="C75" s="1" t="s">
        <v>680</v>
      </c>
      <c r="D75" s="1">
        <v>88</v>
      </c>
      <c r="E75" s="1"/>
      <c r="F75" s="4" t="s">
        <v>884</v>
      </c>
      <c r="G75" s="16" t="str">
        <f t="shared" ref="G75" si="16">IF(E75=0,CONCATENATE(F75," No. ",D75),CONCATENATE(F75," No. ",D75,", ",E75))</f>
        <v>Rancho La Cuchilla No. 88</v>
      </c>
      <c r="H75" s="41"/>
      <c r="I75" s="44"/>
      <c r="J75" s="127">
        <v>300</v>
      </c>
      <c r="K75" s="122" t="s">
        <v>1316</v>
      </c>
    </row>
    <row r="76" spans="1:11" hidden="1" x14ac:dyDescent="0.2">
      <c r="A76" s="125">
        <v>71</v>
      </c>
      <c r="B76" s="66" t="str">
        <f t="shared" si="0"/>
        <v>CL_89_</v>
      </c>
      <c r="C76" s="1" t="s">
        <v>680</v>
      </c>
      <c r="D76" s="1">
        <v>89</v>
      </c>
      <c r="E76" s="1"/>
      <c r="F76" s="4" t="s">
        <v>884</v>
      </c>
      <c r="G76" s="16" t="str">
        <f t="shared" si="1"/>
        <v>Rancho La Cuchilla No. 89</v>
      </c>
      <c r="H76" s="41" t="s">
        <v>157</v>
      </c>
      <c r="I76" s="44" t="s">
        <v>1207</v>
      </c>
      <c r="J76" s="127">
        <v>300</v>
      </c>
      <c r="K76" s="122"/>
    </row>
    <row r="77" spans="1:11" hidden="1" x14ac:dyDescent="0.2">
      <c r="A77" s="125">
        <v>72</v>
      </c>
      <c r="B77" s="66" t="str">
        <f t="shared" si="0"/>
        <v>CL_90_</v>
      </c>
      <c r="C77" s="1" t="s">
        <v>680</v>
      </c>
      <c r="D77" s="1">
        <v>90</v>
      </c>
      <c r="E77" s="1"/>
      <c r="F77" s="4" t="s">
        <v>884</v>
      </c>
      <c r="G77" s="16" t="str">
        <f t="shared" si="1"/>
        <v>Rancho La Cuchilla No. 90</v>
      </c>
      <c r="H77" s="41" t="s">
        <v>158</v>
      </c>
      <c r="I77" s="44" t="s">
        <v>89</v>
      </c>
      <c r="J77" s="127">
        <v>150</v>
      </c>
      <c r="K77" s="122"/>
    </row>
    <row r="78" spans="1:11" hidden="1" x14ac:dyDescent="0.2">
      <c r="A78" s="125">
        <v>73</v>
      </c>
      <c r="B78" s="66" t="str">
        <f t="shared" ref="B78:B145" si="17">CONCATENATE(C78,"_",D78,"_",E78)</f>
        <v>CL_91_</v>
      </c>
      <c r="C78" s="1" t="s">
        <v>680</v>
      </c>
      <c r="D78" s="1">
        <v>91</v>
      </c>
      <c r="E78" s="1"/>
      <c r="F78" s="4" t="s">
        <v>884</v>
      </c>
      <c r="G78" s="16" t="str">
        <f t="shared" si="1"/>
        <v>Rancho La Cuchilla No. 91</v>
      </c>
      <c r="H78" s="41" t="s">
        <v>159</v>
      </c>
      <c r="I78" s="44" t="s">
        <v>90</v>
      </c>
      <c r="J78" s="127">
        <v>300</v>
      </c>
      <c r="K78" s="122"/>
    </row>
    <row r="79" spans="1:11" hidden="1" x14ac:dyDescent="0.2">
      <c r="A79" s="125">
        <v>74</v>
      </c>
      <c r="B79" s="66" t="str">
        <f t="shared" si="17"/>
        <v>CL_92_</v>
      </c>
      <c r="C79" s="1" t="s">
        <v>680</v>
      </c>
      <c r="D79" s="1">
        <v>92</v>
      </c>
      <c r="E79" s="1"/>
      <c r="F79" s="4" t="s">
        <v>884</v>
      </c>
      <c r="G79" s="16" t="str">
        <f t="shared" ref="G79:G118" si="18">IF(E79=0,CONCATENATE(F79," No. ",D79),CONCATENATE(F79," No. ",D79,", ",E79))</f>
        <v>Rancho La Cuchilla No. 92</v>
      </c>
      <c r="H79" s="41" t="s">
        <v>160</v>
      </c>
      <c r="I79" s="44" t="s">
        <v>91</v>
      </c>
      <c r="J79" s="127">
        <v>300</v>
      </c>
      <c r="K79" s="122"/>
    </row>
    <row r="80" spans="1:11" hidden="1" x14ac:dyDescent="0.2">
      <c r="A80" s="125">
        <v>75</v>
      </c>
      <c r="B80" s="66" t="str">
        <f t="shared" si="17"/>
        <v>CL_93_</v>
      </c>
      <c r="C80" s="1" t="s">
        <v>680</v>
      </c>
      <c r="D80" s="1">
        <v>93</v>
      </c>
      <c r="E80" s="1"/>
      <c r="F80" s="4" t="s">
        <v>884</v>
      </c>
      <c r="G80" s="16" t="str">
        <f t="shared" si="18"/>
        <v>Rancho La Cuchilla No. 93</v>
      </c>
      <c r="H80" s="41" t="s">
        <v>161</v>
      </c>
      <c r="I80" s="44" t="s">
        <v>92</v>
      </c>
      <c r="J80" s="127">
        <v>300</v>
      </c>
      <c r="K80" s="122"/>
    </row>
    <row r="81" spans="1:11" hidden="1" x14ac:dyDescent="0.2">
      <c r="A81" s="125">
        <v>76</v>
      </c>
      <c r="B81" s="66" t="str">
        <f t="shared" si="17"/>
        <v>CL_94_</v>
      </c>
      <c r="C81" s="1" t="s">
        <v>680</v>
      </c>
      <c r="D81" s="1">
        <v>94</v>
      </c>
      <c r="E81" s="1"/>
      <c r="F81" s="4" t="s">
        <v>884</v>
      </c>
      <c r="G81" s="16" t="str">
        <f t="shared" si="18"/>
        <v>Rancho La Cuchilla No. 94</v>
      </c>
      <c r="H81" s="41" t="s">
        <v>162</v>
      </c>
      <c r="I81" s="44" t="s">
        <v>93</v>
      </c>
      <c r="J81" s="127">
        <v>300</v>
      </c>
      <c r="K81" s="122"/>
    </row>
    <row r="82" spans="1:11" hidden="1" x14ac:dyDescent="0.2">
      <c r="A82" s="125">
        <v>77</v>
      </c>
      <c r="B82" s="66" t="str">
        <f t="shared" si="17"/>
        <v>CL_95_</v>
      </c>
      <c r="C82" s="1" t="s">
        <v>680</v>
      </c>
      <c r="D82" s="1">
        <v>95</v>
      </c>
      <c r="E82" s="1"/>
      <c r="F82" s="4" t="s">
        <v>884</v>
      </c>
      <c r="G82" s="16" t="str">
        <f t="shared" si="18"/>
        <v>Rancho La Cuchilla No. 95</v>
      </c>
      <c r="H82" s="41" t="s">
        <v>94</v>
      </c>
      <c r="I82" s="44" t="s">
        <v>95</v>
      </c>
      <c r="J82" s="127">
        <v>300</v>
      </c>
      <c r="K82" s="122"/>
    </row>
    <row r="83" spans="1:11" hidden="1" x14ac:dyDescent="0.2">
      <c r="A83" s="125">
        <v>78</v>
      </c>
      <c r="B83" s="66" t="str">
        <f t="shared" si="17"/>
        <v>CL_96_</v>
      </c>
      <c r="C83" s="1" t="s">
        <v>680</v>
      </c>
      <c r="D83" s="1">
        <v>96</v>
      </c>
      <c r="E83" s="1"/>
      <c r="F83" s="4" t="s">
        <v>884</v>
      </c>
      <c r="G83" s="16" t="str">
        <f t="shared" si="18"/>
        <v>Rancho La Cuchilla No. 96</v>
      </c>
      <c r="H83" s="41" t="s">
        <v>96</v>
      </c>
      <c r="I83" s="44" t="s">
        <v>1235</v>
      </c>
      <c r="J83" s="127">
        <v>300</v>
      </c>
      <c r="K83" s="122"/>
    </row>
    <row r="84" spans="1:11" hidden="1" x14ac:dyDescent="0.2">
      <c r="A84" s="125">
        <v>79</v>
      </c>
      <c r="B84" s="66" t="str">
        <f t="shared" si="17"/>
        <v>CL_97_</v>
      </c>
      <c r="C84" s="1" t="s">
        <v>680</v>
      </c>
      <c r="D84" s="1">
        <v>97</v>
      </c>
      <c r="E84" s="1"/>
      <c r="F84" s="4" t="s">
        <v>884</v>
      </c>
      <c r="G84" s="16" t="str">
        <f t="shared" si="18"/>
        <v>Rancho La Cuchilla No. 97</v>
      </c>
      <c r="H84" s="41" t="s">
        <v>98</v>
      </c>
      <c r="I84" s="44" t="s">
        <v>99</v>
      </c>
      <c r="J84" s="127">
        <v>300</v>
      </c>
      <c r="K84" s="122"/>
    </row>
    <row r="85" spans="1:11" hidden="1" x14ac:dyDescent="0.2">
      <c r="A85" s="125">
        <v>80</v>
      </c>
      <c r="B85" s="66" t="str">
        <f t="shared" si="17"/>
        <v>CL_101_</v>
      </c>
      <c r="C85" s="1" t="s">
        <v>680</v>
      </c>
      <c r="D85" s="1">
        <v>101</v>
      </c>
      <c r="E85" s="1"/>
      <c r="F85" s="4" t="s">
        <v>884</v>
      </c>
      <c r="G85" s="16" t="str">
        <f t="shared" si="18"/>
        <v>Rancho La Cuchilla No. 101</v>
      </c>
      <c r="H85" s="41" t="s">
        <v>100</v>
      </c>
      <c r="I85" s="44" t="s">
        <v>101</v>
      </c>
      <c r="J85" s="127">
        <v>300</v>
      </c>
      <c r="K85" s="122"/>
    </row>
    <row r="86" spans="1:11" hidden="1" x14ac:dyDescent="0.2">
      <c r="A86" s="125">
        <v>81</v>
      </c>
      <c r="B86" s="66" t="str">
        <f t="shared" si="17"/>
        <v>CL_107_</v>
      </c>
      <c r="C86" s="1" t="s">
        <v>680</v>
      </c>
      <c r="D86" s="1">
        <v>107</v>
      </c>
      <c r="E86" s="1"/>
      <c r="F86" s="4" t="s">
        <v>884</v>
      </c>
      <c r="G86" s="16" t="str">
        <f t="shared" si="18"/>
        <v>Rancho La Cuchilla No. 107</v>
      </c>
      <c r="H86" s="41" t="s">
        <v>102</v>
      </c>
      <c r="I86" s="44" t="s">
        <v>103</v>
      </c>
      <c r="J86" s="127">
        <v>300</v>
      </c>
      <c r="K86" s="122"/>
    </row>
    <row r="87" spans="1:11" hidden="1" x14ac:dyDescent="0.2">
      <c r="A87" s="125">
        <v>82</v>
      </c>
      <c r="B87" s="66" t="str">
        <f t="shared" si="17"/>
        <v>CL_110_</v>
      </c>
      <c r="C87" s="1" t="s">
        <v>680</v>
      </c>
      <c r="D87" s="1">
        <v>110</v>
      </c>
      <c r="E87" s="1"/>
      <c r="F87" s="4" t="s">
        <v>884</v>
      </c>
      <c r="G87" s="16" t="str">
        <f t="shared" si="18"/>
        <v>Rancho La Cuchilla No. 110</v>
      </c>
      <c r="H87" s="41" t="s">
        <v>163</v>
      </c>
      <c r="I87" s="44" t="s">
        <v>1666</v>
      </c>
      <c r="J87" s="127">
        <v>300</v>
      </c>
      <c r="K87" s="122"/>
    </row>
    <row r="88" spans="1:11" hidden="1" x14ac:dyDescent="0.2">
      <c r="A88" s="125">
        <v>83</v>
      </c>
      <c r="B88" s="66" t="str">
        <f t="shared" si="17"/>
        <v>CL_111_</v>
      </c>
      <c r="C88" s="1" t="s">
        <v>680</v>
      </c>
      <c r="D88" s="1">
        <v>111</v>
      </c>
      <c r="E88" s="1"/>
      <c r="F88" s="4" t="s">
        <v>884</v>
      </c>
      <c r="G88" s="16" t="str">
        <f t="shared" si="18"/>
        <v>Rancho La Cuchilla No. 111</v>
      </c>
      <c r="H88" s="41" t="s">
        <v>164</v>
      </c>
      <c r="I88" s="44" t="s">
        <v>1969</v>
      </c>
      <c r="J88" s="127">
        <v>150</v>
      </c>
      <c r="K88" s="122"/>
    </row>
    <row r="89" spans="1:11" hidden="1" x14ac:dyDescent="0.2">
      <c r="A89" s="125">
        <v>84</v>
      </c>
      <c r="B89" s="66" t="str">
        <f t="shared" si="17"/>
        <v>CL_112_PA</v>
      </c>
      <c r="C89" s="1" t="s">
        <v>680</v>
      </c>
      <c r="D89" s="1">
        <v>112</v>
      </c>
      <c r="E89" s="1" t="s">
        <v>675</v>
      </c>
      <c r="F89" s="4" t="s">
        <v>884</v>
      </c>
      <c r="G89" s="16" t="str">
        <f t="shared" si="18"/>
        <v>Rancho La Cuchilla No. 112, PA</v>
      </c>
      <c r="H89" s="41" t="s">
        <v>107</v>
      </c>
      <c r="I89" s="44" t="s">
        <v>108</v>
      </c>
      <c r="J89" s="127">
        <v>150</v>
      </c>
      <c r="K89" s="122"/>
    </row>
    <row r="90" spans="1:11" hidden="1" x14ac:dyDescent="0.2">
      <c r="A90" s="125">
        <v>85</v>
      </c>
      <c r="B90" s="66" t="str">
        <f t="shared" si="17"/>
        <v>CL_112_PB</v>
      </c>
      <c r="C90" s="1" t="s">
        <v>680</v>
      </c>
      <c r="D90" s="1">
        <v>112</v>
      </c>
      <c r="E90" s="1" t="s">
        <v>674</v>
      </c>
      <c r="F90" s="4" t="s">
        <v>884</v>
      </c>
      <c r="G90" s="16" t="str">
        <f t="shared" si="18"/>
        <v>Rancho La Cuchilla No. 112, PB</v>
      </c>
      <c r="H90" s="41" t="s">
        <v>106</v>
      </c>
      <c r="I90" s="45" t="s">
        <v>1208</v>
      </c>
      <c r="J90" s="127">
        <v>150</v>
      </c>
      <c r="K90" s="122"/>
    </row>
    <row r="91" spans="1:11" hidden="1" x14ac:dyDescent="0.2">
      <c r="A91" s="125">
        <v>86</v>
      </c>
      <c r="B91" s="66" t="str">
        <f t="shared" si="17"/>
        <v>CL_115_</v>
      </c>
      <c r="C91" s="1" t="s">
        <v>680</v>
      </c>
      <c r="D91" s="1">
        <v>115</v>
      </c>
      <c r="E91" s="1"/>
      <c r="F91" s="4" t="s">
        <v>884</v>
      </c>
      <c r="G91" s="16" t="str">
        <f t="shared" si="18"/>
        <v>Rancho La Cuchilla No. 115</v>
      </c>
      <c r="H91" s="41" t="s">
        <v>109</v>
      </c>
      <c r="I91" s="44" t="s">
        <v>110</v>
      </c>
      <c r="J91" s="127">
        <v>300</v>
      </c>
      <c r="K91" s="122"/>
    </row>
    <row r="92" spans="1:11" hidden="1" x14ac:dyDescent="0.2">
      <c r="A92" s="125">
        <v>87</v>
      </c>
      <c r="B92" s="66" t="str">
        <f t="shared" si="17"/>
        <v>CL_116_</v>
      </c>
      <c r="C92" s="1" t="s">
        <v>680</v>
      </c>
      <c r="D92" s="1">
        <v>116</v>
      </c>
      <c r="E92" s="1"/>
      <c r="F92" s="4" t="s">
        <v>884</v>
      </c>
      <c r="G92" s="16" t="str">
        <f t="shared" si="18"/>
        <v>Rancho La Cuchilla No. 116</v>
      </c>
      <c r="H92" s="41" t="s">
        <v>111</v>
      </c>
      <c r="I92" s="44" t="s">
        <v>112</v>
      </c>
      <c r="J92" s="127">
        <v>300</v>
      </c>
      <c r="K92" s="122"/>
    </row>
    <row r="93" spans="1:11" hidden="1" x14ac:dyDescent="0.2">
      <c r="A93" s="125">
        <v>88</v>
      </c>
      <c r="B93" s="66" t="str">
        <f t="shared" si="17"/>
        <v>CL_117_</v>
      </c>
      <c r="C93" s="1" t="s">
        <v>680</v>
      </c>
      <c r="D93" s="1">
        <v>117</v>
      </c>
      <c r="E93" s="1"/>
      <c r="F93" s="4" t="s">
        <v>884</v>
      </c>
      <c r="G93" s="16" t="str">
        <f t="shared" si="18"/>
        <v>Rancho La Cuchilla No. 117</v>
      </c>
      <c r="H93" s="41" t="s">
        <v>165</v>
      </c>
      <c r="I93" s="44" t="s">
        <v>113</v>
      </c>
      <c r="J93" s="127">
        <v>300</v>
      </c>
      <c r="K93" s="122"/>
    </row>
    <row r="94" spans="1:11" hidden="1" x14ac:dyDescent="0.2">
      <c r="A94" s="125">
        <v>89</v>
      </c>
      <c r="B94" s="66" t="str">
        <f t="shared" si="17"/>
        <v>CL_118_</v>
      </c>
      <c r="C94" s="1" t="s">
        <v>680</v>
      </c>
      <c r="D94" s="1">
        <v>118</v>
      </c>
      <c r="E94" s="1"/>
      <c r="F94" s="4" t="s">
        <v>884</v>
      </c>
      <c r="G94" s="16" t="str">
        <f t="shared" si="18"/>
        <v>Rancho La Cuchilla No. 118</v>
      </c>
      <c r="H94" s="41" t="s">
        <v>114</v>
      </c>
      <c r="I94" s="44" t="s">
        <v>115</v>
      </c>
      <c r="J94" s="127">
        <v>300</v>
      </c>
      <c r="K94" s="122"/>
    </row>
    <row r="95" spans="1:11" hidden="1" x14ac:dyDescent="0.2">
      <c r="A95" s="125">
        <v>90</v>
      </c>
      <c r="B95" s="66" t="str">
        <f t="shared" si="17"/>
        <v>CL_119_</v>
      </c>
      <c r="C95" s="1" t="s">
        <v>680</v>
      </c>
      <c r="D95" s="1">
        <v>119</v>
      </c>
      <c r="E95" s="1"/>
      <c r="F95" s="4" t="s">
        <v>884</v>
      </c>
      <c r="G95" s="16" t="str">
        <f t="shared" si="18"/>
        <v>Rancho La Cuchilla No. 119</v>
      </c>
      <c r="H95" s="41" t="s">
        <v>116</v>
      </c>
      <c r="I95" s="44" t="s">
        <v>117</v>
      </c>
      <c r="J95" s="127">
        <v>300</v>
      </c>
      <c r="K95" s="122"/>
    </row>
    <row r="96" spans="1:11" hidden="1" x14ac:dyDescent="0.2">
      <c r="A96" s="125">
        <v>91</v>
      </c>
      <c r="B96" s="66" t="str">
        <f t="shared" si="17"/>
        <v>CL_120_</v>
      </c>
      <c r="C96" s="1" t="s">
        <v>680</v>
      </c>
      <c r="D96" s="1">
        <v>120</v>
      </c>
      <c r="E96" s="1"/>
      <c r="F96" s="4" t="s">
        <v>884</v>
      </c>
      <c r="G96" s="16" t="str">
        <f t="shared" si="18"/>
        <v>Rancho La Cuchilla No. 120</v>
      </c>
      <c r="H96" s="41" t="s">
        <v>166</v>
      </c>
      <c r="I96" s="44" t="s">
        <v>118</v>
      </c>
      <c r="J96" s="127">
        <v>300</v>
      </c>
      <c r="K96" s="122"/>
    </row>
    <row r="97" spans="1:11" hidden="1" x14ac:dyDescent="0.2">
      <c r="A97" s="125">
        <v>92</v>
      </c>
      <c r="B97" s="66" t="str">
        <f t="shared" si="17"/>
        <v>CL_121_</v>
      </c>
      <c r="C97" s="1" t="s">
        <v>680</v>
      </c>
      <c r="D97" s="1">
        <v>121</v>
      </c>
      <c r="E97" s="1"/>
      <c r="F97" s="4" t="s">
        <v>884</v>
      </c>
      <c r="G97" s="16" t="str">
        <f t="shared" si="18"/>
        <v>Rancho La Cuchilla No. 121</v>
      </c>
      <c r="H97" s="41" t="s">
        <v>167</v>
      </c>
      <c r="I97" s="44" t="s">
        <v>119</v>
      </c>
      <c r="J97" s="127">
        <v>300</v>
      </c>
      <c r="K97" s="122"/>
    </row>
    <row r="98" spans="1:11" hidden="1" x14ac:dyDescent="0.2">
      <c r="A98" s="125">
        <v>93</v>
      </c>
      <c r="B98" s="66" t="str">
        <f t="shared" si="17"/>
        <v>CL_122_</v>
      </c>
      <c r="C98" s="1" t="s">
        <v>680</v>
      </c>
      <c r="D98" s="1">
        <v>122</v>
      </c>
      <c r="E98" s="1"/>
      <c r="F98" s="4" t="s">
        <v>884</v>
      </c>
      <c r="G98" s="16" t="str">
        <f t="shared" si="18"/>
        <v>Rancho La Cuchilla No. 122</v>
      </c>
      <c r="H98" s="41" t="s">
        <v>120</v>
      </c>
      <c r="I98" s="44" t="s">
        <v>35</v>
      </c>
      <c r="J98" s="127">
        <v>300</v>
      </c>
      <c r="K98" s="122"/>
    </row>
    <row r="99" spans="1:11" hidden="1" x14ac:dyDescent="0.2">
      <c r="A99" s="125">
        <v>94</v>
      </c>
      <c r="B99" s="66" t="str">
        <f t="shared" si="17"/>
        <v>CL_125_</v>
      </c>
      <c r="C99" s="1" t="s">
        <v>680</v>
      </c>
      <c r="D99" s="1">
        <v>125</v>
      </c>
      <c r="E99" s="1"/>
      <c r="F99" s="4" t="s">
        <v>884</v>
      </c>
      <c r="G99" s="16" t="str">
        <f t="shared" si="18"/>
        <v>Rancho La Cuchilla No. 125</v>
      </c>
      <c r="H99" s="41" t="s">
        <v>121</v>
      </c>
      <c r="I99" s="44" t="s">
        <v>122</v>
      </c>
      <c r="J99" s="127">
        <v>300</v>
      </c>
      <c r="K99" s="122"/>
    </row>
    <row r="100" spans="1:11" hidden="1" x14ac:dyDescent="0.2">
      <c r="A100" s="125">
        <v>95</v>
      </c>
      <c r="B100" s="66" t="str">
        <f t="shared" si="17"/>
        <v>CL_127_</v>
      </c>
      <c r="C100" s="1" t="s">
        <v>680</v>
      </c>
      <c r="D100" s="1">
        <v>127</v>
      </c>
      <c r="E100" s="1"/>
      <c r="F100" s="4" t="s">
        <v>884</v>
      </c>
      <c r="G100" s="16" t="str">
        <f t="shared" si="18"/>
        <v>Rancho La Cuchilla No. 127</v>
      </c>
      <c r="H100" s="41" t="s">
        <v>168</v>
      </c>
      <c r="I100" s="44" t="s">
        <v>123</v>
      </c>
      <c r="J100" s="127">
        <v>300</v>
      </c>
      <c r="K100" s="122"/>
    </row>
    <row r="101" spans="1:11" hidden="1" x14ac:dyDescent="0.2">
      <c r="A101" s="125">
        <v>96</v>
      </c>
      <c r="B101" s="66" t="str">
        <f t="shared" si="17"/>
        <v>CL_129_</v>
      </c>
      <c r="C101" s="1" t="s">
        <v>680</v>
      </c>
      <c r="D101" s="1">
        <v>129</v>
      </c>
      <c r="E101" s="1"/>
      <c r="F101" s="4" t="s">
        <v>884</v>
      </c>
      <c r="G101" s="16" t="str">
        <f t="shared" si="18"/>
        <v>Rancho La Cuchilla No. 129</v>
      </c>
      <c r="H101" s="41" t="s">
        <v>124</v>
      </c>
      <c r="I101" s="44" t="s">
        <v>1252</v>
      </c>
      <c r="J101" s="127">
        <v>200</v>
      </c>
      <c r="K101" s="122"/>
    </row>
    <row r="102" spans="1:11" hidden="1" x14ac:dyDescent="0.2">
      <c r="A102" s="125">
        <v>97</v>
      </c>
      <c r="B102" s="66" t="str">
        <f t="shared" si="17"/>
        <v>CL_130_</v>
      </c>
      <c r="C102" s="1" t="s">
        <v>680</v>
      </c>
      <c r="D102" s="1">
        <v>130</v>
      </c>
      <c r="E102" s="1"/>
      <c r="F102" s="4" t="s">
        <v>884</v>
      </c>
      <c r="G102" s="16" t="str">
        <f t="shared" si="18"/>
        <v>Rancho La Cuchilla No. 130</v>
      </c>
      <c r="H102" s="41" t="s">
        <v>169</v>
      </c>
      <c r="I102" s="44" t="s">
        <v>125</v>
      </c>
      <c r="J102" s="127">
        <v>300</v>
      </c>
      <c r="K102" s="122"/>
    </row>
    <row r="103" spans="1:11" hidden="1" x14ac:dyDescent="0.2">
      <c r="A103" s="125">
        <v>98</v>
      </c>
      <c r="B103" s="66" t="str">
        <f t="shared" si="17"/>
        <v>CL_131_</v>
      </c>
      <c r="C103" s="1" t="s">
        <v>680</v>
      </c>
      <c r="D103" s="1">
        <v>131</v>
      </c>
      <c r="E103" s="1"/>
      <c r="F103" s="4" t="s">
        <v>884</v>
      </c>
      <c r="G103" s="16" t="str">
        <f t="shared" si="18"/>
        <v>Rancho La Cuchilla No. 131</v>
      </c>
      <c r="H103" s="41" t="s">
        <v>170</v>
      </c>
      <c r="I103" s="44" t="s">
        <v>1724</v>
      </c>
      <c r="J103" s="127">
        <v>300</v>
      </c>
      <c r="K103" s="122"/>
    </row>
    <row r="104" spans="1:11" hidden="1" x14ac:dyDescent="0.2">
      <c r="A104" s="125">
        <v>99</v>
      </c>
      <c r="B104" s="66" t="str">
        <f t="shared" si="17"/>
        <v>CL_132_</v>
      </c>
      <c r="C104" s="1" t="s">
        <v>680</v>
      </c>
      <c r="D104" s="1">
        <v>132</v>
      </c>
      <c r="E104" s="1"/>
      <c r="F104" s="4" t="s">
        <v>884</v>
      </c>
      <c r="G104" s="16" t="str">
        <f t="shared" si="18"/>
        <v>Rancho La Cuchilla No. 132</v>
      </c>
      <c r="H104" s="41" t="s">
        <v>171</v>
      </c>
      <c r="I104" s="44" t="s">
        <v>127</v>
      </c>
      <c r="J104" s="127">
        <v>300</v>
      </c>
      <c r="K104" s="122"/>
    </row>
    <row r="105" spans="1:11" hidden="1" x14ac:dyDescent="0.2">
      <c r="A105" s="125">
        <v>100</v>
      </c>
      <c r="B105" s="66" t="str">
        <f t="shared" si="17"/>
        <v>CL_133_</v>
      </c>
      <c r="C105" s="1" t="s">
        <v>680</v>
      </c>
      <c r="D105" s="1">
        <v>133</v>
      </c>
      <c r="E105" s="1"/>
      <c r="F105" s="4" t="s">
        <v>884</v>
      </c>
      <c r="G105" s="16" t="str">
        <f t="shared" si="18"/>
        <v>Rancho La Cuchilla No. 133</v>
      </c>
      <c r="H105" s="41" t="s">
        <v>128</v>
      </c>
      <c r="I105" s="44" t="s">
        <v>430</v>
      </c>
      <c r="J105" s="127">
        <v>300</v>
      </c>
      <c r="K105" s="122"/>
    </row>
    <row r="106" spans="1:11" hidden="1" x14ac:dyDescent="0.2">
      <c r="A106" s="125">
        <v>101</v>
      </c>
      <c r="B106" s="66" t="str">
        <f t="shared" si="17"/>
        <v>CL_134_</v>
      </c>
      <c r="C106" s="1" t="s">
        <v>680</v>
      </c>
      <c r="D106" s="1">
        <v>134</v>
      </c>
      <c r="E106" s="1"/>
      <c r="F106" s="4" t="s">
        <v>884</v>
      </c>
      <c r="G106" s="16" t="str">
        <f t="shared" si="18"/>
        <v>Rancho La Cuchilla No. 134</v>
      </c>
      <c r="H106" s="41" t="s">
        <v>172</v>
      </c>
      <c r="I106" s="44" t="s">
        <v>129</v>
      </c>
      <c r="J106" s="127">
        <v>300</v>
      </c>
      <c r="K106" s="122"/>
    </row>
    <row r="107" spans="1:11" hidden="1" x14ac:dyDescent="0.2">
      <c r="A107" s="125">
        <v>102</v>
      </c>
      <c r="B107" s="66" t="str">
        <f t="shared" si="17"/>
        <v>CL_135_</v>
      </c>
      <c r="C107" s="1" t="s">
        <v>680</v>
      </c>
      <c r="D107" s="1">
        <v>135</v>
      </c>
      <c r="E107" s="1"/>
      <c r="F107" s="4" t="s">
        <v>884</v>
      </c>
      <c r="G107" s="16" t="str">
        <f t="shared" si="18"/>
        <v>Rancho La Cuchilla No. 135</v>
      </c>
      <c r="H107" s="41" t="s">
        <v>130</v>
      </c>
      <c r="I107" s="44" t="s">
        <v>131</v>
      </c>
      <c r="J107" s="127">
        <v>300</v>
      </c>
      <c r="K107" s="122"/>
    </row>
    <row r="108" spans="1:11" hidden="1" x14ac:dyDescent="0.2">
      <c r="A108" s="125">
        <v>103</v>
      </c>
      <c r="B108" s="110" t="str">
        <f t="shared" ref="B108" si="19">CONCATENATE(C108,"_",D108,"_",E108)</f>
        <v>CL_137_</v>
      </c>
      <c r="C108" s="1" t="s">
        <v>680</v>
      </c>
      <c r="D108" s="1">
        <v>137</v>
      </c>
      <c r="E108" s="1"/>
      <c r="F108" s="4" t="s">
        <v>884</v>
      </c>
      <c r="G108" s="16" t="str">
        <f t="shared" ref="G108" si="20">IF(E108=0,CONCATENATE(F108," No. ",D108),CONCATENATE(F108," No. ",D108,", ",E108))</f>
        <v>Rancho La Cuchilla No. 137</v>
      </c>
      <c r="H108" s="41"/>
      <c r="I108" s="44"/>
      <c r="J108" s="127">
        <v>300</v>
      </c>
      <c r="K108" s="122" t="s">
        <v>1316</v>
      </c>
    </row>
    <row r="109" spans="1:11" hidden="1" x14ac:dyDescent="0.2">
      <c r="A109" s="125">
        <v>104</v>
      </c>
      <c r="B109" s="66" t="str">
        <f t="shared" si="17"/>
        <v>CL_139_</v>
      </c>
      <c r="C109" s="1" t="s">
        <v>680</v>
      </c>
      <c r="D109" s="1">
        <v>139</v>
      </c>
      <c r="E109" s="1"/>
      <c r="F109" s="4" t="s">
        <v>884</v>
      </c>
      <c r="G109" s="16" t="str">
        <f t="shared" si="18"/>
        <v>Rancho La Cuchilla No. 139</v>
      </c>
      <c r="H109" s="41" t="s">
        <v>132</v>
      </c>
      <c r="I109" s="44" t="s">
        <v>133</v>
      </c>
      <c r="J109" s="127">
        <v>200</v>
      </c>
      <c r="K109" s="122"/>
    </row>
    <row r="110" spans="1:11" hidden="1" x14ac:dyDescent="0.2">
      <c r="A110" s="125">
        <v>105</v>
      </c>
      <c r="B110" s="66" t="str">
        <f t="shared" si="17"/>
        <v>CL_141_</v>
      </c>
      <c r="C110" s="1" t="s">
        <v>680</v>
      </c>
      <c r="D110" s="1">
        <v>141</v>
      </c>
      <c r="E110" s="1"/>
      <c r="F110" s="4" t="s">
        <v>884</v>
      </c>
      <c r="G110" s="16" t="str">
        <f t="shared" si="18"/>
        <v>Rancho La Cuchilla No. 141</v>
      </c>
      <c r="H110" s="41" t="s">
        <v>173</v>
      </c>
      <c r="I110" s="44" t="s">
        <v>1725</v>
      </c>
      <c r="J110" s="127">
        <v>300</v>
      </c>
      <c r="K110" s="122"/>
    </row>
    <row r="111" spans="1:11" hidden="1" x14ac:dyDescent="0.2">
      <c r="A111" s="125">
        <v>106</v>
      </c>
      <c r="B111" s="110" t="str">
        <f t="shared" ref="B111" si="21">CONCATENATE(C111,"_",D111,"_",E111)</f>
        <v>CL_144_</v>
      </c>
      <c r="C111" s="1" t="s">
        <v>680</v>
      </c>
      <c r="D111" s="1">
        <v>144</v>
      </c>
      <c r="E111" s="1"/>
      <c r="F111" s="4" t="s">
        <v>884</v>
      </c>
      <c r="G111" s="16" t="str">
        <f t="shared" ref="G111" si="22">IF(E111=0,CONCATENATE(F111," No. ",D111),CONCATENATE(F111," No. ",D111,", ",E111))</f>
        <v>Rancho La Cuchilla No. 144</v>
      </c>
      <c r="H111" s="41"/>
      <c r="I111" s="44"/>
      <c r="J111" s="127">
        <v>300</v>
      </c>
      <c r="K111" s="122" t="s">
        <v>1316</v>
      </c>
    </row>
    <row r="112" spans="1:11" hidden="1" x14ac:dyDescent="0.2">
      <c r="A112" s="125">
        <v>107</v>
      </c>
      <c r="B112" s="66" t="str">
        <f t="shared" si="17"/>
        <v>CL_145_</v>
      </c>
      <c r="C112" s="1" t="s">
        <v>680</v>
      </c>
      <c r="D112" s="1">
        <v>145</v>
      </c>
      <c r="E112" s="1"/>
      <c r="F112" s="4" t="s">
        <v>884</v>
      </c>
      <c r="G112" s="16" t="str">
        <f t="shared" si="18"/>
        <v>Rancho La Cuchilla No. 145</v>
      </c>
      <c r="H112" s="41" t="s">
        <v>174</v>
      </c>
      <c r="I112" s="44" t="s">
        <v>1209</v>
      </c>
      <c r="J112" s="127">
        <v>300</v>
      </c>
      <c r="K112" s="122"/>
    </row>
    <row r="113" spans="1:11" ht="14.25" hidden="1" x14ac:dyDescent="0.2">
      <c r="A113" s="125">
        <v>108</v>
      </c>
      <c r="B113" s="66" t="str">
        <f t="shared" si="17"/>
        <v>CL_147_</v>
      </c>
      <c r="C113" s="1" t="s">
        <v>680</v>
      </c>
      <c r="D113" s="1">
        <v>147</v>
      </c>
      <c r="E113" s="1"/>
      <c r="F113" s="4" t="s">
        <v>884</v>
      </c>
      <c r="G113" s="16" t="str">
        <f t="shared" si="18"/>
        <v>Rancho La Cuchilla No. 147</v>
      </c>
      <c r="H113" s="41" t="s">
        <v>134</v>
      </c>
      <c r="I113" s="46"/>
      <c r="J113" s="127">
        <v>300</v>
      </c>
      <c r="K113" s="122"/>
    </row>
    <row r="114" spans="1:11" hidden="1" x14ac:dyDescent="0.2">
      <c r="A114" s="125">
        <v>109</v>
      </c>
      <c r="B114" s="66" t="str">
        <f t="shared" si="17"/>
        <v>CL_148_</v>
      </c>
      <c r="C114" s="1" t="s">
        <v>680</v>
      </c>
      <c r="D114" s="1">
        <v>148</v>
      </c>
      <c r="E114" s="1"/>
      <c r="F114" s="4" t="s">
        <v>884</v>
      </c>
      <c r="G114" s="16" t="str">
        <f t="shared" si="18"/>
        <v>Rancho La Cuchilla No. 148</v>
      </c>
      <c r="H114" s="41" t="s">
        <v>175</v>
      </c>
      <c r="I114" s="44" t="s">
        <v>135</v>
      </c>
      <c r="J114" s="127">
        <v>300</v>
      </c>
      <c r="K114" s="122"/>
    </row>
    <row r="115" spans="1:11" hidden="1" x14ac:dyDescent="0.2">
      <c r="A115" s="125">
        <v>110</v>
      </c>
      <c r="B115" s="66" t="str">
        <f t="shared" si="17"/>
        <v>CL_149_</v>
      </c>
      <c r="C115" s="1" t="s">
        <v>680</v>
      </c>
      <c r="D115" s="1">
        <v>149</v>
      </c>
      <c r="E115" s="1"/>
      <c r="F115" s="4" t="s">
        <v>884</v>
      </c>
      <c r="G115" s="16" t="str">
        <f t="shared" si="18"/>
        <v>Rancho La Cuchilla No. 149</v>
      </c>
      <c r="H115" s="41" t="s">
        <v>176</v>
      </c>
      <c r="I115" s="44" t="s">
        <v>1210</v>
      </c>
      <c r="J115" s="127">
        <v>300</v>
      </c>
      <c r="K115" s="122"/>
    </row>
    <row r="116" spans="1:11" hidden="1" x14ac:dyDescent="0.2">
      <c r="A116" s="125">
        <v>111</v>
      </c>
      <c r="B116" s="66" t="str">
        <f t="shared" si="17"/>
        <v>CL_terreno_</v>
      </c>
      <c r="C116" s="1" t="s">
        <v>680</v>
      </c>
      <c r="D116" s="1" t="s">
        <v>676</v>
      </c>
      <c r="E116" s="1"/>
      <c r="F116" s="4" t="s">
        <v>884</v>
      </c>
      <c r="G116" s="16" t="str">
        <f t="shared" si="18"/>
        <v>Rancho La Cuchilla No. terreno</v>
      </c>
      <c r="H116" s="41" t="s">
        <v>136</v>
      </c>
      <c r="I116" s="44" t="s">
        <v>137</v>
      </c>
      <c r="J116" s="127">
        <v>300</v>
      </c>
      <c r="K116" s="122"/>
    </row>
    <row r="117" spans="1:11" hidden="1" x14ac:dyDescent="0.2">
      <c r="A117" s="125">
        <v>112</v>
      </c>
      <c r="B117" s="110" t="str">
        <f t="shared" si="17"/>
        <v>EP_15_</v>
      </c>
      <c r="C117" s="1" t="s">
        <v>679</v>
      </c>
      <c r="D117" s="1">
        <v>15</v>
      </c>
      <c r="E117" s="1"/>
      <c r="F117" s="1" t="s">
        <v>887</v>
      </c>
      <c r="G117" s="16" t="str">
        <f t="shared" si="18"/>
        <v>Rancho Estopila No. 15</v>
      </c>
      <c r="H117" s="41" t="s">
        <v>664</v>
      </c>
      <c r="I117" s="44" t="s">
        <v>665</v>
      </c>
      <c r="J117" s="127">
        <v>300</v>
      </c>
      <c r="K117" s="122" t="s">
        <v>1325</v>
      </c>
    </row>
    <row r="118" spans="1:11" hidden="1" x14ac:dyDescent="0.2">
      <c r="A118" s="125">
        <v>113</v>
      </c>
      <c r="B118" s="66" t="str">
        <f t="shared" si="17"/>
        <v>EP_18_</v>
      </c>
      <c r="C118" s="1" t="s">
        <v>679</v>
      </c>
      <c r="D118" s="1">
        <v>18</v>
      </c>
      <c r="E118" s="1"/>
      <c r="F118" s="1" t="s">
        <v>887</v>
      </c>
      <c r="G118" s="16" t="str">
        <f t="shared" si="18"/>
        <v>Rancho Estopila No. 18</v>
      </c>
      <c r="H118" s="41" t="s">
        <v>666</v>
      </c>
      <c r="I118" s="44" t="s">
        <v>667</v>
      </c>
      <c r="J118" s="127">
        <v>300</v>
      </c>
      <c r="K118" s="122"/>
    </row>
    <row r="119" spans="1:11" hidden="1" x14ac:dyDescent="0.2">
      <c r="A119" s="125">
        <v>114</v>
      </c>
      <c r="B119" s="66" t="str">
        <f t="shared" si="17"/>
        <v>EP_22_A</v>
      </c>
      <c r="C119" s="1" t="s">
        <v>679</v>
      </c>
      <c r="D119" s="1">
        <v>22</v>
      </c>
      <c r="E119" s="1" t="s">
        <v>672</v>
      </c>
      <c r="F119" s="1" t="s">
        <v>887</v>
      </c>
      <c r="G119" s="16" t="str">
        <f t="shared" ref="G119:G122" si="23">IF(E119=0,CONCATENATE(F119," No. ",D119),CONCATENATE(F119," No. ",D119,", ",E119))</f>
        <v>Rancho Estopila No. 22, A</v>
      </c>
      <c r="H119" s="41" t="s">
        <v>668</v>
      </c>
      <c r="I119" s="44" t="s">
        <v>669</v>
      </c>
      <c r="J119" s="127">
        <v>150</v>
      </c>
      <c r="K119" s="122"/>
    </row>
    <row r="120" spans="1:11" hidden="1" x14ac:dyDescent="0.2">
      <c r="A120" s="125">
        <v>115</v>
      </c>
      <c r="B120" s="110" t="str">
        <f t="shared" ref="B120" si="24">CONCATENATE(C120,"_",D120,"_",E120)</f>
        <v>EP_22_B</v>
      </c>
      <c r="C120" s="1" t="s">
        <v>679</v>
      </c>
      <c r="D120" s="1">
        <v>22</v>
      </c>
      <c r="E120" s="1" t="s">
        <v>673</v>
      </c>
      <c r="F120" s="1" t="s">
        <v>887</v>
      </c>
      <c r="G120" s="16" t="str">
        <f t="shared" ref="G120" si="25">IF(E120=0,CONCATENATE(F120," No. ",D120),CONCATENATE(F120," No. ",D120,", ",E120))</f>
        <v>Rancho Estopila No. 22, B</v>
      </c>
      <c r="H120" s="41"/>
      <c r="I120" s="44"/>
      <c r="J120" s="127">
        <v>150</v>
      </c>
      <c r="K120" s="122" t="s">
        <v>1316</v>
      </c>
    </row>
    <row r="121" spans="1:11" hidden="1" x14ac:dyDescent="0.2">
      <c r="A121" s="125">
        <v>116</v>
      </c>
      <c r="B121" s="66" t="str">
        <f t="shared" si="17"/>
        <v>EP_44_</v>
      </c>
      <c r="C121" s="1" t="s">
        <v>679</v>
      </c>
      <c r="D121" s="1">
        <v>44</v>
      </c>
      <c r="E121" s="1"/>
      <c r="F121" s="1" t="s">
        <v>887</v>
      </c>
      <c r="G121" s="16" t="str">
        <f t="shared" si="23"/>
        <v>Rancho Estopila No. 44</v>
      </c>
      <c r="H121" s="41" t="s">
        <v>670</v>
      </c>
      <c r="I121" s="44" t="s">
        <v>671</v>
      </c>
      <c r="J121" s="127">
        <v>300</v>
      </c>
      <c r="K121" s="122"/>
    </row>
    <row r="122" spans="1:11" hidden="1" x14ac:dyDescent="0.2">
      <c r="A122" s="125">
        <v>117</v>
      </c>
      <c r="B122" s="66" t="str">
        <f t="shared" si="17"/>
        <v>EZ_3_</v>
      </c>
      <c r="C122" s="1" t="s">
        <v>682</v>
      </c>
      <c r="D122" s="1">
        <v>3</v>
      </c>
      <c r="E122" s="1"/>
      <c r="F122" s="1" t="s">
        <v>888</v>
      </c>
      <c r="G122" s="16" t="str">
        <f t="shared" si="23"/>
        <v>Rancho Estanzuela No. 3</v>
      </c>
      <c r="H122" s="41" t="s">
        <v>336</v>
      </c>
      <c r="I122" s="44" t="s">
        <v>1726</v>
      </c>
      <c r="J122" s="127">
        <v>150</v>
      </c>
      <c r="K122" s="122"/>
    </row>
    <row r="123" spans="1:11" hidden="1" x14ac:dyDescent="0.2">
      <c r="A123" s="125">
        <v>118</v>
      </c>
      <c r="B123" s="66" t="str">
        <f t="shared" si="17"/>
        <v>EZ_5_A</v>
      </c>
      <c r="C123" s="1" t="s">
        <v>682</v>
      </c>
      <c r="D123" s="1">
        <v>5</v>
      </c>
      <c r="E123" s="1" t="s">
        <v>672</v>
      </c>
      <c r="F123" s="1" t="s">
        <v>888</v>
      </c>
      <c r="G123" s="16" t="str">
        <f t="shared" ref="G123:G191" si="26">IF(E123=0,CONCATENATE(F123," No. ",D123),CONCATENATE(F123," No. ",D123,", ",E123))</f>
        <v>Rancho Estanzuela No. 5, A</v>
      </c>
      <c r="H123" s="41" t="s">
        <v>338</v>
      </c>
      <c r="I123" s="44" t="s">
        <v>339</v>
      </c>
      <c r="J123" s="127">
        <v>150</v>
      </c>
      <c r="K123" s="122"/>
    </row>
    <row r="124" spans="1:11" hidden="1" x14ac:dyDescent="0.2">
      <c r="A124" s="125">
        <v>119</v>
      </c>
      <c r="B124" s="66" t="str">
        <f t="shared" si="17"/>
        <v>EZ_5_B</v>
      </c>
      <c r="C124" s="1" t="s">
        <v>682</v>
      </c>
      <c r="D124" s="1">
        <v>5</v>
      </c>
      <c r="E124" s="1" t="s">
        <v>673</v>
      </c>
      <c r="F124" s="1" t="s">
        <v>888</v>
      </c>
      <c r="G124" s="16" t="str">
        <f t="shared" si="26"/>
        <v>Rancho Estanzuela No. 5, B</v>
      </c>
      <c r="H124" s="41" t="s">
        <v>340</v>
      </c>
      <c r="I124" s="44" t="s">
        <v>341</v>
      </c>
      <c r="J124" s="127">
        <v>150</v>
      </c>
      <c r="K124" s="122"/>
    </row>
    <row r="125" spans="1:11" hidden="1" x14ac:dyDescent="0.2">
      <c r="A125" s="125">
        <v>120</v>
      </c>
      <c r="B125" s="66" t="str">
        <f t="shared" si="17"/>
        <v>EZ_7_A</v>
      </c>
      <c r="C125" s="1" t="s">
        <v>682</v>
      </c>
      <c r="D125" s="1">
        <v>7</v>
      </c>
      <c r="E125" s="1" t="s">
        <v>672</v>
      </c>
      <c r="F125" s="1" t="s">
        <v>888</v>
      </c>
      <c r="G125" s="16" t="str">
        <f t="shared" si="26"/>
        <v>Rancho Estanzuela No. 7, A</v>
      </c>
      <c r="H125" s="41" t="s">
        <v>342</v>
      </c>
      <c r="I125" s="44" t="s">
        <v>1262</v>
      </c>
      <c r="J125" s="127">
        <v>150</v>
      </c>
      <c r="K125" s="122"/>
    </row>
    <row r="126" spans="1:11" hidden="1" x14ac:dyDescent="0.2">
      <c r="A126" s="125">
        <v>121</v>
      </c>
      <c r="B126" s="66" t="str">
        <f t="shared" si="17"/>
        <v>EZ_7_B</v>
      </c>
      <c r="C126" s="1" t="s">
        <v>682</v>
      </c>
      <c r="D126" s="1">
        <v>7</v>
      </c>
      <c r="E126" s="1" t="s">
        <v>673</v>
      </c>
      <c r="F126" s="1" t="s">
        <v>888</v>
      </c>
      <c r="G126" s="16" t="str">
        <f t="shared" si="26"/>
        <v>Rancho Estanzuela No. 7, B</v>
      </c>
      <c r="H126" s="41" t="s">
        <v>343</v>
      </c>
      <c r="I126" s="44" t="s">
        <v>344</v>
      </c>
      <c r="J126" s="127">
        <v>150</v>
      </c>
      <c r="K126" s="122"/>
    </row>
    <row r="127" spans="1:11" hidden="1" x14ac:dyDescent="0.2">
      <c r="A127" s="125">
        <v>122</v>
      </c>
      <c r="B127" s="66" t="str">
        <f t="shared" si="17"/>
        <v>EZ_9_A</v>
      </c>
      <c r="C127" s="1" t="s">
        <v>682</v>
      </c>
      <c r="D127" s="1">
        <v>9</v>
      </c>
      <c r="E127" s="1" t="s">
        <v>672</v>
      </c>
      <c r="F127" s="1" t="s">
        <v>888</v>
      </c>
      <c r="G127" s="16" t="str">
        <f t="shared" si="26"/>
        <v>Rancho Estanzuela No. 9, A</v>
      </c>
      <c r="H127" s="41" t="s">
        <v>345</v>
      </c>
      <c r="I127" s="44" t="s">
        <v>346</v>
      </c>
      <c r="J127" s="127">
        <v>200</v>
      </c>
      <c r="K127" s="122"/>
    </row>
    <row r="128" spans="1:11" hidden="1" x14ac:dyDescent="0.2">
      <c r="A128" s="125">
        <v>123</v>
      </c>
      <c r="B128" s="66" t="str">
        <f t="shared" si="17"/>
        <v>EZ_9_B</v>
      </c>
      <c r="C128" s="1" t="s">
        <v>682</v>
      </c>
      <c r="D128" s="1">
        <v>9</v>
      </c>
      <c r="E128" s="1" t="s">
        <v>673</v>
      </c>
      <c r="F128" s="1" t="s">
        <v>888</v>
      </c>
      <c r="G128" s="16" t="str">
        <f t="shared" si="26"/>
        <v>Rancho Estanzuela No. 9, B</v>
      </c>
      <c r="H128" s="41" t="s">
        <v>347</v>
      </c>
      <c r="I128" s="44" t="s">
        <v>348</v>
      </c>
      <c r="J128" s="127">
        <v>200</v>
      </c>
      <c r="K128" s="122"/>
    </row>
    <row r="129" spans="1:11" hidden="1" x14ac:dyDescent="0.2">
      <c r="A129" s="125">
        <v>124</v>
      </c>
      <c r="B129" s="66" t="str">
        <f t="shared" si="17"/>
        <v>EZ_11_A</v>
      </c>
      <c r="C129" s="1" t="s">
        <v>682</v>
      </c>
      <c r="D129" s="1">
        <v>11</v>
      </c>
      <c r="E129" s="1" t="s">
        <v>672</v>
      </c>
      <c r="F129" s="1" t="s">
        <v>888</v>
      </c>
      <c r="G129" s="16" t="str">
        <f t="shared" si="26"/>
        <v>Rancho Estanzuela No. 11, A</v>
      </c>
      <c r="H129" s="41" t="s">
        <v>349</v>
      </c>
      <c r="I129" s="44" t="s">
        <v>350</v>
      </c>
      <c r="J129" s="127">
        <v>300</v>
      </c>
      <c r="K129" s="122"/>
    </row>
    <row r="130" spans="1:11" hidden="1" x14ac:dyDescent="0.2">
      <c r="A130" s="125">
        <v>125</v>
      </c>
      <c r="B130" s="66" t="str">
        <f t="shared" si="17"/>
        <v>EZ_11_B</v>
      </c>
      <c r="C130" s="1" t="s">
        <v>682</v>
      </c>
      <c r="D130" s="1">
        <v>11</v>
      </c>
      <c r="E130" s="1" t="s">
        <v>673</v>
      </c>
      <c r="F130" s="1" t="s">
        <v>888</v>
      </c>
      <c r="G130" s="16" t="str">
        <f t="shared" si="26"/>
        <v>Rancho Estanzuela No. 11, B</v>
      </c>
      <c r="H130" s="41" t="s">
        <v>351</v>
      </c>
      <c r="I130" s="44" t="s">
        <v>717</v>
      </c>
      <c r="J130" s="127">
        <v>200</v>
      </c>
      <c r="K130" s="122"/>
    </row>
    <row r="131" spans="1:11" hidden="1" x14ac:dyDescent="0.2">
      <c r="A131" s="125">
        <v>126</v>
      </c>
      <c r="B131" s="66" t="str">
        <f t="shared" si="17"/>
        <v>EZ_15_A</v>
      </c>
      <c r="C131" s="1" t="s">
        <v>682</v>
      </c>
      <c r="D131" s="1">
        <v>15</v>
      </c>
      <c r="E131" s="1" t="s">
        <v>672</v>
      </c>
      <c r="F131" s="1" t="s">
        <v>888</v>
      </c>
      <c r="G131" s="16" t="str">
        <f t="shared" si="26"/>
        <v>Rancho Estanzuela No. 15, A</v>
      </c>
      <c r="H131" s="41" t="s">
        <v>352</v>
      </c>
      <c r="I131" s="44" t="s">
        <v>353</v>
      </c>
      <c r="J131" s="127">
        <v>150</v>
      </c>
      <c r="K131" s="122"/>
    </row>
    <row r="132" spans="1:11" hidden="1" x14ac:dyDescent="0.2">
      <c r="A132" s="125">
        <v>127</v>
      </c>
      <c r="B132" s="66" t="str">
        <f t="shared" si="17"/>
        <v>EZ_15_B</v>
      </c>
      <c r="C132" s="1" t="s">
        <v>682</v>
      </c>
      <c r="D132" s="1">
        <v>15</v>
      </c>
      <c r="E132" s="1" t="s">
        <v>673</v>
      </c>
      <c r="F132" s="1" t="s">
        <v>888</v>
      </c>
      <c r="G132" s="16" t="str">
        <f t="shared" si="26"/>
        <v>Rancho Estanzuela No. 15, B</v>
      </c>
      <c r="H132" s="41" t="s">
        <v>354</v>
      </c>
      <c r="I132" s="44" t="s">
        <v>355</v>
      </c>
      <c r="J132" s="127">
        <v>150</v>
      </c>
      <c r="K132" s="122"/>
    </row>
    <row r="133" spans="1:11" hidden="1" x14ac:dyDescent="0.2">
      <c r="A133" s="125">
        <v>128</v>
      </c>
      <c r="B133" s="66" t="str">
        <f t="shared" si="17"/>
        <v>EZ_17_</v>
      </c>
      <c r="C133" s="1" t="s">
        <v>682</v>
      </c>
      <c r="D133" s="1">
        <v>17</v>
      </c>
      <c r="E133" s="1"/>
      <c r="F133" s="1" t="s">
        <v>888</v>
      </c>
      <c r="G133" s="16" t="str">
        <f t="shared" si="26"/>
        <v>Rancho Estanzuela No. 17</v>
      </c>
      <c r="H133" s="41" t="s">
        <v>356</v>
      </c>
      <c r="I133" s="44" t="s">
        <v>357</v>
      </c>
      <c r="J133" s="127">
        <v>300</v>
      </c>
      <c r="K133" s="122"/>
    </row>
    <row r="134" spans="1:11" hidden="1" x14ac:dyDescent="0.2">
      <c r="A134" s="125">
        <v>129</v>
      </c>
      <c r="B134" s="66" t="str">
        <f t="shared" si="17"/>
        <v>EZ_19_</v>
      </c>
      <c r="C134" s="1" t="s">
        <v>682</v>
      </c>
      <c r="D134" s="1">
        <v>19</v>
      </c>
      <c r="E134" s="1"/>
      <c r="F134" s="1" t="s">
        <v>888</v>
      </c>
      <c r="G134" s="16" t="str">
        <f t="shared" si="26"/>
        <v>Rancho Estanzuela No. 19</v>
      </c>
      <c r="H134" s="41" t="s">
        <v>358</v>
      </c>
      <c r="I134" s="44" t="s">
        <v>359</v>
      </c>
      <c r="J134" s="127">
        <v>300</v>
      </c>
      <c r="K134" s="122"/>
    </row>
    <row r="135" spans="1:11" hidden="1" x14ac:dyDescent="0.2">
      <c r="A135" s="125">
        <v>130</v>
      </c>
      <c r="B135" s="66" t="str">
        <f t="shared" si="17"/>
        <v>EZ_21_</v>
      </c>
      <c r="C135" s="1" t="s">
        <v>682</v>
      </c>
      <c r="D135" s="1">
        <v>21</v>
      </c>
      <c r="E135" s="1"/>
      <c r="F135" s="1" t="s">
        <v>888</v>
      </c>
      <c r="G135" s="16" t="str">
        <f t="shared" si="26"/>
        <v>Rancho Estanzuela No. 21</v>
      </c>
      <c r="H135" s="41" t="s">
        <v>360</v>
      </c>
      <c r="I135" s="44" t="s">
        <v>361</v>
      </c>
      <c r="J135" s="127">
        <v>300</v>
      </c>
      <c r="K135" s="122"/>
    </row>
    <row r="136" spans="1:11" hidden="1" x14ac:dyDescent="0.2">
      <c r="A136" s="125">
        <v>131</v>
      </c>
      <c r="B136" s="66" t="str">
        <f t="shared" si="17"/>
        <v>EZ_25_</v>
      </c>
      <c r="C136" s="1" t="s">
        <v>682</v>
      </c>
      <c r="D136" s="1">
        <v>25</v>
      </c>
      <c r="E136" s="1"/>
      <c r="F136" s="1" t="s">
        <v>888</v>
      </c>
      <c r="G136" s="16" t="str">
        <f t="shared" si="26"/>
        <v>Rancho Estanzuela No. 25</v>
      </c>
      <c r="H136" s="41" t="s">
        <v>362</v>
      </c>
      <c r="I136" s="44" t="s">
        <v>363</v>
      </c>
      <c r="J136" s="127">
        <v>300</v>
      </c>
      <c r="K136" s="122"/>
    </row>
    <row r="137" spans="1:11" hidden="1" x14ac:dyDescent="0.2">
      <c r="A137" s="125">
        <v>132</v>
      </c>
      <c r="B137" s="66" t="str">
        <f t="shared" si="17"/>
        <v>EZ_31_</v>
      </c>
      <c r="C137" s="1" t="s">
        <v>682</v>
      </c>
      <c r="D137" s="1">
        <v>31</v>
      </c>
      <c r="E137" s="1"/>
      <c r="F137" s="1" t="s">
        <v>888</v>
      </c>
      <c r="G137" s="16" t="str">
        <f t="shared" si="26"/>
        <v>Rancho Estanzuela No. 31</v>
      </c>
      <c r="H137" s="41" t="s">
        <v>364</v>
      </c>
      <c r="I137" s="44" t="s">
        <v>365</v>
      </c>
      <c r="J137" s="127">
        <v>300</v>
      </c>
      <c r="K137" s="122"/>
    </row>
    <row r="138" spans="1:11" hidden="1" x14ac:dyDescent="0.2">
      <c r="A138" s="125">
        <v>133</v>
      </c>
      <c r="B138" s="66" t="str">
        <f t="shared" si="17"/>
        <v>EZ_33_</v>
      </c>
      <c r="C138" s="1" t="s">
        <v>682</v>
      </c>
      <c r="D138" s="1">
        <v>33</v>
      </c>
      <c r="E138" s="1"/>
      <c r="F138" s="1" t="s">
        <v>888</v>
      </c>
      <c r="G138" s="16" t="str">
        <f t="shared" si="26"/>
        <v>Rancho Estanzuela No. 33</v>
      </c>
      <c r="H138" s="41" t="s">
        <v>366</v>
      </c>
      <c r="I138" s="44" t="s">
        <v>367</v>
      </c>
      <c r="J138" s="127">
        <v>300</v>
      </c>
      <c r="K138" s="122"/>
    </row>
    <row r="139" spans="1:11" hidden="1" x14ac:dyDescent="0.2">
      <c r="A139" s="125">
        <v>134</v>
      </c>
      <c r="B139" s="66" t="str">
        <f t="shared" si="17"/>
        <v>EZ_35_</v>
      </c>
      <c r="C139" s="1" t="s">
        <v>682</v>
      </c>
      <c r="D139" s="1">
        <v>35</v>
      </c>
      <c r="E139" s="1"/>
      <c r="F139" s="1" t="s">
        <v>888</v>
      </c>
      <c r="G139" s="16" t="str">
        <f t="shared" si="26"/>
        <v>Rancho Estanzuela No. 35</v>
      </c>
      <c r="H139" s="41" t="s">
        <v>368</v>
      </c>
      <c r="I139" s="44" t="s">
        <v>191</v>
      </c>
      <c r="J139" s="127">
        <v>300</v>
      </c>
      <c r="K139" s="122"/>
    </row>
    <row r="140" spans="1:11" hidden="1" x14ac:dyDescent="0.2">
      <c r="A140" s="125">
        <v>135</v>
      </c>
      <c r="B140" s="66" t="str">
        <f t="shared" si="17"/>
        <v>EZ_37_</v>
      </c>
      <c r="C140" s="1" t="s">
        <v>682</v>
      </c>
      <c r="D140" s="1">
        <v>37</v>
      </c>
      <c r="E140" s="1"/>
      <c r="F140" s="1" t="s">
        <v>888</v>
      </c>
      <c r="G140" s="16" t="str">
        <f t="shared" si="26"/>
        <v>Rancho Estanzuela No. 37</v>
      </c>
      <c r="H140" s="41" t="s">
        <v>369</v>
      </c>
      <c r="I140" s="44" t="s">
        <v>718</v>
      </c>
      <c r="J140" s="127">
        <v>300</v>
      </c>
      <c r="K140" s="122"/>
    </row>
    <row r="141" spans="1:11" hidden="1" x14ac:dyDescent="0.2">
      <c r="A141" s="125">
        <v>136</v>
      </c>
      <c r="B141" s="66" t="str">
        <f t="shared" si="17"/>
        <v>EZ_41_</v>
      </c>
      <c r="C141" s="1" t="s">
        <v>682</v>
      </c>
      <c r="D141" s="1">
        <v>41</v>
      </c>
      <c r="E141" s="1"/>
      <c r="F141" s="1" t="s">
        <v>888</v>
      </c>
      <c r="G141" s="16" t="str">
        <f t="shared" si="26"/>
        <v>Rancho Estanzuela No. 41</v>
      </c>
      <c r="H141" s="41" t="s">
        <v>370</v>
      </c>
      <c r="I141" s="44" t="s">
        <v>371</v>
      </c>
      <c r="J141" s="127">
        <v>300</v>
      </c>
      <c r="K141" s="122"/>
    </row>
    <row r="142" spans="1:11" hidden="1" x14ac:dyDescent="0.2">
      <c r="A142" s="125">
        <v>137</v>
      </c>
      <c r="B142" s="110" t="str">
        <f t="shared" si="17"/>
        <v>EZ_43_</v>
      </c>
      <c r="C142" s="1" t="s">
        <v>682</v>
      </c>
      <c r="D142" s="1">
        <v>43</v>
      </c>
      <c r="E142" s="1"/>
      <c r="F142" s="1" t="s">
        <v>888</v>
      </c>
      <c r="G142" s="16" t="str">
        <f t="shared" si="26"/>
        <v>Rancho Estanzuela No. 43</v>
      </c>
      <c r="H142" s="41"/>
      <c r="I142" s="44"/>
      <c r="J142" s="127">
        <v>300</v>
      </c>
      <c r="K142" s="122" t="s">
        <v>1316</v>
      </c>
    </row>
    <row r="143" spans="1:11" hidden="1" x14ac:dyDescent="0.2">
      <c r="A143" s="125">
        <v>138</v>
      </c>
      <c r="B143" s="110" t="str">
        <f t="shared" si="17"/>
        <v>EZ_45_</v>
      </c>
      <c r="C143" s="1" t="s">
        <v>682</v>
      </c>
      <c r="D143" s="1">
        <v>45</v>
      </c>
      <c r="E143" s="1"/>
      <c r="F143" s="1" t="s">
        <v>888</v>
      </c>
      <c r="G143" s="16" t="str">
        <f t="shared" ref="G143" si="27">IF(E143=0,CONCATENATE(F143," No. ",D143),CONCATENATE(F143," No. ",D143,", ",E143))</f>
        <v>Rancho Estanzuela No. 45</v>
      </c>
      <c r="H143" s="41"/>
      <c r="I143" s="44"/>
      <c r="J143" s="127">
        <v>300</v>
      </c>
      <c r="K143" s="122" t="s">
        <v>1316</v>
      </c>
    </row>
    <row r="144" spans="1:11" hidden="1" x14ac:dyDescent="0.2">
      <c r="A144" s="125">
        <v>139</v>
      </c>
      <c r="B144" s="66" t="str">
        <f t="shared" si="17"/>
        <v>EZ_47_</v>
      </c>
      <c r="C144" s="1" t="s">
        <v>682</v>
      </c>
      <c r="D144" s="1">
        <v>47</v>
      </c>
      <c r="E144" s="1"/>
      <c r="F144" s="1" t="s">
        <v>888</v>
      </c>
      <c r="G144" s="16" t="str">
        <f t="shared" si="26"/>
        <v>Rancho Estanzuela No. 47</v>
      </c>
      <c r="H144" s="41" t="s">
        <v>372</v>
      </c>
      <c r="I144" s="44" t="s">
        <v>373</v>
      </c>
      <c r="J144" s="127">
        <v>300</v>
      </c>
      <c r="K144" s="122"/>
    </row>
    <row r="145" spans="1:11" hidden="1" x14ac:dyDescent="0.2">
      <c r="A145" s="125">
        <v>140</v>
      </c>
      <c r="B145" s="66" t="str">
        <f t="shared" si="17"/>
        <v>EZ_49_</v>
      </c>
      <c r="C145" s="1" t="s">
        <v>682</v>
      </c>
      <c r="D145" s="1">
        <v>49</v>
      </c>
      <c r="E145" s="1"/>
      <c r="F145" s="1" t="s">
        <v>888</v>
      </c>
      <c r="G145" s="16" t="str">
        <f t="shared" si="26"/>
        <v>Rancho Estanzuela No. 49</v>
      </c>
      <c r="H145" s="41" t="s">
        <v>374</v>
      </c>
      <c r="I145" s="44" t="s">
        <v>375</v>
      </c>
      <c r="J145" s="127">
        <v>300</v>
      </c>
      <c r="K145" s="122"/>
    </row>
    <row r="146" spans="1:11" hidden="1" x14ac:dyDescent="0.2">
      <c r="A146" s="125">
        <v>141</v>
      </c>
      <c r="B146" s="66" t="str">
        <f t="shared" ref="B146:B215" si="28">CONCATENATE(C146,"_",D146,"_",E146)</f>
        <v>EZ_53_</v>
      </c>
      <c r="C146" s="1" t="s">
        <v>682</v>
      </c>
      <c r="D146" s="1">
        <v>53</v>
      </c>
      <c r="E146" s="1"/>
      <c r="F146" s="1" t="s">
        <v>888</v>
      </c>
      <c r="G146" s="16" t="str">
        <f t="shared" si="26"/>
        <v>Rancho Estanzuela No. 53</v>
      </c>
      <c r="H146" s="41" t="s">
        <v>376</v>
      </c>
      <c r="I146" s="44" t="s">
        <v>377</v>
      </c>
      <c r="J146" s="127">
        <v>300</v>
      </c>
      <c r="K146" s="122"/>
    </row>
    <row r="147" spans="1:11" hidden="1" x14ac:dyDescent="0.2">
      <c r="A147" s="125">
        <v>142</v>
      </c>
      <c r="B147" s="66" t="str">
        <f t="shared" si="28"/>
        <v>EZ_55_</v>
      </c>
      <c r="C147" s="1" t="s">
        <v>682</v>
      </c>
      <c r="D147" s="1">
        <v>55</v>
      </c>
      <c r="E147" s="1"/>
      <c r="F147" s="1" t="s">
        <v>888</v>
      </c>
      <c r="G147" s="16" t="str">
        <f t="shared" si="26"/>
        <v>Rancho Estanzuela No. 55</v>
      </c>
      <c r="H147" s="41" t="s">
        <v>378</v>
      </c>
      <c r="I147" s="44" t="s">
        <v>719</v>
      </c>
      <c r="J147" s="127">
        <v>300</v>
      </c>
      <c r="K147" s="122"/>
    </row>
    <row r="148" spans="1:11" hidden="1" x14ac:dyDescent="0.2">
      <c r="A148" s="125">
        <v>143</v>
      </c>
      <c r="B148" s="66" t="str">
        <f t="shared" si="28"/>
        <v>EZ_57_</v>
      </c>
      <c r="C148" s="1" t="s">
        <v>682</v>
      </c>
      <c r="D148" s="1">
        <v>57</v>
      </c>
      <c r="E148" s="1"/>
      <c r="F148" s="1" t="s">
        <v>888</v>
      </c>
      <c r="G148" s="16" t="str">
        <f t="shared" si="26"/>
        <v>Rancho Estanzuela No. 57</v>
      </c>
      <c r="H148" s="41" t="s">
        <v>379</v>
      </c>
      <c r="I148" s="44" t="s">
        <v>380</v>
      </c>
      <c r="J148" s="127">
        <v>300</v>
      </c>
      <c r="K148" s="122"/>
    </row>
    <row r="149" spans="1:11" hidden="1" x14ac:dyDescent="0.2">
      <c r="A149" s="125">
        <v>144</v>
      </c>
      <c r="B149" s="110" t="str">
        <f t="shared" si="28"/>
        <v>EZ_59_</v>
      </c>
      <c r="C149" s="1" t="s">
        <v>682</v>
      </c>
      <c r="D149" s="1">
        <v>59</v>
      </c>
      <c r="E149" s="1"/>
      <c r="F149" s="1" t="s">
        <v>888</v>
      </c>
      <c r="G149" s="16" t="str">
        <f t="shared" si="26"/>
        <v>Rancho Estanzuela No. 59</v>
      </c>
      <c r="H149" s="41"/>
      <c r="I149" s="44"/>
      <c r="J149" s="127">
        <v>300</v>
      </c>
      <c r="K149" s="122" t="s">
        <v>1316</v>
      </c>
    </row>
    <row r="150" spans="1:11" hidden="1" x14ac:dyDescent="0.2">
      <c r="A150" s="125">
        <v>145</v>
      </c>
      <c r="B150" s="66" t="str">
        <f t="shared" si="28"/>
        <v>EZ_61_</v>
      </c>
      <c r="C150" s="1" t="s">
        <v>682</v>
      </c>
      <c r="D150" s="1">
        <v>61</v>
      </c>
      <c r="E150" s="1"/>
      <c r="F150" s="1" t="s">
        <v>888</v>
      </c>
      <c r="G150" s="16" t="str">
        <f t="shared" si="26"/>
        <v>Rancho Estanzuela No. 61</v>
      </c>
      <c r="H150" s="41" t="s">
        <v>381</v>
      </c>
      <c r="I150" s="44" t="s">
        <v>1273</v>
      </c>
      <c r="J150" s="127">
        <v>300</v>
      </c>
      <c r="K150" s="122"/>
    </row>
    <row r="151" spans="1:11" hidden="1" x14ac:dyDescent="0.2">
      <c r="A151" s="125">
        <v>146</v>
      </c>
      <c r="B151" s="66" t="str">
        <f t="shared" si="28"/>
        <v>EZ_63_</v>
      </c>
      <c r="C151" s="1" t="s">
        <v>682</v>
      </c>
      <c r="D151" s="1">
        <v>63</v>
      </c>
      <c r="E151" s="1"/>
      <c r="F151" s="1" t="s">
        <v>888</v>
      </c>
      <c r="G151" s="16" t="str">
        <f t="shared" si="26"/>
        <v>Rancho Estanzuela No. 63</v>
      </c>
      <c r="H151" s="41" t="s">
        <v>382</v>
      </c>
      <c r="I151" s="44" t="s">
        <v>720</v>
      </c>
      <c r="J151" s="127">
        <v>200</v>
      </c>
      <c r="K151" s="122"/>
    </row>
    <row r="152" spans="1:11" hidden="1" x14ac:dyDescent="0.2">
      <c r="A152" s="125">
        <v>147</v>
      </c>
      <c r="B152" s="66" t="str">
        <f t="shared" si="28"/>
        <v>EZ_65_</v>
      </c>
      <c r="C152" s="1" t="s">
        <v>682</v>
      </c>
      <c r="D152" s="1">
        <v>65</v>
      </c>
      <c r="E152" s="1"/>
      <c r="F152" s="1" t="s">
        <v>888</v>
      </c>
      <c r="G152" s="16" t="str">
        <f t="shared" si="26"/>
        <v>Rancho Estanzuela No. 65</v>
      </c>
      <c r="H152" s="41" t="s">
        <v>383</v>
      </c>
      <c r="I152" s="44" t="s">
        <v>384</v>
      </c>
      <c r="J152" s="127">
        <v>300</v>
      </c>
      <c r="K152" s="122"/>
    </row>
    <row r="153" spans="1:11" hidden="1" x14ac:dyDescent="0.2">
      <c r="A153" s="125">
        <v>148</v>
      </c>
      <c r="B153" s="66" t="str">
        <f t="shared" si="28"/>
        <v>EZ_67_</v>
      </c>
      <c r="C153" s="1" t="s">
        <v>682</v>
      </c>
      <c r="D153" s="1">
        <v>67</v>
      </c>
      <c r="E153" s="1"/>
      <c r="F153" s="1" t="s">
        <v>888</v>
      </c>
      <c r="G153" s="16" t="str">
        <f t="shared" si="26"/>
        <v>Rancho Estanzuela No. 67</v>
      </c>
      <c r="H153" s="41" t="s">
        <v>385</v>
      </c>
      <c r="I153" s="44" t="s">
        <v>1211</v>
      </c>
      <c r="J153" s="127">
        <v>300</v>
      </c>
      <c r="K153" s="122"/>
    </row>
    <row r="154" spans="1:11" hidden="1" x14ac:dyDescent="0.2">
      <c r="A154" s="125">
        <v>149</v>
      </c>
      <c r="B154" s="66" t="str">
        <f t="shared" si="28"/>
        <v>EZ_69_</v>
      </c>
      <c r="C154" s="1" t="s">
        <v>682</v>
      </c>
      <c r="D154" s="1">
        <v>69</v>
      </c>
      <c r="E154" s="1"/>
      <c r="F154" s="1" t="s">
        <v>888</v>
      </c>
      <c r="G154" s="16" t="str">
        <f t="shared" si="26"/>
        <v>Rancho Estanzuela No. 69</v>
      </c>
      <c r="H154" s="41" t="s">
        <v>386</v>
      </c>
      <c r="I154" s="44" t="s">
        <v>1212</v>
      </c>
      <c r="J154" s="127">
        <v>300</v>
      </c>
      <c r="K154" s="122"/>
    </row>
    <row r="155" spans="1:11" hidden="1" x14ac:dyDescent="0.2">
      <c r="A155" s="125">
        <v>150</v>
      </c>
      <c r="B155" s="66" t="str">
        <f t="shared" si="28"/>
        <v>EZ_71_</v>
      </c>
      <c r="C155" s="1" t="s">
        <v>682</v>
      </c>
      <c r="D155" s="1">
        <v>71</v>
      </c>
      <c r="E155" s="1"/>
      <c r="F155" s="1" t="s">
        <v>888</v>
      </c>
      <c r="G155" s="16" t="str">
        <f t="shared" si="26"/>
        <v>Rancho Estanzuela No. 71</v>
      </c>
      <c r="H155" s="41" t="s">
        <v>387</v>
      </c>
      <c r="I155" s="44" t="s">
        <v>1213</v>
      </c>
      <c r="J155" s="127">
        <v>300</v>
      </c>
      <c r="K155" s="122"/>
    </row>
    <row r="156" spans="1:11" hidden="1" x14ac:dyDescent="0.2">
      <c r="A156" s="125">
        <v>151</v>
      </c>
      <c r="B156" s="66" t="str">
        <f t="shared" si="28"/>
        <v>EZ_73_</v>
      </c>
      <c r="C156" s="1" t="s">
        <v>682</v>
      </c>
      <c r="D156" s="1">
        <v>73</v>
      </c>
      <c r="E156" s="1"/>
      <c r="F156" s="1" t="s">
        <v>888</v>
      </c>
      <c r="G156" s="16" t="str">
        <f t="shared" si="26"/>
        <v>Rancho Estanzuela No. 73</v>
      </c>
      <c r="H156" s="41" t="s">
        <v>388</v>
      </c>
      <c r="I156" s="44" t="s">
        <v>1848</v>
      </c>
      <c r="J156" s="127">
        <v>300</v>
      </c>
      <c r="K156" s="122"/>
    </row>
    <row r="157" spans="1:11" hidden="1" x14ac:dyDescent="0.2">
      <c r="A157" s="125">
        <v>152</v>
      </c>
      <c r="B157" s="66" t="str">
        <f t="shared" si="28"/>
        <v>EZ_75_</v>
      </c>
      <c r="C157" s="1" t="s">
        <v>682</v>
      </c>
      <c r="D157" s="1">
        <v>75</v>
      </c>
      <c r="E157" s="1"/>
      <c r="F157" s="1" t="s">
        <v>888</v>
      </c>
      <c r="G157" s="16" t="str">
        <f t="shared" si="26"/>
        <v>Rancho Estanzuela No. 75</v>
      </c>
      <c r="H157" s="41" t="s">
        <v>389</v>
      </c>
      <c r="I157" s="44" t="s">
        <v>390</v>
      </c>
      <c r="J157" s="127">
        <v>150</v>
      </c>
      <c r="K157" s="122"/>
    </row>
    <row r="158" spans="1:11" hidden="1" x14ac:dyDescent="0.2">
      <c r="A158" s="125">
        <v>153</v>
      </c>
      <c r="B158" s="66" t="str">
        <f t="shared" si="28"/>
        <v>EZ_77_</v>
      </c>
      <c r="C158" s="1" t="s">
        <v>682</v>
      </c>
      <c r="D158" s="1">
        <v>77</v>
      </c>
      <c r="E158" s="1"/>
      <c r="F158" s="1" t="s">
        <v>888</v>
      </c>
      <c r="G158" s="16" t="str">
        <f t="shared" si="26"/>
        <v>Rancho Estanzuela No. 77</v>
      </c>
      <c r="H158" s="41" t="s">
        <v>391</v>
      </c>
      <c r="I158" s="44" t="s">
        <v>392</v>
      </c>
      <c r="J158" s="127">
        <v>300</v>
      </c>
      <c r="K158" s="122"/>
    </row>
    <row r="159" spans="1:11" hidden="1" x14ac:dyDescent="0.2">
      <c r="A159" s="125">
        <v>154</v>
      </c>
      <c r="B159" s="66" t="str">
        <f t="shared" si="28"/>
        <v>EZ_79_</v>
      </c>
      <c r="C159" s="1" t="s">
        <v>682</v>
      </c>
      <c r="D159" s="1">
        <v>79</v>
      </c>
      <c r="E159" s="1"/>
      <c r="F159" s="1" t="s">
        <v>888</v>
      </c>
      <c r="G159" s="16" t="str">
        <f t="shared" si="26"/>
        <v>Rancho Estanzuela No. 79</v>
      </c>
      <c r="H159" s="41" t="s">
        <v>393</v>
      </c>
      <c r="I159" s="44" t="s">
        <v>35</v>
      </c>
      <c r="J159" s="127">
        <v>300</v>
      </c>
      <c r="K159" s="122"/>
    </row>
    <row r="160" spans="1:11" hidden="1" x14ac:dyDescent="0.2">
      <c r="A160" s="125">
        <v>155</v>
      </c>
      <c r="B160" s="66" t="str">
        <f t="shared" si="28"/>
        <v>EZ_89_</v>
      </c>
      <c r="C160" s="1" t="s">
        <v>682</v>
      </c>
      <c r="D160" s="1">
        <v>89</v>
      </c>
      <c r="E160" s="1"/>
      <c r="F160" s="1" t="s">
        <v>888</v>
      </c>
      <c r="G160" s="16" t="str">
        <f t="shared" si="26"/>
        <v>Rancho Estanzuela No. 89</v>
      </c>
      <c r="H160" s="41" t="s">
        <v>394</v>
      </c>
      <c r="I160" s="44" t="s">
        <v>395</v>
      </c>
      <c r="J160" s="127">
        <v>300</v>
      </c>
      <c r="K160" s="122"/>
    </row>
    <row r="161" spans="1:11" hidden="1" x14ac:dyDescent="0.2">
      <c r="A161" s="125">
        <v>156</v>
      </c>
      <c r="B161" s="66" t="str">
        <f t="shared" si="28"/>
        <v>EZ_91_</v>
      </c>
      <c r="C161" s="1" t="s">
        <v>682</v>
      </c>
      <c r="D161" s="1">
        <v>91</v>
      </c>
      <c r="E161" s="1"/>
      <c r="F161" s="1" t="s">
        <v>888</v>
      </c>
      <c r="G161" s="16" t="str">
        <f t="shared" si="26"/>
        <v>Rancho Estanzuela No. 91</v>
      </c>
      <c r="H161" s="41" t="s">
        <v>396</v>
      </c>
      <c r="I161" s="44" t="s">
        <v>397</v>
      </c>
      <c r="J161" s="127">
        <v>300</v>
      </c>
      <c r="K161" s="122"/>
    </row>
    <row r="162" spans="1:11" hidden="1" x14ac:dyDescent="0.2">
      <c r="A162" s="125">
        <v>157</v>
      </c>
      <c r="B162" s="66" t="str">
        <f t="shared" si="28"/>
        <v>EZ_93_</v>
      </c>
      <c r="C162" s="1" t="s">
        <v>682</v>
      </c>
      <c r="D162" s="1">
        <v>93</v>
      </c>
      <c r="E162" s="1"/>
      <c r="F162" s="1" t="s">
        <v>888</v>
      </c>
      <c r="G162" s="16" t="str">
        <f t="shared" si="26"/>
        <v>Rancho Estanzuela No. 93</v>
      </c>
      <c r="H162" s="41" t="s">
        <v>398</v>
      </c>
      <c r="I162" s="44" t="s">
        <v>399</v>
      </c>
      <c r="J162" s="127">
        <v>300</v>
      </c>
      <c r="K162" s="122"/>
    </row>
    <row r="163" spans="1:11" hidden="1" x14ac:dyDescent="0.2">
      <c r="A163" s="125">
        <v>158</v>
      </c>
      <c r="B163" s="66" t="str">
        <f t="shared" si="28"/>
        <v>EZ_95_</v>
      </c>
      <c r="C163" s="1" t="s">
        <v>682</v>
      </c>
      <c r="D163" s="1">
        <v>95</v>
      </c>
      <c r="E163" s="1"/>
      <c r="F163" s="1" t="s">
        <v>888</v>
      </c>
      <c r="G163" s="16" t="str">
        <f t="shared" si="26"/>
        <v>Rancho Estanzuela No. 95</v>
      </c>
      <c r="H163" s="41" t="s">
        <v>400</v>
      </c>
      <c r="I163" s="44" t="s">
        <v>401</v>
      </c>
      <c r="J163" s="127">
        <v>300</v>
      </c>
      <c r="K163" s="122"/>
    </row>
    <row r="164" spans="1:11" hidden="1" x14ac:dyDescent="0.2">
      <c r="A164" s="125">
        <v>159</v>
      </c>
      <c r="B164" s="66" t="str">
        <f t="shared" si="28"/>
        <v>EZ_97_</v>
      </c>
      <c r="C164" s="1" t="s">
        <v>682</v>
      </c>
      <c r="D164" s="1">
        <v>97</v>
      </c>
      <c r="E164" s="1"/>
      <c r="F164" s="1" t="s">
        <v>888</v>
      </c>
      <c r="G164" s="16" t="str">
        <f t="shared" si="26"/>
        <v>Rancho Estanzuela No. 97</v>
      </c>
      <c r="H164" s="41" t="s">
        <v>402</v>
      </c>
      <c r="I164" s="44" t="s">
        <v>403</v>
      </c>
      <c r="J164" s="127">
        <v>300</v>
      </c>
      <c r="K164" s="122"/>
    </row>
    <row r="165" spans="1:11" hidden="1" x14ac:dyDescent="0.2">
      <c r="A165" s="125">
        <v>160</v>
      </c>
      <c r="B165" s="66" t="str">
        <f t="shared" si="28"/>
        <v>EZ_99_</v>
      </c>
      <c r="C165" s="1" t="s">
        <v>682</v>
      </c>
      <c r="D165" s="1">
        <v>99</v>
      </c>
      <c r="E165" s="1"/>
      <c r="F165" s="1" t="s">
        <v>888</v>
      </c>
      <c r="G165" s="16" t="str">
        <f t="shared" si="26"/>
        <v>Rancho Estanzuela No. 99</v>
      </c>
      <c r="H165" s="41" t="s">
        <v>404</v>
      </c>
      <c r="I165" s="44" t="s">
        <v>405</v>
      </c>
      <c r="J165" s="127">
        <v>300</v>
      </c>
      <c r="K165" s="122"/>
    </row>
    <row r="166" spans="1:11" hidden="1" x14ac:dyDescent="0.2">
      <c r="A166" s="125">
        <v>161</v>
      </c>
      <c r="B166" s="66" t="str">
        <f t="shared" si="28"/>
        <v>EZ_100_</v>
      </c>
      <c r="C166" s="1" t="s">
        <v>682</v>
      </c>
      <c r="D166" s="1">
        <v>100</v>
      </c>
      <c r="E166" s="1"/>
      <c r="F166" s="1" t="s">
        <v>888</v>
      </c>
      <c r="G166" s="16" t="str">
        <f t="shared" si="26"/>
        <v>Rancho Estanzuela No. 100</v>
      </c>
      <c r="H166" s="41" t="s">
        <v>406</v>
      </c>
      <c r="I166" s="44" t="s">
        <v>407</v>
      </c>
      <c r="J166" s="127">
        <v>300</v>
      </c>
      <c r="K166" s="122"/>
    </row>
    <row r="167" spans="1:11" hidden="1" x14ac:dyDescent="0.2">
      <c r="A167" s="125">
        <v>162</v>
      </c>
      <c r="B167" s="66" t="str">
        <f t="shared" si="28"/>
        <v>EZ_101_</v>
      </c>
      <c r="C167" s="1" t="s">
        <v>682</v>
      </c>
      <c r="D167" s="1">
        <v>101</v>
      </c>
      <c r="E167" s="1"/>
      <c r="F167" s="1" t="s">
        <v>888</v>
      </c>
      <c r="G167" s="16" t="str">
        <f t="shared" si="26"/>
        <v>Rancho Estanzuela No. 101</v>
      </c>
      <c r="H167" s="41" t="s">
        <v>408</v>
      </c>
      <c r="I167" s="44" t="s">
        <v>409</v>
      </c>
      <c r="J167" s="127">
        <v>300</v>
      </c>
      <c r="K167" s="122"/>
    </row>
    <row r="168" spans="1:11" hidden="1" x14ac:dyDescent="0.2">
      <c r="A168" s="125">
        <v>163</v>
      </c>
      <c r="B168" s="66" t="str">
        <f t="shared" si="28"/>
        <v>EZ_103_</v>
      </c>
      <c r="C168" s="1" t="s">
        <v>682</v>
      </c>
      <c r="D168" s="1">
        <v>103</v>
      </c>
      <c r="E168" s="1"/>
      <c r="F168" s="1" t="s">
        <v>888</v>
      </c>
      <c r="G168" s="16" t="str">
        <f t="shared" si="26"/>
        <v>Rancho Estanzuela No. 103</v>
      </c>
      <c r="H168" s="41" t="s">
        <v>410</v>
      </c>
      <c r="I168" s="44" t="s">
        <v>411</v>
      </c>
      <c r="J168" s="127">
        <v>300</v>
      </c>
      <c r="K168" s="122"/>
    </row>
    <row r="169" spans="1:11" hidden="1" x14ac:dyDescent="0.2">
      <c r="A169" s="125">
        <v>164</v>
      </c>
      <c r="B169" s="110" t="str">
        <f t="shared" si="28"/>
        <v>EZ_105_</v>
      </c>
      <c r="C169" s="1" t="s">
        <v>682</v>
      </c>
      <c r="D169" s="1">
        <v>105</v>
      </c>
      <c r="E169" s="1"/>
      <c r="F169" s="1" t="s">
        <v>888</v>
      </c>
      <c r="G169" s="16" t="str">
        <f t="shared" ref="G169" si="29">IF(E169=0,CONCATENATE(F169," No. ",D169),CONCATENATE(F169," No. ",D169,", ",E169))</f>
        <v>Rancho Estanzuela No. 105</v>
      </c>
      <c r="H169" s="41"/>
      <c r="I169" s="44"/>
      <c r="J169" s="127">
        <v>300</v>
      </c>
      <c r="K169" s="122" t="s">
        <v>1316</v>
      </c>
    </row>
    <row r="170" spans="1:11" hidden="1" x14ac:dyDescent="0.2">
      <c r="A170" s="125">
        <v>165</v>
      </c>
      <c r="B170" s="66" t="str">
        <f t="shared" si="28"/>
        <v>EZ_111_</v>
      </c>
      <c r="C170" s="1" t="s">
        <v>682</v>
      </c>
      <c r="D170" s="1">
        <v>111</v>
      </c>
      <c r="E170" s="1"/>
      <c r="F170" s="1" t="s">
        <v>888</v>
      </c>
      <c r="G170" s="16" t="str">
        <f t="shared" si="26"/>
        <v>Rancho Estanzuela No. 111</v>
      </c>
      <c r="H170" s="41" t="s">
        <v>412</v>
      </c>
      <c r="I170" s="44" t="s">
        <v>325</v>
      </c>
      <c r="J170" s="127">
        <v>300</v>
      </c>
      <c r="K170" s="122"/>
    </row>
    <row r="171" spans="1:11" hidden="1" x14ac:dyDescent="0.2">
      <c r="A171" s="125">
        <v>166</v>
      </c>
      <c r="B171" s="66" t="str">
        <f t="shared" si="28"/>
        <v>EZ_115_</v>
      </c>
      <c r="C171" s="1" t="s">
        <v>682</v>
      </c>
      <c r="D171" s="1">
        <v>115</v>
      </c>
      <c r="E171" s="1"/>
      <c r="F171" s="1" t="s">
        <v>888</v>
      </c>
      <c r="G171" s="16" t="str">
        <f t="shared" si="26"/>
        <v>Rancho Estanzuela No. 115</v>
      </c>
      <c r="H171" s="41" t="s">
        <v>413</v>
      </c>
      <c r="I171" s="44" t="s">
        <v>414</v>
      </c>
      <c r="J171" s="127">
        <v>200</v>
      </c>
      <c r="K171" s="122"/>
    </row>
    <row r="172" spans="1:11" hidden="1" x14ac:dyDescent="0.2">
      <c r="A172" s="125">
        <v>167</v>
      </c>
      <c r="B172" s="66" t="str">
        <f t="shared" si="28"/>
        <v>EZ_117_</v>
      </c>
      <c r="C172" s="1" t="s">
        <v>682</v>
      </c>
      <c r="D172" s="1">
        <v>117</v>
      </c>
      <c r="E172" s="1"/>
      <c r="F172" s="1" t="s">
        <v>888</v>
      </c>
      <c r="G172" s="16" t="str">
        <f t="shared" si="26"/>
        <v>Rancho Estanzuela No. 117</v>
      </c>
      <c r="H172" s="41" t="s">
        <v>415</v>
      </c>
      <c r="I172" s="44" t="s">
        <v>416</v>
      </c>
      <c r="J172" s="127">
        <v>300</v>
      </c>
      <c r="K172" s="122"/>
    </row>
    <row r="173" spans="1:11" hidden="1" x14ac:dyDescent="0.2">
      <c r="A173" s="125">
        <v>168</v>
      </c>
      <c r="B173" s="66" t="str">
        <f t="shared" si="28"/>
        <v>EZ_119_2</v>
      </c>
      <c r="C173" s="1" t="s">
        <v>682</v>
      </c>
      <c r="D173" s="1">
        <v>119</v>
      </c>
      <c r="E173" s="1">
        <v>2</v>
      </c>
      <c r="F173" s="1" t="s">
        <v>888</v>
      </c>
      <c r="G173" s="16" t="str">
        <f t="shared" si="26"/>
        <v>Rancho Estanzuela No. 119, 2</v>
      </c>
      <c r="H173" s="41" t="s">
        <v>419</v>
      </c>
      <c r="I173" s="44" t="s">
        <v>420</v>
      </c>
      <c r="J173" s="127">
        <v>300</v>
      </c>
      <c r="K173" s="122"/>
    </row>
    <row r="174" spans="1:11" hidden="1" x14ac:dyDescent="0.2">
      <c r="A174" s="125">
        <v>169</v>
      </c>
      <c r="B174" s="66" t="str">
        <f t="shared" si="28"/>
        <v>EZ_119_0</v>
      </c>
      <c r="C174" s="1" t="s">
        <v>682</v>
      </c>
      <c r="D174" s="1">
        <v>119</v>
      </c>
      <c r="E174" s="1">
        <v>0</v>
      </c>
      <c r="F174" s="1" t="s">
        <v>888</v>
      </c>
      <c r="G174" s="16" t="str">
        <f t="shared" si="26"/>
        <v>Rancho Estanzuela No. 119</v>
      </c>
      <c r="H174" s="41" t="s">
        <v>417</v>
      </c>
      <c r="I174" s="44" t="s">
        <v>418</v>
      </c>
      <c r="J174" s="127">
        <v>300</v>
      </c>
      <c r="K174" s="122"/>
    </row>
    <row r="175" spans="1:11" hidden="1" x14ac:dyDescent="0.2">
      <c r="A175" s="125">
        <v>170</v>
      </c>
      <c r="B175" s="66" t="str">
        <f t="shared" si="28"/>
        <v>EZ_121_</v>
      </c>
      <c r="C175" s="1" t="s">
        <v>682</v>
      </c>
      <c r="D175" s="1">
        <v>121</v>
      </c>
      <c r="E175" s="1"/>
      <c r="F175" s="1" t="s">
        <v>888</v>
      </c>
      <c r="G175" s="16" t="str">
        <f t="shared" si="26"/>
        <v>Rancho Estanzuela No. 121</v>
      </c>
      <c r="H175" s="41" t="s">
        <v>421</v>
      </c>
      <c r="I175" s="44" t="s">
        <v>422</v>
      </c>
      <c r="J175" s="127">
        <v>300</v>
      </c>
      <c r="K175" s="122"/>
    </row>
    <row r="176" spans="1:11" hidden="1" x14ac:dyDescent="0.2">
      <c r="A176" s="125">
        <v>171</v>
      </c>
      <c r="B176" s="66" t="str">
        <f t="shared" si="28"/>
        <v>EZ_123_</v>
      </c>
      <c r="C176" s="1" t="s">
        <v>682</v>
      </c>
      <c r="D176" s="1">
        <v>123</v>
      </c>
      <c r="E176" s="1"/>
      <c r="F176" s="1" t="s">
        <v>888</v>
      </c>
      <c r="G176" s="16" t="str">
        <f t="shared" si="26"/>
        <v>Rancho Estanzuela No. 123</v>
      </c>
      <c r="H176" s="41" t="s">
        <v>423</v>
      </c>
      <c r="I176" s="44" t="s">
        <v>1261</v>
      </c>
      <c r="J176" s="127">
        <v>150</v>
      </c>
      <c r="K176" s="122"/>
    </row>
    <row r="177" spans="1:11" hidden="1" x14ac:dyDescent="0.2">
      <c r="A177" s="125">
        <v>172</v>
      </c>
      <c r="B177" s="66" t="str">
        <f t="shared" si="28"/>
        <v>EZ_127_</v>
      </c>
      <c r="C177" s="1" t="s">
        <v>682</v>
      </c>
      <c r="D177" s="1">
        <v>127</v>
      </c>
      <c r="E177" s="1"/>
      <c r="F177" s="1" t="s">
        <v>888</v>
      </c>
      <c r="G177" s="16" t="str">
        <f t="shared" si="26"/>
        <v>Rancho Estanzuela No. 127</v>
      </c>
      <c r="H177" s="41" t="s">
        <v>424</v>
      </c>
      <c r="I177" s="44" t="s">
        <v>425</v>
      </c>
      <c r="J177" s="127">
        <v>200</v>
      </c>
      <c r="K177" s="122"/>
    </row>
    <row r="178" spans="1:11" hidden="1" x14ac:dyDescent="0.2">
      <c r="A178" s="125">
        <v>173</v>
      </c>
      <c r="B178" s="66" t="str">
        <f t="shared" si="28"/>
        <v>EZ_129_</v>
      </c>
      <c r="C178" s="1" t="s">
        <v>682</v>
      </c>
      <c r="D178" s="1">
        <v>129</v>
      </c>
      <c r="E178" s="1"/>
      <c r="F178" s="1" t="s">
        <v>888</v>
      </c>
      <c r="G178" s="16" t="str">
        <f t="shared" si="26"/>
        <v>Rancho Estanzuela No. 129</v>
      </c>
      <c r="H178" s="41" t="s">
        <v>426</v>
      </c>
      <c r="I178" s="44" t="s">
        <v>353</v>
      </c>
      <c r="J178" s="127">
        <v>300</v>
      </c>
      <c r="K178" s="122"/>
    </row>
    <row r="179" spans="1:11" hidden="1" x14ac:dyDescent="0.2">
      <c r="A179" s="125">
        <v>174</v>
      </c>
      <c r="B179" s="66" t="str">
        <f t="shared" si="28"/>
        <v>CM_130_A</v>
      </c>
      <c r="C179" s="1" t="s">
        <v>1702</v>
      </c>
      <c r="D179" s="1">
        <v>130</v>
      </c>
      <c r="E179" s="1" t="s">
        <v>672</v>
      </c>
      <c r="F179" s="1" t="s">
        <v>888</v>
      </c>
      <c r="G179" s="16" t="str">
        <f t="shared" si="26"/>
        <v>Rancho Estanzuela No. 130, A</v>
      </c>
      <c r="H179" s="41" t="s">
        <v>427</v>
      </c>
      <c r="I179" s="44" t="s">
        <v>428</v>
      </c>
      <c r="J179" s="127">
        <v>10000</v>
      </c>
      <c r="K179" s="122"/>
    </row>
    <row r="180" spans="1:11" hidden="1" x14ac:dyDescent="0.2">
      <c r="A180" s="125">
        <v>175</v>
      </c>
      <c r="B180" s="67" t="str">
        <f t="shared" si="28"/>
        <v>EZ_130_B</v>
      </c>
      <c r="C180" s="12" t="s">
        <v>682</v>
      </c>
      <c r="D180" s="12">
        <v>130</v>
      </c>
      <c r="E180" s="12" t="s">
        <v>673</v>
      </c>
      <c r="F180" s="12" t="s">
        <v>888</v>
      </c>
      <c r="G180" s="68" t="str">
        <f t="shared" si="26"/>
        <v>Rancho Estanzuela No. 130, B</v>
      </c>
      <c r="H180" s="42" t="s">
        <v>427</v>
      </c>
      <c r="I180" s="47" t="s">
        <v>429</v>
      </c>
      <c r="J180" s="127">
        <v>300</v>
      </c>
      <c r="K180" s="122"/>
    </row>
    <row r="181" spans="1:11" hidden="1" x14ac:dyDescent="0.2">
      <c r="A181" s="125">
        <v>176</v>
      </c>
      <c r="B181" s="67" t="str">
        <f t="shared" si="28"/>
        <v>EZ_133_</v>
      </c>
      <c r="C181" s="12" t="s">
        <v>682</v>
      </c>
      <c r="D181" s="12">
        <v>133</v>
      </c>
      <c r="E181" s="12"/>
      <c r="F181" s="12" t="s">
        <v>888</v>
      </c>
      <c r="G181" s="68" t="str">
        <f t="shared" si="26"/>
        <v>Rancho Estanzuela No. 133</v>
      </c>
      <c r="H181" s="42" t="s">
        <v>431</v>
      </c>
      <c r="I181" s="47" t="s">
        <v>432</v>
      </c>
      <c r="J181" s="127">
        <v>250</v>
      </c>
      <c r="K181" s="122"/>
    </row>
    <row r="182" spans="1:11" hidden="1" x14ac:dyDescent="0.2">
      <c r="A182" s="125">
        <v>177</v>
      </c>
      <c r="B182" s="66" t="str">
        <f t="shared" si="28"/>
        <v>EZ_135_</v>
      </c>
      <c r="C182" s="1" t="s">
        <v>682</v>
      </c>
      <c r="D182" s="1">
        <v>135</v>
      </c>
      <c r="E182" s="1"/>
      <c r="F182" s="1" t="s">
        <v>888</v>
      </c>
      <c r="G182" s="16" t="str">
        <f t="shared" si="26"/>
        <v>Rancho Estanzuela No. 135</v>
      </c>
      <c r="H182" s="41" t="s">
        <v>433</v>
      </c>
      <c r="I182" s="44" t="s">
        <v>434</v>
      </c>
      <c r="J182" s="127">
        <v>300</v>
      </c>
      <c r="K182" s="122"/>
    </row>
    <row r="183" spans="1:11" hidden="1" x14ac:dyDescent="0.2">
      <c r="A183" s="125">
        <v>178</v>
      </c>
      <c r="B183" s="66" t="str">
        <f t="shared" si="28"/>
        <v>EZ_139_</v>
      </c>
      <c r="C183" s="1" t="s">
        <v>682</v>
      </c>
      <c r="D183" s="1">
        <v>139</v>
      </c>
      <c r="E183" s="1"/>
      <c r="F183" s="1" t="s">
        <v>888</v>
      </c>
      <c r="G183" s="16" t="str">
        <f t="shared" si="26"/>
        <v>Rancho Estanzuela No. 139</v>
      </c>
      <c r="H183" s="41" t="s">
        <v>435</v>
      </c>
      <c r="I183" s="44" t="s">
        <v>436</v>
      </c>
      <c r="J183" s="127">
        <v>300</v>
      </c>
      <c r="K183" s="122"/>
    </row>
    <row r="184" spans="1:11" hidden="1" x14ac:dyDescent="0.2">
      <c r="A184" s="125">
        <v>179</v>
      </c>
      <c r="B184" s="66" t="str">
        <f t="shared" si="28"/>
        <v>EZ_141_</v>
      </c>
      <c r="C184" s="1" t="s">
        <v>682</v>
      </c>
      <c r="D184" s="1">
        <v>141</v>
      </c>
      <c r="E184" s="1"/>
      <c r="F184" s="1" t="s">
        <v>888</v>
      </c>
      <c r="G184" s="16" t="str">
        <f t="shared" si="26"/>
        <v>Rancho Estanzuela No. 141</v>
      </c>
      <c r="H184" s="41" t="s">
        <v>437</v>
      </c>
      <c r="I184" s="44" t="s">
        <v>438</v>
      </c>
      <c r="J184" s="127">
        <v>300</v>
      </c>
      <c r="K184" s="122"/>
    </row>
    <row r="185" spans="1:11" hidden="1" x14ac:dyDescent="0.2">
      <c r="A185" s="125">
        <v>180</v>
      </c>
      <c r="B185" s="110" t="str">
        <f t="shared" si="28"/>
        <v>EZ_147_1</v>
      </c>
      <c r="C185" s="1" t="s">
        <v>682</v>
      </c>
      <c r="D185" s="1">
        <v>147</v>
      </c>
      <c r="E185" s="1">
        <v>1</v>
      </c>
      <c r="F185" s="1" t="s">
        <v>888</v>
      </c>
      <c r="G185" s="16" t="str">
        <f t="shared" si="26"/>
        <v>Rancho Estanzuela No. 147, 1</v>
      </c>
      <c r="H185" s="41" t="s">
        <v>439</v>
      </c>
      <c r="I185" s="48" t="s">
        <v>1303</v>
      </c>
      <c r="J185" s="127">
        <v>100</v>
      </c>
      <c r="K185" s="122" t="s">
        <v>1335</v>
      </c>
    </row>
    <row r="186" spans="1:11" hidden="1" x14ac:dyDescent="0.2">
      <c r="A186" s="125">
        <v>181</v>
      </c>
      <c r="B186" s="110" t="str">
        <f t="shared" si="28"/>
        <v>EZ_147_2</v>
      </c>
      <c r="C186" s="1" t="s">
        <v>682</v>
      </c>
      <c r="D186" s="1">
        <v>147</v>
      </c>
      <c r="E186" s="1">
        <v>2</v>
      </c>
      <c r="F186" s="1" t="s">
        <v>888</v>
      </c>
      <c r="G186" s="16" t="str">
        <f t="shared" ref="G186:G187" si="30">IF(E186=0,CONCATENATE(F186," No. ",D186),CONCATENATE(F186," No. ",D186,", ",E186))</f>
        <v>Rancho Estanzuela No. 147, 2</v>
      </c>
      <c r="H186" s="41"/>
      <c r="I186" s="48" t="s">
        <v>1304</v>
      </c>
      <c r="J186" s="127">
        <v>300</v>
      </c>
      <c r="K186" s="122"/>
    </row>
    <row r="187" spans="1:11" hidden="1" x14ac:dyDescent="0.2">
      <c r="A187" s="125">
        <v>182</v>
      </c>
      <c r="B187" s="110" t="str">
        <f t="shared" si="28"/>
        <v>EZ_147_3</v>
      </c>
      <c r="C187" s="1" t="s">
        <v>682</v>
      </c>
      <c r="D187" s="1">
        <v>147</v>
      </c>
      <c r="E187" s="1">
        <v>3</v>
      </c>
      <c r="F187" s="1" t="s">
        <v>888</v>
      </c>
      <c r="G187" s="16" t="str">
        <f t="shared" si="30"/>
        <v>Rancho Estanzuela No. 147, 3</v>
      </c>
      <c r="H187" s="41"/>
      <c r="I187" s="48" t="s">
        <v>1305</v>
      </c>
      <c r="J187" s="127"/>
      <c r="K187" s="122"/>
    </row>
    <row r="188" spans="1:11" hidden="1" x14ac:dyDescent="0.2">
      <c r="A188" s="125">
        <v>183</v>
      </c>
      <c r="B188" s="66" t="str">
        <f t="shared" si="28"/>
        <v>EZ_149_</v>
      </c>
      <c r="C188" s="1" t="s">
        <v>682</v>
      </c>
      <c r="D188" s="1">
        <v>149</v>
      </c>
      <c r="E188" s="1"/>
      <c r="F188" s="1" t="s">
        <v>888</v>
      </c>
      <c r="G188" s="16" t="str">
        <f t="shared" si="26"/>
        <v>Rancho Estanzuela No. 149</v>
      </c>
      <c r="H188" s="41" t="s">
        <v>440</v>
      </c>
      <c r="I188" s="44" t="s">
        <v>441</v>
      </c>
      <c r="J188" s="127">
        <v>300</v>
      </c>
      <c r="K188" s="122"/>
    </row>
    <row r="189" spans="1:11" hidden="1" x14ac:dyDescent="0.2">
      <c r="A189" s="125">
        <v>184</v>
      </c>
      <c r="B189" s="66" t="str">
        <f t="shared" si="28"/>
        <v>EZ_151_</v>
      </c>
      <c r="C189" s="1" t="s">
        <v>682</v>
      </c>
      <c r="D189" s="1">
        <v>151</v>
      </c>
      <c r="E189" s="1"/>
      <c r="F189" s="1" t="s">
        <v>888</v>
      </c>
      <c r="G189" s="16" t="str">
        <f t="shared" si="26"/>
        <v>Rancho Estanzuela No. 151</v>
      </c>
      <c r="H189" s="41" t="s">
        <v>442</v>
      </c>
      <c r="I189" s="44" t="s">
        <v>443</v>
      </c>
      <c r="J189" s="127">
        <v>300</v>
      </c>
      <c r="K189" s="122"/>
    </row>
    <row r="190" spans="1:11" hidden="1" x14ac:dyDescent="0.2">
      <c r="A190" s="125">
        <v>185</v>
      </c>
      <c r="B190" s="66" t="str">
        <f t="shared" si="28"/>
        <v>EZ_153_</v>
      </c>
      <c r="C190" s="1" t="s">
        <v>682</v>
      </c>
      <c r="D190" s="1">
        <v>153</v>
      </c>
      <c r="E190" s="1"/>
      <c r="F190" s="1" t="s">
        <v>888</v>
      </c>
      <c r="G190" s="16" t="str">
        <f t="shared" si="26"/>
        <v>Rancho Estanzuela No. 153</v>
      </c>
      <c r="H190" s="41" t="s">
        <v>444</v>
      </c>
      <c r="I190" s="44" t="s">
        <v>445</v>
      </c>
      <c r="J190" s="127">
        <v>300</v>
      </c>
      <c r="K190" s="122"/>
    </row>
    <row r="191" spans="1:11" hidden="1" x14ac:dyDescent="0.2">
      <c r="A191" s="125">
        <v>186</v>
      </c>
      <c r="B191" s="66" t="str">
        <f t="shared" si="28"/>
        <v>EZ_155_</v>
      </c>
      <c r="C191" s="1" t="s">
        <v>682</v>
      </c>
      <c r="D191" s="1">
        <v>155</v>
      </c>
      <c r="E191" s="1"/>
      <c r="F191" s="1" t="s">
        <v>888</v>
      </c>
      <c r="G191" s="16" t="str">
        <f t="shared" si="26"/>
        <v>Rancho Estanzuela No. 155</v>
      </c>
      <c r="H191" s="41" t="s">
        <v>446</v>
      </c>
      <c r="I191" s="44" t="s">
        <v>1214</v>
      </c>
      <c r="J191" s="127">
        <v>300</v>
      </c>
      <c r="K191" s="122"/>
    </row>
    <row r="192" spans="1:11" hidden="1" x14ac:dyDescent="0.2">
      <c r="A192" s="125">
        <v>187</v>
      </c>
      <c r="B192" s="110" t="str">
        <f t="shared" si="28"/>
        <v>EZ_157_1</v>
      </c>
      <c r="C192" s="1" t="s">
        <v>682</v>
      </c>
      <c r="D192" s="1">
        <v>157</v>
      </c>
      <c r="E192" s="1">
        <v>1</v>
      </c>
      <c r="F192" s="1" t="s">
        <v>888</v>
      </c>
      <c r="G192" s="16" t="str">
        <f t="shared" ref="G192:G207" si="31">IF(E192=0,CONCATENATE(F192," No. ",D192),CONCATENATE(F192," No. ",D192,", ",E192))</f>
        <v>Rancho Estanzuela No. 157, 1</v>
      </c>
      <c r="H192" s="41" t="s">
        <v>447</v>
      </c>
      <c r="I192" s="44" t="s">
        <v>1306</v>
      </c>
      <c r="J192" s="127">
        <v>450</v>
      </c>
      <c r="K192" s="122" t="s">
        <v>1335</v>
      </c>
    </row>
    <row r="193" spans="1:11" hidden="1" x14ac:dyDescent="0.2">
      <c r="A193" s="125">
        <v>188</v>
      </c>
      <c r="B193" s="110" t="str">
        <f t="shared" si="28"/>
        <v>EZ_157_2</v>
      </c>
      <c r="C193" s="1" t="s">
        <v>682</v>
      </c>
      <c r="D193" s="1">
        <v>157</v>
      </c>
      <c r="E193" s="1">
        <v>2</v>
      </c>
      <c r="F193" s="1" t="s">
        <v>888</v>
      </c>
      <c r="G193" s="16" t="str">
        <f t="shared" ref="G193:G194" si="32">IF(E193=0,CONCATENATE(F193," No. ",D193),CONCATENATE(F193," No. ",D193,", ",E193))</f>
        <v>Rancho Estanzuela No. 157, 2</v>
      </c>
      <c r="H193" s="41"/>
      <c r="I193" s="44" t="s">
        <v>2053</v>
      </c>
      <c r="J193" s="127"/>
      <c r="K193" s="122"/>
    </row>
    <row r="194" spans="1:11" hidden="1" x14ac:dyDescent="0.2">
      <c r="A194" s="125">
        <v>189</v>
      </c>
      <c r="B194" s="110" t="str">
        <f t="shared" si="28"/>
        <v>EZ_157_3</v>
      </c>
      <c r="C194" s="1" t="s">
        <v>682</v>
      </c>
      <c r="D194" s="1">
        <v>157</v>
      </c>
      <c r="E194" s="1">
        <v>3</v>
      </c>
      <c r="F194" s="1" t="s">
        <v>888</v>
      </c>
      <c r="G194" s="16" t="str">
        <f t="shared" si="32"/>
        <v>Rancho Estanzuela No. 157, 3</v>
      </c>
      <c r="H194" s="41"/>
      <c r="I194" s="44" t="s">
        <v>1307</v>
      </c>
      <c r="J194" s="127"/>
      <c r="K194" s="122"/>
    </row>
    <row r="195" spans="1:11" hidden="1" x14ac:dyDescent="0.2">
      <c r="A195" s="125">
        <v>190</v>
      </c>
      <c r="B195" s="66" t="str">
        <f t="shared" si="28"/>
        <v>EZ_159_</v>
      </c>
      <c r="C195" s="1" t="s">
        <v>682</v>
      </c>
      <c r="D195" s="1">
        <v>159</v>
      </c>
      <c r="E195" s="1"/>
      <c r="F195" s="1" t="s">
        <v>888</v>
      </c>
      <c r="G195" s="16" t="str">
        <f t="shared" si="31"/>
        <v>Rancho Estanzuela No. 159</v>
      </c>
      <c r="H195" s="41" t="s">
        <v>448</v>
      </c>
      <c r="I195" s="44" t="s">
        <v>1663</v>
      </c>
      <c r="J195" s="127">
        <v>250</v>
      </c>
      <c r="K195" s="122"/>
    </row>
    <row r="196" spans="1:11" hidden="1" x14ac:dyDescent="0.2">
      <c r="A196" s="125">
        <v>191</v>
      </c>
      <c r="B196" s="66" t="str">
        <f t="shared" si="28"/>
        <v>EZ_161_1</v>
      </c>
      <c r="C196" s="1" t="s">
        <v>682</v>
      </c>
      <c r="D196" s="1">
        <v>161</v>
      </c>
      <c r="E196" s="1">
        <v>1</v>
      </c>
      <c r="F196" s="1" t="s">
        <v>888</v>
      </c>
      <c r="G196" s="16" t="str">
        <f t="shared" si="31"/>
        <v>Rancho Estanzuela No. 161, 1</v>
      </c>
      <c r="H196" s="41" t="s">
        <v>450</v>
      </c>
      <c r="I196" s="44" t="s">
        <v>451</v>
      </c>
      <c r="J196" s="127">
        <v>150</v>
      </c>
      <c r="K196" s="122"/>
    </row>
    <row r="197" spans="1:11" hidden="1" x14ac:dyDescent="0.2">
      <c r="A197" s="125">
        <v>192</v>
      </c>
      <c r="B197" s="66" t="str">
        <f t="shared" si="28"/>
        <v>EZ_161_B</v>
      </c>
      <c r="C197" s="1" t="s">
        <v>682</v>
      </c>
      <c r="D197" s="1">
        <v>161</v>
      </c>
      <c r="E197" s="1" t="s">
        <v>673</v>
      </c>
      <c r="F197" s="1" t="s">
        <v>888</v>
      </c>
      <c r="G197" s="16" t="str">
        <f t="shared" si="31"/>
        <v>Rancho Estanzuela No. 161, B</v>
      </c>
      <c r="H197" s="41" t="s">
        <v>452</v>
      </c>
      <c r="I197" s="44" t="s">
        <v>453</v>
      </c>
      <c r="J197" s="127">
        <v>150</v>
      </c>
      <c r="K197" s="122"/>
    </row>
    <row r="198" spans="1:11" hidden="1" x14ac:dyDescent="0.2">
      <c r="A198" s="125">
        <v>193</v>
      </c>
      <c r="B198" s="66" t="str">
        <f t="shared" si="28"/>
        <v>EZ_163_</v>
      </c>
      <c r="C198" s="1" t="s">
        <v>682</v>
      </c>
      <c r="D198" s="1">
        <v>163</v>
      </c>
      <c r="E198" s="1"/>
      <c r="F198" s="1" t="s">
        <v>888</v>
      </c>
      <c r="G198" s="16" t="str">
        <f t="shared" si="31"/>
        <v>Rancho Estanzuela No. 163</v>
      </c>
      <c r="H198" s="41" t="s">
        <v>454</v>
      </c>
      <c r="I198" s="44" t="s">
        <v>722</v>
      </c>
      <c r="J198" s="127">
        <v>300</v>
      </c>
      <c r="K198" s="122"/>
    </row>
    <row r="199" spans="1:11" hidden="1" x14ac:dyDescent="0.2">
      <c r="A199" s="125">
        <v>194</v>
      </c>
      <c r="B199" s="66" t="str">
        <f t="shared" si="28"/>
        <v>EZ_165_A</v>
      </c>
      <c r="C199" s="1" t="s">
        <v>682</v>
      </c>
      <c r="D199" s="1">
        <v>165</v>
      </c>
      <c r="E199" s="1" t="s">
        <v>672</v>
      </c>
      <c r="F199" s="1" t="s">
        <v>888</v>
      </c>
      <c r="G199" s="16" t="str">
        <f t="shared" si="31"/>
        <v>Rancho Estanzuela No. 165, A</v>
      </c>
      <c r="H199" s="41" t="s">
        <v>455</v>
      </c>
      <c r="I199" s="44" t="s">
        <v>723</v>
      </c>
      <c r="J199" s="127">
        <v>150</v>
      </c>
      <c r="K199" s="122"/>
    </row>
    <row r="200" spans="1:11" hidden="1" x14ac:dyDescent="0.2">
      <c r="A200" s="125">
        <v>195</v>
      </c>
      <c r="B200" s="67" t="str">
        <f t="shared" si="28"/>
        <v>EZ_165_B</v>
      </c>
      <c r="C200" s="12" t="s">
        <v>682</v>
      </c>
      <c r="D200" s="12">
        <v>165</v>
      </c>
      <c r="E200" s="12" t="s">
        <v>673</v>
      </c>
      <c r="F200" s="12" t="s">
        <v>888</v>
      </c>
      <c r="G200" s="68" t="str">
        <f t="shared" si="31"/>
        <v>Rancho Estanzuela No. 165, B</v>
      </c>
      <c r="H200" s="42" t="s">
        <v>455</v>
      </c>
      <c r="I200" s="47" t="s">
        <v>724</v>
      </c>
      <c r="J200" s="127">
        <v>150</v>
      </c>
      <c r="K200" s="122"/>
    </row>
    <row r="201" spans="1:11" hidden="1" x14ac:dyDescent="0.2">
      <c r="A201" s="125">
        <v>196</v>
      </c>
      <c r="B201" s="66" t="str">
        <f t="shared" si="28"/>
        <v>HS_828_</v>
      </c>
      <c r="C201" s="1" t="s">
        <v>685</v>
      </c>
      <c r="D201" s="1">
        <v>828</v>
      </c>
      <c r="E201" s="1"/>
      <c r="F201" s="1" t="s">
        <v>889</v>
      </c>
      <c r="G201" s="16" t="str">
        <f t="shared" si="31"/>
        <v>Calzada del Hueso No. 828</v>
      </c>
      <c r="H201" s="41" t="s">
        <v>644</v>
      </c>
      <c r="I201" s="44" t="s">
        <v>1247</v>
      </c>
      <c r="J201" s="127">
        <v>300</v>
      </c>
      <c r="K201" s="122"/>
    </row>
    <row r="202" spans="1:11" hidden="1" x14ac:dyDescent="0.2">
      <c r="A202" s="125">
        <v>197</v>
      </c>
      <c r="B202" s="66" t="str">
        <f t="shared" si="28"/>
        <v>HS_840_</v>
      </c>
      <c r="C202" s="1" t="s">
        <v>685</v>
      </c>
      <c r="D202" s="1">
        <v>840</v>
      </c>
      <c r="E202" s="1"/>
      <c r="F202" s="1" t="s">
        <v>889</v>
      </c>
      <c r="G202" s="16" t="str">
        <f t="shared" si="31"/>
        <v>Calzada del Hueso No. 840</v>
      </c>
      <c r="H202" s="41" t="s">
        <v>642</v>
      </c>
      <c r="I202" s="44" t="s">
        <v>643</v>
      </c>
      <c r="J202" s="127">
        <v>300</v>
      </c>
      <c r="K202" s="122"/>
    </row>
    <row r="203" spans="1:11" hidden="1" x14ac:dyDescent="0.2">
      <c r="A203" s="125">
        <v>198</v>
      </c>
      <c r="B203" s="66" t="str">
        <f t="shared" si="28"/>
        <v>HS_A_</v>
      </c>
      <c r="C203" s="1" t="s">
        <v>685</v>
      </c>
      <c r="D203" s="1" t="s">
        <v>672</v>
      </c>
      <c r="E203" s="1"/>
      <c r="F203" s="1" t="s">
        <v>889</v>
      </c>
      <c r="G203" s="16" t="str">
        <f t="shared" si="31"/>
        <v>Calzada del Hueso No. A</v>
      </c>
      <c r="H203" s="41" t="s">
        <v>640</v>
      </c>
      <c r="I203" s="44" t="s">
        <v>641</v>
      </c>
      <c r="J203" s="127">
        <v>300</v>
      </c>
      <c r="K203" s="122"/>
    </row>
    <row r="204" spans="1:11" hidden="1" x14ac:dyDescent="0.2">
      <c r="A204" s="125">
        <v>199</v>
      </c>
      <c r="B204" s="66" t="str">
        <f t="shared" si="28"/>
        <v>HS_B_</v>
      </c>
      <c r="C204" s="1" t="s">
        <v>685</v>
      </c>
      <c r="D204" s="1" t="s">
        <v>673</v>
      </c>
      <c r="E204" s="1"/>
      <c r="F204" s="1" t="s">
        <v>889</v>
      </c>
      <c r="G204" s="16" t="str">
        <f t="shared" si="31"/>
        <v>Calzada del Hueso No. B</v>
      </c>
      <c r="H204" s="41" t="s">
        <v>640</v>
      </c>
      <c r="I204" s="44" t="s">
        <v>1987</v>
      </c>
      <c r="J204" s="127">
        <v>1000</v>
      </c>
      <c r="K204" s="122"/>
    </row>
    <row r="205" spans="1:11" hidden="1" x14ac:dyDescent="0.2">
      <c r="A205" s="125">
        <v>200</v>
      </c>
      <c r="B205" s="66" t="str">
        <f t="shared" si="28"/>
        <v>HS_C_</v>
      </c>
      <c r="C205" s="1" t="s">
        <v>685</v>
      </c>
      <c r="D205" s="1" t="s">
        <v>969</v>
      </c>
      <c r="E205" s="1"/>
      <c r="F205" s="1" t="s">
        <v>889</v>
      </c>
      <c r="G205" s="16" t="str">
        <f t="shared" si="31"/>
        <v>Calzada del Hueso No. C</v>
      </c>
      <c r="H205" s="41" t="s">
        <v>640</v>
      </c>
      <c r="I205" s="44" t="s">
        <v>646</v>
      </c>
      <c r="J205" s="127">
        <v>300</v>
      </c>
      <c r="K205" s="122"/>
    </row>
    <row r="206" spans="1:11" x14ac:dyDescent="0.2">
      <c r="A206" s="125">
        <v>201</v>
      </c>
      <c r="B206" s="66" t="str">
        <f t="shared" si="28"/>
        <v>LD_1_A</v>
      </c>
      <c r="C206" s="1" t="s">
        <v>683</v>
      </c>
      <c r="D206" s="1">
        <v>1</v>
      </c>
      <c r="E206" s="1" t="s">
        <v>672</v>
      </c>
      <c r="F206" s="1" t="s">
        <v>890</v>
      </c>
      <c r="G206" s="16" t="str">
        <f t="shared" si="31"/>
        <v>Rancho Landero No. 1, A</v>
      </c>
      <c r="H206" s="41" t="s">
        <v>456</v>
      </c>
      <c r="I206" s="44" t="s">
        <v>2083</v>
      </c>
      <c r="J206" s="127">
        <v>300</v>
      </c>
      <c r="K206" s="122"/>
    </row>
    <row r="207" spans="1:11" x14ac:dyDescent="0.2">
      <c r="A207" s="125">
        <v>202</v>
      </c>
      <c r="B207" s="66" t="str">
        <f t="shared" si="28"/>
        <v>LD_1_B</v>
      </c>
      <c r="C207" s="1" t="s">
        <v>683</v>
      </c>
      <c r="D207" s="1">
        <v>1</v>
      </c>
      <c r="E207" s="1" t="s">
        <v>673</v>
      </c>
      <c r="F207" s="1" t="s">
        <v>890</v>
      </c>
      <c r="G207" s="16" t="str">
        <f t="shared" si="31"/>
        <v>Rancho Landero No. 1, B</v>
      </c>
      <c r="H207" s="41"/>
      <c r="I207" s="44" t="s">
        <v>1309</v>
      </c>
      <c r="J207" s="127">
        <v>300</v>
      </c>
      <c r="K207" s="122" t="s">
        <v>1852</v>
      </c>
    </row>
    <row r="208" spans="1:11" x14ac:dyDescent="0.2">
      <c r="A208" s="125">
        <v>203</v>
      </c>
      <c r="B208" s="66" t="str">
        <f t="shared" si="28"/>
        <v>LD_2_3</v>
      </c>
      <c r="C208" s="1" t="s">
        <v>683</v>
      </c>
      <c r="D208" s="1">
        <v>2</v>
      </c>
      <c r="E208" s="1">
        <v>3</v>
      </c>
      <c r="F208" s="1" t="s">
        <v>890</v>
      </c>
      <c r="G208" s="16" t="str">
        <f t="shared" ref="G208:G273" si="33">IF(E208=0,CONCATENATE(F208," No. ",D208),CONCATENATE(F208," No. ",D208,", ",E208))</f>
        <v>Rancho Landero No. 2, 3</v>
      </c>
      <c r="H208" s="41" t="s">
        <v>459</v>
      </c>
      <c r="I208" s="44" t="s">
        <v>725</v>
      </c>
      <c r="J208" s="127">
        <v>150</v>
      </c>
      <c r="K208" s="122"/>
    </row>
    <row r="209" spans="1:11" x14ac:dyDescent="0.2">
      <c r="A209" s="125">
        <v>204</v>
      </c>
      <c r="B209" s="66" t="str">
        <f t="shared" si="28"/>
        <v>LD_2_A</v>
      </c>
      <c r="C209" s="1" t="s">
        <v>683</v>
      </c>
      <c r="D209" s="1">
        <v>2</v>
      </c>
      <c r="E209" s="1" t="s">
        <v>672</v>
      </c>
      <c r="F209" s="1" t="s">
        <v>890</v>
      </c>
      <c r="G209" s="16" t="str">
        <f t="shared" si="33"/>
        <v>Rancho Landero No. 2, A</v>
      </c>
      <c r="H209" s="41" t="s">
        <v>457</v>
      </c>
      <c r="I209" s="44" t="s">
        <v>458</v>
      </c>
      <c r="J209" s="127">
        <v>150</v>
      </c>
      <c r="K209" s="122"/>
    </row>
    <row r="210" spans="1:11" x14ac:dyDescent="0.2">
      <c r="A210" s="125">
        <v>205</v>
      </c>
      <c r="B210" s="67" t="str">
        <f t="shared" si="28"/>
        <v>LD_2_B</v>
      </c>
      <c r="C210" s="12" t="s">
        <v>683</v>
      </c>
      <c r="D210" s="12">
        <v>2</v>
      </c>
      <c r="E210" s="12" t="s">
        <v>673</v>
      </c>
      <c r="F210" s="12" t="s">
        <v>890</v>
      </c>
      <c r="G210" s="68" t="str">
        <f t="shared" si="33"/>
        <v>Rancho Landero No. 2, B</v>
      </c>
      <c r="H210" s="42" t="s">
        <v>460</v>
      </c>
      <c r="I210" s="47" t="s">
        <v>461</v>
      </c>
      <c r="J210" s="127">
        <v>150</v>
      </c>
      <c r="K210" s="122"/>
    </row>
    <row r="211" spans="1:11" x14ac:dyDescent="0.2">
      <c r="A211" s="125">
        <v>206</v>
      </c>
      <c r="B211" s="66" t="str">
        <f t="shared" si="28"/>
        <v>LD_7_</v>
      </c>
      <c r="C211" s="1" t="s">
        <v>683</v>
      </c>
      <c r="D211" s="1">
        <v>7</v>
      </c>
      <c r="E211" s="1"/>
      <c r="F211" s="1" t="s">
        <v>890</v>
      </c>
      <c r="G211" s="16" t="str">
        <f t="shared" si="33"/>
        <v>Rancho Landero No. 7</v>
      </c>
      <c r="H211" s="41" t="s">
        <v>462</v>
      </c>
      <c r="I211" s="44" t="s">
        <v>359</v>
      </c>
      <c r="J211" s="127">
        <v>150</v>
      </c>
      <c r="K211" s="122"/>
    </row>
    <row r="212" spans="1:11" x14ac:dyDescent="0.2">
      <c r="A212" s="125">
        <v>207</v>
      </c>
      <c r="B212" s="66" t="str">
        <f t="shared" si="28"/>
        <v>LD_8_</v>
      </c>
      <c r="C212" s="1" t="s">
        <v>683</v>
      </c>
      <c r="D212" s="1">
        <v>8</v>
      </c>
      <c r="E212" s="1"/>
      <c r="F212" s="1" t="s">
        <v>890</v>
      </c>
      <c r="G212" s="16" t="str">
        <f t="shared" si="33"/>
        <v>Rancho Landero No. 8</v>
      </c>
      <c r="H212" s="41" t="s">
        <v>463</v>
      </c>
      <c r="I212" s="44" t="s">
        <v>726</v>
      </c>
      <c r="J212" s="127">
        <v>250</v>
      </c>
      <c r="K212" s="122"/>
    </row>
    <row r="213" spans="1:11" x14ac:dyDescent="0.2">
      <c r="A213" s="125">
        <v>208</v>
      </c>
      <c r="B213" s="66" t="str">
        <f t="shared" si="28"/>
        <v>LD_10_</v>
      </c>
      <c r="C213" s="1" t="s">
        <v>683</v>
      </c>
      <c r="D213" s="1">
        <v>10</v>
      </c>
      <c r="E213" s="1"/>
      <c r="F213" s="1" t="s">
        <v>890</v>
      </c>
      <c r="G213" s="16" t="str">
        <f t="shared" si="33"/>
        <v>Rancho Landero No. 10</v>
      </c>
      <c r="H213" s="41" t="s">
        <v>464</v>
      </c>
      <c r="I213" s="44" t="s">
        <v>465</v>
      </c>
      <c r="J213" s="127">
        <v>300</v>
      </c>
      <c r="K213" s="122"/>
    </row>
    <row r="214" spans="1:11" x14ac:dyDescent="0.2">
      <c r="A214" s="125">
        <v>209</v>
      </c>
      <c r="B214" s="66" t="str">
        <f t="shared" si="28"/>
        <v>LD_11_</v>
      </c>
      <c r="C214" s="1" t="s">
        <v>683</v>
      </c>
      <c r="D214" s="1">
        <v>11</v>
      </c>
      <c r="E214" s="1"/>
      <c r="F214" s="1" t="s">
        <v>890</v>
      </c>
      <c r="G214" s="16" t="str">
        <f t="shared" si="33"/>
        <v>Rancho Landero No. 11</v>
      </c>
      <c r="H214" s="41" t="s">
        <v>466</v>
      </c>
      <c r="I214" s="44" t="s">
        <v>467</v>
      </c>
      <c r="J214" s="127">
        <v>300</v>
      </c>
      <c r="K214" s="122"/>
    </row>
    <row r="215" spans="1:11" x14ac:dyDescent="0.2">
      <c r="A215" s="125">
        <v>210</v>
      </c>
      <c r="B215" s="66" t="str">
        <f t="shared" si="28"/>
        <v>LD_12_</v>
      </c>
      <c r="C215" s="1" t="s">
        <v>683</v>
      </c>
      <c r="D215" s="1">
        <v>12</v>
      </c>
      <c r="E215" s="1"/>
      <c r="F215" s="1" t="s">
        <v>890</v>
      </c>
      <c r="G215" s="16" t="str">
        <f t="shared" si="33"/>
        <v>Rancho Landero No. 12</v>
      </c>
      <c r="H215" s="41" t="s">
        <v>558</v>
      </c>
      <c r="I215" s="44" t="s">
        <v>468</v>
      </c>
      <c r="J215" s="127">
        <v>300</v>
      </c>
      <c r="K215" s="122"/>
    </row>
    <row r="216" spans="1:11" x14ac:dyDescent="0.2">
      <c r="A216" s="125">
        <v>211</v>
      </c>
      <c r="B216" s="66" t="str">
        <f t="shared" ref="B216:B281" si="34">CONCATENATE(C216,"_",D216,"_",E216)</f>
        <v>LD_13_</v>
      </c>
      <c r="C216" s="1" t="s">
        <v>683</v>
      </c>
      <c r="D216" s="1">
        <v>13</v>
      </c>
      <c r="E216" s="1"/>
      <c r="F216" s="1" t="s">
        <v>890</v>
      </c>
      <c r="G216" s="16" t="str">
        <f t="shared" si="33"/>
        <v>Rancho Landero No. 13</v>
      </c>
      <c r="H216" s="41" t="s">
        <v>469</v>
      </c>
      <c r="I216" s="44" t="s">
        <v>70</v>
      </c>
      <c r="J216" s="127">
        <v>300</v>
      </c>
      <c r="K216" s="122"/>
    </row>
    <row r="217" spans="1:11" x14ac:dyDescent="0.2">
      <c r="A217" s="125">
        <v>212</v>
      </c>
      <c r="B217" s="66" t="str">
        <f t="shared" si="34"/>
        <v>LD_14_</v>
      </c>
      <c r="C217" s="1" t="s">
        <v>683</v>
      </c>
      <c r="D217" s="1">
        <v>14</v>
      </c>
      <c r="E217" s="1"/>
      <c r="F217" s="1" t="s">
        <v>890</v>
      </c>
      <c r="G217" s="16" t="str">
        <f t="shared" si="33"/>
        <v>Rancho Landero No. 14</v>
      </c>
      <c r="H217" s="41" t="s">
        <v>470</v>
      </c>
      <c r="I217" s="44" t="s">
        <v>59</v>
      </c>
      <c r="J217" s="127">
        <v>300</v>
      </c>
      <c r="K217" s="122"/>
    </row>
    <row r="218" spans="1:11" x14ac:dyDescent="0.2">
      <c r="A218" s="125">
        <v>213</v>
      </c>
      <c r="B218" s="66" t="str">
        <f t="shared" si="34"/>
        <v>LD_15_</v>
      </c>
      <c r="C218" s="1" t="s">
        <v>683</v>
      </c>
      <c r="D218" s="1">
        <v>15</v>
      </c>
      <c r="E218" s="1"/>
      <c r="F218" s="1" t="s">
        <v>890</v>
      </c>
      <c r="G218" s="16" t="str">
        <f t="shared" si="33"/>
        <v>Rancho Landero No. 15</v>
      </c>
      <c r="H218" s="41" t="s">
        <v>559</v>
      </c>
      <c r="I218" s="44" t="s">
        <v>1184</v>
      </c>
      <c r="J218" s="127">
        <v>300</v>
      </c>
      <c r="K218" s="122"/>
    </row>
    <row r="219" spans="1:11" x14ac:dyDescent="0.2">
      <c r="A219" s="125">
        <v>214</v>
      </c>
      <c r="B219" s="66" t="str">
        <f t="shared" si="34"/>
        <v>LD_17_</v>
      </c>
      <c r="C219" s="1" t="s">
        <v>683</v>
      </c>
      <c r="D219" s="1">
        <v>17</v>
      </c>
      <c r="E219" s="1"/>
      <c r="F219" s="1" t="s">
        <v>890</v>
      </c>
      <c r="G219" s="16" t="str">
        <f t="shared" si="33"/>
        <v>Rancho Landero No. 17</v>
      </c>
      <c r="H219" s="41" t="s">
        <v>471</v>
      </c>
      <c r="I219" s="44" t="s">
        <v>353</v>
      </c>
      <c r="J219" s="127">
        <v>300</v>
      </c>
      <c r="K219" s="122"/>
    </row>
    <row r="220" spans="1:11" x14ac:dyDescent="0.2">
      <c r="A220" s="125">
        <v>215</v>
      </c>
      <c r="B220" s="66" t="str">
        <f t="shared" si="34"/>
        <v>LD_18_</v>
      </c>
      <c r="C220" s="1" t="s">
        <v>683</v>
      </c>
      <c r="D220" s="1">
        <v>18</v>
      </c>
      <c r="E220" s="1"/>
      <c r="F220" s="1" t="s">
        <v>890</v>
      </c>
      <c r="G220" s="16" t="str">
        <f t="shared" si="33"/>
        <v>Rancho Landero No. 18</v>
      </c>
      <c r="H220" s="41" t="s">
        <v>472</v>
      </c>
      <c r="I220" s="44" t="s">
        <v>473</v>
      </c>
      <c r="J220" s="127">
        <v>250</v>
      </c>
      <c r="K220" s="122"/>
    </row>
    <row r="221" spans="1:11" x14ac:dyDescent="0.2">
      <c r="A221" s="125">
        <v>216</v>
      </c>
      <c r="B221" s="66" t="str">
        <f t="shared" si="34"/>
        <v>LD_19_</v>
      </c>
      <c r="C221" s="1" t="s">
        <v>683</v>
      </c>
      <c r="D221" s="1">
        <v>19</v>
      </c>
      <c r="E221" s="1"/>
      <c r="F221" s="1" t="s">
        <v>890</v>
      </c>
      <c r="G221" s="16" t="str">
        <f t="shared" si="33"/>
        <v>Rancho Landero No. 19</v>
      </c>
      <c r="H221" s="41" t="s">
        <v>474</v>
      </c>
      <c r="I221" s="44" t="s">
        <v>475</v>
      </c>
      <c r="J221" s="127">
        <v>300</v>
      </c>
      <c r="K221" s="122"/>
    </row>
    <row r="222" spans="1:11" x14ac:dyDescent="0.2">
      <c r="A222" s="125">
        <v>217</v>
      </c>
      <c r="B222" s="66" t="str">
        <f t="shared" si="34"/>
        <v>LD_20_</v>
      </c>
      <c r="C222" s="1" t="s">
        <v>683</v>
      </c>
      <c r="D222" s="1">
        <v>20</v>
      </c>
      <c r="E222" s="1"/>
      <c r="F222" s="1" t="s">
        <v>890</v>
      </c>
      <c r="G222" s="16" t="str">
        <f t="shared" si="33"/>
        <v>Rancho Landero No. 20</v>
      </c>
      <c r="H222" s="41" t="s">
        <v>476</v>
      </c>
      <c r="I222" s="44" t="s">
        <v>477</v>
      </c>
      <c r="J222" s="127">
        <v>300</v>
      </c>
      <c r="K222" s="122"/>
    </row>
    <row r="223" spans="1:11" x14ac:dyDescent="0.2">
      <c r="A223" s="125">
        <v>218</v>
      </c>
      <c r="B223" s="66" t="str">
        <f t="shared" si="34"/>
        <v>LD_21_</v>
      </c>
      <c r="C223" s="1" t="s">
        <v>683</v>
      </c>
      <c r="D223" s="1">
        <v>21</v>
      </c>
      <c r="E223" s="1"/>
      <c r="F223" s="1" t="s">
        <v>890</v>
      </c>
      <c r="G223" s="16" t="str">
        <f t="shared" si="33"/>
        <v>Rancho Landero No. 21</v>
      </c>
      <c r="H223" s="41" t="s">
        <v>560</v>
      </c>
      <c r="I223" s="44" t="s">
        <v>478</v>
      </c>
      <c r="J223" s="127">
        <v>300</v>
      </c>
      <c r="K223" s="122"/>
    </row>
    <row r="224" spans="1:11" x14ac:dyDescent="0.2">
      <c r="A224" s="125">
        <v>219</v>
      </c>
      <c r="B224" s="66" t="str">
        <f t="shared" si="34"/>
        <v>LD_22_</v>
      </c>
      <c r="C224" s="1" t="s">
        <v>683</v>
      </c>
      <c r="D224" s="1">
        <v>22</v>
      </c>
      <c r="E224" s="1"/>
      <c r="F224" s="1" t="s">
        <v>890</v>
      </c>
      <c r="G224" s="16" t="str">
        <f t="shared" si="33"/>
        <v>Rancho Landero No. 22</v>
      </c>
      <c r="H224" s="41" t="s">
        <v>479</v>
      </c>
      <c r="I224" s="44" t="s">
        <v>449</v>
      </c>
      <c r="J224" s="127">
        <v>150</v>
      </c>
      <c r="K224" s="122"/>
    </row>
    <row r="225" spans="1:11" x14ac:dyDescent="0.2">
      <c r="A225" s="125">
        <v>220</v>
      </c>
      <c r="B225" s="66" t="str">
        <f t="shared" si="34"/>
        <v>LD_24_</v>
      </c>
      <c r="C225" s="1" t="s">
        <v>683</v>
      </c>
      <c r="D225" s="1">
        <v>24</v>
      </c>
      <c r="E225" s="1"/>
      <c r="F225" s="1" t="s">
        <v>890</v>
      </c>
      <c r="G225" s="16" t="str">
        <f t="shared" si="33"/>
        <v>Rancho Landero No. 24</v>
      </c>
      <c r="H225" s="41" t="s">
        <v>561</v>
      </c>
      <c r="I225" s="44" t="s">
        <v>480</v>
      </c>
      <c r="J225" s="127">
        <v>300</v>
      </c>
      <c r="K225" s="122"/>
    </row>
    <row r="226" spans="1:11" x14ac:dyDescent="0.2">
      <c r="A226" s="125">
        <v>221</v>
      </c>
      <c r="B226" s="66" t="str">
        <f t="shared" si="34"/>
        <v>LD_25_</v>
      </c>
      <c r="C226" s="1" t="s">
        <v>683</v>
      </c>
      <c r="D226" s="1">
        <v>25</v>
      </c>
      <c r="E226" s="1"/>
      <c r="F226" s="1" t="s">
        <v>890</v>
      </c>
      <c r="G226" s="16" t="str">
        <f t="shared" si="33"/>
        <v>Rancho Landero No. 25</v>
      </c>
      <c r="H226" s="41" t="s">
        <v>562</v>
      </c>
      <c r="I226" s="44" t="s">
        <v>727</v>
      </c>
      <c r="J226" s="127">
        <v>300</v>
      </c>
      <c r="K226" s="122"/>
    </row>
    <row r="227" spans="1:11" x14ac:dyDescent="0.2">
      <c r="A227" s="125">
        <v>222</v>
      </c>
      <c r="B227" s="66" t="str">
        <f t="shared" si="34"/>
        <v>LD_26_</v>
      </c>
      <c r="C227" s="1" t="s">
        <v>683</v>
      </c>
      <c r="D227" s="1">
        <v>26</v>
      </c>
      <c r="E227" s="1"/>
      <c r="F227" s="1" t="s">
        <v>890</v>
      </c>
      <c r="G227" s="16" t="str">
        <f t="shared" si="33"/>
        <v>Rancho Landero No. 26</v>
      </c>
      <c r="H227" s="41" t="s">
        <v>481</v>
      </c>
      <c r="I227" s="44" t="s">
        <v>728</v>
      </c>
      <c r="J227" s="127">
        <v>200</v>
      </c>
      <c r="K227" s="122"/>
    </row>
    <row r="228" spans="1:11" x14ac:dyDescent="0.2">
      <c r="A228" s="125">
        <v>223</v>
      </c>
      <c r="B228" s="66" t="str">
        <f t="shared" si="34"/>
        <v>LD_28_</v>
      </c>
      <c r="C228" s="1" t="s">
        <v>683</v>
      </c>
      <c r="D228" s="1">
        <v>28</v>
      </c>
      <c r="E228" s="1"/>
      <c r="F228" s="1" t="s">
        <v>890</v>
      </c>
      <c r="G228" s="16" t="str">
        <f t="shared" si="33"/>
        <v>Rancho Landero No. 28</v>
      </c>
      <c r="H228" s="41" t="s">
        <v>482</v>
      </c>
      <c r="I228" s="44" t="s">
        <v>1215</v>
      </c>
      <c r="J228" s="127">
        <v>300</v>
      </c>
      <c r="K228" s="122"/>
    </row>
    <row r="229" spans="1:11" x14ac:dyDescent="0.2">
      <c r="A229" s="125">
        <v>224</v>
      </c>
      <c r="B229" s="66" t="str">
        <f t="shared" si="34"/>
        <v>LD_29_</v>
      </c>
      <c r="C229" s="1" t="s">
        <v>683</v>
      </c>
      <c r="D229" s="1">
        <v>29</v>
      </c>
      <c r="E229" s="1"/>
      <c r="F229" s="1" t="s">
        <v>890</v>
      </c>
      <c r="G229" s="16" t="str">
        <f t="shared" si="33"/>
        <v>Rancho Landero No. 29</v>
      </c>
      <c r="H229" s="41" t="s">
        <v>483</v>
      </c>
      <c r="I229" s="44" t="s">
        <v>484</v>
      </c>
      <c r="J229" s="127">
        <v>150</v>
      </c>
      <c r="K229" s="122"/>
    </row>
    <row r="230" spans="1:11" x14ac:dyDescent="0.2">
      <c r="A230" s="125">
        <v>225</v>
      </c>
      <c r="B230" s="66" t="str">
        <f t="shared" si="34"/>
        <v>LD_30_</v>
      </c>
      <c r="C230" s="1" t="s">
        <v>683</v>
      </c>
      <c r="D230" s="1">
        <v>30</v>
      </c>
      <c r="E230" s="1"/>
      <c r="F230" s="1" t="s">
        <v>890</v>
      </c>
      <c r="G230" s="16" t="str">
        <f t="shared" si="33"/>
        <v>Rancho Landero No. 30</v>
      </c>
      <c r="H230" s="41" t="s">
        <v>563</v>
      </c>
      <c r="I230" s="44" t="s">
        <v>1216</v>
      </c>
      <c r="J230" s="127">
        <v>300</v>
      </c>
      <c r="K230" s="122"/>
    </row>
    <row r="231" spans="1:11" x14ac:dyDescent="0.2">
      <c r="A231" s="125">
        <v>226</v>
      </c>
      <c r="B231" s="66" t="str">
        <f t="shared" si="34"/>
        <v>LD_31_</v>
      </c>
      <c r="C231" s="1" t="s">
        <v>683</v>
      </c>
      <c r="D231" s="1">
        <v>31</v>
      </c>
      <c r="E231" s="1"/>
      <c r="F231" s="1" t="s">
        <v>890</v>
      </c>
      <c r="G231" s="16" t="str">
        <f t="shared" si="33"/>
        <v>Rancho Landero No. 31</v>
      </c>
      <c r="H231" s="41" t="s">
        <v>564</v>
      </c>
      <c r="I231" s="44" t="s">
        <v>485</v>
      </c>
      <c r="J231" s="127">
        <v>200</v>
      </c>
      <c r="K231" s="122"/>
    </row>
    <row r="232" spans="1:11" x14ac:dyDescent="0.2">
      <c r="A232" s="125">
        <v>227</v>
      </c>
      <c r="B232" s="66" t="str">
        <f t="shared" si="34"/>
        <v>LD_33_</v>
      </c>
      <c r="C232" s="1" t="s">
        <v>683</v>
      </c>
      <c r="D232" s="1">
        <v>33</v>
      </c>
      <c r="E232" s="1"/>
      <c r="F232" s="1" t="s">
        <v>890</v>
      </c>
      <c r="G232" s="16" t="str">
        <f t="shared" si="33"/>
        <v>Rancho Landero No. 33</v>
      </c>
      <c r="H232" s="41" t="s">
        <v>486</v>
      </c>
      <c r="I232" s="44" t="s">
        <v>487</v>
      </c>
      <c r="J232" s="127">
        <v>300</v>
      </c>
      <c r="K232" s="122"/>
    </row>
    <row r="233" spans="1:11" x14ac:dyDescent="0.2">
      <c r="A233" s="125">
        <v>228</v>
      </c>
      <c r="B233" s="66" t="str">
        <f t="shared" si="34"/>
        <v>LD_34_</v>
      </c>
      <c r="C233" s="1" t="s">
        <v>683</v>
      </c>
      <c r="D233" s="1">
        <v>34</v>
      </c>
      <c r="E233" s="1"/>
      <c r="F233" s="1" t="s">
        <v>890</v>
      </c>
      <c r="G233" s="16" t="str">
        <f t="shared" si="33"/>
        <v>Rancho Landero No. 34</v>
      </c>
      <c r="H233" s="41" t="s">
        <v>488</v>
      </c>
      <c r="I233" s="44" t="s">
        <v>489</v>
      </c>
      <c r="J233" s="127">
        <v>300</v>
      </c>
      <c r="K233" s="122"/>
    </row>
    <row r="234" spans="1:11" x14ac:dyDescent="0.2">
      <c r="A234" s="125">
        <v>229</v>
      </c>
      <c r="B234" s="66" t="str">
        <f t="shared" si="34"/>
        <v>LD_35_</v>
      </c>
      <c r="C234" s="1" t="s">
        <v>683</v>
      </c>
      <c r="D234" s="1">
        <v>35</v>
      </c>
      <c r="E234" s="1"/>
      <c r="F234" s="1" t="s">
        <v>890</v>
      </c>
      <c r="G234" s="16" t="str">
        <f t="shared" si="33"/>
        <v>Rancho Landero No. 35</v>
      </c>
      <c r="H234" s="41" t="s">
        <v>490</v>
      </c>
      <c r="I234" s="44" t="s">
        <v>79</v>
      </c>
      <c r="J234" s="127">
        <v>300</v>
      </c>
      <c r="K234" s="122"/>
    </row>
    <row r="235" spans="1:11" x14ac:dyDescent="0.2">
      <c r="A235" s="125">
        <v>230</v>
      </c>
      <c r="B235" s="66" t="str">
        <f t="shared" si="34"/>
        <v>LD_36_</v>
      </c>
      <c r="C235" s="1" t="s">
        <v>683</v>
      </c>
      <c r="D235" s="1">
        <v>36</v>
      </c>
      <c r="E235" s="1"/>
      <c r="F235" s="1" t="s">
        <v>890</v>
      </c>
      <c r="G235" s="16" t="str">
        <f t="shared" si="33"/>
        <v>Rancho Landero No. 36</v>
      </c>
      <c r="H235" s="41" t="s">
        <v>565</v>
      </c>
      <c r="I235" s="44" t="s">
        <v>491</v>
      </c>
      <c r="J235" s="127">
        <v>200</v>
      </c>
      <c r="K235" s="122"/>
    </row>
    <row r="236" spans="1:11" x14ac:dyDescent="0.2">
      <c r="A236" s="125">
        <v>231</v>
      </c>
      <c r="B236" s="66" t="str">
        <f t="shared" si="34"/>
        <v>LD_37_</v>
      </c>
      <c r="C236" s="1" t="s">
        <v>683</v>
      </c>
      <c r="D236" s="1">
        <v>37</v>
      </c>
      <c r="E236" s="1"/>
      <c r="F236" s="1" t="s">
        <v>890</v>
      </c>
      <c r="G236" s="16" t="str">
        <f t="shared" si="33"/>
        <v>Rancho Landero No. 37</v>
      </c>
      <c r="H236" s="41" t="s">
        <v>492</v>
      </c>
      <c r="I236" s="44" t="s">
        <v>32</v>
      </c>
      <c r="J236" s="127">
        <v>300</v>
      </c>
      <c r="K236" s="122"/>
    </row>
    <row r="237" spans="1:11" x14ac:dyDescent="0.2">
      <c r="A237" s="125">
        <v>232</v>
      </c>
      <c r="B237" s="66" t="str">
        <f t="shared" si="34"/>
        <v>LD_38_</v>
      </c>
      <c r="C237" s="1" t="s">
        <v>683</v>
      </c>
      <c r="D237" s="1">
        <v>38</v>
      </c>
      <c r="E237" s="1"/>
      <c r="F237" s="1" t="s">
        <v>890</v>
      </c>
      <c r="G237" s="16" t="str">
        <f t="shared" si="33"/>
        <v>Rancho Landero No. 38</v>
      </c>
      <c r="H237" s="41" t="s">
        <v>566</v>
      </c>
      <c r="I237" s="44" t="s">
        <v>493</v>
      </c>
      <c r="J237" s="127">
        <v>300</v>
      </c>
      <c r="K237" s="122"/>
    </row>
    <row r="238" spans="1:11" x14ac:dyDescent="0.2">
      <c r="A238" s="125">
        <v>233</v>
      </c>
      <c r="B238" s="66" t="str">
        <f t="shared" si="34"/>
        <v>LD_39_</v>
      </c>
      <c r="C238" s="1" t="s">
        <v>683</v>
      </c>
      <c r="D238" s="1">
        <v>39</v>
      </c>
      <c r="E238" s="1"/>
      <c r="F238" s="1" t="s">
        <v>890</v>
      </c>
      <c r="G238" s="16" t="str">
        <f t="shared" si="33"/>
        <v>Rancho Landero No. 39</v>
      </c>
      <c r="H238" s="41" t="s">
        <v>494</v>
      </c>
      <c r="I238" s="44" t="s">
        <v>495</v>
      </c>
      <c r="J238" s="127">
        <v>250</v>
      </c>
      <c r="K238" s="122"/>
    </row>
    <row r="239" spans="1:11" x14ac:dyDescent="0.2">
      <c r="A239" s="125">
        <v>234</v>
      </c>
      <c r="B239" s="66" t="str">
        <f t="shared" si="34"/>
        <v>LD_40_</v>
      </c>
      <c r="C239" s="1" t="s">
        <v>683</v>
      </c>
      <c r="D239" s="1">
        <v>40</v>
      </c>
      <c r="E239" s="1"/>
      <c r="F239" s="1" t="s">
        <v>890</v>
      </c>
      <c r="G239" s="16" t="str">
        <f t="shared" si="33"/>
        <v>Rancho Landero No. 40</v>
      </c>
      <c r="H239" s="41" t="s">
        <v>496</v>
      </c>
      <c r="I239" s="44" t="s">
        <v>497</v>
      </c>
      <c r="J239" s="127">
        <v>300</v>
      </c>
      <c r="K239" s="122"/>
    </row>
    <row r="240" spans="1:11" x14ac:dyDescent="0.2">
      <c r="A240" s="125">
        <v>235</v>
      </c>
      <c r="B240" s="110" t="str">
        <f t="shared" ref="B240" si="35">CONCATENATE(C240,"_",D240,"_",E240)</f>
        <v>LD_41_</v>
      </c>
      <c r="C240" s="1" t="s">
        <v>683</v>
      </c>
      <c r="D240" s="1">
        <v>41</v>
      </c>
      <c r="E240" s="1"/>
      <c r="F240" s="1" t="s">
        <v>890</v>
      </c>
      <c r="G240" s="16" t="str">
        <f t="shared" ref="G240" si="36">IF(E240=0,CONCATENATE(F240," No. ",D240),CONCATENATE(F240," No. ",D240,", ",E240))</f>
        <v>Rancho Landero No. 41</v>
      </c>
      <c r="H240" s="41"/>
      <c r="I240" s="44"/>
      <c r="J240" s="127">
        <v>300</v>
      </c>
      <c r="K240" s="122" t="s">
        <v>1316</v>
      </c>
    </row>
    <row r="241" spans="1:11" x14ac:dyDescent="0.2">
      <c r="A241" s="125">
        <v>236</v>
      </c>
      <c r="B241" s="66" t="str">
        <f t="shared" si="34"/>
        <v>LD_42_</v>
      </c>
      <c r="C241" s="1" t="s">
        <v>683</v>
      </c>
      <c r="D241" s="1">
        <v>42</v>
      </c>
      <c r="E241" s="1"/>
      <c r="F241" s="1" t="s">
        <v>890</v>
      </c>
      <c r="G241" s="16" t="str">
        <f t="shared" si="33"/>
        <v>Rancho Landero No. 42</v>
      </c>
      <c r="H241" s="41" t="s">
        <v>567</v>
      </c>
      <c r="I241" s="44" t="s">
        <v>1217</v>
      </c>
      <c r="J241" s="127">
        <v>300</v>
      </c>
      <c r="K241" s="122"/>
    </row>
    <row r="242" spans="1:11" x14ac:dyDescent="0.2">
      <c r="A242" s="125">
        <v>237</v>
      </c>
      <c r="B242" s="66" t="str">
        <f t="shared" si="34"/>
        <v>LD_44_</v>
      </c>
      <c r="C242" s="1" t="s">
        <v>683</v>
      </c>
      <c r="D242" s="1">
        <v>44</v>
      </c>
      <c r="E242" s="1"/>
      <c r="F242" s="1" t="s">
        <v>890</v>
      </c>
      <c r="G242" s="16" t="str">
        <f t="shared" si="33"/>
        <v>Rancho Landero No. 44</v>
      </c>
      <c r="H242" s="41" t="s">
        <v>498</v>
      </c>
      <c r="I242" s="44" t="s">
        <v>499</v>
      </c>
      <c r="J242" s="127">
        <v>300</v>
      </c>
      <c r="K242" s="122"/>
    </row>
    <row r="243" spans="1:11" x14ac:dyDescent="0.2">
      <c r="A243" s="125">
        <v>238</v>
      </c>
      <c r="B243" s="66" t="str">
        <f t="shared" si="34"/>
        <v>LD_45_</v>
      </c>
      <c r="C243" s="1" t="s">
        <v>683</v>
      </c>
      <c r="D243" s="1">
        <v>45</v>
      </c>
      <c r="E243" s="1"/>
      <c r="F243" s="1" t="s">
        <v>890</v>
      </c>
      <c r="G243" s="16" t="str">
        <f t="shared" si="33"/>
        <v>Rancho Landero No. 45</v>
      </c>
      <c r="H243" s="41" t="s">
        <v>500</v>
      </c>
      <c r="I243" s="44" t="s">
        <v>501</v>
      </c>
      <c r="J243" s="127">
        <v>250</v>
      </c>
      <c r="K243" s="122"/>
    </row>
    <row r="244" spans="1:11" x14ac:dyDescent="0.2">
      <c r="A244" s="125">
        <v>239</v>
      </c>
      <c r="B244" s="66" t="str">
        <f t="shared" si="34"/>
        <v>LD_47_</v>
      </c>
      <c r="C244" s="1" t="s">
        <v>683</v>
      </c>
      <c r="D244" s="1">
        <v>47</v>
      </c>
      <c r="E244" s="1"/>
      <c r="F244" s="1" t="s">
        <v>890</v>
      </c>
      <c r="G244" s="16" t="str">
        <f t="shared" si="33"/>
        <v>Rancho Landero No. 47</v>
      </c>
      <c r="H244" s="41" t="s">
        <v>568</v>
      </c>
      <c r="I244" s="44" t="s">
        <v>502</v>
      </c>
      <c r="J244" s="127">
        <v>300</v>
      </c>
      <c r="K244" s="122"/>
    </row>
    <row r="245" spans="1:11" x14ac:dyDescent="0.2">
      <c r="A245" s="125">
        <v>240</v>
      </c>
      <c r="B245" s="66" t="str">
        <f t="shared" si="34"/>
        <v>LD_49_</v>
      </c>
      <c r="C245" s="1" t="s">
        <v>683</v>
      </c>
      <c r="D245" s="1">
        <v>49</v>
      </c>
      <c r="E245" s="1"/>
      <c r="F245" s="1" t="s">
        <v>890</v>
      </c>
      <c r="G245" s="16" t="str">
        <f t="shared" si="33"/>
        <v>Rancho Landero No. 49</v>
      </c>
      <c r="H245" s="41" t="s">
        <v>503</v>
      </c>
      <c r="I245" s="44" t="s">
        <v>267</v>
      </c>
      <c r="J245" s="127">
        <v>300</v>
      </c>
      <c r="K245" s="122"/>
    </row>
    <row r="246" spans="1:11" x14ac:dyDescent="0.2">
      <c r="A246" s="125">
        <v>241</v>
      </c>
      <c r="B246" s="66" t="str">
        <f t="shared" si="34"/>
        <v>LD_50_</v>
      </c>
      <c r="C246" s="1" t="s">
        <v>683</v>
      </c>
      <c r="D246" s="1">
        <v>50</v>
      </c>
      <c r="E246" s="1"/>
      <c r="F246" s="1" t="s">
        <v>890</v>
      </c>
      <c r="G246" s="16" t="str">
        <f t="shared" si="33"/>
        <v>Rancho Landero No. 50</v>
      </c>
      <c r="H246" s="41" t="s">
        <v>504</v>
      </c>
      <c r="I246" s="44" t="s">
        <v>505</v>
      </c>
      <c r="J246" s="127">
        <v>300</v>
      </c>
      <c r="K246" s="122"/>
    </row>
    <row r="247" spans="1:11" x14ac:dyDescent="0.2">
      <c r="A247" s="125">
        <v>242</v>
      </c>
      <c r="B247" s="66" t="str">
        <f t="shared" si="34"/>
        <v>LD_51_</v>
      </c>
      <c r="C247" s="1" t="s">
        <v>683</v>
      </c>
      <c r="D247" s="1">
        <v>51</v>
      </c>
      <c r="E247" s="1"/>
      <c r="F247" s="1" t="s">
        <v>890</v>
      </c>
      <c r="G247" s="16" t="str">
        <f t="shared" si="33"/>
        <v>Rancho Landero No. 51</v>
      </c>
      <c r="H247" s="41" t="s">
        <v>569</v>
      </c>
      <c r="I247" s="44" t="s">
        <v>729</v>
      </c>
      <c r="J247" s="127">
        <v>300</v>
      </c>
      <c r="K247" s="122"/>
    </row>
    <row r="248" spans="1:11" x14ac:dyDescent="0.2">
      <c r="A248" s="125">
        <v>243</v>
      </c>
      <c r="B248" s="66" t="str">
        <f t="shared" si="34"/>
        <v>LD_52_</v>
      </c>
      <c r="C248" s="1" t="s">
        <v>683</v>
      </c>
      <c r="D248" s="1">
        <v>52</v>
      </c>
      <c r="E248" s="1"/>
      <c r="F248" s="1" t="s">
        <v>890</v>
      </c>
      <c r="G248" s="16" t="str">
        <f t="shared" si="33"/>
        <v>Rancho Landero No. 52</v>
      </c>
      <c r="H248" s="41" t="s">
        <v>506</v>
      </c>
      <c r="I248" s="44" t="s">
        <v>248</v>
      </c>
      <c r="J248" s="127">
        <v>300</v>
      </c>
      <c r="K248" s="122"/>
    </row>
    <row r="249" spans="1:11" x14ac:dyDescent="0.2">
      <c r="A249" s="125">
        <v>244</v>
      </c>
      <c r="B249" s="66" t="str">
        <f t="shared" si="34"/>
        <v>LD_54_1</v>
      </c>
      <c r="C249" s="1" t="s">
        <v>683</v>
      </c>
      <c r="D249" s="1">
        <v>54</v>
      </c>
      <c r="E249" s="1">
        <v>1</v>
      </c>
      <c r="F249" s="1" t="s">
        <v>890</v>
      </c>
      <c r="G249" s="16" t="str">
        <f t="shared" si="33"/>
        <v>Rancho Landero No. 54, 1</v>
      </c>
      <c r="H249" s="41" t="s">
        <v>507</v>
      </c>
      <c r="I249" s="44" t="s">
        <v>508</v>
      </c>
      <c r="J249" s="127">
        <v>300</v>
      </c>
      <c r="K249" s="122"/>
    </row>
    <row r="250" spans="1:11" x14ac:dyDescent="0.2">
      <c r="A250" s="125">
        <v>245</v>
      </c>
      <c r="B250" s="66" t="str">
        <f t="shared" si="34"/>
        <v>LD_54_2</v>
      </c>
      <c r="C250" s="1" t="s">
        <v>683</v>
      </c>
      <c r="D250" s="1">
        <v>54</v>
      </c>
      <c r="E250" s="1">
        <v>2</v>
      </c>
      <c r="F250" s="1" t="s">
        <v>890</v>
      </c>
      <c r="G250" s="16" t="str">
        <f t="shared" si="33"/>
        <v>Rancho Landero No. 54, 2</v>
      </c>
      <c r="H250" s="41" t="s">
        <v>509</v>
      </c>
      <c r="I250" s="44" t="s">
        <v>1849</v>
      </c>
      <c r="J250" s="127">
        <v>300</v>
      </c>
      <c r="K250" s="122"/>
    </row>
    <row r="251" spans="1:11" x14ac:dyDescent="0.2">
      <c r="A251" s="125">
        <v>246</v>
      </c>
      <c r="B251" s="66" t="str">
        <f t="shared" si="34"/>
        <v>LD_58_</v>
      </c>
      <c r="C251" s="1" t="s">
        <v>683</v>
      </c>
      <c r="D251" s="1">
        <v>58</v>
      </c>
      <c r="E251" s="1"/>
      <c r="F251" s="1" t="s">
        <v>890</v>
      </c>
      <c r="G251" s="16" t="str">
        <f t="shared" si="33"/>
        <v>Rancho Landero No. 58</v>
      </c>
      <c r="H251" s="41" t="s">
        <v>570</v>
      </c>
      <c r="I251" s="44" t="s">
        <v>510</v>
      </c>
      <c r="J251" s="127">
        <v>300</v>
      </c>
      <c r="K251" s="122"/>
    </row>
    <row r="252" spans="1:11" x14ac:dyDescent="0.2">
      <c r="A252" s="125">
        <v>247</v>
      </c>
      <c r="B252" s="66" t="str">
        <f t="shared" si="34"/>
        <v>LD_60_</v>
      </c>
      <c r="C252" s="1" t="s">
        <v>683</v>
      </c>
      <c r="D252" s="1">
        <v>60</v>
      </c>
      <c r="E252" s="1"/>
      <c r="F252" s="1" t="s">
        <v>890</v>
      </c>
      <c r="G252" s="16" t="str">
        <f t="shared" si="33"/>
        <v>Rancho Landero No. 60</v>
      </c>
      <c r="H252" s="41" t="s">
        <v>511</v>
      </c>
      <c r="I252" s="44" t="s">
        <v>512</v>
      </c>
      <c r="J252" s="127">
        <v>300</v>
      </c>
      <c r="K252" s="122"/>
    </row>
    <row r="253" spans="1:11" x14ac:dyDescent="0.2">
      <c r="A253" s="125">
        <v>248</v>
      </c>
      <c r="B253" s="66" t="str">
        <f t="shared" si="34"/>
        <v>LD_61_</v>
      </c>
      <c r="C253" s="1" t="s">
        <v>683</v>
      </c>
      <c r="D253" s="1">
        <v>61</v>
      </c>
      <c r="E253" s="1"/>
      <c r="F253" s="1" t="s">
        <v>890</v>
      </c>
      <c r="G253" s="16" t="str">
        <f t="shared" si="33"/>
        <v>Rancho Landero No. 61</v>
      </c>
      <c r="H253" s="41" t="s">
        <v>513</v>
      </c>
      <c r="I253" s="44" t="s">
        <v>514</v>
      </c>
      <c r="J253" s="127">
        <v>300</v>
      </c>
      <c r="K253" s="122"/>
    </row>
    <row r="254" spans="1:11" x14ac:dyDescent="0.2">
      <c r="A254" s="125">
        <v>249</v>
      </c>
      <c r="B254" s="66" t="str">
        <f t="shared" si="34"/>
        <v>LD_62_</v>
      </c>
      <c r="C254" s="1" t="s">
        <v>683</v>
      </c>
      <c r="D254" s="1">
        <v>62</v>
      </c>
      <c r="E254" s="1"/>
      <c r="F254" s="1" t="s">
        <v>890</v>
      </c>
      <c r="G254" s="16" t="str">
        <f t="shared" si="33"/>
        <v>Rancho Landero No. 62</v>
      </c>
      <c r="H254" s="41" t="s">
        <v>515</v>
      </c>
      <c r="I254" s="44" t="s">
        <v>731</v>
      </c>
      <c r="J254" s="127">
        <v>300</v>
      </c>
      <c r="K254" s="122"/>
    </row>
    <row r="255" spans="1:11" x14ac:dyDescent="0.2">
      <c r="A255" s="125">
        <v>250</v>
      </c>
      <c r="B255" s="66" t="str">
        <f t="shared" si="34"/>
        <v>LD_63_</v>
      </c>
      <c r="C255" s="1" t="s">
        <v>683</v>
      </c>
      <c r="D255" s="1">
        <v>63</v>
      </c>
      <c r="E255" s="1"/>
      <c r="F255" s="1" t="s">
        <v>890</v>
      </c>
      <c r="G255" s="16" t="str">
        <f t="shared" si="33"/>
        <v>Rancho Landero No. 63</v>
      </c>
      <c r="H255" s="41" t="s">
        <v>516</v>
      </c>
      <c r="I255" s="44" t="s">
        <v>517</v>
      </c>
      <c r="J255" s="127">
        <v>300</v>
      </c>
      <c r="K255" s="122"/>
    </row>
    <row r="256" spans="1:11" x14ac:dyDescent="0.2">
      <c r="A256" s="125">
        <v>251</v>
      </c>
      <c r="B256" s="66" t="str">
        <f t="shared" si="34"/>
        <v>LD_64_</v>
      </c>
      <c r="C256" s="1" t="s">
        <v>683</v>
      </c>
      <c r="D256" s="1">
        <v>64</v>
      </c>
      <c r="E256" s="1"/>
      <c r="F256" s="1" t="s">
        <v>890</v>
      </c>
      <c r="G256" s="16" t="str">
        <f t="shared" si="33"/>
        <v>Rancho Landero No. 64</v>
      </c>
      <c r="H256" s="41" t="s">
        <v>518</v>
      </c>
      <c r="I256" s="44" t="s">
        <v>519</v>
      </c>
      <c r="J256" s="127">
        <v>300</v>
      </c>
      <c r="K256" s="122"/>
    </row>
    <row r="257" spans="1:11" x14ac:dyDescent="0.2">
      <c r="A257" s="125">
        <v>252</v>
      </c>
      <c r="B257" s="66" t="str">
        <f t="shared" si="34"/>
        <v>LD_65_</v>
      </c>
      <c r="C257" s="1" t="s">
        <v>683</v>
      </c>
      <c r="D257" s="1">
        <v>65</v>
      </c>
      <c r="E257" s="1"/>
      <c r="F257" s="1" t="s">
        <v>890</v>
      </c>
      <c r="G257" s="16" t="str">
        <f t="shared" si="33"/>
        <v>Rancho Landero No. 65</v>
      </c>
      <c r="H257" s="41" t="s">
        <v>571</v>
      </c>
      <c r="I257" s="44" t="s">
        <v>520</v>
      </c>
      <c r="J257" s="127">
        <v>300</v>
      </c>
      <c r="K257" s="122"/>
    </row>
    <row r="258" spans="1:11" x14ac:dyDescent="0.2">
      <c r="A258" s="125">
        <v>253</v>
      </c>
      <c r="B258" s="110" t="str">
        <f t="shared" ref="B258" si="37">CONCATENATE(C258,"_",D258,"_",E258)</f>
        <v>LD_66_</v>
      </c>
      <c r="C258" s="1" t="s">
        <v>683</v>
      </c>
      <c r="D258" s="1">
        <v>66</v>
      </c>
      <c r="E258" s="1"/>
      <c r="F258" s="1" t="s">
        <v>890</v>
      </c>
      <c r="G258" s="16" t="str">
        <f t="shared" ref="G258" si="38">IF(E258=0,CONCATENATE(F258," No. ",D258),CONCATENATE(F258," No. ",D258,", ",E258))</f>
        <v>Rancho Landero No. 66</v>
      </c>
      <c r="H258" s="41"/>
      <c r="I258" s="44"/>
      <c r="J258" s="127">
        <v>300</v>
      </c>
      <c r="K258" s="122" t="s">
        <v>1316</v>
      </c>
    </row>
    <row r="259" spans="1:11" x14ac:dyDescent="0.2">
      <c r="A259" s="125">
        <v>254</v>
      </c>
      <c r="B259" s="66" t="str">
        <f t="shared" si="34"/>
        <v>LD_68_</v>
      </c>
      <c r="C259" s="1" t="s">
        <v>683</v>
      </c>
      <c r="D259" s="1">
        <v>68</v>
      </c>
      <c r="E259" s="1"/>
      <c r="F259" s="1" t="s">
        <v>890</v>
      </c>
      <c r="G259" s="16" t="str">
        <f t="shared" si="33"/>
        <v>Rancho Landero No. 68</v>
      </c>
      <c r="H259" s="41" t="s">
        <v>572</v>
      </c>
      <c r="I259" s="44" t="s">
        <v>521</v>
      </c>
      <c r="J259" s="127">
        <v>300</v>
      </c>
      <c r="K259" s="122"/>
    </row>
    <row r="260" spans="1:11" x14ac:dyDescent="0.2">
      <c r="A260" s="125">
        <v>255</v>
      </c>
      <c r="B260" s="66" t="str">
        <f t="shared" si="34"/>
        <v>LD_69_</v>
      </c>
      <c r="C260" s="1" t="s">
        <v>683</v>
      </c>
      <c r="D260" s="1">
        <v>69</v>
      </c>
      <c r="E260" s="1"/>
      <c r="F260" s="1" t="s">
        <v>890</v>
      </c>
      <c r="G260" s="16" t="str">
        <f t="shared" si="33"/>
        <v>Rancho Landero No. 69</v>
      </c>
      <c r="H260" s="41" t="s">
        <v>573</v>
      </c>
      <c r="I260" s="44" t="s">
        <v>522</v>
      </c>
      <c r="J260" s="127">
        <v>300</v>
      </c>
      <c r="K260" s="122"/>
    </row>
    <row r="261" spans="1:11" x14ac:dyDescent="0.2">
      <c r="A261" s="125">
        <v>256</v>
      </c>
      <c r="B261" s="66" t="str">
        <f t="shared" si="34"/>
        <v>LD_70_</v>
      </c>
      <c r="C261" s="1" t="s">
        <v>683</v>
      </c>
      <c r="D261" s="1">
        <v>70</v>
      </c>
      <c r="E261" s="1"/>
      <c r="F261" s="1" t="s">
        <v>890</v>
      </c>
      <c r="G261" s="16" t="str">
        <f t="shared" si="33"/>
        <v>Rancho Landero No. 70</v>
      </c>
      <c r="H261" s="41" t="s">
        <v>523</v>
      </c>
      <c r="I261" s="44" t="s">
        <v>257</v>
      </c>
      <c r="J261" s="127">
        <v>100</v>
      </c>
      <c r="K261" s="122"/>
    </row>
    <row r="262" spans="1:11" x14ac:dyDescent="0.2">
      <c r="A262" s="125">
        <v>257</v>
      </c>
      <c r="B262" s="66" t="str">
        <f t="shared" si="34"/>
        <v>LD_71_</v>
      </c>
      <c r="C262" s="1" t="s">
        <v>683</v>
      </c>
      <c r="D262" s="1">
        <v>71</v>
      </c>
      <c r="E262" s="1"/>
      <c r="F262" s="1" t="s">
        <v>890</v>
      </c>
      <c r="G262" s="16" t="str">
        <f t="shared" si="33"/>
        <v>Rancho Landero No. 71</v>
      </c>
      <c r="H262" s="41" t="s">
        <v>524</v>
      </c>
      <c r="I262" s="44" t="s">
        <v>525</v>
      </c>
      <c r="J262" s="127">
        <v>300</v>
      </c>
      <c r="K262" s="122"/>
    </row>
    <row r="263" spans="1:11" x14ac:dyDescent="0.2">
      <c r="A263" s="125">
        <v>258</v>
      </c>
      <c r="B263" s="66" t="str">
        <f t="shared" si="34"/>
        <v>LD_72_</v>
      </c>
      <c r="C263" s="1" t="s">
        <v>683</v>
      </c>
      <c r="D263" s="1">
        <v>72</v>
      </c>
      <c r="E263" s="1"/>
      <c r="F263" s="1" t="s">
        <v>890</v>
      </c>
      <c r="G263" s="16" t="str">
        <f t="shared" si="33"/>
        <v>Rancho Landero No. 72</v>
      </c>
      <c r="H263" s="41" t="s">
        <v>526</v>
      </c>
      <c r="I263" s="44" t="s">
        <v>257</v>
      </c>
      <c r="J263" s="127">
        <v>300</v>
      </c>
      <c r="K263" s="122"/>
    </row>
    <row r="264" spans="1:11" x14ac:dyDescent="0.2">
      <c r="A264" s="125">
        <v>259</v>
      </c>
      <c r="B264" s="66" t="str">
        <f t="shared" si="34"/>
        <v>LD_73_</v>
      </c>
      <c r="C264" s="1" t="s">
        <v>683</v>
      </c>
      <c r="D264" s="1">
        <v>73</v>
      </c>
      <c r="E264" s="1"/>
      <c r="F264" s="1" t="s">
        <v>890</v>
      </c>
      <c r="G264" s="16" t="str">
        <f t="shared" si="33"/>
        <v>Rancho Landero No. 73</v>
      </c>
      <c r="H264" s="41" t="s">
        <v>574</v>
      </c>
      <c r="I264" s="44" t="s">
        <v>527</v>
      </c>
      <c r="J264" s="127">
        <v>300</v>
      </c>
      <c r="K264" s="122"/>
    </row>
    <row r="265" spans="1:11" x14ac:dyDescent="0.2">
      <c r="A265" s="125">
        <v>260</v>
      </c>
      <c r="B265" s="110" t="str">
        <f t="shared" si="34"/>
        <v>LD_74_</v>
      </c>
      <c r="C265" s="1" t="s">
        <v>683</v>
      </c>
      <c r="D265" s="1">
        <v>74</v>
      </c>
      <c r="E265" s="1"/>
      <c r="F265" s="1" t="s">
        <v>890</v>
      </c>
      <c r="G265" s="16" t="str">
        <f t="shared" si="33"/>
        <v>Rancho Landero No. 74</v>
      </c>
      <c r="H265" s="41"/>
      <c r="I265" s="44"/>
      <c r="J265" s="127">
        <v>300</v>
      </c>
      <c r="K265" s="122" t="s">
        <v>1316</v>
      </c>
    </row>
    <row r="266" spans="1:11" x14ac:dyDescent="0.2">
      <c r="A266" s="125">
        <v>261</v>
      </c>
      <c r="B266" s="66" t="str">
        <f t="shared" si="34"/>
        <v>LD_75_</v>
      </c>
      <c r="C266" s="1" t="s">
        <v>683</v>
      </c>
      <c r="D266" s="1">
        <v>75</v>
      </c>
      <c r="E266" s="1"/>
      <c r="F266" s="1" t="s">
        <v>890</v>
      </c>
      <c r="G266" s="16" t="str">
        <f t="shared" si="33"/>
        <v>Rancho Landero No. 75</v>
      </c>
      <c r="H266" s="41" t="s">
        <v>575</v>
      </c>
      <c r="I266" s="44" t="s">
        <v>732</v>
      </c>
      <c r="J266" s="127">
        <v>300</v>
      </c>
      <c r="K266" s="122"/>
    </row>
    <row r="267" spans="1:11" x14ac:dyDescent="0.2">
      <c r="A267" s="125">
        <v>262</v>
      </c>
      <c r="B267" s="66" t="str">
        <f t="shared" si="34"/>
        <v>LD_76_</v>
      </c>
      <c r="C267" s="1" t="s">
        <v>683</v>
      </c>
      <c r="D267" s="1">
        <v>76</v>
      </c>
      <c r="E267" s="1"/>
      <c r="F267" s="1" t="s">
        <v>890</v>
      </c>
      <c r="G267" s="16" t="str">
        <f t="shared" si="33"/>
        <v>Rancho Landero No. 76</v>
      </c>
      <c r="H267" s="41" t="s">
        <v>528</v>
      </c>
      <c r="I267" s="44" t="s">
        <v>529</v>
      </c>
      <c r="J267" s="127">
        <v>300</v>
      </c>
      <c r="K267" s="122"/>
    </row>
    <row r="268" spans="1:11" x14ac:dyDescent="0.2">
      <c r="A268" s="125">
        <v>263</v>
      </c>
      <c r="B268" s="66" t="str">
        <f t="shared" si="34"/>
        <v>LD_77_</v>
      </c>
      <c r="C268" s="1" t="s">
        <v>683</v>
      </c>
      <c r="D268" s="1">
        <v>77</v>
      </c>
      <c r="E268" s="1"/>
      <c r="F268" s="1" t="s">
        <v>890</v>
      </c>
      <c r="G268" s="16" t="str">
        <f t="shared" si="33"/>
        <v>Rancho Landero No. 77</v>
      </c>
      <c r="H268" s="41" t="s">
        <v>530</v>
      </c>
      <c r="I268" s="44" t="s">
        <v>531</v>
      </c>
      <c r="J268" s="127">
        <v>300</v>
      </c>
      <c r="K268" s="122"/>
    </row>
    <row r="269" spans="1:11" x14ac:dyDescent="0.2">
      <c r="A269" s="125">
        <v>264</v>
      </c>
      <c r="B269" s="66" t="str">
        <f t="shared" si="34"/>
        <v>LD_80_</v>
      </c>
      <c r="C269" s="1" t="s">
        <v>683</v>
      </c>
      <c r="D269" s="1">
        <v>80</v>
      </c>
      <c r="E269" s="1"/>
      <c r="F269" s="1" t="s">
        <v>890</v>
      </c>
      <c r="G269" s="16" t="str">
        <f t="shared" si="33"/>
        <v>Rancho Landero No. 80</v>
      </c>
      <c r="H269" s="41" t="s">
        <v>576</v>
      </c>
      <c r="I269" s="44" t="s">
        <v>1723</v>
      </c>
      <c r="J269" s="127">
        <v>300</v>
      </c>
      <c r="K269" s="122"/>
    </row>
    <row r="270" spans="1:11" x14ac:dyDescent="0.2">
      <c r="A270" s="125">
        <v>265</v>
      </c>
      <c r="B270" s="66" t="str">
        <f t="shared" si="34"/>
        <v>LD_81_</v>
      </c>
      <c r="C270" s="1" t="s">
        <v>683</v>
      </c>
      <c r="D270" s="1">
        <v>81</v>
      </c>
      <c r="E270" s="1"/>
      <c r="F270" s="1" t="s">
        <v>890</v>
      </c>
      <c r="G270" s="16" t="str">
        <f t="shared" si="33"/>
        <v>Rancho Landero No. 81</v>
      </c>
      <c r="H270" s="41" t="s">
        <v>533</v>
      </c>
      <c r="I270" s="44" t="s">
        <v>534</v>
      </c>
      <c r="J270" s="127">
        <v>300</v>
      </c>
      <c r="K270" s="122"/>
    </row>
    <row r="271" spans="1:11" x14ac:dyDescent="0.2">
      <c r="A271" s="125">
        <v>266</v>
      </c>
      <c r="B271" s="66" t="str">
        <f t="shared" si="34"/>
        <v>LD_83_</v>
      </c>
      <c r="C271" s="1" t="s">
        <v>683</v>
      </c>
      <c r="D271" s="1">
        <v>83</v>
      </c>
      <c r="E271" s="1"/>
      <c r="F271" s="1" t="s">
        <v>890</v>
      </c>
      <c r="G271" s="16" t="str">
        <f t="shared" si="33"/>
        <v>Rancho Landero No. 83</v>
      </c>
      <c r="H271" s="41" t="s">
        <v>535</v>
      </c>
      <c r="I271" s="44" t="s">
        <v>536</v>
      </c>
      <c r="J271" s="127">
        <v>300</v>
      </c>
      <c r="K271" s="122"/>
    </row>
    <row r="272" spans="1:11" x14ac:dyDescent="0.2">
      <c r="A272" s="125">
        <v>267</v>
      </c>
      <c r="B272" s="66" t="str">
        <f t="shared" si="34"/>
        <v>LD_84_</v>
      </c>
      <c r="C272" s="1" t="s">
        <v>683</v>
      </c>
      <c r="D272" s="1">
        <v>84</v>
      </c>
      <c r="E272" s="1"/>
      <c r="F272" s="1" t="s">
        <v>890</v>
      </c>
      <c r="G272" s="16" t="str">
        <f t="shared" si="33"/>
        <v>Rancho Landero No. 84</v>
      </c>
      <c r="H272" s="41" t="s">
        <v>577</v>
      </c>
      <c r="I272" s="44" t="s">
        <v>537</v>
      </c>
      <c r="J272" s="127">
        <v>300</v>
      </c>
      <c r="K272" s="122"/>
    </row>
    <row r="273" spans="1:11" x14ac:dyDescent="0.2">
      <c r="A273" s="125">
        <v>268</v>
      </c>
      <c r="B273" s="66" t="str">
        <f t="shared" si="34"/>
        <v>LD_85_</v>
      </c>
      <c r="C273" s="1" t="s">
        <v>683</v>
      </c>
      <c r="D273" s="1">
        <v>85</v>
      </c>
      <c r="E273" s="1"/>
      <c r="F273" s="1" t="s">
        <v>890</v>
      </c>
      <c r="G273" s="16" t="str">
        <f t="shared" si="33"/>
        <v>Rancho Landero No. 85</v>
      </c>
      <c r="H273" s="41" t="s">
        <v>578</v>
      </c>
      <c r="I273" s="44" t="s">
        <v>1218</v>
      </c>
      <c r="J273" s="127">
        <v>300</v>
      </c>
      <c r="K273" s="122"/>
    </row>
    <row r="274" spans="1:11" x14ac:dyDescent="0.2">
      <c r="A274" s="125">
        <v>269</v>
      </c>
      <c r="B274" s="66" t="str">
        <f t="shared" si="34"/>
        <v>LD_86_</v>
      </c>
      <c r="C274" s="1" t="s">
        <v>683</v>
      </c>
      <c r="D274" s="1">
        <v>86</v>
      </c>
      <c r="E274" s="1"/>
      <c r="F274" s="1" t="s">
        <v>890</v>
      </c>
      <c r="G274" s="16" t="str">
        <f t="shared" ref="G274:G288" si="39">IF(E274=0,CONCATENATE(F274," No. ",D274),CONCATENATE(F274," No. ",D274,", ",E274))</f>
        <v>Rancho Landero No. 86</v>
      </c>
      <c r="H274" s="41" t="s">
        <v>538</v>
      </c>
      <c r="I274" s="44" t="s">
        <v>539</v>
      </c>
      <c r="J274" s="127">
        <v>300</v>
      </c>
      <c r="K274" s="122"/>
    </row>
    <row r="275" spans="1:11" x14ac:dyDescent="0.2">
      <c r="A275" s="125">
        <v>270</v>
      </c>
      <c r="B275" s="66" t="str">
        <f t="shared" si="34"/>
        <v>LD_87_</v>
      </c>
      <c r="C275" s="1" t="s">
        <v>683</v>
      </c>
      <c r="D275" s="1">
        <v>87</v>
      </c>
      <c r="E275" s="1"/>
      <c r="F275" s="1" t="s">
        <v>890</v>
      </c>
      <c r="G275" s="16" t="str">
        <f t="shared" si="39"/>
        <v>Rancho Landero No. 87</v>
      </c>
      <c r="H275" s="41" t="s">
        <v>579</v>
      </c>
      <c r="I275" s="44" t="s">
        <v>540</v>
      </c>
      <c r="J275" s="127">
        <v>300</v>
      </c>
      <c r="K275" s="122"/>
    </row>
    <row r="276" spans="1:11" x14ac:dyDescent="0.2">
      <c r="A276" s="125">
        <v>271</v>
      </c>
      <c r="B276" s="66" t="str">
        <f t="shared" si="34"/>
        <v>LD_88_</v>
      </c>
      <c r="C276" s="1" t="s">
        <v>683</v>
      </c>
      <c r="D276" s="1">
        <v>88</v>
      </c>
      <c r="E276" s="1"/>
      <c r="F276" s="1" t="s">
        <v>890</v>
      </c>
      <c r="G276" s="16" t="str">
        <f t="shared" si="39"/>
        <v>Rancho Landero No. 88</v>
      </c>
      <c r="H276" s="41" t="s">
        <v>541</v>
      </c>
      <c r="I276" s="44" t="s">
        <v>733</v>
      </c>
      <c r="J276" s="127">
        <v>300</v>
      </c>
      <c r="K276" s="122"/>
    </row>
    <row r="277" spans="1:11" x14ac:dyDescent="0.2">
      <c r="A277" s="125">
        <v>272</v>
      </c>
      <c r="B277" s="66" t="str">
        <f t="shared" si="34"/>
        <v>LD_89_</v>
      </c>
      <c r="C277" s="1" t="s">
        <v>683</v>
      </c>
      <c r="D277" s="1">
        <v>89</v>
      </c>
      <c r="E277" s="1"/>
      <c r="F277" s="1" t="s">
        <v>890</v>
      </c>
      <c r="G277" s="16" t="str">
        <f t="shared" si="39"/>
        <v>Rancho Landero No. 89</v>
      </c>
      <c r="H277" s="41" t="s">
        <v>542</v>
      </c>
      <c r="I277" s="44" t="s">
        <v>543</v>
      </c>
      <c r="J277" s="127">
        <v>300</v>
      </c>
      <c r="K277" s="122"/>
    </row>
    <row r="278" spans="1:11" x14ac:dyDescent="0.2">
      <c r="A278" s="125">
        <v>273</v>
      </c>
      <c r="B278" s="66" t="str">
        <f t="shared" si="34"/>
        <v>LD_90_</v>
      </c>
      <c r="C278" s="1" t="s">
        <v>683</v>
      </c>
      <c r="D278" s="1">
        <v>90</v>
      </c>
      <c r="E278" s="1"/>
      <c r="F278" s="1" t="s">
        <v>890</v>
      </c>
      <c r="G278" s="16" t="str">
        <f t="shared" si="39"/>
        <v>Rancho Landero No. 90</v>
      </c>
      <c r="H278" s="41" t="s">
        <v>544</v>
      </c>
      <c r="I278" s="44" t="s">
        <v>545</v>
      </c>
      <c r="J278" s="127">
        <v>300</v>
      </c>
      <c r="K278" s="122"/>
    </row>
    <row r="279" spans="1:11" x14ac:dyDescent="0.2">
      <c r="A279" s="125">
        <v>274</v>
      </c>
      <c r="B279" s="66" t="str">
        <f t="shared" si="34"/>
        <v>LD_91_</v>
      </c>
      <c r="C279" s="1" t="s">
        <v>683</v>
      </c>
      <c r="D279" s="1">
        <v>91</v>
      </c>
      <c r="E279" s="1"/>
      <c r="F279" s="1" t="s">
        <v>890</v>
      </c>
      <c r="G279" s="16" t="str">
        <f t="shared" si="39"/>
        <v>Rancho Landero No. 91</v>
      </c>
      <c r="H279" s="41" t="s">
        <v>580</v>
      </c>
      <c r="I279" s="44" t="s">
        <v>546</v>
      </c>
      <c r="J279" s="127">
        <v>300</v>
      </c>
      <c r="K279" s="122"/>
    </row>
    <row r="280" spans="1:11" x14ac:dyDescent="0.2">
      <c r="A280" s="125">
        <v>275</v>
      </c>
      <c r="B280" s="66" t="str">
        <f t="shared" si="34"/>
        <v>LD_92_</v>
      </c>
      <c r="C280" s="1" t="s">
        <v>683</v>
      </c>
      <c r="D280" s="1">
        <v>92</v>
      </c>
      <c r="E280" s="1"/>
      <c r="F280" s="1" t="s">
        <v>890</v>
      </c>
      <c r="G280" s="16" t="str">
        <f t="shared" si="39"/>
        <v>Rancho Landero No. 92</v>
      </c>
      <c r="H280" s="41" t="s">
        <v>581</v>
      </c>
      <c r="I280" s="44" t="s">
        <v>547</v>
      </c>
      <c r="J280" s="127">
        <v>300</v>
      </c>
      <c r="K280" s="122"/>
    </row>
    <row r="281" spans="1:11" x14ac:dyDescent="0.2">
      <c r="A281" s="125">
        <v>276</v>
      </c>
      <c r="B281" s="66" t="str">
        <f t="shared" si="34"/>
        <v>LD_93_</v>
      </c>
      <c r="C281" s="1" t="s">
        <v>683</v>
      </c>
      <c r="D281" s="1">
        <v>93</v>
      </c>
      <c r="E281" s="1"/>
      <c r="F281" s="1" t="s">
        <v>890</v>
      </c>
      <c r="G281" s="16" t="str">
        <f t="shared" si="39"/>
        <v>Rancho Landero No. 93</v>
      </c>
      <c r="H281" s="41" t="s">
        <v>582</v>
      </c>
      <c r="I281" s="44" t="s">
        <v>548</v>
      </c>
      <c r="J281" s="127">
        <v>300</v>
      </c>
      <c r="K281" s="122"/>
    </row>
    <row r="282" spans="1:11" x14ac:dyDescent="0.2">
      <c r="A282" s="125">
        <v>277</v>
      </c>
      <c r="B282" s="66" t="str">
        <f t="shared" ref="B282:B349" si="40">CONCATENATE(C282,"_",D282,"_",E282)</f>
        <v>LD_94_</v>
      </c>
      <c r="C282" s="1" t="s">
        <v>683</v>
      </c>
      <c r="D282" s="1">
        <v>94</v>
      </c>
      <c r="E282" s="1"/>
      <c r="F282" s="1" t="s">
        <v>890</v>
      </c>
      <c r="G282" s="16" t="str">
        <f t="shared" si="39"/>
        <v>Rancho Landero No. 94</v>
      </c>
      <c r="H282" s="41" t="s">
        <v>549</v>
      </c>
      <c r="I282" s="44" t="s">
        <v>550</v>
      </c>
      <c r="J282" s="127">
        <v>150</v>
      </c>
      <c r="K282" s="122"/>
    </row>
    <row r="283" spans="1:11" x14ac:dyDescent="0.2">
      <c r="A283" s="125">
        <v>278</v>
      </c>
      <c r="B283" s="66" t="str">
        <f t="shared" si="40"/>
        <v>LD_95_</v>
      </c>
      <c r="C283" s="1" t="s">
        <v>683</v>
      </c>
      <c r="D283" s="1">
        <v>95</v>
      </c>
      <c r="E283" s="1"/>
      <c r="F283" s="1" t="s">
        <v>890</v>
      </c>
      <c r="G283" s="16" t="str">
        <f t="shared" si="39"/>
        <v>Rancho Landero No. 95</v>
      </c>
      <c r="H283" s="41" t="s">
        <v>583</v>
      </c>
      <c r="I283" s="44" t="s">
        <v>1219</v>
      </c>
      <c r="J283" s="127">
        <v>300</v>
      </c>
      <c r="K283" s="122"/>
    </row>
    <row r="284" spans="1:11" x14ac:dyDescent="0.2">
      <c r="A284" s="125">
        <v>279</v>
      </c>
      <c r="B284" s="66" t="str">
        <f t="shared" si="40"/>
        <v>LD_96_</v>
      </c>
      <c r="C284" s="1" t="s">
        <v>683</v>
      </c>
      <c r="D284" s="1">
        <v>96</v>
      </c>
      <c r="E284" s="1"/>
      <c r="F284" s="1" t="s">
        <v>890</v>
      </c>
      <c r="G284" s="16" t="str">
        <f t="shared" si="39"/>
        <v>Rancho Landero No. 96</v>
      </c>
      <c r="H284" s="41" t="s">
        <v>551</v>
      </c>
      <c r="I284" s="44" t="s">
        <v>552</v>
      </c>
      <c r="J284" s="127">
        <v>300</v>
      </c>
      <c r="K284" s="122"/>
    </row>
    <row r="285" spans="1:11" x14ac:dyDescent="0.2">
      <c r="A285" s="125">
        <v>280</v>
      </c>
      <c r="B285" s="66" t="str">
        <f t="shared" si="40"/>
        <v>LD_99_</v>
      </c>
      <c r="C285" s="1" t="s">
        <v>683</v>
      </c>
      <c r="D285" s="1">
        <v>99</v>
      </c>
      <c r="E285" s="1"/>
      <c r="F285" s="1" t="s">
        <v>890</v>
      </c>
      <c r="G285" s="16" t="str">
        <f t="shared" si="39"/>
        <v>Rancho Landero No. 99</v>
      </c>
      <c r="H285" s="41" t="s">
        <v>553</v>
      </c>
      <c r="I285" s="44" t="s">
        <v>554</v>
      </c>
      <c r="J285" s="127">
        <v>300</v>
      </c>
      <c r="K285" s="122"/>
    </row>
    <row r="286" spans="1:11" x14ac:dyDescent="0.2">
      <c r="A286" s="125">
        <v>281</v>
      </c>
      <c r="B286" s="66" t="str">
        <f t="shared" si="40"/>
        <v>LD_100_</v>
      </c>
      <c r="C286" s="1" t="s">
        <v>683</v>
      </c>
      <c r="D286" s="1">
        <v>100</v>
      </c>
      <c r="E286" s="1"/>
      <c r="F286" s="1" t="s">
        <v>890</v>
      </c>
      <c r="G286" s="16" t="str">
        <f t="shared" si="39"/>
        <v>Rancho Landero No. 100</v>
      </c>
      <c r="H286" s="41" t="s">
        <v>555</v>
      </c>
      <c r="I286" s="44" t="s">
        <v>556</v>
      </c>
      <c r="J286" s="127">
        <v>300</v>
      </c>
      <c r="K286" s="122"/>
    </row>
    <row r="287" spans="1:11" x14ac:dyDescent="0.2">
      <c r="A287" s="125">
        <v>282</v>
      </c>
      <c r="B287" s="66" t="str">
        <f t="shared" si="40"/>
        <v>LD_101_</v>
      </c>
      <c r="C287" s="1" t="s">
        <v>683</v>
      </c>
      <c r="D287" s="1">
        <v>101</v>
      </c>
      <c r="E287" s="1"/>
      <c r="F287" s="1" t="s">
        <v>890</v>
      </c>
      <c r="G287" s="16" t="str">
        <f t="shared" si="39"/>
        <v>Rancho Landero No. 101</v>
      </c>
      <c r="H287" s="41" t="s">
        <v>584</v>
      </c>
      <c r="I287" s="44" t="s">
        <v>557</v>
      </c>
      <c r="J287" s="127">
        <v>300</v>
      </c>
      <c r="K287" s="122"/>
    </row>
    <row r="288" spans="1:11" hidden="1" x14ac:dyDescent="0.2">
      <c r="A288" s="125">
        <v>283</v>
      </c>
      <c r="B288" s="66" t="str">
        <f t="shared" si="40"/>
        <v>RM_9_A</v>
      </c>
      <c r="C288" s="1" t="s">
        <v>677</v>
      </c>
      <c r="D288" s="1">
        <v>9</v>
      </c>
      <c r="E288" s="1" t="s">
        <v>672</v>
      </c>
      <c r="F288" s="1" t="s">
        <v>891</v>
      </c>
      <c r="G288" s="16" t="str">
        <f t="shared" si="39"/>
        <v>Rancho Romeral No. 9, A</v>
      </c>
      <c r="H288" s="41" t="s">
        <v>647</v>
      </c>
      <c r="I288" s="44" t="s">
        <v>735</v>
      </c>
      <c r="J288" s="127">
        <v>300</v>
      </c>
      <c r="K288" s="122"/>
    </row>
    <row r="289" spans="1:11" hidden="1" x14ac:dyDescent="0.2">
      <c r="A289" s="125">
        <v>284</v>
      </c>
      <c r="B289" s="66" t="str">
        <f t="shared" si="40"/>
        <v>RM_9_B</v>
      </c>
      <c r="C289" s="1" t="s">
        <v>677</v>
      </c>
      <c r="D289" s="1">
        <v>9</v>
      </c>
      <c r="E289" s="1" t="s">
        <v>673</v>
      </c>
      <c r="F289" s="1" t="s">
        <v>891</v>
      </c>
      <c r="G289" s="16" t="str">
        <f t="shared" ref="G289:G298" si="41">IF(E289=0,CONCATENATE(F289," No. ",D289),CONCATENATE(F289," No. ",D289,", ",E289))</f>
        <v>Rancho Romeral No. 9, B</v>
      </c>
      <c r="H289" s="41" t="s">
        <v>648</v>
      </c>
      <c r="I289" s="44" t="s">
        <v>649</v>
      </c>
      <c r="J289" s="127">
        <v>100</v>
      </c>
      <c r="K289" s="122"/>
    </row>
    <row r="290" spans="1:11" hidden="1" x14ac:dyDescent="0.2">
      <c r="A290" s="125">
        <v>285</v>
      </c>
      <c r="B290" s="66" t="str">
        <f t="shared" si="40"/>
        <v>RM_10_A</v>
      </c>
      <c r="C290" s="1" t="s">
        <v>677</v>
      </c>
      <c r="D290" s="1">
        <v>10</v>
      </c>
      <c r="E290" s="1" t="s">
        <v>672</v>
      </c>
      <c r="F290" s="1" t="s">
        <v>891</v>
      </c>
      <c r="G290" s="16" t="str">
        <f t="shared" si="41"/>
        <v>Rancho Romeral No. 10, A</v>
      </c>
      <c r="H290" s="41" t="s">
        <v>652</v>
      </c>
      <c r="I290" s="44" t="s">
        <v>1220</v>
      </c>
      <c r="J290" s="127">
        <v>150</v>
      </c>
      <c r="K290" s="122"/>
    </row>
    <row r="291" spans="1:11" hidden="1" x14ac:dyDescent="0.2">
      <c r="A291" s="125">
        <v>286</v>
      </c>
      <c r="B291" s="66" t="str">
        <f t="shared" si="40"/>
        <v>RM_10_B</v>
      </c>
      <c r="C291" s="1" t="s">
        <v>677</v>
      </c>
      <c r="D291" s="1">
        <v>10</v>
      </c>
      <c r="E291" s="1" t="s">
        <v>673</v>
      </c>
      <c r="F291" s="1" t="s">
        <v>891</v>
      </c>
      <c r="G291" s="16" t="str">
        <f t="shared" si="41"/>
        <v>Rancho Romeral No. 10, B</v>
      </c>
      <c r="H291" s="41" t="s">
        <v>650</v>
      </c>
      <c r="I291" s="44" t="s">
        <v>651</v>
      </c>
      <c r="J291" s="127">
        <v>300</v>
      </c>
      <c r="K291" s="122"/>
    </row>
    <row r="292" spans="1:11" hidden="1" x14ac:dyDescent="0.2">
      <c r="A292" s="125">
        <v>287</v>
      </c>
      <c r="B292" s="66" t="str">
        <f t="shared" si="40"/>
        <v>RM_17_</v>
      </c>
      <c r="C292" s="1" t="s">
        <v>677</v>
      </c>
      <c r="D292" s="1">
        <v>17</v>
      </c>
      <c r="E292" s="1"/>
      <c r="F292" s="1" t="s">
        <v>891</v>
      </c>
      <c r="G292" s="16" t="str">
        <f t="shared" si="41"/>
        <v>Rancho Romeral No. 17</v>
      </c>
      <c r="H292" s="41" t="s">
        <v>653</v>
      </c>
      <c r="I292" s="44" t="s">
        <v>654</v>
      </c>
      <c r="J292" s="127">
        <v>300</v>
      </c>
      <c r="K292" s="122"/>
    </row>
    <row r="293" spans="1:11" hidden="1" x14ac:dyDescent="0.2">
      <c r="A293" s="125">
        <v>288</v>
      </c>
      <c r="B293" s="110" t="str">
        <f>CONCATENATE(C293,"_",D293,"_",E293)</f>
        <v>RM_23_A</v>
      </c>
      <c r="C293" s="1" t="s">
        <v>677</v>
      </c>
      <c r="D293" s="1">
        <v>23</v>
      </c>
      <c r="E293" s="1" t="s">
        <v>672</v>
      </c>
      <c r="F293" s="1" t="s">
        <v>891</v>
      </c>
      <c r="G293" s="16" t="str">
        <f>IF(E293=0,CONCATENATE(F293," No. ",D293),CONCATENATE(F293," No. ",D293,", ",E293))</f>
        <v>Rancho Romeral No. 23, A</v>
      </c>
      <c r="H293" s="41" t="s">
        <v>655</v>
      </c>
      <c r="I293" s="44" t="s">
        <v>112</v>
      </c>
      <c r="J293" s="127">
        <v>300</v>
      </c>
      <c r="K293" s="122" t="s">
        <v>1344</v>
      </c>
    </row>
    <row r="294" spans="1:11" hidden="1" x14ac:dyDescent="0.2">
      <c r="A294" s="125">
        <v>289</v>
      </c>
      <c r="B294" s="110" t="str">
        <f t="shared" ref="B294" si="42">CONCATENATE(C294,"_",D294,"_",E294)</f>
        <v>RM_23_B</v>
      </c>
      <c r="C294" s="1" t="s">
        <v>677</v>
      </c>
      <c r="D294" s="1">
        <v>23</v>
      </c>
      <c r="E294" s="1" t="s">
        <v>673</v>
      </c>
      <c r="F294" s="1" t="s">
        <v>891</v>
      </c>
      <c r="G294" s="16" t="str">
        <f t="shared" ref="G294" si="43">IF(E294=0,CONCATENATE(F294," No. ",D294),CONCATENATE(F294," No. ",D294,", ",E294))</f>
        <v>Rancho Romeral No. 23, B</v>
      </c>
      <c r="H294" s="41"/>
      <c r="I294" s="44"/>
      <c r="J294" s="127">
        <v>300</v>
      </c>
      <c r="K294" s="122" t="s">
        <v>1316</v>
      </c>
    </row>
    <row r="295" spans="1:11" hidden="1" x14ac:dyDescent="0.2">
      <c r="A295" s="125">
        <v>290</v>
      </c>
      <c r="B295" s="66" t="str">
        <f t="shared" si="40"/>
        <v>RM_30_</v>
      </c>
      <c r="C295" s="1" t="s">
        <v>677</v>
      </c>
      <c r="D295" s="1">
        <v>30</v>
      </c>
      <c r="E295" s="1"/>
      <c r="F295" s="1" t="s">
        <v>891</v>
      </c>
      <c r="G295" s="16" t="str">
        <f t="shared" si="41"/>
        <v>Rancho Romeral No. 30</v>
      </c>
      <c r="H295" s="41" t="s">
        <v>656</v>
      </c>
      <c r="I295" s="44" t="s">
        <v>657</v>
      </c>
      <c r="J295" s="127">
        <v>200</v>
      </c>
      <c r="K295" s="122"/>
    </row>
    <row r="296" spans="1:11" hidden="1" x14ac:dyDescent="0.2">
      <c r="A296" s="125">
        <v>291</v>
      </c>
      <c r="B296" s="66" t="str">
        <f t="shared" si="40"/>
        <v>RM_33_</v>
      </c>
      <c r="C296" s="1" t="s">
        <v>677</v>
      </c>
      <c r="D296" s="1">
        <v>33</v>
      </c>
      <c r="E296" s="1"/>
      <c r="F296" s="1" t="s">
        <v>891</v>
      </c>
      <c r="G296" s="16" t="str">
        <f t="shared" si="41"/>
        <v>Rancho Romeral No. 33</v>
      </c>
      <c r="H296" s="41" t="s">
        <v>658</v>
      </c>
      <c r="I296" s="44" t="s">
        <v>659</v>
      </c>
      <c r="J296" s="127">
        <v>300</v>
      </c>
      <c r="K296" s="122"/>
    </row>
    <row r="297" spans="1:11" hidden="1" x14ac:dyDescent="0.2">
      <c r="A297" s="125">
        <v>292</v>
      </c>
      <c r="B297" s="110" t="str">
        <f t="shared" ref="B297" si="44">CONCATENATE(C297,"_",D297,"_",E297)</f>
        <v>RM_58_</v>
      </c>
      <c r="C297" s="1" t="s">
        <v>677</v>
      </c>
      <c r="D297" s="1">
        <v>58</v>
      </c>
      <c r="E297" s="1"/>
      <c r="F297" s="1" t="s">
        <v>891</v>
      </c>
      <c r="G297" s="16" t="str">
        <f t="shared" ref="G297" si="45">IF(E297=0,CONCATENATE(F297," No. ",D297),CONCATENATE(F297," No. ",D297,", ",E297))</f>
        <v>Rancho Romeral No. 58</v>
      </c>
      <c r="H297" s="41"/>
      <c r="I297" s="44"/>
      <c r="J297" s="127">
        <v>300</v>
      </c>
      <c r="K297" s="122" t="s">
        <v>1316</v>
      </c>
    </row>
    <row r="298" spans="1:11" hidden="1" x14ac:dyDescent="0.2">
      <c r="A298" s="125">
        <v>293</v>
      </c>
      <c r="B298" s="66" t="str">
        <f t="shared" si="40"/>
        <v>RV_1_</v>
      </c>
      <c r="C298" s="1" t="s">
        <v>678</v>
      </c>
      <c r="D298" s="111">
        <v>1</v>
      </c>
      <c r="E298" s="1"/>
      <c r="F298" s="1" t="s">
        <v>892</v>
      </c>
      <c r="G298" s="16" t="str">
        <f t="shared" si="41"/>
        <v>Rancho Recoveco No. 1</v>
      </c>
      <c r="H298" s="41" t="s">
        <v>740</v>
      </c>
      <c r="I298" s="44" t="s">
        <v>371</v>
      </c>
      <c r="J298" s="127">
        <v>300</v>
      </c>
      <c r="K298" s="122"/>
    </row>
    <row r="299" spans="1:11" ht="14.25" hidden="1" x14ac:dyDescent="0.2">
      <c r="A299" s="125">
        <v>294</v>
      </c>
      <c r="B299" s="66" t="str">
        <f t="shared" si="40"/>
        <v>RV_2_</v>
      </c>
      <c r="C299" s="1" t="s">
        <v>678</v>
      </c>
      <c r="D299" s="111">
        <v>2</v>
      </c>
      <c r="E299" s="1"/>
      <c r="F299" s="1" t="s">
        <v>892</v>
      </c>
      <c r="G299" s="16" t="str">
        <f t="shared" ref="G299:G313" si="46">IF(E299=0,CONCATENATE(F299," No. ",D299),CONCATENATE(F299," No. ",D299,", ",E299))</f>
        <v>Rancho Recoveco No. 2</v>
      </c>
      <c r="H299" s="41" t="s">
        <v>741</v>
      </c>
      <c r="I299" s="46"/>
      <c r="J299" s="127">
        <v>300</v>
      </c>
      <c r="K299" s="122"/>
    </row>
    <row r="300" spans="1:11" hidden="1" x14ac:dyDescent="0.2">
      <c r="A300" s="125">
        <v>295</v>
      </c>
      <c r="B300" s="66" t="str">
        <f t="shared" si="40"/>
        <v>RV_3_</v>
      </c>
      <c r="C300" s="1" t="s">
        <v>678</v>
      </c>
      <c r="D300" s="111">
        <v>3</v>
      </c>
      <c r="E300" s="1"/>
      <c r="F300" s="1" t="s">
        <v>892</v>
      </c>
      <c r="G300" s="16" t="str">
        <f t="shared" si="46"/>
        <v>Rancho Recoveco No. 3</v>
      </c>
      <c r="H300" s="41" t="s">
        <v>742</v>
      </c>
      <c r="I300" s="44" t="s">
        <v>46</v>
      </c>
      <c r="J300" s="127">
        <v>300</v>
      </c>
      <c r="K300" s="122"/>
    </row>
    <row r="301" spans="1:11" hidden="1" x14ac:dyDescent="0.2">
      <c r="A301" s="125">
        <v>296</v>
      </c>
      <c r="B301" s="112" t="str">
        <f t="shared" si="40"/>
        <v>RV_173_</v>
      </c>
      <c r="C301" s="1" t="s">
        <v>678</v>
      </c>
      <c r="D301" s="111">
        <v>173</v>
      </c>
      <c r="E301" s="1"/>
      <c r="F301" s="1" t="s">
        <v>892</v>
      </c>
      <c r="G301" s="16" t="str">
        <f t="shared" si="46"/>
        <v>Rancho Recoveco No. 173</v>
      </c>
      <c r="H301" s="41" t="s">
        <v>743</v>
      </c>
      <c r="I301" s="44" t="s">
        <v>736</v>
      </c>
      <c r="J301" s="127">
        <v>300</v>
      </c>
      <c r="K301" s="122"/>
    </row>
    <row r="302" spans="1:11" hidden="1" x14ac:dyDescent="0.2">
      <c r="A302" s="125">
        <v>297</v>
      </c>
      <c r="B302" s="66" t="str">
        <f t="shared" si="40"/>
        <v>RV_175_A</v>
      </c>
      <c r="C302" s="1" t="s">
        <v>678</v>
      </c>
      <c r="D302" s="111">
        <v>175</v>
      </c>
      <c r="E302" s="1" t="s">
        <v>672</v>
      </c>
      <c r="F302" s="1" t="s">
        <v>892</v>
      </c>
      <c r="G302" s="16" t="str">
        <f t="shared" si="46"/>
        <v>Rancho Recoveco No. 175, A</v>
      </c>
      <c r="H302" s="41" t="s">
        <v>744</v>
      </c>
      <c r="I302" s="44" t="s">
        <v>1309</v>
      </c>
      <c r="J302" s="127">
        <v>300</v>
      </c>
      <c r="K302" s="122"/>
    </row>
    <row r="303" spans="1:11" hidden="1" x14ac:dyDescent="0.2">
      <c r="A303" s="125">
        <v>298</v>
      </c>
      <c r="B303" s="66" t="str">
        <f t="shared" si="40"/>
        <v>RV_175_B</v>
      </c>
      <c r="C303" s="1" t="s">
        <v>678</v>
      </c>
      <c r="D303" s="111">
        <v>175</v>
      </c>
      <c r="E303" s="1" t="s">
        <v>673</v>
      </c>
      <c r="F303" s="1" t="s">
        <v>892</v>
      </c>
      <c r="G303" s="16" t="str">
        <f t="shared" si="46"/>
        <v>Rancho Recoveco No. 175, B</v>
      </c>
      <c r="H303" s="41" t="s">
        <v>745</v>
      </c>
      <c r="I303" s="48" t="s">
        <v>660</v>
      </c>
      <c r="J303" s="127">
        <v>150</v>
      </c>
      <c r="K303" s="122"/>
    </row>
    <row r="304" spans="1:11" hidden="1" x14ac:dyDescent="0.2">
      <c r="A304" s="125">
        <v>299</v>
      </c>
      <c r="B304" s="66" t="str">
        <f t="shared" si="40"/>
        <v>RV_175_0</v>
      </c>
      <c r="C304" s="1" t="s">
        <v>678</v>
      </c>
      <c r="D304" s="111">
        <v>175</v>
      </c>
      <c r="E304" s="1">
        <v>0</v>
      </c>
      <c r="F304" s="1" t="s">
        <v>892</v>
      </c>
      <c r="G304" s="16" t="str">
        <f t="shared" si="46"/>
        <v>Rancho Recoveco No. 175</v>
      </c>
      <c r="H304" s="41" t="s">
        <v>746</v>
      </c>
      <c r="I304" s="44" t="s">
        <v>557</v>
      </c>
      <c r="J304" s="127">
        <v>300</v>
      </c>
      <c r="K304" s="122"/>
    </row>
    <row r="305" spans="1:11" hidden="1" x14ac:dyDescent="0.2">
      <c r="A305" s="125">
        <v>300</v>
      </c>
      <c r="B305" s="66" t="str">
        <f t="shared" si="40"/>
        <v>RV_179_</v>
      </c>
      <c r="C305" s="1" t="s">
        <v>678</v>
      </c>
      <c r="D305" s="111">
        <v>179</v>
      </c>
      <c r="E305" s="1"/>
      <c r="F305" s="1" t="s">
        <v>892</v>
      </c>
      <c r="G305" s="16" t="str">
        <f t="shared" si="46"/>
        <v>Rancho Recoveco No. 179</v>
      </c>
      <c r="H305" s="41" t="s">
        <v>747</v>
      </c>
      <c r="I305" s="44" t="s">
        <v>737</v>
      </c>
      <c r="J305" s="127">
        <v>300</v>
      </c>
      <c r="K305" s="122"/>
    </row>
    <row r="306" spans="1:11" hidden="1" x14ac:dyDescent="0.2">
      <c r="A306" s="125">
        <v>301</v>
      </c>
      <c r="B306" s="66" t="str">
        <f t="shared" si="40"/>
        <v>RV_181_</v>
      </c>
      <c r="C306" s="1" t="s">
        <v>678</v>
      </c>
      <c r="D306" s="111">
        <v>181</v>
      </c>
      <c r="E306" s="1"/>
      <c r="F306" s="1" t="s">
        <v>892</v>
      </c>
      <c r="G306" s="16" t="str">
        <f t="shared" si="46"/>
        <v>Rancho Recoveco No. 181</v>
      </c>
      <c r="H306" s="41" t="s">
        <v>748</v>
      </c>
      <c r="I306" s="44" t="s">
        <v>1850</v>
      </c>
      <c r="J306" s="127">
        <v>300</v>
      </c>
      <c r="K306" s="122"/>
    </row>
    <row r="307" spans="1:11" hidden="1" x14ac:dyDescent="0.2">
      <c r="A307" s="125">
        <v>302</v>
      </c>
      <c r="B307" s="66" t="str">
        <f t="shared" si="40"/>
        <v>RV_183_</v>
      </c>
      <c r="C307" s="1" t="s">
        <v>678</v>
      </c>
      <c r="D307" s="111">
        <v>183</v>
      </c>
      <c r="E307" s="1"/>
      <c r="F307" s="1" t="s">
        <v>892</v>
      </c>
      <c r="G307" s="16" t="str">
        <f t="shared" si="46"/>
        <v>Rancho Recoveco No. 183</v>
      </c>
      <c r="H307" s="41" t="s">
        <v>749</v>
      </c>
      <c r="I307" s="44" t="s">
        <v>739</v>
      </c>
      <c r="J307" s="127">
        <v>300</v>
      </c>
      <c r="K307" s="122"/>
    </row>
    <row r="308" spans="1:11" hidden="1" x14ac:dyDescent="0.2">
      <c r="A308" s="125">
        <v>303</v>
      </c>
      <c r="B308" s="66" t="str">
        <f t="shared" si="40"/>
        <v>RV_187_</v>
      </c>
      <c r="C308" s="1" t="s">
        <v>678</v>
      </c>
      <c r="D308" s="111">
        <v>187</v>
      </c>
      <c r="E308" s="1"/>
      <c r="F308" s="1" t="s">
        <v>892</v>
      </c>
      <c r="G308" s="16" t="str">
        <f t="shared" si="46"/>
        <v>Rancho Recoveco No. 187</v>
      </c>
      <c r="H308" s="41" t="s">
        <v>750</v>
      </c>
      <c r="I308" s="44" t="s">
        <v>521</v>
      </c>
      <c r="J308" s="127">
        <v>300</v>
      </c>
      <c r="K308" s="122"/>
    </row>
    <row r="309" spans="1:11" hidden="1" x14ac:dyDescent="0.2">
      <c r="A309" s="125">
        <v>304</v>
      </c>
      <c r="B309" s="66" t="str">
        <f t="shared" si="40"/>
        <v>RV_189_</v>
      </c>
      <c r="C309" s="1" t="s">
        <v>678</v>
      </c>
      <c r="D309" s="111">
        <v>189</v>
      </c>
      <c r="E309" s="1"/>
      <c r="F309" s="1" t="s">
        <v>892</v>
      </c>
      <c r="G309" s="16" t="str">
        <f t="shared" si="46"/>
        <v>Rancho Recoveco No. 189</v>
      </c>
      <c r="H309" s="41" t="s">
        <v>751</v>
      </c>
      <c r="I309" s="44" t="s">
        <v>661</v>
      </c>
      <c r="J309" s="127">
        <v>300</v>
      </c>
      <c r="K309" s="122"/>
    </row>
    <row r="310" spans="1:11" hidden="1" x14ac:dyDescent="0.2">
      <c r="A310" s="125">
        <v>305</v>
      </c>
      <c r="B310" s="66" t="str">
        <f t="shared" si="40"/>
        <v>RV_193_</v>
      </c>
      <c r="C310" s="1" t="s">
        <v>678</v>
      </c>
      <c r="D310" s="111">
        <v>193</v>
      </c>
      <c r="E310" s="1"/>
      <c r="F310" s="1" t="s">
        <v>892</v>
      </c>
      <c r="G310" s="16" t="str">
        <f t="shared" si="46"/>
        <v>Rancho Recoveco No. 193</v>
      </c>
      <c r="H310" s="41" t="s">
        <v>752</v>
      </c>
      <c r="I310" s="44" t="s">
        <v>1190</v>
      </c>
      <c r="J310" s="127">
        <v>300</v>
      </c>
      <c r="K310" s="122"/>
    </row>
    <row r="311" spans="1:11" hidden="1" x14ac:dyDescent="0.2">
      <c r="A311" s="125">
        <v>306</v>
      </c>
      <c r="B311" s="66" t="str">
        <f t="shared" si="40"/>
        <v>RV_195_</v>
      </c>
      <c r="C311" s="1" t="s">
        <v>678</v>
      </c>
      <c r="D311" s="111">
        <v>195</v>
      </c>
      <c r="E311" s="1"/>
      <c r="F311" s="1" t="s">
        <v>892</v>
      </c>
      <c r="G311" s="16" t="str">
        <f t="shared" si="46"/>
        <v>Rancho Recoveco No. 195</v>
      </c>
      <c r="H311" s="41" t="s">
        <v>753</v>
      </c>
      <c r="I311" s="44" t="s">
        <v>662</v>
      </c>
      <c r="J311" s="127">
        <v>300</v>
      </c>
      <c r="K311" s="122"/>
    </row>
    <row r="312" spans="1:11" hidden="1" x14ac:dyDescent="0.2">
      <c r="A312" s="125">
        <v>307</v>
      </c>
      <c r="B312" s="66" t="str">
        <f t="shared" si="40"/>
        <v>RV_197_</v>
      </c>
      <c r="C312" s="1" t="s">
        <v>678</v>
      </c>
      <c r="D312" s="111">
        <v>197</v>
      </c>
      <c r="E312" s="1"/>
      <c r="F312" s="1" t="s">
        <v>892</v>
      </c>
      <c r="G312" s="16" t="str">
        <f t="shared" si="46"/>
        <v>Rancho Recoveco No. 197</v>
      </c>
      <c r="H312" s="41" t="s">
        <v>754</v>
      </c>
      <c r="I312" s="44" t="s">
        <v>663</v>
      </c>
      <c r="J312" s="127">
        <v>300</v>
      </c>
      <c r="K312" s="122"/>
    </row>
    <row r="313" spans="1:11" hidden="1" x14ac:dyDescent="0.2">
      <c r="A313" s="125">
        <v>308</v>
      </c>
      <c r="B313" s="66" t="str">
        <f t="shared" si="40"/>
        <v>UP_5_B</v>
      </c>
      <c r="C313" s="1" t="s">
        <v>681</v>
      </c>
      <c r="D313" s="1">
        <v>5</v>
      </c>
      <c r="E313" s="1" t="s">
        <v>673</v>
      </c>
      <c r="F313" s="1" t="s">
        <v>893</v>
      </c>
      <c r="G313" s="16" t="str">
        <f t="shared" si="46"/>
        <v>Rancho Upácuaro No. 5, B</v>
      </c>
      <c r="H313" s="41" t="s">
        <v>177</v>
      </c>
      <c r="I313" s="44" t="s">
        <v>710</v>
      </c>
      <c r="J313" s="127">
        <v>300</v>
      </c>
      <c r="K313" s="122"/>
    </row>
    <row r="314" spans="1:11" hidden="1" x14ac:dyDescent="0.2">
      <c r="A314" s="125">
        <v>309</v>
      </c>
      <c r="B314" s="66" t="str">
        <f t="shared" si="40"/>
        <v>UP_7_</v>
      </c>
      <c r="C314" s="1" t="s">
        <v>681</v>
      </c>
      <c r="D314" s="1">
        <v>7</v>
      </c>
      <c r="E314" s="1"/>
      <c r="F314" s="1" t="s">
        <v>893</v>
      </c>
      <c r="G314" s="16" t="str">
        <f t="shared" ref="G314:G383" si="47">IF(E314=0,CONCATENATE(F314," No. ",D314),CONCATENATE(F314," No. ",D314,", ",E314))</f>
        <v>Rancho Upácuaro No. 7</v>
      </c>
      <c r="H314" s="41" t="s">
        <v>178</v>
      </c>
      <c r="I314" s="44" t="s">
        <v>179</v>
      </c>
      <c r="J314" s="127">
        <v>300</v>
      </c>
      <c r="K314" s="122"/>
    </row>
    <row r="315" spans="1:11" hidden="1" x14ac:dyDescent="0.2">
      <c r="A315" s="125">
        <v>310</v>
      </c>
      <c r="B315" s="66" t="str">
        <f t="shared" si="40"/>
        <v>UP_8_</v>
      </c>
      <c r="C315" s="1" t="s">
        <v>681</v>
      </c>
      <c r="D315" s="1">
        <v>8</v>
      </c>
      <c r="E315" s="1"/>
      <c r="F315" s="1" t="s">
        <v>893</v>
      </c>
      <c r="G315" s="16" t="str">
        <f t="shared" si="47"/>
        <v>Rancho Upácuaro No. 8</v>
      </c>
      <c r="H315" s="41" t="s">
        <v>180</v>
      </c>
      <c r="I315" s="44" t="s">
        <v>181</v>
      </c>
      <c r="J315" s="127">
        <v>250</v>
      </c>
      <c r="K315" s="122"/>
    </row>
    <row r="316" spans="1:11" hidden="1" x14ac:dyDescent="0.2">
      <c r="A316" s="125">
        <v>311</v>
      </c>
      <c r="B316" s="66" t="str">
        <f t="shared" si="40"/>
        <v>UP_9_</v>
      </c>
      <c r="C316" s="1" t="s">
        <v>681</v>
      </c>
      <c r="D316" s="1">
        <v>9</v>
      </c>
      <c r="E316" s="1"/>
      <c r="F316" s="1" t="s">
        <v>893</v>
      </c>
      <c r="G316" s="16" t="str">
        <f t="shared" si="47"/>
        <v>Rancho Upácuaro No. 9</v>
      </c>
      <c r="H316" s="41" t="s">
        <v>182</v>
      </c>
      <c r="I316" s="44" t="s">
        <v>183</v>
      </c>
      <c r="J316" s="127">
        <v>300</v>
      </c>
      <c r="K316" s="122"/>
    </row>
    <row r="317" spans="1:11" hidden="1" x14ac:dyDescent="0.2">
      <c r="A317" s="125">
        <v>312</v>
      </c>
      <c r="B317" s="66" t="str">
        <f t="shared" si="40"/>
        <v>UP_10_</v>
      </c>
      <c r="C317" s="1" t="s">
        <v>681</v>
      </c>
      <c r="D317" s="1">
        <v>10</v>
      </c>
      <c r="E317" s="1"/>
      <c r="F317" s="1" t="s">
        <v>893</v>
      </c>
      <c r="G317" s="16" t="str">
        <f t="shared" si="47"/>
        <v>Rancho Upácuaro No. 10</v>
      </c>
      <c r="H317" s="41" t="s">
        <v>184</v>
      </c>
      <c r="I317" s="44" t="s">
        <v>1255</v>
      </c>
      <c r="J317" s="127">
        <v>300</v>
      </c>
      <c r="K317" s="122"/>
    </row>
    <row r="318" spans="1:11" hidden="1" x14ac:dyDescent="0.2">
      <c r="A318" s="125">
        <v>313</v>
      </c>
      <c r="B318" s="110" t="str">
        <f t="shared" si="40"/>
        <v>UP_11_</v>
      </c>
      <c r="C318" s="1" t="s">
        <v>681</v>
      </c>
      <c r="D318" s="1">
        <v>11</v>
      </c>
      <c r="E318" s="1"/>
      <c r="F318" s="1" t="s">
        <v>893</v>
      </c>
      <c r="G318" s="16" t="str">
        <f t="shared" ref="G318" si="48">IF(E318=0,CONCATENATE(F318," No. ",D318),CONCATENATE(F318," No. ",D318,", ",E318))</f>
        <v>Rancho Upácuaro No. 11</v>
      </c>
      <c r="H318" s="41"/>
      <c r="I318" s="44" t="s">
        <v>1838</v>
      </c>
      <c r="J318" s="127">
        <v>300</v>
      </c>
      <c r="K318" s="122" t="s">
        <v>1316</v>
      </c>
    </row>
    <row r="319" spans="1:11" hidden="1" x14ac:dyDescent="0.2">
      <c r="A319" s="125">
        <v>314</v>
      </c>
      <c r="B319" s="66" t="str">
        <f t="shared" si="40"/>
        <v>UP_12_</v>
      </c>
      <c r="C319" s="1" t="s">
        <v>681</v>
      </c>
      <c r="D319" s="1">
        <v>12</v>
      </c>
      <c r="E319" s="1"/>
      <c r="F319" s="1" t="s">
        <v>893</v>
      </c>
      <c r="G319" s="16" t="str">
        <f t="shared" si="47"/>
        <v>Rancho Upácuaro No. 12</v>
      </c>
      <c r="H319" s="41" t="s">
        <v>185</v>
      </c>
      <c r="I319" s="44" t="s">
        <v>186</v>
      </c>
      <c r="J319" s="127">
        <v>300</v>
      </c>
      <c r="K319" s="122"/>
    </row>
    <row r="320" spans="1:11" hidden="1" x14ac:dyDescent="0.2">
      <c r="A320" s="125">
        <v>315</v>
      </c>
      <c r="B320" s="66" t="str">
        <f t="shared" si="40"/>
        <v>UP_14_</v>
      </c>
      <c r="C320" s="1" t="s">
        <v>681</v>
      </c>
      <c r="D320" s="1">
        <v>14</v>
      </c>
      <c r="E320" s="1"/>
      <c r="F320" s="1" t="s">
        <v>893</v>
      </c>
      <c r="G320" s="16" t="str">
        <f t="shared" si="47"/>
        <v>Rancho Upácuaro No. 14</v>
      </c>
      <c r="H320" s="41" t="s">
        <v>187</v>
      </c>
      <c r="I320" s="44" t="s">
        <v>711</v>
      </c>
      <c r="J320" s="127">
        <v>300</v>
      </c>
      <c r="K320" s="122"/>
    </row>
    <row r="321" spans="1:11" hidden="1" x14ac:dyDescent="0.2">
      <c r="A321" s="125">
        <v>316</v>
      </c>
      <c r="B321" s="66" t="str">
        <f t="shared" si="40"/>
        <v>UP_15_</v>
      </c>
      <c r="C321" s="1" t="s">
        <v>681</v>
      </c>
      <c r="D321" s="1">
        <v>15</v>
      </c>
      <c r="E321" s="1"/>
      <c r="F321" s="1" t="s">
        <v>893</v>
      </c>
      <c r="G321" s="16" t="str">
        <f t="shared" si="47"/>
        <v>Rancho Upácuaro No. 15</v>
      </c>
      <c r="H321" s="41" t="s">
        <v>188</v>
      </c>
      <c r="I321" s="44" t="s">
        <v>189</v>
      </c>
      <c r="J321" s="127">
        <v>300</v>
      </c>
      <c r="K321" s="122"/>
    </row>
    <row r="322" spans="1:11" hidden="1" x14ac:dyDescent="0.2">
      <c r="A322" s="125">
        <v>317</v>
      </c>
      <c r="B322" s="66" t="str">
        <f t="shared" si="40"/>
        <v>UP_16_</v>
      </c>
      <c r="C322" s="1" t="s">
        <v>681</v>
      </c>
      <c r="D322" s="1">
        <v>16</v>
      </c>
      <c r="E322" s="1"/>
      <c r="F322" s="1" t="s">
        <v>893</v>
      </c>
      <c r="G322" s="16" t="str">
        <f t="shared" si="47"/>
        <v>Rancho Upácuaro No. 16</v>
      </c>
      <c r="H322" s="41" t="s">
        <v>190</v>
      </c>
      <c r="I322" s="44" t="s">
        <v>191</v>
      </c>
      <c r="J322" s="127">
        <v>300</v>
      </c>
      <c r="K322" s="122"/>
    </row>
    <row r="323" spans="1:11" hidden="1" x14ac:dyDescent="0.2">
      <c r="A323" s="125">
        <v>318</v>
      </c>
      <c r="B323" s="66" t="str">
        <f t="shared" si="40"/>
        <v>UP_18_</v>
      </c>
      <c r="C323" s="1" t="s">
        <v>681</v>
      </c>
      <c r="D323" s="1">
        <v>18</v>
      </c>
      <c r="E323" s="1"/>
      <c r="F323" s="1" t="s">
        <v>893</v>
      </c>
      <c r="G323" s="16" t="str">
        <f t="shared" si="47"/>
        <v>Rancho Upácuaro No. 18</v>
      </c>
      <c r="H323" s="41" t="s">
        <v>192</v>
      </c>
      <c r="I323" s="44" t="s">
        <v>193</v>
      </c>
      <c r="J323" s="127">
        <v>300</v>
      </c>
      <c r="K323" s="122"/>
    </row>
    <row r="324" spans="1:11" hidden="1" x14ac:dyDescent="0.2">
      <c r="A324" s="125">
        <v>319</v>
      </c>
      <c r="B324" s="66" t="str">
        <f t="shared" si="40"/>
        <v>UP_19_</v>
      </c>
      <c r="C324" s="1" t="s">
        <v>681</v>
      </c>
      <c r="D324" s="1">
        <v>19</v>
      </c>
      <c r="E324" s="1"/>
      <c r="F324" s="1" t="s">
        <v>893</v>
      </c>
      <c r="G324" s="16" t="str">
        <f t="shared" si="47"/>
        <v>Rancho Upácuaro No. 19</v>
      </c>
      <c r="H324" s="41" t="s">
        <v>194</v>
      </c>
      <c r="I324" s="44" t="s">
        <v>195</v>
      </c>
      <c r="J324" s="127">
        <v>200</v>
      </c>
      <c r="K324" s="122"/>
    </row>
    <row r="325" spans="1:11" hidden="1" x14ac:dyDescent="0.2">
      <c r="A325" s="125">
        <v>320</v>
      </c>
      <c r="B325" s="66" t="str">
        <f t="shared" si="40"/>
        <v>UP_20_</v>
      </c>
      <c r="C325" s="1" t="s">
        <v>681</v>
      </c>
      <c r="D325" s="1">
        <v>20</v>
      </c>
      <c r="E325" s="1"/>
      <c r="F325" s="1" t="s">
        <v>893</v>
      </c>
      <c r="G325" s="16" t="str">
        <f t="shared" si="47"/>
        <v>Rancho Upácuaro No. 20</v>
      </c>
      <c r="H325" s="41" t="s">
        <v>196</v>
      </c>
      <c r="I325" s="44" t="s">
        <v>712</v>
      </c>
      <c r="J325" s="127">
        <v>150</v>
      </c>
      <c r="K325" s="122"/>
    </row>
    <row r="326" spans="1:11" hidden="1" x14ac:dyDescent="0.2">
      <c r="A326" s="125">
        <v>321</v>
      </c>
      <c r="B326" s="66" t="str">
        <f t="shared" si="40"/>
        <v>UP_21_</v>
      </c>
      <c r="C326" s="1" t="s">
        <v>681</v>
      </c>
      <c r="D326" s="1">
        <v>21</v>
      </c>
      <c r="E326" s="1"/>
      <c r="F326" s="1" t="s">
        <v>893</v>
      </c>
      <c r="G326" s="16" t="str">
        <f t="shared" si="47"/>
        <v>Rancho Upácuaro No. 21</v>
      </c>
      <c r="H326" s="41" t="s">
        <v>197</v>
      </c>
      <c r="I326" s="44" t="s">
        <v>198</v>
      </c>
      <c r="J326" s="127">
        <v>150</v>
      </c>
      <c r="K326" s="122"/>
    </row>
    <row r="327" spans="1:11" hidden="1" x14ac:dyDescent="0.2">
      <c r="A327" s="125">
        <v>322</v>
      </c>
      <c r="B327" s="66" t="str">
        <f t="shared" si="40"/>
        <v>UP_23_</v>
      </c>
      <c r="C327" s="1" t="s">
        <v>681</v>
      </c>
      <c r="D327" s="1">
        <v>23</v>
      </c>
      <c r="E327" s="1"/>
      <c r="F327" s="1" t="s">
        <v>893</v>
      </c>
      <c r="G327" s="16" t="str">
        <f t="shared" si="47"/>
        <v>Rancho Upácuaro No. 23</v>
      </c>
      <c r="H327" s="41" t="s">
        <v>199</v>
      </c>
      <c r="I327" s="44" t="s">
        <v>200</v>
      </c>
      <c r="J327" s="127">
        <v>300</v>
      </c>
      <c r="K327" s="122"/>
    </row>
    <row r="328" spans="1:11" hidden="1" x14ac:dyDescent="0.2">
      <c r="A328" s="125">
        <v>323</v>
      </c>
      <c r="B328" s="66" t="str">
        <f t="shared" si="40"/>
        <v>UP_24_</v>
      </c>
      <c r="C328" s="1" t="s">
        <v>681</v>
      </c>
      <c r="D328" s="1">
        <v>24</v>
      </c>
      <c r="E328" s="1"/>
      <c r="F328" s="1" t="s">
        <v>893</v>
      </c>
      <c r="G328" s="16" t="str">
        <f t="shared" si="47"/>
        <v>Rancho Upácuaro No. 24</v>
      </c>
      <c r="H328" s="41" t="s">
        <v>201</v>
      </c>
      <c r="I328" s="44" t="s">
        <v>202</v>
      </c>
      <c r="J328" s="127">
        <v>300</v>
      </c>
      <c r="K328" s="122"/>
    </row>
    <row r="329" spans="1:11" hidden="1" x14ac:dyDescent="0.2">
      <c r="A329" s="125">
        <v>324</v>
      </c>
      <c r="B329" s="66" t="str">
        <f t="shared" si="40"/>
        <v>UP_26_</v>
      </c>
      <c r="C329" s="1" t="s">
        <v>681</v>
      </c>
      <c r="D329" s="1">
        <v>26</v>
      </c>
      <c r="E329" s="1"/>
      <c r="F329" s="1" t="s">
        <v>893</v>
      </c>
      <c r="G329" s="16" t="str">
        <f t="shared" si="47"/>
        <v>Rancho Upácuaro No. 26</v>
      </c>
      <c r="H329" s="41" t="s">
        <v>203</v>
      </c>
      <c r="I329" s="44" t="s">
        <v>204</v>
      </c>
      <c r="J329" s="127">
        <v>300</v>
      </c>
      <c r="K329" s="122"/>
    </row>
    <row r="330" spans="1:11" hidden="1" x14ac:dyDescent="0.2">
      <c r="A330" s="125">
        <v>325</v>
      </c>
      <c r="B330" s="66" t="str">
        <f t="shared" si="40"/>
        <v>UP_30_</v>
      </c>
      <c r="C330" s="1" t="s">
        <v>681</v>
      </c>
      <c r="D330" s="1">
        <v>30</v>
      </c>
      <c r="E330" s="1"/>
      <c r="F330" s="1" t="s">
        <v>893</v>
      </c>
      <c r="G330" s="16" t="str">
        <f t="shared" si="47"/>
        <v>Rancho Upácuaro No. 30</v>
      </c>
      <c r="H330" s="41" t="s">
        <v>205</v>
      </c>
      <c r="I330" s="44" t="s">
        <v>206</v>
      </c>
      <c r="J330" s="127">
        <v>300</v>
      </c>
      <c r="K330" s="122"/>
    </row>
    <row r="331" spans="1:11" hidden="1" x14ac:dyDescent="0.2">
      <c r="A331" s="125">
        <v>326</v>
      </c>
      <c r="B331" s="66" t="str">
        <f t="shared" si="40"/>
        <v>UP_31_</v>
      </c>
      <c r="C331" s="1" t="s">
        <v>681</v>
      </c>
      <c r="D331" s="1">
        <v>31</v>
      </c>
      <c r="E331" s="1"/>
      <c r="F331" s="1" t="s">
        <v>893</v>
      </c>
      <c r="G331" s="16" t="str">
        <f t="shared" si="47"/>
        <v>Rancho Upácuaro No. 31</v>
      </c>
      <c r="H331" s="41" t="s">
        <v>207</v>
      </c>
      <c r="I331" s="44" t="s">
        <v>208</v>
      </c>
      <c r="J331" s="127">
        <v>300</v>
      </c>
      <c r="K331" s="122"/>
    </row>
    <row r="332" spans="1:11" hidden="1" x14ac:dyDescent="0.2">
      <c r="A332" s="125">
        <v>327</v>
      </c>
      <c r="B332" s="66" t="str">
        <f t="shared" si="40"/>
        <v>UP_32_</v>
      </c>
      <c r="C332" s="1" t="s">
        <v>681</v>
      </c>
      <c r="D332" s="1">
        <v>32</v>
      </c>
      <c r="E332" s="1"/>
      <c r="F332" s="1" t="s">
        <v>893</v>
      </c>
      <c r="G332" s="16" t="str">
        <f t="shared" si="47"/>
        <v>Rancho Upácuaro No. 32</v>
      </c>
      <c r="H332" s="41" t="s">
        <v>209</v>
      </c>
      <c r="I332" s="44" t="s">
        <v>713</v>
      </c>
      <c r="J332" s="127">
        <v>300</v>
      </c>
      <c r="K332" s="122"/>
    </row>
    <row r="333" spans="1:11" hidden="1" x14ac:dyDescent="0.2">
      <c r="A333" s="125">
        <v>328</v>
      </c>
      <c r="B333" s="66" t="str">
        <f t="shared" si="40"/>
        <v>UP_33_</v>
      </c>
      <c r="C333" s="1" t="s">
        <v>681</v>
      </c>
      <c r="D333" s="1">
        <v>33</v>
      </c>
      <c r="E333" s="1"/>
      <c r="F333" s="1" t="s">
        <v>893</v>
      </c>
      <c r="G333" s="16" t="str">
        <f t="shared" si="47"/>
        <v>Rancho Upácuaro No. 33</v>
      </c>
      <c r="H333" s="41" t="s">
        <v>210</v>
      </c>
      <c r="I333" s="44" t="s">
        <v>211</v>
      </c>
      <c r="J333" s="127">
        <v>300</v>
      </c>
      <c r="K333" s="122"/>
    </row>
    <row r="334" spans="1:11" hidden="1" x14ac:dyDescent="0.2">
      <c r="A334" s="125">
        <v>329</v>
      </c>
      <c r="B334" s="66" t="str">
        <f t="shared" si="40"/>
        <v>UP_34_</v>
      </c>
      <c r="C334" s="1" t="s">
        <v>681</v>
      </c>
      <c r="D334" s="1">
        <v>34</v>
      </c>
      <c r="E334" s="1"/>
      <c r="F334" s="1" t="s">
        <v>893</v>
      </c>
      <c r="G334" s="16" t="str">
        <f t="shared" si="47"/>
        <v>Rancho Upácuaro No. 34</v>
      </c>
      <c r="H334" s="41" t="s">
        <v>212</v>
      </c>
      <c r="I334" s="44" t="s">
        <v>1704</v>
      </c>
      <c r="J334" s="127">
        <v>300</v>
      </c>
      <c r="K334" s="122"/>
    </row>
    <row r="335" spans="1:11" hidden="1" x14ac:dyDescent="0.2">
      <c r="A335" s="125">
        <v>330</v>
      </c>
      <c r="B335" s="66" t="str">
        <f t="shared" si="40"/>
        <v>UP_35_</v>
      </c>
      <c r="C335" s="1" t="s">
        <v>681</v>
      </c>
      <c r="D335" s="1">
        <v>35</v>
      </c>
      <c r="E335" s="1"/>
      <c r="F335" s="1" t="s">
        <v>893</v>
      </c>
      <c r="G335" s="16" t="str">
        <f t="shared" si="47"/>
        <v>Rancho Upácuaro No. 35</v>
      </c>
      <c r="H335" s="41" t="s">
        <v>213</v>
      </c>
      <c r="I335" s="44" t="s">
        <v>214</v>
      </c>
      <c r="J335" s="127">
        <v>300</v>
      </c>
      <c r="K335" s="122"/>
    </row>
    <row r="336" spans="1:11" hidden="1" x14ac:dyDescent="0.2">
      <c r="A336" s="125">
        <v>331</v>
      </c>
      <c r="B336" s="66" t="str">
        <f t="shared" si="40"/>
        <v>UP_36_</v>
      </c>
      <c r="C336" s="1" t="s">
        <v>681</v>
      </c>
      <c r="D336" s="1">
        <v>36</v>
      </c>
      <c r="E336" s="1"/>
      <c r="F336" s="1" t="s">
        <v>893</v>
      </c>
      <c r="G336" s="16" t="str">
        <f t="shared" si="47"/>
        <v>Rancho Upácuaro No. 36</v>
      </c>
      <c r="H336" s="41" t="s">
        <v>215</v>
      </c>
      <c r="I336" s="44" t="s">
        <v>216</v>
      </c>
      <c r="J336" s="127">
        <v>300</v>
      </c>
      <c r="K336" s="122"/>
    </row>
    <row r="337" spans="1:11" hidden="1" x14ac:dyDescent="0.2">
      <c r="A337" s="125">
        <v>332</v>
      </c>
      <c r="B337" s="66" t="str">
        <f t="shared" si="40"/>
        <v>UP_37_</v>
      </c>
      <c r="C337" s="1" t="s">
        <v>681</v>
      </c>
      <c r="D337" s="1">
        <v>37</v>
      </c>
      <c r="E337" s="1"/>
      <c r="F337" s="1" t="s">
        <v>893</v>
      </c>
      <c r="G337" s="16" t="str">
        <f t="shared" si="47"/>
        <v>Rancho Upácuaro No. 37</v>
      </c>
      <c r="H337" s="41" t="s">
        <v>217</v>
      </c>
      <c r="I337" s="44" t="s">
        <v>218</v>
      </c>
      <c r="J337" s="127">
        <v>300</v>
      </c>
      <c r="K337" s="122"/>
    </row>
    <row r="338" spans="1:11" hidden="1" x14ac:dyDescent="0.2">
      <c r="A338" s="125">
        <v>333</v>
      </c>
      <c r="B338" s="66" t="str">
        <f t="shared" si="40"/>
        <v>UP_39_</v>
      </c>
      <c r="C338" s="1" t="s">
        <v>681</v>
      </c>
      <c r="D338" s="1">
        <v>39</v>
      </c>
      <c r="E338" s="1"/>
      <c r="F338" s="1" t="s">
        <v>893</v>
      </c>
      <c r="G338" s="16" t="str">
        <f t="shared" si="47"/>
        <v>Rancho Upácuaro No. 39</v>
      </c>
      <c r="H338" s="41" t="s">
        <v>219</v>
      </c>
      <c r="I338" s="44" t="s">
        <v>97</v>
      </c>
      <c r="J338" s="127">
        <v>300</v>
      </c>
      <c r="K338" s="122"/>
    </row>
    <row r="339" spans="1:11" hidden="1" x14ac:dyDescent="0.2">
      <c r="A339" s="125">
        <v>334</v>
      </c>
      <c r="B339" s="66" t="str">
        <f t="shared" si="40"/>
        <v>UP_40_</v>
      </c>
      <c r="C339" s="1" t="s">
        <v>681</v>
      </c>
      <c r="D339" s="1">
        <v>40</v>
      </c>
      <c r="E339" s="1"/>
      <c r="F339" s="1" t="s">
        <v>893</v>
      </c>
      <c r="G339" s="16" t="str">
        <f t="shared" si="47"/>
        <v>Rancho Upácuaro No. 40</v>
      </c>
      <c r="H339" s="41" t="s">
        <v>220</v>
      </c>
      <c r="I339" s="44" t="s">
        <v>221</v>
      </c>
      <c r="J339" s="127">
        <v>300</v>
      </c>
      <c r="K339" s="122"/>
    </row>
    <row r="340" spans="1:11" hidden="1" x14ac:dyDescent="0.2">
      <c r="A340" s="125">
        <v>335</v>
      </c>
      <c r="B340" s="66" t="str">
        <f t="shared" si="40"/>
        <v>UP_42_</v>
      </c>
      <c r="C340" s="1" t="s">
        <v>681</v>
      </c>
      <c r="D340" s="1">
        <v>42</v>
      </c>
      <c r="E340" s="1"/>
      <c r="F340" s="1" t="s">
        <v>893</v>
      </c>
      <c r="G340" s="16" t="str">
        <f t="shared" si="47"/>
        <v>Rancho Upácuaro No. 42</v>
      </c>
      <c r="H340" s="41" t="s">
        <v>222</v>
      </c>
      <c r="I340" s="44" t="s">
        <v>223</v>
      </c>
      <c r="J340" s="127">
        <v>300</v>
      </c>
      <c r="K340" s="122"/>
    </row>
    <row r="341" spans="1:11" hidden="1" x14ac:dyDescent="0.2">
      <c r="A341" s="125">
        <v>336</v>
      </c>
      <c r="B341" s="110" t="str">
        <f t="shared" si="40"/>
        <v>UP_43_</v>
      </c>
      <c r="C341" s="1" t="s">
        <v>681</v>
      </c>
      <c r="D341" s="1">
        <v>43</v>
      </c>
      <c r="E341" s="1"/>
      <c r="F341" s="1" t="s">
        <v>893</v>
      </c>
      <c r="G341" s="16" t="str">
        <f t="shared" si="47"/>
        <v>Rancho Upácuaro No. 43</v>
      </c>
      <c r="H341" s="41"/>
      <c r="I341" s="44" t="s">
        <v>1308</v>
      </c>
      <c r="J341" s="127">
        <v>300</v>
      </c>
      <c r="K341" s="122" t="s">
        <v>1316</v>
      </c>
    </row>
    <row r="342" spans="1:11" hidden="1" x14ac:dyDescent="0.2">
      <c r="A342" s="125">
        <v>337</v>
      </c>
      <c r="B342" s="66" t="str">
        <f t="shared" si="40"/>
        <v>UP_44_</v>
      </c>
      <c r="C342" s="1" t="s">
        <v>681</v>
      </c>
      <c r="D342" s="1">
        <v>44</v>
      </c>
      <c r="E342" s="1"/>
      <c r="F342" s="1" t="s">
        <v>893</v>
      </c>
      <c r="G342" s="16" t="str">
        <f t="shared" si="47"/>
        <v>Rancho Upácuaro No. 44</v>
      </c>
      <c r="H342" s="41" t="s">
        <v>224</v>
      </c>
      <c r="I342" s="44" t="s">
        <v>225</v>
      </c>
      <c r="J342" s="127">
        <v>300</v>
      </c>
      <c r="K342" s="122"/>
    </row>
    <row r="343" spans="1:11" hidden="1" x14ac:dyDescent="0.2">
      <c r="A343" s="125">
        <v>338</v>
      </c>
      <c r="B343" s="66" t="str">
        <f t="shared" si="40"/>
        <v>UP_45_</v>
      </c>
      <c r="C343" s="1" t="s">
        <v>681</v>
      </c>
      <c r="D343" s="1">
        <v>45</v>
      </c>
      <c r="E343" s="1"/>
      <c r="F343" s="1" t="s">
        <v>893</v>
      </c>
      <c r="G343" s="16" t="str">
        <f t="shared" si="47"/>
        <v>Rancho Upácuaro No. 45</v>
      </c>
      <c r="H343" s="41" t="s">
        <v>226</v>
      </c>
      <c r="I343" s="44" t="s">
        <v>227</v>
      </c>
      <c r="J343" s="127">
        <v>300</v>
      </c>
      <c r="K343" s="122"/>
    </row>
    <row r="344" spans="1:11" hidden="1" x14ac:dyDescent="0.2">
      <c r="A344" s="125">
        <v>339</v>
      </c>
      <c r="B344" s="66" t="str">
        <f t="shared" si="40"/>
        <v>UP_46_</v>
      </c>
      <c r="C344" s="1" t="s">
        <v>681</v>
      </c>
      <c r="D344" s="1">
        <v>46</v>
      </c>
      <c r="E344" s="1"/>
      <c r="F344" s="1" t="s">
        <v>893</v>
      </c>
      <c r="G344" s="16" t="str">
        <f t="shared" si="47"/>
        <v>Rancho Upácuaro No. 46</v>
      </c>
      <c r="H344" s="41" t="s">
        <v>228</v>
      </c>
      <c r="I344" s="44" t="s">
        <v>229</v>
      </c>
      <c r="J344" s="127">
        <v>300</v>
      </c>
      <c r="K344" s="122"/>
    </row>
    <row r="345" spans="1:11" hidden="1" x14ac:dyDescent="0.2">
      <c r="A345" s="125">
        <v>340</v>
      </c>
      <c r="B345" s="66" t="str">
        <f t="shared" si="40"/>
        <v>UP_47_</v>
      </c>
      <c r="C345" s="1" t="s">
        <v>681</v>
      </c>
      <c r="D345" s="1">
        <v>47</v>
      </c>
      <c r="E345" s="1"/>
      <c r="F345" s="1" t="s">
        <v>893</v>
      </c>
      <c r="G345" s="16" t="str">
        <f t="shared" si="47"/>
        <v>Rancho Upácuaro No. 47</v>
      </c>
      <c r="H345" s="41" t="s">
        <v>230</v>
      </c>
      <c r="I345" s="44" t="s">
        <v>714</v>
      </c>
      <c r="J345" s="127">
        <v>300</v>
      </c>
      <c r="K345" s="122"/>
    </row>
    <row r="346" spans="1:11" hidden="1" x14ac:dyDescent="0.2">
      <c r="A346" s="125">
        <v>341</v>
      </c>
      <c r="B346" s="66" t="str">
        <f t="shared" si="40"/>
        <v>UP_48_</v>
      </c>
      <c r="C346" s="1" t="s">
        <v>681</v>
      </c>
      <c r="D346" s="1">
        <v>48</v>
      </c>
      <c r="E346" s="1"/>
      <c r="F346" s="1" t="s">
        <v>893</v>
      </c>
      <c r="G346" s="16" t="str">
        <f t="shared" si="47"/>
        <v>Rancho Upácuaro No. 48</v>
      </c>
      <c r="H346" s="41" t="s">
        <v>231</v>
      </c>
      <c r="I346" s="44" t="s">
        <v>232</v>
      </c>
      <c r="J346" s="127">
        <v>200</v>
      </c>
      <c r="K346" s="122"/>
    </row>
    <row r="347" spans="1:11" hidden="1" x14ac:dyDescent="0.2">
      <c r="A347" s="125">
        <v>342</v>
      </c>
      <c r="B347" s="66" t="str">
        <f t="shared" si="40"/>
        <v>UP_49_</v>
      </c>
      <c r="C347" s="1" t="s">
        <v>681</v>
      </c>
      <c r="D347" s="1">
        <v>49</v>
      </c>
      <c r="E347" s="1"/>
      <c r="F347" s="1" t="s">
        <v>893</v>
      </c>
      <c r="G347" s="16" t="str">
        <f t="shared" si="47"/>
        <v>Rancho Upácuaro No. 49</v>
      </c>
      <c r="H347" s="41" t="s">
        <v>233</v>
      </c>
      <c r="I347" s="44" t="s">
        <v>234</v>
      </c>
      <c r="J347" s="127">
        <v>300</v>
      </c>
      <c r="K347" s="122"/>
    </row>
    <row r="348" spans="1:11" hidden="1" x14ac:dyDescent="0.2">
      <c r="A348" s="125">
        <v>343</v>
      </c>
      <c r="B348" s="66" t="str">
        <f t="shared" si="40"/>
        <v>UP_50_</v>
      </c>
      <c r="C348" s="1" t="s">
        <v>681</v>
      </c>
      <c r="D348" s="1">
        <v>50</v>
      </c>
      <c r="E348" s="1"/>
      <c r="F348" s="1" t="s">
        <v>893</v>
      </c>
      <c r="G348" s="16" t="str">
        <f t="shared" si="47"/>
        <v>Rancho Upácuaro No. 50</v>
      </c>
      <c r="H348" s="41" t="s">
        <v>235</v>
      </c>
      <c r="I348" s="44" t="s">
        <v>236</v>
      </c>
      <c r="J348" s="127">
        <v>300</v>
      </c>
      <c r="K348" s="122"/>
    </row>
    <row r="349" spans="1:11" hidden="1" x14ac:dyDescent="0.2">
      <c r="A349" s="125">
        <v>344</v>
      </c>
      <c r="B349" s="66" t="str">
        <f t="shared" si="40"/>
        <v>UP_51_1</v>
      </c>
      <c r="C349" s="1" t="s">
        <v>681</v>
      </c>
      <c r="D349" s="1">
        <v>51</v>
      </c>
      <c r="E349" s="1">
        <v>1</v>
      </c>
      <c r="F349" s="1" t="s">
        <v>893</v>
      </c>
      <c r="G349" s="16" t="str">
        <f t="shared" si="47"/>
        <v>Rancho Upácuaro No. 51, 1</v>
      </c>
      <c r="H349" s="41" t="s">
        <v>237</v>
      </c>
      <c r="I349" s="44" t="s">
        <v>238</v>
      </c>
      <c r="J349" s="127">
        <v>300</v>
      </c>
      <c r="K349" s="122"/>
    </row>
    <row r="350" spans="1:11" hidden="1" x14ac:dyDescent="0.2">
      <c r="A350" s="125">
        <v>345</v>
      </c>
      <c r="B350" s="66" t="str">
        <f t="shared" ref="B350:B421" si="49">CONCATENATE(C350,"_",D350,"_",E350)</f>
        <v>UP_51_2</v>
      </c>
      <c r="C350" s="1" t="s">
        <v>681</v>
      </c>
      <c r="D350" s="1">
        <v>51</v>
      </c>
      <c r="E350" s="1">
        <v>2</v>
      </c>
      <c r="F350" s="1" t="s">
        <v>893</v>
      </c>
      <c r="G350" s="16" t="str">
        <f t="shared" si="47"/>
        <v>Rancho Upácuaro No. 51, 2</v>
      </c>
      <c r="H350" s="41" t="s">
        <v>239</v>
      </c>
      <c r="I350" s="44" t="s">
        <v>240</v>
      </c>
      <c r="J350" s="127">
        <v>300</v>
      </c>
      <c r="K350" s="122"/>
    </row>
    <row r="351" spans="1:11" hidden="1" x14ac:dyDescent="0.2">
      <c r="A351" s="125">
        <v>346</v>
      </c>
      <c r="B351" s="66" t="str">
        <f t="shared" si="49"/>
        <v>UP_52_</v>
      </c>
      <c r="C351" s="1" t="s">
        <v>681</v>
      </c>
      <c r="D351" s="1">
        <v>52</v>
      </c>
      <c r="E351" s="1"/>
      <c r="F351" s="1" t="s">
        <v>893</v>
      </c>
      <c r="G351" s="16" t="str">
        <f t="shared" si="47"/>
        <v>Rancho Upácuaro No. 52</v>
      </c>
      <c r="H351" s="41" t="s">
        <v>241</v>
      </c>
      <c r="I351" s="44" t="s">
        <v>242</v>
      </c>
      <c r="J351" s="127">
        <v>300</v>
      </c>
      <c r="K351" s="122"/>
    </row>
    <row r="352" spans="1:11" hidden="1" x14ac:dyDescent="0.2">
      <c r="A352" s="125">
        <v>347</v>
      </c>
      <c r="B352" s="66" t="str">
        <f t="shared" si="49"/>
        <v>UP_54_</v>
      </c>
      <c r="C352" s="1" t="s">
        <v>681</v>
      </c>
      <c r="D352" s="1">
        <v>54</v>
      </c>
      <c r="E352" s="1"/>
      <c r="F352" s="1" t="s">
        <v>893</v>
      </c>
      <c r="G352" s="16" t="str">
        <f t="shared" si="47"/>
        <v>Rancho Upácuaro No. 54</v>
      </c>
      <c r="H352" s="41" t="s">
        <v>243</v>
      </c>
      <c r="I352" s="44" t="s">
        <v>244</v>
      </c>
      <c r="J352" s="127">
        <v>200</v>
      </c>
      <c r="K352" s="122"/>
    </row>
    <row r="353" spans="1:11" hidden="1" x14ac:dyDescent="0.2">
      <c r="A353" s="125">
        <v>348</v>
      </c>
      <c r="B353" s="66" t="str">
        <f t="shared" si="49"/>
        <v>UP_55_</v>
      </c>
      <c r="C353" s="1" t="s">
        <v>681</v>
      </c>
      <c r="D353" s="1">
        <v>55</v>
      </c>
      <c r="E353" s="1"/>
      <c r="F353" s="1" t="s">
        <v>893</v>
      </c>
      <c r="G353" s="16" t="str">
        <f t="shared" si="47"/>
        <v>Rancho Upácuaro No. 55</v>
      </c>
      <c r="H353" s="41" t="s">
        <v>245</v>
      </c>
      <c r="I353" s="44" t="s">
        <v>246</v>
      </c>
      <c r="J353" s="127">
        <v>300</v>
      </c>
      <c r="K353" s="122"/>
    </row>
    <row r="354" spans="1:11" hidden="1" x14ac:dyDescent="0.2">
      <c r="A354" s="125">
        <v>349</v>
      </c>
      <c r="B354" s="110" t="str">
        <f t="shared" si="49"/>
        <v>UP_56_</v>
      </c>
      <c r="C354" s="1" t="s">
        <v>681</v>
      </c>
      <c r="D354" s="1">
        <v>56</v>
      </c>
      <c r="E354" s="1"/>
      <c r="F354" s="1" t="s">
        <v>893</v>
      </c>
      <c r="G354" s="16" t="str">
        <f t="shared" ref="G354:G355" si="50">IF(E354=0,CONCATENATE(F354," No. ",D354),CONCATENATE(F354," No. ",D354,", ",E354))</f>
        <v>Rancho Upácuaro No. 56</v>
      </c>
      <c r="H354" s="41"/>
      <c r="I354" s="44"/>
      <c r="J354" s="127">
        <v>300</v>
      </c>
      <c r="K354" s="122" t="s">
        <v>1316</v>
      </c>
    </row>
    <row r="355" spans="1:11" hidden="1" x14ac:dyDescent="0.2">
      <c r="A355" s="125">
        <v>350</v>
      </c>
      <c r="B355" s="110" t="str">
        <f t="shared" si="49"/>
        <v>UP_57_</v>
      </c>
      <c r="C355" s="1" t="s">
        <v>681</v>
      </c>
      <c r="D355" s="1">
        <v>57</v>
      </c>
      <c r="E355" s="1"/>
      <c r="F355" s="1" t="s">
        <v>893</v>
      </c>
      <c r="G355" s="16" t="str">
        <f t="shared" si="50"/>
        <v>Rancho Upácuaro No. 57</v>
      </c>
      <c r="H355" s="41"/>
      <c r="I355" s="44"/>
      <c r="J355" s="127">
        <v>300</v>
      </c>
      <c r="K355" s="122" t="s">
        <v>1316</v>
      </c>
    </row>
    <row r="356" spans="1:11" hidden="1" x14ac:dyDescent="0.2">
      <c r="A356" s="125">
        <v>351</v>
      </c>
      <c r="B356" s="66" t="str">
        <f t="shared" si="49"/>
        <v>UP_60_</v>
      </c>
      <c r="C356" s="1" t="s">
        <v>681</v>
      </c>
      <c r="D356" s="1">
        <v>60</v>
      </c>
      <c r="E356" s="1"/>
      <c r="F356" s="1" t="s">
        <v>893</v>
      </c>
      <c r="G356" s="16" t="str">
        <f t="shared" si="47"/>
        <v>Rancho Upácuaro No. 60</v>
      </c>
      <c r="H356" s="41" t="s">
        <v>247</v>
      </c>
      <c r="I356" s="44" t="s">
        <v>248</v>
      </c>
      <c r="J356" s="127">
        <v>300</v>
      </c>
      <c r="K356" s="122"/>
    </row>
    <row r="357" spans="1:11" hidden="1" x14ac:dyDescent="0.2">
      <c r="A357" s="125">
        <v>352</v>
      </c>
      <c r="B357" s="66" t="str">
        <f t="shared" si="49"/>
        <v>UP_61_</v>
      </c>
      <c r="C357" s="1" t="s">
        <v>681</v>
      </c>
      <c r="D357" s="1">
        <v>61</v>
      </c>
      <c r="E357" s="1"/>
      <c r="F357" s="1" t="s">
        <v>893</v>
      </c>
      <c r="G357" s="16" t="str">
        <f t="shared" si="47"/>
        <v>Rancho Upácuaro No. 61</v>
      </c>
      <c r="H357" s="41" t="s">
        <v>249</v>
      </c>
      <c r="I357" s="44" t="s">
        <v>250</v>
      </c>
      <c r="J357" s="127">
        <v>300</v>
      </c>
      <c r="K357" s="122"/>
    </row>
    <row r="358" spans="1:11" hidden="1" x14ac:dyDescent="0.2">
      <c r="A358" s="125">
        <v>353</v>
      </c>
      <c r="B358" s="66" t="str">
        <f t="shared" si="49"/>
        <v>UP_62_</v>
      </c>
      <c r="C358" s="1" t="s">
        <v>681</v>
      </c>
      <c r="D358" s="1">
        <v>62</v>
      </c>
      <c r="E358" s="1"/>
      <c r="F358" s="1" t="s">
        <v>893</v>
      </c>
      <c r="G358" s="16" t="str">
        <f t="shared" si="47"/>
        <v>Rancho Upácuaro No. 62</v>
      </c>
      <c r="H358" s="41" t="s">
        <v>251</v>
      </c>
      <c r="I358" s="44" t="s">
        <v>252</v>
      </c>
      <c r="J358" s="127">
        <v>300</v>
      </c>
      <c r="K358" s="122"/>
    </row>
    <row r="359" spans="1:11" hidden="1" x14ac:dyDescent="0.2">
      <c r="A359" s="125">
        <v>354</v>
      </c>
      <c r="B359" s="66" t="str">
        <f t="shared" si="49"/>
        <v>UP_63_</v>
      </c>
      <c r="C359" s="1" t="s">
        <v>681</v>
      </c>
      <c r="D359" s="1">
        <v>63</v>
      </c>
      <c r="E359" s="1"/>
      <c r="F359" s="1" t="s">
        <v>893</v>
      </c>
      <c r="G359" s="16" t="str">
        <f t="shared" si="47"/>
        <v>Rancho Upácuaro No. 63</v>
      </c>
      <c r="H359" s="41" t="s">
        <v>253</v>
      </c>
      <c r="I359" s="44" t="s">
        <v>1221</v>
      </c>
      <c r="J359" s="127">
        <v>300</v>
      </c>
      <c r="K359" s="122"/>
    </row>
    <row r="360" spans="1:11" hidden="1" x14ac:dyDescent="0.2">
      <c r="A360" s="125">
        <v>355</v>
      </c>
      <c r="B360" s="66" t="str">
        <f t="shared" si="49"/>
        <v>UP_64_</v>
      </c>
      <c r="C360" s="1" t="s">
        <v>681</v>
      </c>
      <c r="D360" s="1">
        <v>64</v>
      </c>
      <c r="E360" s="1"/>
      <c r="F360" s="1" t="s">
        <v>893</v>
      </c>
      <c r="G360" s="16" t="str">
        <f t="shared" si="47"/>
        <v>Rancho Upácuaro No. 64</v>
      </c>
      <c r="H360" s="41" t="s">
        <v>254</v>
      </c>
      <c r="I360" s="44" t="s">
        <v>255</v>
      </c>
      <c r="J360" s="127">
        <v>300</v>
      </c>
      <c r="K360" s="122"/>
    </row>
    <row r="361" spans="1:11" hidden="1" x14ac:dyDescent="0.2">
      <c r="A361" s="125">
        <v>356</v>
      </c>
      <c r="B361" s="66" t="str">
        <f t="shared" si="49"/>
        <v>UP_65_</v>
      </c>
      <c r="C361" s="1" t="s">
        <v>681</v>
      </c>
      <c r="D361" s="1">
        <v>65</v>
      </c>
      <c r="E361" s="1"/>
      <c r="F361" s="1" t="s">
        <v>893</v>
      </c>
      <c r="G361" s="16" t="str">
        <f t="shared" si="47"/>
        <v>Rancho Upácuaro No. 65</v>
      </c>
      <c r="H361" s="41" t="s">
        <v>256</v>
      </c>
      <c r="I361" s="44" t="s">
        <v>257</v>
      </c>
      <c r="J361" s="127">
        <v>300</v>
      </c>
      <c r="K361" s="122"/>
    </row>
    <row r="362" spans="1:11" hidden="1" x14ac:dyDescent="0.2">
      <c r="A362" s="125">
        <v>357</v>
      </c>
      <c r="B362" s="66" t="str">
        <f t="shared" si="49"/>
        <v>UP_68_</v>
      </c>
      <c r="C362" s="1" t="s">
        <v>681</v>
      </c>
      <c r="D362" s="1">
        <v>68</v>
      </c>
      <c r="E362" s="1"/>
      <c r="F362" s="1" t="s">
        <v>893</v>
      </c>
      <c r="G362" s="16" t="str">
        <f t="shared" si="47"/>
        <v>Rancho Upácuaro No. 68</v>
      </c>
      <c r="H362" s="41" t="s">
        <v>258</v>
      </c>
      <c r="I362" s="44" t="s">
        <v>1667</v>
      </c>
      <c r="J362" s="127">
        <v>300</v>
      </c>
      <c r="K362" s="122"/>
    </row>
    <row r="363" spans="1:11" hidden="1" x14ac:dyDescent="0.2">
      <c r="A363" s="125">
        <v>358</v>
      </c>
      <c r="B363" s="66" t="str">
        <f t="shared" si="49"/>
        <v>UP_69_</v>
      </c>
      <c r="C363" s="1" t="s">
        <v>681</v>
      </c>
      <c r="D363" s="1">
        <v>69</v>
      </c>
      <c r="E363" s="1"/>
      <c r="F363" s="1" t="s">
        <v>893</v>
      </c>
      <c r="G363" s="16" t="str">
        <f t="shared" si="47"/>
        <v>Rancho Upácuaro No. 69</v>
      </c>
      <c r="H363" s="41" t="s">
        <v>259</v>
      </c>
      <c r="I363" s="44" t="s">
        <v>113</v>
      </c>
      <c r="J363" s="127">
        <v>300</v>
      </c>
      <c r="K363" s="122"/>
    </row>
    <row r="364" spans="1:11" hidden="1" x14ac:dyDescent="0.2">
      <c r="A364" s="125">
        <v>359</v>
      </c>
      <c r="B364" s="66" t="str">
        <f t="shared" si="49"/>
        <v>UP_70_</v>
      </c>
      <c r="C364" s="1" t="s">
        <v>681</v>
      </c>
      <c r="D364" s="1">
        <v>70</v>
      </c>
      <c r="E364" s="1"/>
      <c r="F364" s="1" t="s">
        <v>893</v>
      </c>
      <c r="G364" s="16" t="str">
        <f t="shared" si="47"/>
        <v>Rancho Upácuaro No. 70</v>
      </c>
      <c r="H364" s="41" t="s">
        <v>260</v>
      </c>
      <c r="I364" s="44" t="s">
        <v>261</v>
      </c>
      <c r="J364" s="127">
        <v>300</v>
      </c>
      <c r="K364" s="122"/>
    </row>
    <row r="365" spans="1:11" hidden="1" x14ac:dyDescent="0.2">
      <c r="A365" s="125">
        <v>360</v>
      </c>
      <c r="B365" s="66" t="str">
        <f t="shared" si="49"/>
        <v>UP_71_</v>
      </c>
      <c r="C365" s="1" t="s">
        <v>681</v>
      </c>
      <c r="D365" s="1">
        <v>71</v>
      </c>
      <c r="E365" s="1"/>
      <c r="F365" s="1" t="s">
        <v>893</v>
      </c>
      <c r="G365" s="16" t="str">
        <f t="shared" si="47"/>
        <v>Rancho Upácuaro No. 71</v>
      </c>
      <c r="H365" s="41" t="s">
        <v>262</v>
      </c>
      <c r="I365" s="44" t="s">
        <v>263</v>
      </c>
      <c r="J365" s="127">
        <v>300</v>
      </c>
      <c r="K365" s="122"/>
    </row>
    <row r="366" spans="1:11" hidden="1" x14ac:dyDescent="0.2">
      <c r="A366" s="125">
        <v>361</v>
      </c>
      <c r="B366" s="110" t="str">
        <f t="shared" si="49"/>
        <v>UP_72_</v>
      </c>
      <c r="C366" s="1" t="s">
        <v>681</v>
      </c>
      <c r="D366" s="1">
        <v>72</v>
      </c>
      <c r="E366" s="1"/>
      <c r="F366" s="1" t="s">
        <v>893</v>
      </c>
      <c r="G366" s="16" t="str">
        <f t="shared" ref="G366" si="51">IF(E366=0,CONCATENATE(F366," No. ",D366),CONCATENATE(F366," No. ",D366,", ",E366))</f>
        <v>Rancho Upácuaro No. 72</v>
      </c>
      <c r="H366" s="41"/>
      <c r="I366" s="44" t="s">
        <v>1350</v>
      </c>
      <c r="J366" s="127">
        <v>300</v>
      </c>
      <c r="K366" s="122" t="s">
        <v>1316</v>
      </c>
    </row>
    <row r="367" spans="1:11" hidden="1" x14ac:dyDescent="0.2">
      <c r="A367" s="125">
        <v>362</v>
      </c>
      <c r="B367" s="66" t="str">
        <f t="shared" si="49"/>
        <v>UP_73_A</v>
      </c>
      <c r="C367" s="1" t="s">
        <v>681</v>
      </c>
      <c r="D367" s="1">
        <v>73</v>
      </c>
      <c r="E367" s="1" t="s">
        <v>672</v>
      </c>
      <c r="F367" s="1" t="s">
        <v>893</v>
      </c>
      <c r="G367" s="16" t="str">
        <f t="shared" si="47"/>
        <v>Rancho Upácuaro No. 73, A</v>
      </c>
      <c r="H367" s="41" t="s">
        <v>264</v>
      </c>
      <c r="I367" s="44" t="s">
        <v>57</v>
      </c>
      <c r="J367" s="127">
        <v>150</v>
      </c>
      <c r="K367" s="122"/>
    </row>
    <row r="368" spans="1:11" hidden="1" x14ac:dyDescent="0.2">
      <c r="A368" s="125">
        <v>363</v>
      </c>
      <c r="B368" s="66" t="str">
        <f t="shared" si="49"/>
        <v>UP_73_B</v>
      </c>
      <c r="C368" s="1" t="s">
        <v>681</v>
      </c>
      <c r="D368" s="1">
        <v>73</v>
      </c>
      <c r="E368" s="1" t="s">
        <v>673</v>
      </c>
      <c r="F368" s="1" t="s">
        <v>893</v>
      </c>
      <c r="G368" s="16" t="str">
        <f t="shared" si="47"/>
        <v>Rancho Upácuaro No. 73, B</v>
      </c>
      <c r="H368" s="41" t="s">
        <v>265</v>
      </c>
      <c r="I368" s="44" t="s">
        <v>15</v>
      </c>
      <c r="J368" s="127">
        <v>200</v>
      </c>
      <c r="K368" s="122"/>
    </row>
    <row r="369" spans="1:11" hidden="1" x14ac:dyDescent="0.2">
      <c r="A369" s="125">
        <v>364</v>
      </c>
      <c r="B369" s="66" t="str">
        <f t="shared" si="49"/>
        <v>UP_74_</v>
      </c>
      <c r="C369" s="1" t="s">
        <v>681</v>
      </c>
      <c r="D369" s="1">
        <v>74</v>
      </c>
      <c r="E369" s="1"/>
      <c r="F369" s="1" t="s">
        <v>893</v>
      </c>
      <c r="G369" s="16" t="str">
        <f t="shared" si="47"/>
        <v>Rancho Upácuaro No. 74</v>
      </c>
      <c r="H369" s="41" t="s">
        <v>266</v>
      </c>
      <c r="I369" s="44" t="s">
        <v>267</v>
      </c>
      <c r="J369" s="127">
        <v>300</v>
      </c>
      <c r="K369" s="122"/>
    </row>
    <row r="370" spans="1:11" hidden="1" x14ac:dyDescent="0.2">
      <c r="A370" s="125">
        <v>365</v>
      </c>
      <c r="B370" s="66" t="str">
        <f t="shared" si="49"/>
        <v>UP_75_</v>
      </c>
      <c r="C370" s="1" t="s">
        <v>681</v>
      </c>
      <c r="D370" s="1">
        <v>75</v>
      </c>
      <c r="E370" s="1"/>
      <c r="F370" s="1" t="s">
        <v>893</v>
      </c>
      <c r="G370" s="16" t="str">
        <f t="shared" si="47"/>
        <v>Rancho Upácuaro No. 75</v>
      </c>
      <c r="H370" s="41" t="s">
        <v>268</v>
      </c>
      <c r="I370" s="44" t="s">
        <v>269</v>
      </c>
      <c r="J370" s="127">
        <v>300</v>
      </c>
      <c r="K370" s="122"/>
    </row>
    <row r="371" spans="1:11" hidden="1" x14ac:dyDescent="0.2">
      <c r="A371" s="125">
        <v>366</v>
      </c>
      <c r="B371" s="66" t="str">
        <f t="shared" si="49"/>
        <v>UP_76_</v>
      </c>
      <c r="C371" s="1" t="s">
        <v>681</v>
      </c>
      <c r="D371" s="1">
        <v>76</v>
      </c>
      <c r="E371" s="1"/>
      <c r="F371" s="1" t="s">
        <v>893</v>
      </c>
      <c r="G371" s="16" t="str">
        <f t="shared" si="47"/>
        <v>Rancho Upácuaro No. 76</v>
      </c>
      <c r="H371" s="41" t="s">
        <v>270</v>
      </c>
      <c r="I371" s="44" t="s">
        <v>271</v>
      </c>
      <c r="J371" s="127">
        <v>300</v>
      </c>
      <c r="K371" s="122"/>
    </row>
    <row r="372" spans="1:11" hidden="1" x14ac:dyDescent="0.2">
      <c r="A372" s="125">
        <v>367</v>
      </c>
      <c r="B372" s="66" t="str">
        <f t="shared" si="49"/>
        <v>UP_77_</v>
      </c>
      <c r="C372" s="1" t="s">
        <v>681</v>
      </c>
      <c r="D372" s="1">
        <v>77</v>
      </c>
      <c r="E372" s="1"/>
      <c r="F372" s="1" t="s">
        <v>893</v>
      </c>
      <c r="G372" s="16" t="str">
        <f t="shared" si="47"/>
        <v>Rancho Upácuaro No. 77</v>
      </c>
      <c r="H372" s="41" t="s">
        <v>272</v>
      </c>
      <c r="I372" s="44" t="s">
        <v>273</v>
      </c>
      <c r="J372" s="127">
        <v>300</v>
      </c>
      <c r="K372" s="122"/>
    </row>
    <row r="373" spans="1:11" hidden="1" x14ac:dyDescent="0.2">
      <c r="A373" s="125">
        <v>368</v>
      </c>
      <c r="B373" s="66" t="str">
        <f t="shared" si="49"/>
        <v>UP_78_</v>
      </c>
      <c r="C373" s="1" t="s">
        <v>681</v>
      </c>
      <c r="D373" s="1">
        <v>78</v>
      </c>
      <c r="E373" s="1"/>
      <c r="F373" s="1" t="s">
        <v>893</v>
      </c>
      <c r="G373" s="16" t="str">
        <f t="shared" si="47"/>
        <v>Rancho Upácuaro No. 78</v>
      </c>
      <c r="H373" s="41" t="s">
        <v>274</v>
      </c>
      <c r="I373" s="44" t="s">
        <v>1222</v>
      </c>
      <c r="J373" s="127">
        <v>300</v>
      </c>
      <c r="K373" s="122"/>
    </row>
    <row r="374" spans="1:11" hidden="1" x14ac:dyDescent="0.2">
      <c r="A374" s="125">
        <v>369</v>
      </c>
      <c r="B374" s="66" t="str">
        <f t="shared" si="49"/>
        <v>UP_79_</v>
      </c>
      <c r="C374" s="1" t="s">
        <v>681</v>
      </c>
      <c r="D374" s="1">
        <v>79</v>
      </c>
      <c r="E374" s="1"/>
      <c r="F374" s="1" t="s">
        <v>893</v>
      </c>
      <c r="G374" s="16" t="str">
        <f t="shared" si="47"/>
        <v>Rancho Upácuaro No. 79</v>
      </c>
      <c r="H374" s="41" t="s">
        <v>275</v>
      </c>
      <c r="I374" s="44" t="s">
        <v>276</v>
      </c>
      <c r="J374" s="127">
        <v>300</v>
      </c>
      <c r="K374" s="122"/>
    </row>
    <row r="375" spans="1:11" hidden="1" x14ac:dyDescent="0.2">
      <c r="A375" s="125">
        <v>370</v>
      </c>
      <c r="B375" s="66" t="str">
        <f t="shared" si="49"/>
        <v>UP_80_</v>
      </c>
      <c r="C375" s="1" t="s">
        <v>681</v>
      </c>
      <c r="D375" s="1">
        <v>80</v>
      </c>
      <c r="E375" s="1"/>
      <c r="F375" s="1" t="s">
        <v>893</v>
      </c>
      <c r="G375" s="16" t="str">
        <f t="shared" si="47"/>
        <v>Rancho Upácuaro No. 80</v>
      </c>
      <c r="H375" s="41" t="s">
        <v>277</v>
      </c>
      <c r="I375" s="44" t="s">
        <v>278</v>
      </c>
      <c r="J375" s="127">
        <v>300</v>
      </c>
      <c r="K375" s="122"/>
    </row>
    <row r="376" spans="1:11" hidden="1" x14ac:dyDescent="0.2">
      <c r="A376" s="125">
        <v>371</v>
      </c>
      <c r="B376" s="66" t="str">
        <f t="shared" si="49"/>
        <v>UP_85_</v>
      </c>
      <c r="C376" s="1" t="s">
        <v>681</v>
      </c>
      <c r="D376" s="1">
        <v>85</v>
      </c>
      <c r="E376" s="1"/>
      <c r="F376" s="1" t="s">
        <v>893</v>
      </c>
      <c r="G376" s="16" t="str">
        <f t="shared" si="47"/>
        <v>Rancho Upácuaro No. 85</v>
      </c>
      <c r="H376" s="41" t="s">
        <v>279</v>
      </c>
      <c r="I376" s="44" t="s">
        <v>280</v>
      </c>
      <c r="J376" s="127">
        <v>300</v>
      </c>
      <c r="K376" s="122"/>
    </row>
    <row r="377" spans="1:11" hidden="1" x14ac:dyDescent="0.2">
      <c r="A377" s="125">
        <v>372</v>
      </c>
      <c r="B377" s="66" t="str">
        <f t="shared" si="49"/>
        <v>UP_86_</v>
      </c>
      <c r="C377" s="1" t="s">
        <v>681</v>
      </c>
      <c r="D377" s="1">
        <v>86</v>
      </c>
      <c r="E377" s="1"/>
      <c r="F377" s="1" t="s">
        <v>893</v>
      </c>
      <c r="G377" s="16" t="str">
        <f t="shared" si="47"/>
        <v>Rancho Upácuaro No. 86</v>
      </c>
      <c r="H377" s="41" t="s">
        <v>281</v>
      </c>
      <c r="I377" s="44" t="s">
        <v>282</v>
      </c>
      <c r="J377" s="127">
        <v>300</v>
      </c>
      <c r="K377" s="122"/>
    </row>
    <row r="378" spans="1:11" hidden="1" x14ac:dyDescent="0.2">
      <c r="A378" s="125">
        <v>373</v>
      </c>
      <c r="B378" s="66" t="str">
        <f t="shared" si="49"/>
        <v>UP_87_</v>
      </c>
      <c r="C378" s="1" t="s">
        <v>681</v>
      </c>
      <c r="D378" s="1">
        <v>87</v>
      </c>
      <c r="E378" s="1"/>
      <c r="F378" s="1" t="s">
        <v>893</v>
      </c>
      <c r="G378" s="16" t="str">
        <f t="shared" si="47"/>
        <v>Rancho Upácuaro No. 87</v>
      </c>
      <c r="H378" s="41" t="s">
        <v>283</v>
      </c>
      <c r="I378" s="44" t="s">
        <v>1630</v>
      </c>
      <c r="J378" s="127">
        <v>300</v>
      </c>
      <c r="K378" s="122"/>
    </row>
    <row r="379" spans="1:11" hidden="1" x14ac:dyDescent="0.2">
      <c r="A379" s="125">
        <v>374</v>
      </c>
      <c r="B379" s="66" t="str">
        <f t="shared" si="49"/>
        <v>UP_88_</v>
      </c>
      <c r="C379" s="1" t="s">
        <v>681</v>
      </c>
      <c r="D379" s="1">
        <v>88</v>
      </c>
      <c r="E379" s="1"/>
      <c r="F379" s="1" t="s">
        <v>893</v>
      </c>
      <c r="G379" s="16" t="str">
        <f t="shared" si="47"/>
        <v>Rancho Upácuaro No. 88</v>
      </c>
      <c r="H379" s="41" t="s">
        <v>285</v>
      </c>
      <c r="I379" s="44" t="s">
        <v>286</v>
      </c>
      <c r="J379" s="127">
        <v>300</v>
      </c>
      <c r="K379" s="122"/>
    </row>
    <row r="380" spans="1:11" hidden="1" x14ac:dyDescent="0.2">
      <c r="A380" s="125">
        <v>375</v>
      </c>
      <c r="B380" s="110" t="str">
        <f t="shared" si="49"/>
        <v>UP_89_</v>
      </c>
      <c r="C380" s="1" t="s">
        <v>681</v>
      </c>
      <c r="D380" s="1">
        <v>89</v>
      </c>
      <c r="E380" s="1"/>
      <c r="F380" s="1" t="s">
        <v>893</v>
      </c>
      <c r="G380" s="16" t="str">
        <f t="shared" ref="G380" si="52">IF(E380=0,CONCATENATE(F380," No. ",D380),CONCATENATE(F380," No. ",D380,", ",E380))</f>
        <v>Rancho Upácuaro No. 89</v>
      </c>
      <c r="H380" s="41"/>
      <c r="I380" s="44" t="s">
        <v>13</v>
      </c>
      <c r="J380" s="127">
        <v>300</v>
      </c>
      <c r="K380" s="122" t="s">
        <v>1316</v>
      </c>
    </row>
    <row r="381" spans="1:11" hidden="1" x14ac:dyDescent="0.2">
      <c r="A381" s="125">
        <v>376</v>
      </c>
      <c r="B381" s="66" t="str">
        <f t="shared" si="49"/>
        <v>UP_90_</v>
      </c>
      <c r="C381" s="1" t="s">
        <v>681</v>
      </c>
      <c r="D381" s="1">
        <v>90</v>
      </c>
      <c r="E381" s="1"/>
      <c r="F381" s="1" t="s">
        <v>893</v>
      </c>
      <c r="G381" s="16" t="str">
        <f t="shared" si="47"/>
        <v>Rancho Upácuaro No. 90</v>
      </c>
      <c r="H381" s="41" t="s">
        <v>287</v>
      </c>
      <c r="I381" s="44" t="s">
        <v>288</v>
      </c>
      <c r="J381" s="127">
        <v>150</v>
      </c>
      <c r="K381" s="122"/>
    </row>
    <row r="382" spans="1:11" hidden="1" x14ac:dyDescent="0.2">
      <c r="A382" s="125">
        <v>377</v>
      </c>
      <c r="B382" s="66" t="str">
        <f t="shared" si="49"/>
        <v>UP_91_</v>
      </c>
      <c r="C382" s="1" t="s">
        <v>681</v>
      </c>
      <c r="D382" s="1">
        <v>91</v>
      </c>
      <c r="E382" s="1"/>
      <c r="F382" s="1" t="s">
        <v>893</v>
      </c>
      <c r="G382" s="16" t="str">
        <f t="shared" si="47"/>
        <v>Rancho Upácuaro No. 91</v>
      </c>
      <c r="H382" s="41" t="s">
        <v>289</v>
      </c>
      <c r="I382" s="44" t="s">
        <v>290</v>
      </c>
      <c r="J382" s="127">
        <v>300</v>
      </c>
      <c r="K382" s="122"/>
    </row>
    <row r="383" spans="1:11" hidden="1" x14ac:dyDescent="0.2">
      <c r="A383" s="125">
        <v>378</v>
      </c>
      <c r="B383" s="66" t="str">
        <f t="shared" si="49"/>
        <v>UP_92_</v>
      </c>
      <c r="C383" s="1" t="s">
        <v>681</v>
      </c>
      <c r="D383" s="1">
        <v>92</v>
      </c>
      <c r="E383" s="1"/>
      <c r="F383" s="1" t="s">
        <v>893</v>
      </c>
      <c r="G383" s="16" t="str">
        <f t="shared" si="47"/>
        <v>Rancho Upácuaro No. 92</v>
      </c>
      <c r="H383" s="41" t="s">
        <v>291</v>
      </c>
      <c r="I383" s="44" t="s">
        <v>292</v>
      </c>
      <c r="J383" s="127">
        <v>300</v>
      </c>
      <c r="K383" s="122"/>
    </row>
    <row r="384" spans="1:11" hidden="1" x14ac:dyDescent="0.2">
      <c r="A384" s="125">
        <v>379</v>
      </c>
      <c r="B384" s="66" t="str">
        <f t="shared" si="49"/>
        <v>UP_93_</v>
      </c>
      <c r="C384" s="1" t="s">
        <v>681</v>
      </c>
      <c r="D384" s="1">
        <v>93</v>
      </c>
      <c r="E384" s="1"/>
      <c r="F384" s="1" t="s">
        <v>893</v>
      </c>
      <c r="G384" s="16" t="str">
        <f t="shared" ref="G384:G414" si="53">IF(E384=0,CONCATENATE(F384," No. ",D384),CONCATENATE(F384," No. ",D384,", ",E384))</f>
        <v>Rancho Upácuaro No. 93</v>
      </c>
      <c r="H384" s="41" t="s">
        <v>293</v>
      </c>
      <c r="I384" s="44" t="s">
        <v>294</v>
      </c>
      <c r="J384" s="127">
        <v>300</v>
      </c>
      <c r="K384" s="122"/>
    </row>
    <row r="385" spans="1:11" hidden="1" x14ac:dyDescent="0.2">
      <c r="A385" s="125">
        <v>380</v>
      </c>
      <c r="B385" s="66" t="str">
        <f t="shared" si="49"/>
        <v>UP_94_</v>
      </c>
      <c r="C385" s="1" t="s">
        <v>681</v>
      </c>
      <c r="D385" s="1">
        <v>94</v>
      </c>
      <c r="E385" s="1"/>
      <c r="F385" s="1" t="s">
        <v>893</v>
      </c>
      <c r="G385" s="16" t="str">
        <f t="shared" si="53"/>
        <v>Rancho Upácuaro No. 94</v>
      </c>
      <c r="H385" s="41" t="s">
        <v>295</v>
      </c>
      <c r="I385" s="44" t="s">
        <v>296</v>
      </c>
      <c r="J385" s="127">
        <v>300</v>
      </c>
      <c r="K385" s="122"/>
    </row>
    <row r="386" spans="1:11" hidden="1" x14ac:dyDescent="0.2">
      <c r="A386" s="125">
        <v>381</v>
      </c>
      <c r="B386" s="66" t="str">
        <f t="shared" si="49"/>
        <v>UP_95_</v>
      </c>
      <c r="C386" s="1" t="s">
        <v>681</v>
      </c>
      <c r="D386" s="1">
        <v>95</v>
      </c>
      <c r="E386" s="1"/>
      <c r="F386" s="1" t="s">
        <v>893</v>
      </c>
      <c r="G386" s="16" t="str">
        <f t="shared" si="53"/>
        <v>Rancho Upácuaro No. 95</v>
      </c>
      <c r="H386" s="41" t="s">
        <v>297</v>
      </c>
      <c r="I386" s="44" t="s">
        <v>267</v>
      </c>
      <c r="J386" s="127">
        <v>300</v>
      </c>
      <c r="K386" s="122"/>
    </row>
    <row r="387" spans="1:11" hidden="1" x14ac:dyDescent="0.2">
      <c r="A387" s="125">
        <v>382</v>
      </c>
      <c r="B387" s="66" t="str">
        <f t="shared" si="49"/>
        <v>UP_96_</v>
      </c>
      <c r="C387" s="1" t="s">
        <v>681</v>
      </c>
      <c r="D387" s="1">
        <v>96</v>
      </c>
      <c r="E387" s="1"/>
      <c r="F387" s="1" t="s">
        <v>893</v>
      </c>
      <c r="G387" s="16" t="str">
        <f t="shared" si="53"/>
        <v>Rancho Upácuaro No. 96</v>
      </c>
      <c r="H387" s="41" t="s">
        <v>298</v>
      </c>
      <c r="I387" s="44" t="s">
        <v>299</v>
      </c>
      <c r="J387" s="127">
        <v>300</v>
      </c>
      <c r="K387" s="122"/>
    </row>
    <row r="388" spans="1:11" hidden="1" x14ac:dyDescent="0.2">
      <c r="A388" s="125">
        <v>383</v>
      </c>
      <c r="B388" s="66" t="str">
        <f t="shared" si="49"/>
        <v>UP_99_</v>
      </c>
      <c r="C388" s="1" t="s">
        <v>681</v>
      </c>
      <c r="D388" s="1">
        <v>99</v>
      </c>
      <c r="E388" s="1"/>
      <c r="F388" s="1" t="s">
        <v>893</v>
      </c>
      <c r="G388" s="16" t="str">
        <f t="shared" si="53"/>
        <v>Rancho Upácuaro No. 99</v>
      </c>
      <c r="H388" s="41" t="s">
        <v>300</v>
      </c>
      <c r="I388" s="44" t="s">
        <v>61</v>
      </c>
      <c r="J388" s="127">
        <v>300</v>
      </c>
      <c r="K388" s="122"/>
    </row>
    <row r="389" spans="1:11" hidden="1" x14ac:dyDescent="0.2">
      <c r="A389" s="125">
        <v>384</v>
      </c>
      <c r="B389" s="66" t="str">
        <f t="shared" si="49"/>
        <v>UP_100_</v>
      </c>
      <c r="C389" s="1" t="s">
        <v>681</v>
      </c>
      <c r="D389" s="1">
        <v>100</v>
      </c>
      <c r="E389" s="1"/>
      <c r="F389" s="1" t="s">
        <v>893</v>
      </c>
      <c r="G389" s="16" t="str">
        <f t="shared" si="53"/>
        <v>Rancho Upácuaro No. 100</v>
      </c>
      <c r="H389" s="41" t="s">
        <v>301</v>
      </c>
      <c r="I389" s="44" t="s">
        <v>715</v>
      </c>
      <c r="J389" s="127">
        <v>300</v>
      </c>
      <c r="K389" s="122"/>
    </row>
    <row r="390" spans="1:11" hidden="1" x14ac:dyDescent="0.2">
      <c r="A390" s="125">
        <v>385</v>
      </c>
      <c r="B390" s="66" t="str">
        <f t="shared" si="49"/>
        <v>UP_101_</v>
      </c>
      <c r="C390" s="1" t="s">
        <v>681</v>
      </c>
      <c r="D390" s="1">
        <v>101</v>
      </c>
      <c r="E390" s="1"/>
      <c r="F390" s="1" t="s">
        <v>893</v>
      </c>
      <c r="G390" s="16" t="str">
        <f t="shared" si="53"/>
        <v>Rancho Upácuaro No. 101</v>
      </c>
      <c r="H390" s="41" t="s">
        <v>302</v>
      </c>
      <c r="I390" s="44" t="s">
        <v>1270</v>
      </c>
      <c r="J390" s="127">
        <v>300</v>
      </c>
      <c r="K390" s="122"/>
    </row>
    <row r="391" spans="1:11" hidden="1" x14ac:dyDescent="0.2">
      <c r="A391" s="125">
        <v>386</v>
      </c>
      <c r="B391" s="110" t="str">
        <f t="shared" ref="B391" si="54">CONCATENATE(C391,"_",D391,"_",E391)</f>
        <v>UP_102_</v>
      </c>
      <c r="C391" s="1" t="s">
        <v>681</v>
      </c>
      <c r="D391" s="1">
        <v>102</v>
      </c>
      <c r="E391" s="1"/>
      <c r="F391" s="1" t="s">
        <v>893</v>
      </c>
      <c r="G391" s="16" t="str">
        <f t="shared" ref="G391" si="55">IF(E391=0,CONCATENATE(F391," No. ",D391),CONCATENATE(F391," No. ",D391,", ",E391))</f>
        <v>Rancho Upácuaro No. 102</v>
      </c>
      <c r="H391" s="41"/>
      <c r="I391" s="44"/>
      <c r="J391" s="127">
        <v>300</v>
      </c>
      <c r="K391" s="122" t="s">
        <v>1316</v>
      </c>
    </row>
    <row r="392" spans="1:11" hidden="1" x14ac:dyDescent="0.2">
      <c r="A392" s="125">
        <v>387</v>
      </c>
      <c r="B392" s="66" t="str">
        <f t="shared" si="49"/>
        <v>UP_103_</v>
      </c>
      <c r="C392" s="1" t="s">
        <v>681</v>
      </c>
      <c r="D392" s="1">
        <v>103</v>
      </c>
      <c r="E392" s="1"/>
      <c r="F392" s="1" t="s">
        <v>893</v>
      </c>
      <c r="G392" s="16" t="str">
        <f t="shared" si="53"/>
        <v>Rancho Upácuaro No. 103</v>
      </c>
      <c r="H392" s="41" t="s">
        <v>303</v>
      </c>
      <c r="I392" s="44" t="s">
        <v>110</v>
      </c>
      <c r="J392" s="127">
        <v>300</v>
      </c>
      <c r="K392" s="122"/>
    </row>
    <row r="393" spans="1:11" hidden="1" x14ac:dyDescent="0.2">
      <c r="A393" s="125">
        <v>388</v>
      </c>
      <c r="B393" s="66" t="str">
        <f t="shared" si="49"/>
        <v>UP_104_</v>
      </c>
      <c r="C393" s="1" t="s">
        <v>681</v>
      </c>
      <c r="D393" s="1">
        <v>104</v>
      </c>
      <c r="E393" s="1"/>
      <c r="F393" s="1" t="s">
        <v>893</v>
      </c>
      <c r="G393" s="16" t="str">
        <f t="shared" si="53"/>
        <v>Rancho Upácuaro No. 104</v>
      </c>
      <c r="H393" s="41" t="s">
        <v>304</v>
      </c>
      <c r="I393" s="44" t="s">
        <v>305</v>
      </c>
      <c r="J393" s="127">
        <v>300</v>
      </c>
      <c r="K393" s="122"/>
    </row>
    <row r="394" spans="1:11" hidden="1" x14ac:dyDescent="0.2">
      <c r="A394" s="125">
        <v>389</v>
      </c>
      <c r="B394" s="66" t="str">
        <f t="shared" si="49"/>
        <v>UP_106_</v>
      </c>
      <c r="C394" s="1" t="s">
        <v>681</v>
      </c>
      <c r="D394" s="1">
        <v>106</v>
      </c>
      <c r="E394" s="1"/>
      <c r="F394" s="1" t="s">
        <v>893</v>
      </c>
      <c r="G394" s="16" t="str">
        <f t="shared" si="53"/>
        <v>Rancho Upácuaro No. 106</v>
      </c>
      <c r="H394" s="41" t="s">
        <v>306</v>
      </c>
      <c r="I394" s="44" t="s">
        <v>1266</v>
      </c>
      <c r="J394" s="127">
        <v>300</v>
      </c>
      <c r="K394" s="122"/>
    </row>
    <row r="395" spans="1:11" hidden="1" x14ac:dyDescent="0.2">
      <c r="A395" s="125">
        <v>390</v>
      </c>
      <c r="B395" s="66" t="str">
        <f t="shared" si="49"/>
        <v>UP_108_</v>
      </c>
      <c r="C395" s="1" t="s">
        <v>681</v>
      </c>
      <c r="D395" s="1">
        <v>108</v>
      </c>
      <c r="E395" s="1"/>
      <c r="F395" s="1" t="s">
        <v>893</v>
      </c>
      <c r="G395" s="16" t="str">
        <f t="shared" si="53"/>
        <v>Rancho Upácuaro No. 108</v>
      </c>
      <c r="H395" s="41" t="s">
        <v>307</v>
      </c>
      <c r="I395" s="44" t="s">
        <v>308</v>
      </c>
      <c r="J395" s="127">
        <v>300</v>
      </c>
      <c r="K395" s="122"/>
    </row>
    <row r="396" spans="1:11" hidden="1" x14ac:dyDescent="0.2">
      <c r="A396" s="125">
        <v>391</v>
      </c>
      <c r="B396" s="66" t="str">
        <f t="shared" si="49"/>
        <v>UP_110_</v>
      </c>
      <c r="C396" s="1" t="s">
        <v>681</v>
      </c>
      <c r="D396" s="1">
        <v>110</v>
      </c>
      <c r="E396" s="1"/>
      <c r="F396" s="1" t="s">
        <v>893</v>
      </c>
      <c r="G396" s="16" t="str">
        <f t="shared" si="53"/>
        <v>Rancho Upácuaro No. 110</v>
      </c>
      <c r="H396" s="41" t="s">
        <v>309</v>
      </c>
      <c r="I396" s="44" t="s">
        <v>310</v>
      </c>
      <c r="J396" s="127">
        <v>300</v>
      </c>
      <c r="K396" s="122"/>
    </row>
    <row r="397" spans="1:11" hidden="1" x14ac:dyDescent="0.2">
      <c r="A397" s="125">
        <v>392</v>
      </c>
      <c r="B397" s="66" t="str">
        <f t="shared" si="49"/>
        <v>UP_114_</v>
      </c>
      <c r="C397" s="1" t="s">
        <v>681</v>
      </c>
      <c r="D397" s="1">
        <v>114</v>
      </c>
      <c r="E397" s="1"/>
      <c r="F397" s="1" t="s">
        <v>893</v>
      </c>
      <c r="G397" s="16" t="str">
        <f t="shared" si="53"/>
        <v>Rancho Upácuaro No. 114</v>
      </c>
      <c r="H397" s="41" t="s">
        <v>311</v>
      </c>
      <c r="I397" s="44" t="s">
        <v>1274</v>
      </c>
      <c r="J397" s="127">
        <v>300</v>
      </c>
      <c r="K397" s="122"/>
    </row>
    <row r="398" spans="1:11" hidden="1" x14ac:dyDescent="0.2">
      <c r="A398" s="125">
        <v>393</v>
      </c>
      <c r="B398" s="66" t="str">
        <f t="shared" si="49"/>
        <v>UP_116_</v>
      </c>
      <c r="C398" s="1" t="s">
        <v>681</v>
      </c>
      <c r="D398" s="1">
        <v>116</v>
      </c>
      <c r="E398" s="1"/>
      <c r="F398" s="1" t="s">
        <v>893</v>
      </c>
      <c r="G398" s="16" t="str">
        <f t="shared" si="53"/>
        <v>Rancho Upácuaro No. 116</v>
      </c>
      <c r="H398" s="41" t="s">
        <v>312</v>
      </c>
      <c r="I398" s="44" t="s">
        <v>313</v>
      </c>
      <c r="J398" s="127">
        <v>300</v>
      </c>
      <c r="K398" s="122"/>
    </row>
    <row r="399" spans="1:11" hidden="1" x14ac:dyDescent="0.2">
      <c r="A399" s="125">
        <v>394</v>
      </c>
      <c r="B399" s="66" t="str">
        <f t="shared" si="49"/>
        <v>UP_118_</v>
      </c>
      <c r="C399" s="1" t="s">
        <v>681</v>
      </c>
      <c r="D399" s="1">
        <v>118</v>
      </c>
      <c r="E399" s="1"/>
      <c r="F399" s="1" t="s">
        <v>893</v>
      </c>
      <c r="G399" s="16" t="str">
        <f t="shared" si="53"/>
        <v>Rancho Upácuaro No. 118</v>
      </c>
      <c r="H399" s="41" t="s">
        <v>314</v>
      </c>
      <c r="I399" s="44" t="s">
        <v>315</v>
      </c>
      <c r="J399" s="127">
        <v>300</v>
      </c>
      <c r="K399" s="122"/>
    </row>
    <row r="400" spans="1:11" hidden="1" x14ac:dyDescent="0.2">
      <c r="A400" s="125">
        <v>395</v>
      </c>
      <c r="B400" s="66" t="str">
        <f t="shared" si="49"/>
        <v>UP_120_</v>
      </c>
      <c r="C400" s="1" t="s">
        <v>681</v>
      </c>
      <c r="D400" s="1">
        <v>120</v>
      </c>
      <c r="E400" s="1"/>
      <c r="F400" s="1" t="s">
        <v>893</v>
      </c>
      <c r="G400" s="16" t="str">
        <f t="shared" si="53"/>
        <v>Rancho Upácuaro No. 120</v>
      </c>
      <c r="H400" s="41" t="s">
        <v>316</v>
      </c>
      <c r="I400" s="44" t="s">
        <v>317</v>
      </c>
      <c r="J400" s="127">
        <v>300</v>
      </c>
      <c r="K400" s="122"/>
    </row>
    <row r="401" spans="1:11" hidden="1" x14ac:dyDescent="0.2">
      <c r="A401" s="125">
        <v>396</v>
      </c>
      <c r="B401" s="110" t="str">
        <f t="shared" ref="B401" si="56">CONCATENATE(C401,"_",D401,"_",E401)</f>
        <v>UP_122_</v>
      </c>
      <c r="C401" s="1" t="s">
        <v>681</v>
      </c>
      <c r="D401" s="1">
        <v>122</v>
      </c>
      <c r="E401" s="1"/>
      <c r="F401" s="1" t="s">
        <v>893</v>
      </c>
      <c r="G401" s="16" t="str">
        <f t="shared" ref="G401" si="57">IF(E401=0,CONCATENATE(F401," No. ",D401),CONCATENATE(F401," No. ",D401,", ",E401))</f>
        <v>Rancho Upácuaro No. 122</v>
      </c>
      <c r="H401" s="41"/>
      <c r="I401" s="44"/>
      <c r="J401" s="127">
        <v>300</v>
      </c>
      <c r="K401" s="122" t="s">
        <v>1316</v>
      </c>
    </row>
    <row r="402" spans="1:11" hidden="1" x14ac:dyDescent="0.2">
      <c r="A402" s="125">
        <v>397</v>
      </c>
      <c r="B402" s="66" t="str">
        <f t="shared" si="49"/>
        <v>UP_124_</v>
      </c>
      <c r="C402" s="1" t="s">
        <v>681</v>
      </c>
      <c r="D402" s="1">
        <v>124</v>
      </c>
      <c r="E402" s="1"/>
      <c r="F402" s="1" t="s">
        <v>893</v>
      </c>
      <c r="G402" s="16" t="str">
        <f t="shared" si="53"/>
        <v>Rancho Upácuaro No. 124</v>
      </c>
      <c r="H402" s="41" t="s">
        <v>318</v>
      </c>
      <c r="I402" s="44" t="s">
        <v>716</v>
      </c>
      <c r="J402" s="127">
        <v>300</v>
      </c>
      <c r="K402" s="122"/>
    </row>
    <row r="403" spans="1:11" hidden="1" x14ac:dyDescent="0.2">
      <c r="A403" s="125">
        <v>398</v>
      </c>
      <c r="B403" s="66" t="str">
        <f t="shared" si="49"/>
        <v>UP_128_</v>
      </c>
      <c r="C403" s="1" t="s">
        <v>681</v>
      </c>
      <c r="D403" s="1">
        <v>128</v>
      </c>
      <c r="E403" s="1"/>
      <c r="F403" s="1" t="s">
        <v>893</v>
      </c>
      <c r="G403" s="16" t="str">
        <f t="shared" si="53"/>
        <v>Rancho Upácuaro No. 128</v>
      </c>
      <c r="H403" s="41" t="s">
        <v>319</v>
      </c>
      <c r="I403" s="44" t="s">
        <v>320</v>
      </c>
      <c r="J403" s="127">
        <v>300</v>
      </c>
      <c r="K403" s="122"/>
    </row>
    <row r="404" spans="1:11" hidden="1" x14ac:dyDescent="0.2">
      <c r="A404" s="125">
        <v>399</v>
      </c>
      <c r="B404" s="66" t="str">
        <f t="shared" si="49"/>
        <v>UP_130_</v>
      </c>
      <c r="C404" s="1" t="s">
        <v>681</v>
      </c>
      <c r="D404" s="1">
        <v>130</v>
      </c>
      <c r="E404" s="1"/>
      <c r="F404" s="1" t="s">
        <v>893</v>
      </c>
      <c r="G404" s="16" t="str">
        <f t="shared" si="53"/>
        <v>Rancho Upácuaro No. 130</v>
      </c>
      <c r="H404" s="41" t="s">
        <v>321</v>
      </c>
      <c r="I404" s="44" t="s">
        <v>322</v>
      </c>
      <c r="J404" s="127">
        <v>150</v>
      </c>
      <c r="K404" s="122"/>
    </row>
    <row r="405" spans="1:11" hidden="1" x14ac:dyDescent="0.2">
      <c r="A405" s="125">
        <v>400</v>
      </c>
      <c r="B405" s="66" t="str">
        <f t="shared" si="49"/>
        <v>UP_132_</v>
      </c>
      <c r="C405" s="1" t="s">
        <v>681</v>
      </c>
      <c r="D405" s="1">
        <v>132</v>
      </c>
      <c r="E405" s="1"/>
      <c r="F405" s="1" t="s">
        <v>893</v>
      </c>
      <c r="G405" s="16" t="str">
        <f t="shared" si="53"/>
        <v>Rancho Upácuaro No. 132</v>
      </c>
      <c r="H405" s="41" t="s">
        <v>323</v>
      </c>
      <c r="I405" s="44" t="s">
        <v>1223</v>
      </c>
      <c r="J405" s="127">
        <v>300</v>
      </c>
      <c r="K405" s="122"/>
    </row>
    <row r="406" spans="1:11" hidden="1" x14ac:dyDescent="0.2">
      <c r="A406" s="125">
        <v>401</v>
      </c>
      <c r="B406" s="66" t="str">
        <f t="shared" si="49"/>
        <v>UP_134_</v>
      </c>
      <c r="C406" s="1" t="s">
        <v>681</v>
      </c>
      <c r="D406" s="1">
        <v>134</v>
      </c>
      <c r="E406" s="1"/>
      <c r="F406" s="1" t="s">
        <v>893</v>
      </c>
      <c r="G406" s="16" t="str">
        <f t="shared" si="53"/>
        <v>Rancho Upácuaro No. 134</v>
      </c>
      <c r="H406" s="41" t="s">
        <v>324</v>
      </c>
      <c r="I406" s="44" t="s">
        <v>325</v>
      </c>
      <c r="J406" s="127">
        <v>300</v>
      </c>
      <c r="K406" s="122"/>
    </row>
    <row r="407" spans="1:11" hidden="1" x14ac:dyDescent="0.2">
      <c r="A407" s="125">
        <v>402</v>
      </c>
      <c r="B407" s="66" t="str">
        <f t="shared" si="49"/>
        <v>UP_136_</v>
      </c>
      <c r="C407" s="1" t="s">
        <v>681</v>
      </c>
      <c r="D407" s="1">
        <v>136</v>
      </c>
      <c r="E407" s="1"/>
      <c r="F407" s="1" t="s">
        <v>893</v>
      </c>
      <c r="G407" s="16" t="str">
        <f t="shared" si="53"/>
        <v>Rancho Upácuaro No. 136</v>
      </c>
      <c r="H407" s="41" t="s">
        <v>326</v>
      </c>
      <c r="I407" s="44" t="s">
        <v>327</v>
      </c>
      <c r="J407" s="127">
        <v>300</v>
      </c>
      <c r="K407" s="122"/>
    </row>
    <row r="408" spans="1:11" hidden="1" x14ac:dyDescent="0.2">
      <c r="A408" s="125">
        <v>403</v>
      </c>
      <c r="B408" s="66" t="str">
        <f t="shared" si="49"/>
        <v>UP_138_</v>
      </c>
      <c r="C408" s="1" t="s">
        <v>681</v>
      </c>
      <c r="D408" s="1">
        <v>138</v>
      </c>
      <c r="E408" s="1"/>
      <c r="F408" s="1" t="s">
        <v>893</v>
      </c>
      <c r="G408" s="16" t="str">
        <f t="shared" si="53"/>
        <v>Rancho Upácuaro No. 138</v>
      </c>
      <c r="H408" s="41" t="s">
        <v>328</v>
      </c>
      <c r="I408" s="44" t="s">
        <v>329</v>
      </c>
      <c r="J408" s="127">
        <v>300</v>
      </c>
      <c r="K408" s="122"/>
    </row>
    <row r="409" spans="1:11" hidden="1" x14ac:dyDescent="0.2">
      <c r="A409" s="125">
        <v>404</v>
      </c>
      <c r="B409" s="66" t="str">
        <f t="shared" si="49"/>
        <v>UP_140_</v>
      </c>
      <c r="C409" s="1" t="s">
        <v>681</v>
      </c>
      <c r="D409" s="1">
        <v>140</v>
      </c>
      <c r="E409" s="1"/>
      <c r="F409" s="1" t="s">
        <v>893</v>
      </c>
      <c r="G409" s="16" t="str">
        <f t="shared" si="53"/>
        <v>Rancho Upácuaro No. 140</v>
      </c>
      <c r="H409" s="41" t="s">
        <v>330</v>
      </c>
      <c r="I409" s="44" t="s">
        <v>331</v>
      </c>
      <c r="J409" s="127">
        <v>300</v>
      </c>
      <c r="K409" s="122"/>
    </row>
    <row r="410" spans="1:11" hidden="1" x14ac:dyDescent="0.2">
      <c r="A410" s="125">
        <v>405</v>
      </c>
      <c r="B410" s="66" t="str">
        <f t="shared" si="49"/>
        <v>UP_142_</v>
      </c>
      <c r="C410" s="1" t="s">
        <v>681</v>
      </c>
      <c r="D410" s="1">
        <v>142</v>
      </c>
      <c r="E410" s="1"/>
      <c r="F410" s="1" t="s">
        <v>893</v>
      </c>
      <c r="G410" s="16" t="str">
        <f t="shared" si="53"/>
        <v>Rancho Upácuaro No. 142</v>
      </c>
      <c r="H410" s="41" t="s">
        <v>332</v>
      </c>
      <c r="I410" s="44" t="s">
        <v>333</v>
      </c>
      <c r="J410" s="127">
        <v>300</v>
      </c>
      <c r="K410" s="122"/>
    </row>
    <row r="411" spans="1:11" hidden="1" x14ac:dyDescent="0.2">
      <c r="A411" s="125">
        <v>406</v>
      </c>
      <c r="B411" s="110" t="str">
        <f t="shared" ref="B411" si="58">CONCATENATE(C411,"_",D411,"_",E411)</f>
        <v>UP_144_</v>
      </c>
      <c r="C411" s="1" t="s">
        <v>681</v>
      </c>
      <c r="D411" s="1">
        <v>144</v>
      </c>
      <c r="E411" s="1"/>
      <c r="F411" s="1" t="s">
        <v>893</v>
      </c>
      <c r="G411" s="16" t="str">
        <f t="shared" ref="G411" si="59">IF(E411=0,CONCATENATE(F411," No. ",D411),CONCATENATE(F411," No. ",D411,", ",E411))</f>
        <v>Rancho Upácuaro No. 144</v>
      </c>
      <c r="H411" s="41"/>
      <c r="I411" s="44"/>
      <c r="J411" s="127">
        <v>300</v>
      </c>
      <c r="K411" s="122" t="s">
        <v>1316</v>
      </c>
    </row>
    <row r="412" spans="1:11" hidden="1" x14ac:dyDescent="0.2">
      <c r="A412" s="125">
        <v>407</v>
      </c>
      <c r="B412" s="66" t="str">
        <f t="shared" si="49"/>
        <v>UP_146_</v>
      </c>
      <c r="C412" s="1" t="s">
        <v>681</v>
      </c>
      <c r="D412" s="1">
        <v>146</v>
      </c>
      <c r="E412" s="1"/>
      <c r="F412" s="1" t="s">
        <v>893</v>
      </c>
      <c r="G412" s="16" t="str">
        <f t="shared" si="53"/>
        <v>Rancho Upácuaro No. 146</v>
      </c>
      <c r="H412" s="41" t="s">
        <v>334</v>
      </c>
      <c r="I412" s="44" t="s">
        <v>335</v>
      </c>
      <c r="J412" s="127">
        <v>300</v>
      </c>
      <c r="K412" s="122"/>
    </row>
    <row r="413" spans="1:11" hidden="1" x14ac:dyDescent="0.2">
      <c r="A413" s="125">
        <v>408</v>
      </c>
      <c r="B413" s="110" t="str">
        <f t="shared" ref="B413" si="60">CONCATENATE(C413,"_",D413,"_",E413)</f>
        <v>UP_148_</v>
      </c>
      <c r="C413" s="1" t="s">
        <v>681</v>
      </c>
      <c r="D413" s="1">
        <v>148</v>
      </c>
      <c r="E413" s="1"/>
      <c r="F413" s="1" t="s">
        <v>893</v>
      </c>
      <c r="G413" s="16" t="str">
        <f t="shared" ref="G413" si="61">IF(E413=0,CONCATENATE(F413," No. ",D413),CONCATENATE(F413," No. ",D413,", ",E413))</f>
        <v>Rancho Upácuaro No. 148</v>
      </c>
      <c r="H413" s="41"/>
      <c r="I413" s="44"/>
      <c r="J413" s="127">
        <v>300</v>
      </c>
      <c r="K413" s="122" t="s">
        <v>1316</v>
      </c>
    </row>
    <row r="414" spans="1:11" hidden="1" x14ac:dyDescent="0.2">
      <c r="A414" s="125">
        <v>409</v>
      </c>
      <c r="B414" s="66" t="str">
        <f t="shared" si="49"/>
        <v>ZB_6_</v>
      </c>
      <c r="C414" s="1" t="s">
        <v>684</v>
      </c>
      <c r="D414" s="1">
        <v>6</v>
      </c>
      <c r="E414" s="1"/>
      <c r="F414" s="1" t="s">
        <v>894</v>
      </c>
      <c r="G414" s="16" t="str">
        <f t="shared" si="53"/>
        <v>Rancho Zinamba No. 6</v>
      </c>
      <c r="H414" s="41" t="s">
        <v>585</v>
      </c>
      <c r="I414" s="44" t="s">
        <v>586</v>
      </c>
      <c r="J414" s="127">
        <v>300</v>
      </c>
      <c r="K414" s="122"/>
    </row>
    <row r="415" spans="1:11" hidden="1" x14ac:dyDescent="0.2">
      <c r="A415" s="125">
        <v>410</v>
      </c>
      <c r="B415" s="66" t="str">
        <f t="shared" si="49"/>
        <v>ZB_8_</v>
      </c>
      <c r="C415" s="1" t="s">
        <v>684</v>
      </c>
      <c r="D415" s="1">
        <v>8</v>
      </c>
      <c r="E415" s="1"/>
      <c r="F415" s="1" t="s">
        <v>894</v>
      </c>
      <c r="G415" s="16" t="str">
        <f t="shared" ref="G415:G446" si="62">IF(E415=0,CONCATENATE(F415," No. ",D415),CONCATENATE(F415," No. ",D415,", ",E415))</f>
        <v>Rancho Zinamba No. 8</v>
      </c>
      <c r="H415" s="41" t="s">
        <v>587</v>
      </c>
      <c r="I415" s="44" t="s">
        <v>588</v>
      </c>
      <c r="J415" s="127">
        <v>300</v>
      </c>
      <c r="K415" s="122"/>
    </row>
    <row r="416" spans="1:11" hidden="1" x14ac:dyDescent="0.2">
      <c r="A416" s="125">
        <v>411</v>
      </c>
      <c r="B416" s="66" t="str">
        <f t="shared" si="49"/>
        <v>ZB_10_</v>
      </c>
      <c r="C416" s="1" t="s">
        <v>684</v>
      </c>
      <c r="D416" s="1">
        <v>10</v>
      </c>
      <c r="E416" s="1"/>
      <c r="F416" s="1" t="s">
        <v>894</v>
      </c>
      <c r="G416" s="16" t="str">
        <f t="shared" si="62"/>
        <v>Rancho Zinamba No. 10</v>
      </c>
      <c r="H416" s="41" t="s">
        <v>589</v>
      </c>
      <c r="I416" s="44" t="s">
        <v>590</v>
      </c>
      <c r="J416" s="127">
        <v>300</v>
      </c>
      <c r="K416" s="122"/>
    </row>
    <row r="417" spans="1:11" hidden="1" x14ac:dyDescent="0.2">
      <c r="A417" s="125">
        <v>412</v>
      </c>
      <c r="B417" s="66" t="str">
        <f t="shared" si="49"/>
        <v>ZB_12_</v>
      </c>
      <c r="C417" s="1" t="s">
        <v>684</v>
      </c>
      <c r="D417" s="1">
        <v>12</v>
      </c>
      <c r="E417" s="1"/>
      <c r="F417" s="1" t="s">
        <v>894</v>
      </c>
      <c r="G417" s="16" t="str">
        <f t="shared" si="62"/>
        <v>Rancho Zinamba No. 12</v>
      </c>
      <c r="H417" s="41" t="s">
        <v>591</v>
      </c>
      <c r="I417" s="44" t="s">
        <v>191</v>
      </c>
      <c r="J417" s="127">
        <v>400</v>
      </c>
      <c r="K417" s="122"/>
    </row>
    <row r="418" spans="1:11" hidden="1" x14ac:dyDescent="0.2">
      <c r="A418" s="125">
        <v>413</v>
      </c>
      <c r="B418" s="66" t="str">
        <f t="shared" si="49"/>
        <v>ZB_14_</v>
      </c>
      <c r="C418" s="1" t="s">
        <v>684</v>
      </c>
      <c r="D418" s="1">
        <v>14</v>
      </c>
      <c r="E418" s="1"/>
      <c r="F418" s="1" t="s">
        <v>894</v>
      </c>
      <c r="G418" s="16" t="str">
        <f t="shared" si="62"/>
        <v>Rancho Zinamba No. 14</v>
      </c>
      <c r="H418" s="41" t="s">
        <v>592</v>
      </c>
      <c r="I418" s="44" t="s">
        <v>1239</v>
      </c>
      <c r="J418" s="127">
        <v>300</v>
      </c>
      <c r="K418" s="122"/>
    </row>
    <row r="419" spans="1:11" hidden="1" x14ac:dyDescent="0.2">
      <c r="A419" s="125">
        <v>414</v>
      </c>
      <c r="B419" s="66" t="str">
        <f t="shared" si="49"/>
        <v>ZB_18_</v>
      </c>
      <c r="C419" s="1" t="s">
        <v>684</v>
      </c>
      <c r="D419" s="1">
        <v>18</v>
      </c>
      <c r="E419" s="1"/>
      <c r="F419" s="1" t="s">
        <v>894</v>
      </c>
      <c r="G419" s="16" t="str">
        <f t="shared" si="62"/>
        <v>Rancho Zinamba No. 18</v>
      </c>
      <c r="H419" s="41" t="s">
        <v>593</v>
      </c>
      <c r="I419" s="44" t="s">
        <v>734</v>
      </c>
      <c r="J419" s="127">
        <v>300</v>
      </c>
      <c r="K419" s="122"/>
    </row>
    <row r="420" spans="1:11" hidden="1" x14ac:dyDescent="0.2">
      <c r="A420" s="125">
        <v>415</v>
      </c>
      <c r="B420" s="66" t="str">
        <f t="shared" si="49"/>
        <v>ZB_20_</v>
      </c>
      <c r="C420" s="1" t="s">
        <v>684</v>
      </c>
      <c r="D420" s="1">
        <v>20</v>
      </c>
      <c r="E420" s="1"/>
      <c r="F420" s="1" t="s">
        <v>894</v>
      </c>
      <c r="G420" s="16" t="str">
        <f t="shared" si="62"/>
        <v>Rancho Zinamba No. 20</v>
      </c>
      <c r="H420" s="41" t="s">
        <v>594</v>
      </c>
      <c r="I420" s="44" t="s">
        <v>595</v>
      </c>
      <c r="J420" s="127">
        <v>300</v>
      </c>
      <c r="K420" s="122"/>
    </row>
    <row r="421" spans="1:11" hidden="1" x14ac:dyDescent="0.2">
      <c r="A421" s="125">
        <v>416</v>
      </c>
      <c r="B421" s="66" t="str">
        <f t="shared" si="49"/>
        <v>ZB_22_</v>
      </c>
      <c r="C421" s="1" t="s">
        <v>684</v>
      </c>
      <c r="D421" s="1">
        <v>22</v>
      </c>
      <c r="E421" s="1"/>
      <c r="F421" s="1" t="s">
        <v>894</v>
      </c>
      <c r="G421" s="16" t="str">
        <f t="shared" si="62"/>
        <v>Rancho Zinamba No. 22</v>
      </c>
      <c r="H421" s="41" t="s">
        <v>596</v>
      </c>
      <c r="I421" s="44" t="s">
        <v>597</v>
      </c>
      <c r="J421" s="127">
        <v>300</v>
      </c>
      <c r="K421" s="122"/>
    </row>
    <row r="422" spans="1:11" hidden="1" x14ac:dyDescent="0.2">
      <c r="A422" s="125">
        <v>417</v>
      </c>
      <c r="B422" s="66" t="str">
        <f t="shared" ref="B422:B446" si="63">CONCATENATE(C422,"_",D422,"_",E422)</f>
        <v>ZB_24_</v>
      </c>
      <c r="C422" s="1" t="s">
        <v>684</v>
      </c>
      <c r="D422" s="1">
        <v>24</v>
      </c>
      <c r="E422" s="1"/>
      <c r="F422" s="1" t="s">
        <v>894</v>
      </c>
      <c r="G422" s="16" t="str">
        <f t="shared" si="62"/>
        <v>Rancho Zinamba No. 24</v>
      </c>
      <c r="H422" s="41" t="s">
        <v>598</v>
      </c>
      <c r="I422" s="44" t="s">
        <v>1224</v>
      </c>
      <c r="J422" s="127">
        <v>300</v>
      </c>
      <c r="K422" s="122"/>
    </row>
    <row r="423" spans="1:11" hidden="1" x14ac:dyDescent="0.2">
      <c r="A423" s="125">
        <v>418</v>
      </c>
      <c r="B423" s="66" t="str">
        <f t="shared" si="63"/>
        <v>ZB_26_</v>
      </c>
      <c r="C423" s="1" t="s">
        <v>684</v>
      </c>
      <c r="D423" s="1">
        <v>26</v>
      </c>
      <c r="E423" s="1"/>
      <c r="F423" s="1" t="s">
        <v>894</v>
      </c>
      <c r="G423" s="16" t="str">
        <f t="shared" si="62"/>
        <v>Rancho Zinamba No. 26</v>
      </c>
      <c r="H423" s="41" t="s">
        <v>599</v>
      </c>
      <c r="I423" s="44" t="s">
        <v>600</v>
      </c>
      <c r="J423" s="127">
        <v>300</v>
      </c>
      <c r="K423" s="122"/>
    </row>
    <row r="424" spans="1:11" hidden="1" x14ac:dyDescent="0.2">
      <c r="A424" s="125">
        <v>419</v>
      </c>
      <c r="B424" s="66" t="str">
        <f t="shared" si="63"/>
        <v>ZB_30_</v>
      </c>
      <c r="C424" s="1" t="s">
        <v>684</v>
      </c>
      <c r="D424" s="1">
        <v>30</v>
      </c>
      <c r="E424" s="1"/>
      <c r="F424" s="1" t="s">
        <v>894</v>
      </c>
      <c r="G424" s="16" t="str">
        <f t="shared" si="62"/>
        <v>Rancho Zinamba No. 30</v>
      </c>
      <c r="H424" s="41" t="s">
        <v>601</v>
      </c>
      <c r="I424" s="44" t="s">
        <v>602</v>
      </c>
      <c r="J424" s="127">
        <v>300</v>
      </c>
      <c r="K424" s="122"/>
    </row>
    <row r="425" spans="1:11" hidden="1" x14ac:dyDescent="0.2">
      <c r="A425" s="125">
        <v>420</v>
      </c>
      <c r="B425" s="66" t="str">
        <f t="shared" si="63"/>
        <v>ZB_34_</v>
      </c>
      <c r="C425" s="1" t="s">
        <v>684</v>
      </c>
      <c r="D425" s="1">
        <v>34</v>
      </c>
      <c r="E425" s="1"/>
      <c r="F425" s="1" t="s">
        <v>894</v>
      </c>
      <c r="G425" s="16" t="str">
        <f t="shared" si="62"/>
        <v>Rancho Zinamba No. 34</v>
      </c>
      <c r="H425" s="41" t="s">
        <v>603</v>
      </c>
      <c r="I425" s="44" t="s">
        <v>1275</v>
      </c>
      <c r="J425" s="127">
        <v>300</v>
      </c>
      <c r="K425" s="122"/>
    </row>
    <row r="426" spans="1:11" hidden="1" x14ac:dyDescent="0.2">
      <c r="A426" s="125">
        <v>421</v>
      </c>
      <c r="B426" s="66" t="str">
        <f t="shared" si="63"/>
        <v>ZB_36_</v>
      </c>
      <c r="C426" s="1" t="s">
        <v>684</v>
      </c>
      <c r="D426" s="1">
        <v>36</v>
      </c>
      <c r="E426" s="1"/>
      <c r="F426" s="1" t="s">
        <v>894</v>
      </c>
      <c r="G426" s="16" t="str">
        <f t="shared" si="62"/>
        <v>Rancho Zinamba No. 36</v>
      </c>
      <c r="H426" s="41" t="s">
        <v>604</v>
      </c>
      <c r="I426" s="44" t="s">
        <v>605</v>
      </c>
      <c r="J426" s="127">
        <v>300</v>
      </c>
      <c r="K426" s="122"/>
    </row>
    <row r="427" spans="1:11" hidden="1" x14ac:dyDescent="0.2">
      <c r="A427" s="125">
        <v>422</v>
      </c>
      <c r="B427" s="66" t="str">
        <f t="shared" si="63"/>
        <v>ZB_38_</v>
      </c>
      <c r="C427" s="1" t="s">
        <v>684</v>
      </c>
      <c r="D427" s="1">
        <v>38</v>
      </c>
      <c r="E427" s="1"/>
      <c r="F427" s="1" t="s">
        <v>894</v>
      </c>
      <c r="G427" s="16" t="str">
        <f t="shared" si="62"/>
        <v>Rancho Zinamba No. 38</v>
      </c>
      <c r="H427" s="41" t="s">
        <v>606</v>
      </c>
      <c r="I427" s="44" t="s">
        <v>607</v>
      </c>
      <c r="J427" s="127">
        <v>300</v>
      </c>
      <c r="K427" s="122"/>
    </row>
    <row r="428" spans="1:11" hidden="1" x14ac:dyDescent="0.2">
      <c r="A428" s="125">
        <v>423</v>
      </c>
      <c r="B428" s="66" t="str">
        <f t="shared" si="63"/>
        <v>ZB_40_</v>
      </c>
      <c r="C428" s="1" t="s">
        <v>684</v>
      </c>
      <c r="D428" s="1">
        <v>40</v>
      </c>
      <c r="E428" s="1"/>
      <c r="F428" s="1" t="s">
        <v>894</v>
      </c>
      <c r="G428" s="16" t="str">
        <f t="shared" si="62"/>
        <v>Rancho Zinamba No. 40</v>
      </c>
      <c r="H428" s="41" t="s">
        <v>608</v>
      </c>
      <c r="I428" s="44" t="s">
        <v>609</v>
      </c>
      <c r="J428" s="127">
        <v>300</v>
      </c>
      <c r="K428" s="122"/>
    </row>
    <row r="429" spans="1:11" hidden="1" x14ac:dyDescent="0.2">
      <c r="A429" s="125">
        <v>424</v>
      </c>
      <c r="B429" s="66" t="str">
        <f t="shared" si="63"/>
        <v>ZB_42_</v>
      </c>
      <c r="C429" s="1" t="s">
        <v>684</v>
      </c>
      <c r="D429" s="1">
        <v>42</v>
      </c>
      <c r="E429" s="1"/>
      <c r="F429" s="1" t="s">
        <v>894</v>
      </c>
      <c r="G429" s="16" t="str">
        <f t="shared" si="62"/>
        <v>Rancho Zinamba No. 42</v>
      </c>
      <c r="H429" s="41" t="s">
        <v>610</v>
      </c>
      <c r="I429" s="44" t="s">
        <v>1225</v>
      </c>
      <c r="J429" s="127">
        <v>250</v>
      </c>
      <c r="K429" s="122"/>
    </row>
    <row r="430" spans="1:11" hidden="1" x14ac:dyDescent="0.2">
      <c r="A430" s="125">
        <v>425</v>
      </c>
      <c r="B430" s="66" t="str">
        <f t="shared" si="63"/>
        <v>ZB_44_</v>
      </c>
      <c r="C430" s="1" t="s">
        <v>684</v>
      </c>
      <c r="D430" s="1">
        <v>44</v>
      </c>
      <c r="E430" s="1"/>
      <c r="F430" s="1" t="s">
        <v>894</v>
      </c>
      <c r="G430" s="16" t="str">
        <f t="shared" si="62"/>
        <v>Rancho Zinamba No. 44</v>
      </c>
      <c r="H430" s="41" t="s">
        <v>611</v>
      </c>
      <c r="I430" s="44" t="s">
        <v>612</v>
      </c>
      <c r="J430" s="127">
        <v>300</v>
      </c>
      <c r="K430" s="122"/>
    </row>
    <row r="431" spans="1:11" hidden="1" x14ac:dyDescent="0.2">
      <c r="A431" s="125">
        <v>426</v>
      </c>
      <c r="B431" s="66" t="str">
        <f t="shared" si="63"/>
        <v>ZB_46_</v>
      </c>
      <c r="C431" s="1" t="s">
        <v>684</v>
      </c>
      <c r="D431" s="1">
        <v>46</v>
      </c>
      <c r="E431" s="1"/>
      <c r="F431" s="1" t="s">
        <v>894</v>
      </c>
      <c r="G431" s="16" t="str">
        <f t="shared" si="62"/>
        <v>Rancho Zinamba No. 46</v>
      </c>
      <c r="H431" s="41" t="s">
        <v>613</v>
      </c>
      <c r="I431" s="44" t="s">
        <v>257</v>
      </c>
      <c r="J431" s="127">
        <v>300</v>
      </c>
      <c r="K431" s="122"/>
    </row>
    <row r="432" spans="1:11" hidden="1" x14ac:dyDescent="0.2">
      <c r="A432" s="125">
        <v>427</v>
      </c>
      <c r="B432" s="66" t="str">
        <f t="shared" si="63"/>
        <v>ZB_50_</v>
      </c>
      <c r="C432" s="1" t="s">
        <v>684</v>
      </c>
      <c r="D432" s="1">
        <v>50</v>
      </c>
      <c r="E432" s="1"/>
      <c r="F432" s="1" t="s">
        <v>894</v>
      </c>
      <c r="G432" s="16" t="str">
        <f t="shared" si="62"/>
        <v>Rancho Zinamba No. 50</v>
      </c>
      <c r="H432" s="41" t="s">
        <v>614</v>
      </c>
      <c r="I432" s="44" t="s">
        <v>615</v>
      </c>
      <c r="J432" s="127">
        <v>300</v>
      </c>
      <c r="K432" s="122"/>
    </row>
    <row r="433" spans="1:11" hidden="1" x14ac:dyDescent="0.2">
      <c r="A433" s="125">
        <v>428</v>
      </c>
      <c r="B433" s="110" t="str">
        <f t="shared" si="63"/>
        <v>ZB_54_</v>
      </c>
      <c r="C433" s="1" t="s">
        <v>684</v>
      </c>
      <c r="D433" s="1">
        <v>54</v>
      </c>
      <c r="E433" s="1"/>
      <c r="F433" s="1" t="s">
        <v>894</v>
      </c>
      <c r="G433" s="16" t="str">
        <f t="shared" si="62"/>
        <v>Rancho Zinamba No. 54</v>
      </c>
      <c r="H433" s="41"/>
      <c r="I433" s="44"/>
      <c r="J433" s="127">
        <v>300</v>
      </c>
      <c r="K433" s="122" t="s">
        <v>1316</v>
      </c>
    </row>
    <row r="434" spans="1:11" hidden="1" x14ac:dyDescent="0.2">
      <c r="A434" s="125">
        <v>429</v>
      </c>
      <c r="B434" s="66" t="str">
        <f t="shared" si="63"/>
        <v>ZB_56_</v>
      </c>
      <c r="C434" s="1" t="s">
        <v>684</v>
      </c>
      <c r="D434" s="1">
        <v>56</v>
      </c>
      <c r="E434" s="1"/>
      <c r="F434" s="1" t="s">
        <v>894</v>
      </c>
      <c r="G434" s="16" t="str">
        <f t="shared" si="62"/>
        <v>Rancho Zinamba No. 56</v>
      </c>
      <c r="H434" s="41" t="s">
        <v>616</v>
      </c>
      <c r="I434" s="44" t="s">
        <v>617</v>
      </c>
      <c r="J434" s="127">
        <v>250</v>
      </c>
      <c r="K434" s="122"/>
    </row>
    <row r="435" spans="1:11" hidden="1" x14ac:dyDescent="0.2">
      <c r="A435" s="125">
        <v>430</v>
      </c>
      <c r="B435" s="66" t="str">
        <f t="shared" si="63"/>
        <v>ZB_58_</v>
      </c>
      <c r="C435" s="1" t="s">
        <v>684</v>
      </c>
      <c r="D435" s="1">
        <v>58</v>
      </c>
      <c r="E435" s="1"/>
      <c r="F435" s="1" t="s">
        <v>894</v>
      </c>
      <c r="G435" s="16" t="str">
        <f t="shared" si="62"/>
        <v>Rancho Zinamba No. 58</v>
      </c>
      <c r="H435" s="41" t="s">
        <v>618</v>
      </c>
      <c r="I435" s="44" t="s">
        <v>619</v>
      </c>
      <c r="J435" s="127">
        <v>300</v>
      </c>
      <c r="K435" s="122"/>
    </row>
    <row r="436" spans="1:11" hidden="1" x14ac:dyDescent="0.2">
      <c r="A436" s="125">
        <v>431</v>
      </c>
      <c r="B436" s="66" t="str">
        <f t="shared" si="63"/>
        <v>ZB_60_</v>
      </c>
      <c r="C436" s="1" t="s">
        <v>684</v>
      </c>
      <c r="D436" s="1">
        <v>60</v>
      </c>
      <c r="E436" s="1"/>
      <c r="F436" s="1" t="s">
        <v>894</v>
      </c>
      <c r="G436" s="16" t="str">
        <f t="shared" si="62"/>
        <v>Rancho Zinamba No. 60</v>
      </c>
      <c r="H436" s="41" t="s">
        <v>620</v>
      </c>
      <c r="I436" s="44" t="s">
        <v>621</v>
      </c>
      <c r="J436" s="127">
        <v>300</v>
      </c>
      <c r="K436" s="122"/>
    </row>
    <row r="437" spans="1:11" hidden="1" x14ac:dyDescent="0.2">
      <c r="A437" s="125">
        <v>432</v>
      </c>
      <c r="B437" s="66" t="str">
        <f t="shared" si="63"/>
        <v>ZB_62_</v>
      </c>
      <c r="C437" s="1" t="s">
        <v>684</v>
      </c>
      <c r="D437" s="1">
        <v>62</v>
      </c>
      <c r="E437" s="1"/>
      <c r="F437" s="1" t="s">
        <v>894</v>
      </c>
      <c r="G437" s="16" t="str">
        <f t="shared" si="62"/>
        <v>Rancho Zinamba No. 62</v>
      </c>
      <c r="H437" s="41" t="s">
        <v>622</v>
      </c>
      <c r="I437" s="44" t="s">
        <v>1226</v>
      </c>
      <c r="J437" s="127">
        <v>250</v>
      </c>
      <c r="K437" s="122"/>
    </row>
    <row r="438" spans="1:11" hidden="1" x14ac:dyDescent="0.2">
      <c r="A438" s="125">
        <v>433</v>
      </c>
      <c r="B438" s="66" t="str">
        <f t="shared" si="63"/>
        <v>ZB_66_</v>
      </c>
      <c r="C438" s="1" t="s">
        <v>684</v>
      </c>
      <c r="D438" s="1">
        <v>66</v>
      </c>
      <c r="E438" s="1"/>
      <c r="F438" s="1" t="s">
        <v>894</v>
      </c>
      <c r="G438" s="16" t="str">
        <f t="shared" si="62"/>
        <v>Rancho Zinamba No. 66</v>
      </c>
      <c r="H438" s="41" t="s">
        <v>623</v>
      </c>
      <c r="I438" s="44" t="s">
        <v>624</v>
      </c>
      <c r="J438" s="127">
        <v>300</v>
      </c>
      <c r="K438" s="122"/>
    </row>
    <row r="439" spans="1:11" hidden="1" x14ac:dyDescent="0.2">
      <c r="A439" s="125">
        <v>434</v>
      </c>
      <c r="B439" s="66" t="str">
        <f t="shared" si="63"/>
        <v>ZB_68_</v>
      </c>
      <c r="C439" s="1" t="s">
        <v>684</v>
      </c>
      <c r="D439" s="1">
        <v>68</v>
      </c>
      <c r="E439" s="1"/>
      <c r="F439" s="1" t="s">
        <v>894</v>
      </c>
      <c r="G439" s="16" t="str">
        <f t="shared" si="62"/>
        <v>Rancho Zinamba No. 68</v>
      </c>
      <c r="H439" s="41" t="s">
        <v>625</v>
      </c>
      <c r="I439" s="44" t="s">
        <v>626</v>
      </c>
      <c r="J439" s="127">
        <v>300</v>
      </c>
      <c r="K439" s="122"/>
    </row>
    <row r="440" spans="1:11" hidden="1" x14ac:dyDescent="0.2">
      <c r="A440" s="125">
        <v>435</v>
      </c>
      <c r="B440" s="66" t="str">
        <f t="shared" si="63"/>
        <v>ZB_72_</v>
      </c>
      <c r="C440" s="1" t="s">
        <v>684</v>
      </c>
      <c r="D440" s="1">
        <v>72</v>
      </c>
      <c r="E440" s="1"/>
      <c r="F440" s="1" t="s">
        <v>894</v>
      </c>
      <c r="G440" s="16" t="str">
        <f t="shared" si="62"/>
        <v>Rancho Zinamba No. 72</v>
      </c>
      <c r="H440" s="41" t="s">
        <v>627</v>
      </c>
      <c r="I440" s="44" t="s">
        <v>628</v>
      </c>
      <c r="J440" s="127">
        <v>300</v>
      </c>
      <c r="K440" s="122"/>
    </row>
    <row r="441" spans="1:11" hidden="1" x14ac:dyDescent="0.2">
      <c r="A441" s="125">
        <v>436</v>
      </c>
      <c r="B441" s="66" t="str">
        <f t="shared" si="63"/>
        <v>ZB_74_</v>
      </c>
      <c r="C441" s="1" t="s">
        <v>684</v>
      </c>
      <c r="D441" s="1">
        <v>74</v>
      </c>
      <c r="E441" s="1"/>
      <c r="F441" s="1" t="s">
        <v>894</v>
      </c>
      <c r="G441" s="16" t="str">
        <f t="shared" si="62"/>
        <v>Rancho Zinamba No. 74</v>
      </c>
      <c r="H441" s="41" t="s">
        <v>629</v>
      </c>
      <c r="I441" s="44" t="s">
        <v>630</v>
      </c>
      <c r="J441" s="127">
        <v>300</v>
      </c>
      <c r="K441" s="122"/>
    </row>
    <row r="442" spans="1:11" hidden="1" x14ac:dyDescent="0.2">
      <c r="A442" s="125">
        <v>437</v>
      </c>
      <c r="B442" s="66" t="str">
        <f t="shared" si="63"/>
        <v>ZB_76_</v>
      </c>
      <c r="C442" s="1" t="s">
        <v>684</v>
      </c>
      <c r="D442" s="1">
        <v>76</v>
      </c>
      <c r="E442" s="1"/>
      <c r="F442" s="1" t="s">
        <v>894</v>
      </c>
      <c r="G442" s="16" t="str">
        <f t="shared" si="62"/>
        <v>Rancho Zinamba No. 76</v>
      </c>
      <c r="H442" s="41" t="s">
        <v>631</v>
      </c>
      <c r="I442" s="44" t="s">
        <v>632</v>
      </c>
      <c r="J442" s="127">
        <v>300</v>
      </c>
      <c r="K442" s="122"/>
    </row>
    <row r="443" spans="1:11" hidden="1" x14ac:dyDescent="0.2">
      <c r="A443" s="125">
        <v>438</v>
      </c>
      <c r="B443" s="66" t="str">
        <f t="shared" si="63"/>
        <v>ZB_80_</v>
      </c>
      <c r="C443" s="1" t="s">
        <v>684</v>
      </c>
      <c r="D443" s="1">
        <v>80</v>
      </c>
      <c r="E443" s="1"/>
      <c r="F443" s="1" t="s">
        <v>894</v>
      </c>
      <c r="G443" s="16" t="str">
        <f t="shared" si="62"/>
        <v>Rancho Zinamba No. 80</v>
      </c>
      <c r="H443" s="41" t="s">
        <v>633</v>
      </c>
      <c r="I443" s="44" t="s">
        <v>634</v>
      </c>
      <c r="J443" s="127">
        <v>250</v>
      </c>
      <c r="K443" s="122"/>
    </row>
    <row r="444" spans="1:11" hidden="1" x14ac:dyDescent="0.2">
      <c r="A444" s="125">
        <v>439</v>
      </c>
      <c r="B444" s="66" t="str">
        <f t="shared" si="63"/>
        <v>ZB_82_</v>
      </c>
      <c r="C444" s="1" t="s">
        <v>684</v>
      </c>
      <c r="D444" s="1">
        <v>82</v>
      </c>
      <c r="E444" s="1"/>
      <c r="F444" s="1" t="s">
        <v>894</v>
      </c>
      <c r="G444" s="16" t="str">
        <f t="shared" si="62"/>
        <v>Rancho Zinamba No. 82</v>
      </c>
      <c r="H444" s="41" t="s">
        <v>635</v>
      </c>
      <c r="I444" s="44" t="s">
        <v>1227</v>
      </c>
      <c r="J444" s="127">
        <v>150</v>
      </c>
      <c r="K444" s="122"/>
    </row>
    <row r="445" spans="1:11" hidden="1" x14ac:dyDescent="0.2">
      <c r="A445" s="125">
        <v>440</v>
      </c>
      <c r="B445" s="66" t="str">
        <f t="shared" si="63"/>
        <v>ZB_84_</v>
      </c>
      <c r="C445" s="1" t="s">
        <v>684</v>
      </c>
      <c r="D445" s="1">
        <v>84</v>
      </c>
      <c r="E445" s="1"/>
      <c r="F445" s="1" t="s">
        <v>894</v>
      </c>
      <c r="G445" s="16" t="str">
        <f t="shared" si="62"/>
        <v>Rancho Zinamba No. 84</v>
      </c>
      <c r="H445" s="41" t="s">
        <v>636</v>
      </c>
      <c r="I445" s="44" t="s">
        <v>637</v>
      </c>
      <c r="J445" s="127">
        <v>300</v>
      </c>
      <c r="K445" s="122"/>
    </row>
    <row r="446" spans="1:11" hidden="1" x14ac:dyDescent="0.2">
      <c r="A446" s="125">
        <v>441</v>
      </c>
      <c r="B446" s="69" t="str">
        <f t="shared" si="63"/>
        <v>ZB_88_</v>
      </c>
      <c r="C446" s="2" t="s">
        <v>684</v>
      </c>
      <c r="D446" s="2">
        <v>88</v>
      </c>
      <c r="E446" s="2"/>
      <c r="F446" s="2" t="s">
        <v>894</v>
      </c>
      <c r="G446" s="18" t="str">
        <f t="shared" si="62"/>
        <v>Rancho Zinamba No. 88</v>
      </c>
      <c r="H446" s="43" t="s">
        <v>638</v>
      </c>
      <c r="I446" s="49" t="s">
        <v>639</v>
      </c>
      <c r="J446" s="128">
        <v>250</v>
      </c>
      <c r="K446" s="123"/>
    </row>
  </sheetData>
  <autoFilter ref="B5:K446">
    <filterColumn colId="4">
      <filters>
        <filter val="Rancho Landero"/>
      </filters>
    </filterColumn>
  </autoFilter>
  <sortState ref="C2:U411">
    <sortCondition ref="C2:C411"/>
    <sortCondition ref="D2:D411"/>
    <sortCondition ref="E2:E411"/>
  </sortState>
  <printOptions horizontalCentered="1"/>
  <pageMargins left="0.70866141732283472" right="0.70866141732283472" top="0.74803149606299213" bottom="0.74803149606299213" header="0.31496062992125984" footer="0.31496062992125984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/>
  <dimension ref="A1:AM2339"/>
  <sheetViews>
    <sheetView showGridLines="0" showZeros="0" topLeftCell="B2297" zoomScale="90" zoomScaleNormal="90" workbookViewId="0">
      <selection activeCell="I2311" sqref="I2311"/>
    </sheetView>
  </sheetViews>
  <sheetFormatPr baseColWidth="10" defaultRowHeight="12.75" x14ac:dyDescent="0.2"/>
  <cols>
    <col min="1" max="1" width="22.140625" customWidth="1"/>
    <col min="2" max="2" width="11.140625" customWidth="1"/>
    <col min="3" max="3" width="10.7109375" customWidth="1"/>
    <col min="4" max="4" width="33.7109375" customWidth="1"/>
    <col min="5" max="5" width="24.5703125" bestFit="1" customWidth="1"/>
    <col min="6" max="6" width="12.7109375" customWidth="1"/>
    <col min="7" max="7" width="8.140625" bestFit="1" customWidth="1"/>
    <col min="8" max="8" width="12.7109375" customWidth="1"/>
    <col min="9" max="9" width="13.28515625" customWidth="1"/>
    <col min="10" max="10" width="8" customWidth="1"/>
    <col min="11" max="23" width="7.7109375" hidden="1" customWidth="1"/>
    <col min="24" max="36" width="7.7109375" customWidth="1"/>
    <col min="37" max="37" width="51.28515625" customWidth="1"/>
  </cols>
  <sheetData>
    <row r="1" spans="1:38" x14ac:dyDescent="0.2">
      <c r="H1" s="109">
        <f>SUBTOTAL(9,H5:H2054)</f>
        <v>796280.71</v>
      </c>
    </row>
    <row r="2" spans="1:38" ht="15" x14ac:dyDescent="0.2">
      <c r="B2" s="245">
        <v>1</v>
      </c>
      <c r="C2" s="246">
        <v>2</v>
      </c>
      <c r="D2" s="246">
        <v>3</v>
      </c>
      <c r="E2" s="246">
        <v>4</v>
      </c>
      <c r="F2" s="246">
        <v>5</v>
      </c>
      <c r="G2" s="246">
        <v>6</v>
      </c>
      <c r="H2" s="246">
        <v>7</v>
      </c>
      <c r="I2" s="246">
        <v>8</v>
      </c>
      <c r="J2" s="246">
        <v>9</v>
      </c>
      <c r="K2" s="246">
        <v>10</v>
      </c>
      <c r="L2" s="246">
        <v>11</v>
      </c>
      <c r="M2" s="246">
        <v>12</v>
      </c>
      <c r="N2" s="246">
        <v>13</v>
      </c>
      <c r="O2" s="246">
        <v>14</v>
      </c>
      <c r="P2" s="246">
        <v>15</v>
      </c>
      <c r="Q2" s="246">
        <v>16</v>
      </c>
      <c r="R2" s="246">
        <v>17</v>
      </c>
      <c r="S2" s="246">
        <v>18</v>
      </c>
      <c r="T2" s="246">
        <v>19</v>
      </c>
      <c r="U2" s="246">
        <v>20</v>
      </c>
      <c r="V2" s="246">
        <v>21</v>
      </c>
      <c r="W2" s="246">
        <v>22</v>
      </c>
      <c r="X2" s="246">
        <v>23</v>
      </c>
      <c r="Y2" s="246">
        <v>24</v>
      </c>
      <c r="Z2" s="246">
        <v>25</v>
      </c>
      <c r="AA2" s="246">
        <v>26</v>
      </c>
      <c r="AB2" s="246">
        <v>27</v>
      </c>
      <c r="AC2" s="246">
        <v>28</v>
      </c>
      <c r="AD2" s="246">
        <v>29</v>
      </c>
      <c r="AE2" s="246">
        <v>30</v>
      </c>
      <c r="AF2" s="246">
        <v>31</v>
      </c>
      <c r="AG2" s="247">
        <v>32</v>
      </c>
      <c r="AH2" s="246">
        <v>33</v>
      </c>
      <c r="AI2" s="247">
        <v>34</v>
      </c>
      <c r="AJ2" s="246">
        <v>35</v>
      </c>
      <c r="AK2" s="247">
        <v>36</v>
      </c>
      <c r="AL2" s="247">
        <v>64</v>
      </c>
    </row>
    <row r="3" spans="1:38" x14ac:dyDescent="0.2">
      <c r="H3" s="3"/>
      <c r="K3" s="436">
        <v>2012</v>
      </c>
      <c r="L3" s="437"/>
      <c r="M3" s="243"/>
      <c r="N3" s="243"/>
      <c r="O3" s="243"/>
      <c r="P3" s="243"/>
      <c r="Q3" s="243"/>
      <c r="R3" s="243"/>
      <c r="S3" s="243"/>
      <c r="T3" s="243"/>
      <c r="U3" s="243"/>
      <c r="V3" s="244"/>
      <c r="W3" s="243"/>
      <c r="X3" s="436">
        <v>2013</v>
      </c>
      <c r="Y3" s="437"/>
    </row>
    <row r="4" spans="1:38" ht="21.95" customHeight="1" x14ac:dyDescent="0.2">
      <c r="A4" s="126" t="s">
        <v>686</v>
      </c>
      <c r="B4" s="126" t="s">
        <v>756</v>
      </c>
      <c r="C4" s="126" t="s">
        <v>903</v>
      </c>
      <c r="D4" s="126" t="s">
        <v>885</v>
      </c>
      <c r="E4" s="126" t="s">
        <v>689</v>
      </c>
      <c r="F4" s="126" t="s">
        <v>702</v>
      </c>
      <c r="G4" s="126" t="s">
        <v>1182</v>
      </c>
      <c r="H4" s="126" t="s">
        <v>757</v>
      </c>
      <c r="I4" s="126" t="s">
        <v>758</v>
      </c>
      <c r="J4" s="126" t="s">
        <v>2069</v>
      </c>
      <c r="K4" s="126" t="s">
        <v>690</v>
      </c>
      <c r="L4" s="126" t="s">
        <v>691</v>
      </c>
      <c r="M4" s="126" t="s">
        <v>692</v>
      </c>
      <c r="N4" s="126" t="s">
        <v>693</v>
      </c>
      <c r="O4" s="126" t="s">
        <v>694</v>
      </c>
      <c r="P4" s="126" t="s">
        <v>695</v>
      </c>
      <c r="Q4" s="126" t="s">
        <v>696</v>
      </c>
      <c r="R4" s="126" t="s">
        <v>697</v>
      </c>
      <c r="S4" s="126" t="s">
        <v>698</v>
      </c>
      <c r="T4" s="126" t="s">
        <v>699</v>
      </c>
      <c r="U4" s="126" t="s">
        <v>700</v>
      </c>
      <c r="V4" s="126" t="s">
        <v>701</v>
      </c>
      <c r="W4" s="248" t="s">
        <v>1715</v>
      </c>
      <c r="X4" s="126" t="s">
        <v>690</v>
      </c>
      <c r="Y4" s="126" t="s">
        <v>691</v>
      </c>
      <c r="Z4" s="126" t="s">
        <v>692</v>
      </c>
      <c r="AA4" s="126" t="s">
        <v>693</v>
      </c>
      <c r="AB4" s="126" t="s">
        <v>694</v>
      </c>
      <c r="AC4" s="126" t="s">
        <v>695</v>
      </c>
      <c r="AD4" s="126" t="s">
        <v>696</v>
      </c>
      <c r="AE4" s="126" t="s">
        <v>697</v>
      </c>
      <c r="AF4" s="126" t="s">
        <v>698</v>
      </c>
      <c r="AG4" s="126" t="s">
        <v>699</v>
      </c>
      <c r="AH4" s="126" t="s">
        <v>700</v>
      </c>
      <c r="AI4" s="126" t="s">
        <v>701</v>
      </c>
      <c r="AJ4" s="248" t="s">
        <v>1834</v>
      </c>
      <c r="AK4" s="126" t="s">
        <v>759</v>
      </c>
    </row>
    <row r="5" spans="1:38" ht="14.1" customHeight="1" x14ac:dyDescent="0.2">
      <c r="A5" t="s">
        <v>893</v>
      </c>
      <c r="B5" s="193">
        <v>3698</v>
      </c>
      <c r="C5" s="194" t="s">
        <v>779</v>
      </c>
      <c r="D5" s="229" t="s">
        <v>1391</v>
      </c>
      <c r="E5" s="229" t="s">
        <v>713</v>
      </c>
      <c r="F5" s="236">
        <v>300</v>
      </c>
      <c r="G5" s="196">
        <v>1</v>
      </c>
      <c r="H5" s="195">
        <v>300</v>
      </c>
      <c r="I5" s="197">
        <v>41245</v>
      </c>
      <c r="J5" s="197" t="str">
        <f t="shared" ref="J5:J12" si="0">IF(OR(G5&lt;&gt;1,SUM(W5,AJ5)=H5),"ok","error")</f>
        <v>ok</v>
      </c>
      <c r="K5" s="413"/>
      <c r="L5" s="413"/>
      <c r="M5" s="413"/>
      <c r="N5" s="413"/>
      <c r="O5" s="413"/>
      <c r="P5" s="413"/>
      <c r="Q5" s="413"/>
      <c r="R5" s="413"/>
      <c r="S5" s="413"/>
      <c r="T5" s="413"/>
      <c r="U5" s="413"/>
      <c r="V5" s="413">
        <v>300</v>
      </c>
      <c r="W5" s="413">
        <f>SUM(K5:V5)</f>
        <v>300</v>
      </c>
      <c r="X5" s="412"/>
      <c r="Y5" s="412"/>
      <c r="Z5" s="412"/>
      <c r="AA5" s="412"/>
      <c r="AB5" s="412"/>
      <c r="AC5" s="412"/>
      <c r="AD5" s="412"/>
      <c r="AE5" s="412"/>
      <c r="AF5" s="412"/>
      <c r="AG5" s="412"/>
      <c r="AH5" s="412"/>
      <c r="AI5" s="412"/>
      <c r="AJ5" s="412">
        <f>SUM(X5:AI5)</f>
        <v>0</v>
      </c>
      <c r="AK5" s="198"/>
      <c r="AL5" s="250" t="s">
        <v>2067</v>
      </c>
    </row>
    <row r="6" spans="1:38" ht="14.1" customHeight="1" x14ac:dyDescent="0.2">
      <c r="A6" t="s">
        <v>893</v>
      </c>
      <c r="B6" s="193">
        <v>3699</v>
      </c>
      <c r="C6" s="194" t="s">
        <v>1140</v>
      </c>
      <c r="D6" s="229" t="s">
        <v>1574</v>
      </c>
      <c r="E6" s="229" t="s">
        <v>315</v>
      </c>
      <c r="F6" s="236">
        <v>300</v>
      </c>
      <c r="G6" s="196">
        <v>1</v>
      </c>
      <c r="H6" s="195">
        <v>600</v>
      </c>
      <c r="I6" s="197">
        <v>41245</v>
      </c>
      <c r="J6" s="197" t="str">
        <f t="shared" si="0"/>
        <v>ok</v>
      </c>
      <c r="K6" s="413"/>
      <c r="L6" s="413"/>
      <c r="M6" s="413"/>
      <c r="N6" s="413"/>
      <c r="O6" s="413"/>
      <c r="P6" s="413"/>
      <c r="Q6" s="413"/>
      <c r="R6" s="413"/>
      <c r="S6" s="413"/>
      <c r="T6" s="413"/>
      <c r="U6" s="413">
        <v>300</v>
      </c>
      <c r="V6" s="413">
        <v>300</v>
      </c>
      <c r="W6" s="413">
        <f>SUM(K6:V6)</f>
        <v>600</v>
      </c>
      <c r="X6" s="412"/>
      <c r="Y6" s="412"/>
      <c r="Z6" s="412"/>
      <c r="AA6" s="412"/>
      <c r="AB6" s="412"/>
      <c r="AC6" s="412"/>
      <c r="AD6" s="412"/>
      <c r="AE6" s="412"/>
      <c r="AF6" s="412"/>
      <c r="AG6" s="412"/>
      <c r="AH6" s="412"/>
      <c r="AI6" s="412"/>
      <c r="AJ6" s="412">
        <f>SUM(X6:AI6)</f>
        <v>0</v>
      </c>
      <c r="AK6" s="198"/>
      <c r="AL6" s="250" t="s">
        <v>2067</v>
      </c>
    </row>
    <row r="7" spans="1:38" ht="14.1" customHeight="1" x14ac:dyDescent="0.2">
      <c r="A7" t="s">
        <v>888</v>
      </c>
      <c r="B7" s="193">
        <v>3700</v>
      </c>
      <c r="C7" s="194" t="s">
        <v>949</v>
      </c>
      <c r="D7" s="229" t="s">
        <v>1423</v>
      </c>
      <c r="E7" s="229" t="s">
        <v>414</v>
      </c>
      <c r="F7" s="236">
        <v>200</v>
      </c>
      <c r="G7" s="196">
        <v>1</v>
      </c>
      <c r="H7" s="195">
        <v>400</v>
      </c>
      <c r="I7" s="197">
        <v>41245</v>
      </c>
      <c r="J7" s="197" t="str">
        <f t="shared" si="0"/>
        <v>ok</v>
      </c>
      <c r="K7" s="413"/>
      <c r="L7" s="413"/>
      <c r="M7" s="413"/>
      <c r="N7" s="413"/>
      <c r="O7" s="413"/>
      <c r="P7" s="413"/>
      <c r="Q7" s="413"/>
      <c r="R7" s="413"/>
      <c r="S7" s="413"/>
      <c r="T7" s="413"/>
      <c r="U7" s="413">
        <v>200</v>
      </c>
      <c r="V7" s="413">
        <v>200</v>
      </c>
      <c r="W7" s="413">
        <f t="shared" ref="W7:W70" si="1">SUM(K7:V7)</f>
        <v>400</v>
      </c>
      <c r="X7" s="412"/>
      <c r="Y7" s="412"/>
      <c r="Z7" s="412"/>
      <c r="AA7" s="412"/>
      <c r="AB7" s="412"/>
      <c r="AC7" s="412"/>
      <c r="AD7" s="412"/>
      <c r="AE7" s="412"/>
      <c r="AF7" s="412"/>
      <c r="AG7" s="412"/>
      <c r="AH7" s="412"/>
      <c r="AI7" s="412"/>
      <c r="AJ7" s="412">
        <f t="shared" ref="AJ7:AJ70" si="2">SUM(X7:AI7)</f>
        <v>0</v>
      </c>
      <c r="AK7" s="198"/>
      <c r="AL7" s="250" t="s">
        <v>2067</v>
      </c>
    </row>
    <row r="8" spans="1:38" ht="14.1" customHeight="1" x14ac:dyDescent="0.2">
      <c r="A8" t="s">
        <v>890</v>
      </c>
      <c r="B8" s="193">
        <v>3701</v>
      </c>
      <c r="C8" s="194" t="s">
        <v>997</v>
      </c>
      <c r="D8" s="229" t="s">
        <v>1377</v>
      </c>
      <c r="E8" s="229" t="s">
        <v>485</v>
      </c>
      <c r="F8" s="236">
        <v>200</v>
      </c>
      <c r="G8" s="196">
        <v>1</v>
      </c>
      <c r="H8" s="195">
        <v>200</v>
      </c>
      <c r="I8" s="197">
        <v>41245</v>
      </c>
      <c r="J8" s="197" t="str">
        <f t="shared" si="0"/>
        <v>ok</v>
      </c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  <c r="V8" s="413">
        <v>200</v>
      </c>
      <c r="W8" s="413">
        <f t="shared" si="1"/>
        <v>200</v>
      </c>
      <c r="X8" s="412"/>
      <c r="Y8" s="412"/>
      <c r="Z8" s="412"/>
      <c r="AA8" s="412"/>
      <c r="AB8" s="412"/>
      <c r="AC8" s="412"/>
      <c r="AD8" s="412"/>
      <c r="AE8" s="412"/>
      <c r="AF8" s="412"/>
      <c r="AG8" s="412"/>
      <c r="AH8" s="412"/>
      <c r="AI8" s="412"/>
      <c r="AJ8" s="412">
        <f t="shared" si="2"/>
        <v>0</v>
      </c>
      <c r="AK8" s="198"/>
      <c r="AL8" s="250" t="s">
        <v>2067</v>
      </c>
    </row>
    <row r="9" spans="1:38" ht="14.1" customHeight="1" x14ac:dyDescent="0.2">
      <c r="A9" t="s">
        <v>890</v>
      </c>
      <c r="B9" s="193">
        <v>3702</v>
      </c>
      <c r="C9" s="194" t="s">
        <v>991</v>
      </c>
      <c r="D9" s="229" t="s">
        <v>1456</v>
      </c>
      <c r="E9" s="229" t="s">
        <v>480</v>
      </c>
      <c r="F9" s="236">
        <v>300</v>
      </c>
      <c r="G9" s="196">
        <v>1</v>
      </c>
      <c r="H9" s="195">
        <v>300</v>
      </c>
      <c r="I9" s="197">
        <v>41245</v>
      </c>
      <c r="J9" s="197" t="str">
        <f t="shared" si="0"/>
        <v>ok</v>
      </c>
      <c r="K9" s="413"/>
      <c r="L9" s="413"/>
      <c r="M9" s="413"/>
      <c r="N9" s="413"/>
      <c r="O9" s="413"/>
      <c r="P9" s="413"/>
      <c r="Q9" s="413"/>
      <c r="R9" s="413"/>
      <c r="S9" s="413"/>
      <c r="T9" s="413"/>
      <c r="U9" s="413"/>
      <c r="V9" s="413">
        <v>300</v>
      </c>
      <c r="W9" s="413">
        <f t="shared" si="1"/>
        <v>300</v>
      </c>
      <c r="X9" s="412"/>
      <c r="Y9" s="412"/>
      <c r="Z9" s="412"/>
      <c r="AA9" s="412"/>
      <c r="AB9" s="412"/>
      <c r="AC9" s="412"/>
      <c r="AD9" s="412"/>
      <c r="AE9" s="412"/>
      <c r="AF9" s="412"/>
      <c r="AG9" s="412"/>
      <c r="AH9" s="412"/>
      <c r="AI9" s="412"/>
      <c r="AJ9" s="412">
        <f t="shared" si="2"/>
        <v>0</v>
      </c>
      <c r="AK9" s="198"/>
      <c r="AL9" s="250" t="s">
        <v>2067</v>
      </c>
    </row>
    <row r="10" spans="1:38" ht="14.1" customHeight="1" x14ac:dyDescent="0.2">
      <c r="A10" t="s">
        <v>893</v>
      </c>
      <c r="B10" s="193">
        <v>3703</v>
      </c>
      <c r="C10" s="194" t="s">
        <v>1148</v>
      </c>
      <c r="D10" s="229" t="s">
        <v>1470</v>
      </c>
      <c r="E10" s="229" t="s">
        <v>333</v>
      </c>
      <c r="F10" s="236">
        <v>300</v>
      </c>
      <c r="G10" s="196">
        <v>1</v>
      </c>
      <c r="H10" s="195">
        <v>300</v>
      </c>
      <c r="I10" s="197">
        <v>41245</v>
      </c>
      <c r="J10" s="197" t="str">
        <f t="shared" si="0"/>
        <v>ok</v>
      </c>
      <c r="K10" s="413"/>
      <c r="L10" s="413"/>
      <c r="M10" s="413"/>
      <c r="N10" s="413"/>
      <c r="O10" s="413"/>
      <c r="P10" s="413"/>
      <c r="Q10" s="413"/>
      <c r="R10" s="413"/>
      <c r="S10" s="413"/>
      <c r="T10" s="413"/>
      <c r="U10" s="413"/>
      <c r="V10" s="413">
        <v>300</v>
      </c>
      <c r="W10" s="413">
        <f t="shared" si="1"/>
        <v>300</v>
      </c>
      <c r="X10" s="412"/>
      <c r="Y10" s="412"/>
      <c r="Z10" s="412"/>
      <c r="AA10" s="412"/>
      <c r="AB10" s="412"/>
      <c r="AC10" s="412"/>
      <c r="AD10" s="412"/>
      <c r="AE10" s="412"/>
      <c r="AF10" s="412"/>
      <c r="AG10" s="412"/>
      <c r="AH10" s="412"/>
      <c r="AI10" s="412"/>
      <c r="AJ10" s="412">
        <f t="shared" si="2"/>
        <v>0</v>
      </c>
      <c r="AK10" s="198"/>
      <c r="AL10" s="250" t="s">
        <v>2067</v>
      </c>
    </row>
    <row r="11" spans="1:38" ht="14.1" customHeight="1" x14ac:dyDescent="0.2">
      <c r="A11" t="s">
        <v>888</v>
      </c>
      <c r="B11" s="193">
        <v>3704</v>
      </c>
      <c r="C11" s="194" t="s">
        <v>962</v>
      </c>
      <c r="D11" s="229" t="s">
        <v>1609</v>
      </c>
      <c r="E11" s="229" t="s">
        <v>451</v>
      </c>
      <c r="F11" s="236">
        <v>150</v>
      </c>
      <c r="G11" s="196">
        <v>1</v>
      </c>
      <c r="H11" s="195">
        <v>450</v>
      </c>
      <c r="I11" s="197">
        <v>41245</v>
      </c>
      <c r="J11" s="197" t="str">
        <f t="shared" si="0"/>
        <v>ok</v>
      </c>
      <c r="K11" s="413"/>
      <c r="L11" s="413"/>
      <c r="M11" s="413"/>
      <c r="N11" s="413"/>
      <c r="O11" s="413"/>
      <c r="P11" s="413"/>
      <c r="Q11" s="413"/>
      <c r="R11" s="413"/>
      <c r="S11" s="413">
        <v>150</v>
      </c>
      <c r="T11" s="413">
        <v>150</v>
      </c>
      <c r="U11" s="413">
        <v>150</v>
      </c>
      <c r="V11" s="413"/>
      <c r="W11" s="413">
        <f t="shared" si="1"/>
        <v>450</v>
      </c>
      <c r="X11" s="412"/>
      <c r="Y11" s="412"/>
      <c r="Z11" s="412"/>
      <c r="AA11" s="412"/>
      <c r="AB11" s="412"/>
      <c r="AC11" s="412"/>
      <c r="AD11" s="412"/>
      <c r="AE11" s="412"/>
      <c r="AF11" s="412"/>
      <c r="AG11" s="412"/>
      <c r="AH11" s="412"/>
      <c r="AI11" s="412"/>
      <c r="AJ11" s="412">
        <f t="shared" si="2"/>
        <v>0</v>
      </c>
      <c r="AK11" s="198"/>
      <c r="AL11" s="250" t="s">
        <v>2067</v>
      </c>
    </row>
    <row r="12" spans="1:38" ht="14.1" customHeight="1" x14ac:dyDescent="0.2">
      <c r="A12" t="s">
        <v>894</v>
      </c>
      <c r="B12" s="193">
        <v>3705</v>
      </c>
      <c r="C12" s="194" t="s">
        <v>1160</v>
      </c>
      <c r="D12" s="229" t="s">
        <v>1608</v>
      </c>
      <c r="E12" s="229" t="s">
        <v>1275</v>
      </c>
      <c r="F12" s="236">
        <v>300</v>
      </c>
      <c r="G12" s="196">
        <v>1</v>
      </c>
      <c r="H12" s="195">
        <v>300</v>
      </c>
      <c r="I12" s="197">
        <v>41244</v>
      </c>
      <c r="J12" s="197" t="str">
        <f t="shared" si="0"/>
        <v>ok</v>
      </c>
      <c r="K12" s="413"/>
      <c r="L12" s="413"/>
      <c r="M12" s="413"/>
      <c r="N12" s="413"/>
      <c r="O12" s="413"/>
      <c r="P12" s="413"/>
      <c r="Q12" s="413"/>
      <c r="R12" s="413"/>
      <c r="S12" s="413"/>
      <c r="T12" s="413"/>
      <c r="U12" s="413"/>
      <c r="V12" s="413">
        <v>300</v>
      </c>
      <c r="W12" s="413">
        <f t="shared" si="1"/>
        <v>300</v>
      </c>
      <c r="X12" s="412"/>
      <c r="Y12" s="412"/>
      <c r="Z12" s="412"/>
      <c r="AA12" s="412"/>
      <c r="AB12" s="412"/>
      <c r="AC12" s="412"/>
      <c r="AD12" s="412"/>
      <c r="AE12" s="412"/>
      <c r="AF12" s="412"/>
      <c r="AG12" s="412"/>
      <c r="AH12" s="412"/>
      <c r="AI12" s="412"/>
      <c r="AJ12" s="412">
        <f t="shared" si="2"/>
        <v>0</v>
      </c>
      <c r="AK12" s="198"/>
      <c r="AL12" s="250" t="s">
        <v>2067</v>
      </c>
    </row>
    <row r="13" spans="1:38" ht="14.1" customHeight="1" x14ac:dyDescent="0.2">
      <c r="A13" t="s">
        <v>894</v>
      </c>
      <c r="B13" s="193">
        <v>3705</v>
      </c>
      <c r="C13" s="194" t="s">
        <v>1160</v>
      </c>
      <c r="D13" s="229" t="s">
        <v>1608</v>
      </c>
      <c r="E13" s="229" t="s">
        <v>1275</v>
      </c>
      <c r="F13" s="236">
        <v>300</v>
      </c>
      <c r="G13" s="196">
        <v>4</v>
      </c>
      <c r="H13" s="195">
        <v>160</v>
      </c>
      <c r="I13" s="197">
        <v>41244</v>
      </c>
      <c r="J13" s="197" t="str">
        <f>IF(OR(G13&lt;&gt;1,SUM(W13,AJ13)=H13),"ok","error")</f>
        <v>ok</v>
      </c>
      <c r="K13" s="413"/>
      <c r="L13" s="413"/>
      <c r="M13" s="413"/>
      <c r="N13" s="413"/>
      <c r="O13" s="413"/>
      <c r="P13" s="413"/>
      <c r="Q13" s="413"/>
      <c r="R13" s="413"/>
      <c r="S13" s="413"/>
      <c r="T13" s="413"/>
      <c r="U13" s="413"/>
      <c r="V13" s="413"/>
      <c r="W13" s="413">
        <f t="shared" si="1"/>
        <v>0</v>
      </c>
      <c r="X13" s="412"/>
      <c r="Y13" s="412"/>
      <c r="Z13" s="412"/>
      <c r="AA13" s="412"/>
      <c r="AB13" s="412"/>
      <c r="AC13" s="412"/>
      <c r="AD13" s="412"/>
      <c r="AE13" s="412"/>
      <c r="AF13" s="412"/>
      <c r="AG13" s="412"/>
      <c r="AH13" s="412"/>
      <c r="AI13" s="412"/>
      <c r="AJ13" s="412">
        <f t="shared" si="2"/>
        <v>0</v>
      </c>
      <c r="AK13" s="198"/>
      <c r="AL13" s="250" t="s">
        <v>2068</v>
      </c>
    </row>
    <row r="14" spans="1:38" ht="14.1" customHeight="1" x14ac:dyDescent="0.2">
      <c r="A14" t="s">
        <v>893</v>
      </c>
      <c r="B14" s="193">
        <v>3706</v>
      </c>
      <c r="C14" s="194" t="s">
        <v>1135</v>
      </c>
      <c r="D14" s="229" t="s">
        <v>1625</v>
      </c>
      <c r="E14" s="229" t="s">
        <v>1266</v>
      </c>
      <c r="F14" s="236">
        <v>300</v>
      </c>
      <c r="G14" s="196">
        <v>1</v>
      </c>
      <c r="H14" s="195">
        <v>900</v>
      </c>
      <c r="I14" s="197">
        <v>41246</v>
      </c>
      <c r="J14" s="197" t="str">
        <f t="shared" ref="J14:J77" si="3">IF(OR(G14&lt;&gt;1,SUM(W14,AJ14)=H14),"ok","error")</f>
        <v>ok</v>
      </c>
      <c r="K14" s="413"/>
      <c r="L14" s="413"/>
      <c r="M14" s="413"/>
      <c r="N14" s="413"/>
      <c r="O14" s="413"/>
      <c r="P14" s="413"/>
      <c r="Q14" s="413"/>
      <c r="R14" s="413"/>
      <c r="S14" s="413"/>
      <c r="T14" s="413">
        <v>300</v>
      </c>
      <c r="U14" s="413">
        <v>300</v>
      </c>
      <c r="V14" s="413">
        <v>300</v>
      </c>
      <c r="W14" s="413">
        <f t="shared" si="1"/>
        <v>900</v>
      </c>
      <c r="X14" s="412"/>
      <c r="Y14" s="412"/>
      <c r="Z14" s="412"/>
      <c r="AA14" s="412"/>
      <c r="AB14" s="412"/>
      <c r="AC14" s="412"/>
      <c r="AD14" s="412"/>
      <c r="AE14" s="412"/>
      <c r="AF14" s="412"/>
      <c r="AG14" s="412"/>
      <c r="AH14" s="412"/>
      <c r="AI14" s="412"/>
      <c r="AJ14" s="412">
        <f t="shared" si="2"/>
        <v>0</v>
      </c>
      <c r="AK14" s="198"/>
      <c r="AL14" s="250" t="s">
        <v>2067</v>
      </c>
    </row>
    <row r="15" spans="1:38" ht="14.1" customHeight="1" x14ac:dyDescent="0.2">
      <c r="A15" t="s">
        <v>893</v>
      </c>
      <c r="B15" s="193">
        <v>3707</v>
      </c>
      <c r="C15" s="194" t="s">
        <v>1083</v>
      </c>
      <c r="D15" s="229" t="s">
        <v>1396</v>
      </c>
      <c r="E15" s="229" t="s">
        <v>206</v>
      </c>
      <c r="F15" s="236">
        <v>300</v>
      </c>
      <c r="G15" s="196">
        <v>1</v>
      </c>
      <c r="H15" s="195">
        <v>300</v>
      </c>
      <c r="I15" s="197">
        <v>41244</v>
      </c>
      <c r="J15" s="197" t="str">
        <f t="shared" si="3"/>
        <v>ok</v>
      </c>
      <c r="K15" s="413"/>
      <c r="L15" s="413"/>
      <c r="M15" s="413"/>
      <c r="N15" s="413"/>
      <c r="O15" s="413"/>
      <c r="P15" s="413"/>
      <c r="Q15" s="413"/>
      <c r="R15" s="413"/>
      <c r="S15" s="413"/>
      <c r="T15" s="413"/>
      <c r="U15" s="413"/>
      <c r="V15" s="413">
        <v>300</v>
      </c>
      <c r="W15" s="413">
        <f t="shared" si="1"/>
        <v>300</v>
      </c>
      <c r="X15" s="412"/>
      <c r="Y15" s="412"/>
      <c r="Z15" s="412"/>
      <c r="AA15" s="412"/>
      <c r="AB15" s="412"/>
      <c r="AC15" s="412"/>
      <c r="AD15" s="412"/>
      <c r="AE15" s="412"/>
      <c r="AF15" s="412"/>
      <c r="AG15" s="412"/>
      <c r="AH15" s="412"/>
      <c r="AI15" s="412"/>
      <c r="AJ15" s="412">
        <f t="shared" si="2"/>
        <v>0</v>
      </c>
      <c r="AK15" s="198"/>
      <c r="AL15" s="250" t="s">
        <v>2067</v>
      </c>
    </row>
    <row r="16" spans="1:38" ht="14.1" customHeight="1" x14ac:dyDescent="0.2">
      <c r="A16" t="s">
        <v>893</v>
      </c>
      <c r="B16" s="193">
        <v>3707</v>
      </c>
      <c r="C16" s="194" t="s">
        <v>1083</v>
      </c>
      <c r="D16" s="229" t="s">
        <v>1396</v>
      </c>
      <c r="E16" s="229" t="s">
        <v>206</v>
      </c>
      <c r="F16" s="236">
        <v>300</v>
      </c>
      <c r="G16" s="196">
        <v>4</v>
      </c>
      <c r="H16" s="195">
        <v>160</v>
      </c>
      <c r="I16" s="197">
        <v>41244</v>
      </c>
      <c r="J16" s="197" t="str">
        <f t="shared" si="3"/>
        <v>ok</v>
      </c>
      <c r="K16" s="413"/>
      <c r="L16" s="413"/>
      <c r="M16" s="413"/>
      <c r="N16" s="413"/>
      <c r="O16" s="413"/>
      <c r="P16" s="413"/>
      <c r="Q16" s="413"/>
      <c r="R16" s="413"/>
      <c r="S16" s="413"/>
      <c r="T16" s="413"/>
      <c r="U16" s="413"/>
      <c r="V16" s="413"/>
      <c r="W16" s="413">
        <f t="shared" si="1"/>
        <v>0</v>
      </c>
      <c r="X16" s="412"/>
      <c r="Y16" s="412"/>
      <c r="Z16" s="412"/>
      <c r="AA16" s="412"/>
      <c r="AB16" s="412"/>
      <c r="AC16" s="412"/>
      <c r="AD16" s="412"/>
      <c r="AE16" s="412"/>
      <c r="AF16" s="412"/>
      <c r="AG16" s="412"/>
      <c r="AH16" s="412"/>
      <c r="AI16" s="412"/>
      <c r="AJ16" s="412">
        <f t="shared" si="2"/>
        <v>0</v>
      </c>
      <c r="AK16" s="198"/>
      <c r="AL16" s="250" t="s">
        <v>2068</v>
      </c>
    </row>
    <row r="17" spans="1:38" ht="14.1" customHeight="1" x14ac:dyDescent="0.2">
      <c r="A17" t="s">
        <v>893</v>
      </c>
      <c r="B17" s="193">
        <v>3708</v>
      </c>
      <c r="C17" s="194" t="s">
        <v>1135</v>
      </c>
      <c r="D17" s="229" t="s">
        <v>1625</v>
      </c>
      <c r="E17" s="229" t="s">
        <v>1266</v>
      </c>
      <c r="F17" s="236">
        <v>300</v>
      </c>
      <c r="G17" s="196">
        <v>5</v>
      </c>
      <c r="H17" s="195">
        <v>40</v>
      </c>
      <c r="I17" s="197">
        <v>41244</v>
      </c>
      <c r="J17" s="197" t="str">
        <f t="shared" si="3"/>
        <v>ok</v>
      </c>
      <c r="K17" s="413"/>
      <c r="L17" s="413"/>
      <c r="M17" s="413"/>
      <c r="N17" s="413"/>
      <c r="O17" s="413"/>
      <c r="P17" s="413"/>
      <c r="Q17" s="413"/>
      <c r="R17" s="413"/>
      <c r="S17" s="413"/>
      <c r="T17" s="413"/>
      <c r="U17" s="413"/>
      <c r="V17" s="413"/>
      <c r="W17" s="413">
        <f t="shared" si="1"/>
        <v>0</v>
      </c>
      <c r="X17" s="412"/>
      <c r="Y17" s="412"/>
      <c r="Z17" s="412"/>
      <c r="AA17" s="412"/>
      <c r="AB17" s="412"/>
      <c r="AC17" s="412"/>
      <c r="AD17" s="412"/>
      <c r="AE17" s="412"/>
      <c r="AF17" s="412"/>
      <c r="AG17" s="412"/>
      <c r="AH17" s="412"/>
      <c r="AI17" s="412"/>
      <c r="AJ17" s="412">
        <f t="shared" si="2"/>
        <v>0</v>
      </c>
      <c r="AK17" s="198"/>
      <c r="AL17" s="250" t="s">
        <v>2068</v>
      </c>
    </row>
    <row r="18" spans="1:38" ht="14.1" customHeight="1" x14ac:dyDescent="0.2">
      <c r="A18" t="s">
        <v>888</v>
      </c>
      <c r="B18" s="193">
        <v>3709</v>
      </c>
      <c r="C18" s="194" t="s">
        <v>912</v>
      </c>
      <c r="D18" s="229" t="s">
        <v>1706</v>
      </c>
      <c r="E18" s="229" t="s">
        <v>346</v>
      </c>
      <c r="F18" s="236">
        <v>100</v>
      </c>
      <c r="G18" s="196">
        <v>1</v>
      </c>
      <c r="H18" s="195">
        <v>400</v>
      </c>
      <c r="I18" s="197">
        <v>41244</v>
      </c>
      <c r="J18" s="197" t="str">
        <f t="shared" si="3"/>
        <v>ok</v>
      </c>
      <c r="K18" s="413"/>
      <c r="L18" s="413"/>
      <c r="M18" s="413"/>
      <c r="N18" s="413"/>
      <c r="O18" s="413"/>
      <c r="P18" s="413"/>
      <c r="Q18" s="413"/>
      <c r="R18" s="413"/>
      <c r="S18" s="413">
        <v>100</v>
      </c>
      <c r="T18" s="413">
        <v>100</v>
      </c>
      <c r="U18" s="413">
        <v>100</v>
      </c>
      <c r="V18" s="413">
        <v>100</v>
      </c>
      <c r="W18" s="413">
        <f t="shared" si="1"/>
        <v>400</v>
      </c>
      <c r="X18" s="412"/>
      <c r="Y18" s="412"/>
      <c r="Z18" s="412"/>
      <c r="AA18" s="412"/>
      <c r="AB18" s="412"/>
      <c r="AC18" s="412"/>
      <c r="AD18" s="412"/>
      <c r="AE18" s="412"/>
      <c r="AF18" s="412"/>
      <c r="AG18" s="412"/>
      <c r="AH18" s="412"/>
      <c r="AI18" s="412"/>
      <c r="AJ18" s="412">
        <f t="shared" si="2"/>
        <v>0</v>
      </c>
      <c r="AK18" s="198"/>
      <c r="AL18" s="250" t="s">
        <v>2067</v>
      </c>
    </row>
    <row r="19" spans="1:38" ht="14.1" customHeight="1" x14ac:dyDescent="0.2">
      <c r="A19" t="s">
        <v>890</v>
      </c>
      <c r="B19" s="193">
        <v>3710</v>
      </c>
      <c r="C19" s="194" t="s">
        <v>988</v>
      </c>
      <c r="D19" s="229" t="s">
        <v>1410</v>
      </c>
      <c r="E19" s="229" t="s">
        <v>477</v>
      </c>
      <c r="F19" s="236">
        <v>300</v>
      </c>
      <c r="G19" s="196">
        <v>1</v>
      </c>
      <c r="H19" s="195">
        <v>900</v>
      </c>
      <c r="I19" s="197">
        <v>41244</v>
      </c>
      <c r="J19" s="197" t="str">
        <f t="shared" si="3"/>
        <v>ok</v>
      </c>
      <c r="K19" s="413"/>
      <c r="L19" s="413"/>
      <c r="M19" s="413"/>
      <c r="N19" s="413"/>
      <c r="O19" s="413"/>
      <c r="P19" s="413"/>
      <c r="Q19" s="413"/>
      <c r="R19" s="413">
        <v>300</v>
      </c>
      <c r="S19" s="413">
        <v>300</v>
      </c>
      <c r="T19" s="413">
        <v>300</v>
      </c>
      <c r="U19" s="413"/>
      <c r="V19" s="413"/>
      <c r="W19" s="413">
        <f t="shared" si="1"/>
        <v>900</v>
      </c>
      <c r="X19" s="412"/>
      <c r="Y19" s="412"/>
      <c r="Z19" s="412"/>
      <c r="AA19" s="412"/>
      <c r="AB19" s="412"/>
      <c r="AC19" s="412"/>
      <c r="AD19" s="412"/>
      <c r="AE19" s="412"/>
      <c r="AF19" s="412"/>
      <c r="AG19" s="412"/>
      <c r="AH19" s="412"/>
      <c r="AI19" s="412"/>
      <c r="AJ19" s="412">
        <f t="shared" si="2"/>
        <v>0</v>
      </c>
      <c r="AK19" s="198"/>
      <c r="AL19" s="250" t="s">
        <v>2067</v>
      </c>
    </row>
    <row r="20" spans="1:38" ht="14.1" customHeight="1" x14ac:dyDescent="0.2">
      <c r="A20" t="s">
        <v>891</v>
      </c>
      <c r="B20" s="193">
        <v>3711</v>
      </c>
      <c r="C20" s="194" t="s">
        <v>1048</v>
      </c>
      <c r="D20" s="229" t="s">
        <v>1622</v>
      </c>
      <c r="E20" s="229" t="s">
        <v>735</v>
      </c>
      <c r="F20" s="236">
        <v>300</v>
      </c>
      <c r="G20" s="196">
        <v>1</v>
      </c>
      <c r="H20" s="195">
        <v>600</v>
      </c>
      <c r="I20" s="197">
        <v>41244</v>
      </c>
      <c r="J20" s="197" t="str">
        <f t="shared" si="3"/>
        <v>ok</v>
      </c>
      <c r="K20" s="413"/>
      <c r="L20" s="413"/>
      <c r="M20" s="413"/>
      <c r="N20" s="413"/>
      <c r="O20" s="413"/>
      <c r="P20" s="413"/>
      <c r="Q20" s="413"/>
      <c r="R20" s="413"/>
      <c r="S20" s="413"/>
      <c r="T20" s="413"/>
      <c r="U20" s="413">
        <v>300</v>
      </c>
      <c r="V20" s="413">
        <v>300</v>
      </c>
      <c r="W20" s="413">
        <f t="shared" si="1"/>
        <v>600</v>
      </c>
      <c r="X20" s="412"/>
      <c r="Y20" s="412"/>
      <c r="Z20" s="412"/>
      <c r="AA20" s="412"/>
      <c r="AB20" s="412"/>
      <c r="AC20" s="412"/>
      <c r="AD20" s="412"/>
      <c r="AE20" s="412"/>
      <c r="AF20" s="412"/>
      <c r="AG20" s="412"/>
      <c r="AH20" s="412"/>
      <c r="AI20" s="412"/>
      <c r="AJ20" s="412">
        <f t="shared" si="2"/>
        <v>0</v>
      </c>
      <c r="AK20" s="198"/>
      <c r="AL20" s="250" t="s">
        <v>2067</v>
      </c>
    </row>
    <row r="21" spans="1:38" ht="14.1" customHeight="1" x14ac:dyDescent="0.2">
      <c r="A21" t="s">
        <v>893</v>
      </c>
      <c r="B21" s="193">
        <v>3712</v>
      </c>
      <c r="C21" s="194" t="s">
        <v>1137</v>
      </c>
      <c r="D21" s="229" t="s">
        <v>1463</v>
      </c>
      <c r="E21" s="229" t="s">
        <v>310</v>
      </c>
      <c r="F21" s="236">
        <v>300</v>
      </c>
      <c r="G21" s="196">
        <v>1</v>
      </c>
      <c r="H21" s="195">
        <v>300</v>
      </c>
      <c r="I21" s="197">
        <v>41244</v>
      </c>
      <c r="J21" s="197" t="str">
        <f t="shared" si="3"/>
        <v>ok</v>
      </c>
      <c r="K21" s="413"/>
      <c r="L21" s="413"/>
      <c r="M21" s="413"/>
      <c r="N21" s="413"/>
      <c r="O21" s="413"/>
      <c r="P21" s="413"/>
      <c r="Q21" s="413"/>
      <c r="R21" s="413"/>
      <c r="S21" s="413"/>
      <c r="T21" s="413"/>
      <c r="U21" s="413"/>
      <c r="V21" s="413">
        <v>300</v>
      </c>
      <c r="W21" s="413">
        <f t="shared" si="1"/>
        <v>300</v>
      </c>
      <c r="X21" s="412"/>
      <c r="Y21" s="412"/>
      <c r="Z21" s="412"/>
      <c r="AA21" s="412"/>
      <c r="AB21" s="412"/>
      <c r="AC21" s="412"/>
      <c r="AD21" s="412"/>
      <c r="AE21" s="412"/>
      <c r="AF21" s="412"/>
      <c r="AG21" s="412"/>
      <c r="AH21" s="412"/>
      <c r="AI21" s="412"/>
      <c r="AJ21" s="412">
        <f t="shared" si="2"/>
        <v>0</v>
      </c>
      <c r="AK21" s="198"/>
      <c r="AL21" s="250" t="s">
        <v>2067</v>
      </c>
    </row>
    <row r="22" spans="1:38" ht="14.1" customHeight="1" x14ac:dyDescent="0.2">
      <c r="A22" t="s">
        <v>893</v>
      </c>
      <c r="B22" s="193">
        <v>3713</v>
      </c>
      <c r="C22" s="194" t="s">
        <v>1138</v>
      </c>
      <c r="D22" s="229" t="s">
        <v>1493</v>
      </c>
      <c r="E22" s="229" t="s">
        <v>1274</v>
      </c>
      <c r="F22" s="236">
        <v>300</v>
      </c>
      <c r="G22" s="196">
        <v>1</v>
      </c>
      <c r="H22" s="195">
        <v>300</v>
      </c>
      <c r="I22" s="197">
        <v>41244</v>
      </c>
      <c r="J22" s="197" t="str">
        <f t="shared" si="3"/>
        <v>ok</v>
      </c>
      <c r="K22" s="413"/>
      <c r="L22" s="413"/>
      <c r="M22" s="413"/>
      <c r="N22" s="413"/>
      <c r="O22" s="413"/>
      <c r="P22" s="413"/>
      <c r="Q22" s="413"/>
      <c r="R22" s="413"/>
      <c r="S22" s="413"/>
      <c r="T22" s="413"/>
      <c r="U22" s="413"/>
      <c r="V22" s="413">
        <v>300</v>
      </c>
      <c r="W22" s="413">
        <f t="shared" si="1"/>
        <v>300</v>
      </c>
      <c r="X22" s="412"/>
      <c r="Y22" s="412"/>
      <c r="Z22" s="412"/>
      <c r="AA22" s="412"/>
      <c r="AB22" s="412"/>
      <c r="AC22" s="412"/>
      <c r="AD22" s="412"/>
      <c r="AE22" s="412"/>
      <c r="AF22" s="412"/>
      <c r="AG22" s="412"/>
      <c r="AH22" s="412"/>
      <c r="AI22" s="412"/>
      <c r="AJ22" s="412">
        <f t="shared" si="2"/>
        <v>0</v>
      </c>
      <c r="AK22" s="198"/>
      <c r="AL22" s="250" t="s">
        <v>2067</v>
      </c>
    </row>
    <row r="23" spans="1:38" ht="14.1" customHeight="1" x14ac:dyDescent="0.2">
      <c r="A23" t="s">
        <v>893</v>
      </c>
      <c r="B23" s="193">
        <v>3714</v>
      </c>
      <c r="C23" s="194" t="s">
        <v>780</v>
      </c>
      <c r="D23" s="229" t="s">
        <v>1593</v>
      </c>
      <c r="E23" s="229" t="s">
        <v>294</v>
      </c>
      <c r="F23" s="236">
        <v>300</v>
      </c>
      <c r="G23" s="196">
        <v>1</v>
      </c>
      <c r="H23" s="195">
        <v>300</v>
      </c>
      <c r="I23" s="197">
        <v>41244</v>
      </c>
      <c r="J23" s="197" t="str">
        <f t="shared" si="3"/>
        <v>ok</v>
      </c>
      <c r="K23" s="413"/>
      <c r="L23" s="413"/>
      <c r="M23" s="413"/>
      <c r="N23" s="413"/>
      <c r="O23" s="413"/>
      <c r="P23" s="413"/>
      <c r="Q23" s="413"/>
      <c r="R23" s="413"/>
      <c r="S23" s="413"/>
      <c r="T23" s="413"/>
      <c r="U23" s="413"/>
      <c r="V23" s="413">
        <v>300</v>
      </c>
      <c r="W23" s="413">
        <f t="shared" si="1"/>
        <v>300</v>
      </c>
      <c r="X23" s="412"/>
      <c r="Y23" s="412"/>
      <c r="Z23" s="412"/>
      <c r="AA23" s="412"/>
      <c r="AB23" s="412"/>
      <c r="AC23" s="412"/>
      <c r="AD23" s="412"/>
      <c r="AE23" s="412"/>
      <c r="AF23" s="412"/>
      <c r="AG23" s="412"/>
      <c r="AH23" s="412"/>
      <c r="AI23" s="412"/>
      <c r="AJ23" s="412">
        <f t="shared" si="2"/>
        <v>0</v>
      </c>
      <c r="AK23" s="198"/>
      <c r="AL23" s="250" t="s">
        <v>2067</v>
      </c>
    </row>
    <row r="24" spans="1:38" ht="14.1" customHeight="1" x14ac:dyDescent="0.2">
      <c r="A24" t="s">
        <v>893</v>
      </c>
      <c r="B24" s="193">
        <v>3715</v>
      </c>
      <c r="C24" s="194" t="s">
        <v>1117</v>
      </c>
      <c r="D24" s="229" t="s">
        <v>1430</v>
      </c>
      <c r="E24" s="229" t="s">
        <v>271</v>
      </c>
      <c r="F24" s="236">
        <v>300</v>
      </c>
      <c r="G24" s="196">
        <v>1</v>
      </c>
      <c r="H24" s="195">
        <v>300</v>
      </c>
      <c r="I24" s="197">
        <v>41244</v>
      </c>
      <c r="J24" s="197" t="str">
        <f t="shared" si="3"/>
        <v>ok</v>
      </c>
      <c r="K24" s="413"/>
      <c r="L24" s="413"/>
      <c r="M24" s="413"/>
      <c r="N24" s="413"/>
      <c r="O24" s="413"/>
      <c r="P24" s="413"/>
      <c r="Q24" s="413"/>
      <c r="R24" s="413"/>
      <c r="S24" s="413"/>
      <c r="T24" s="413"/>
      <c r="U24" s="413"/>
      <c r="V24" s="413">
        <v>300</v>
      </c>
      <c r="W24" s="413">
        <f t="shared" si="1"/>
        <v>300</v>
      </c>
      <c r="X24" s="412"/>
      <c r="Y24" s="412"/>
      <c r="Z24" s="412"/>
      <c r="AA24" s="412"/>
      <c r="AB24" s="412"/>
      <c r="AC24" s="412"/>
      <c r="AD24" s="412"/>
      <c r="AE24" s="412"/>
      <c r="AF24" s="412"/>
      <c r="AG24" s="412"/>
      <c r="AH24" s="412"/>
      <c r="AI24" s="412"/>
      <c r="AJ24" s="412">
        <f t="shared" si="2"/>
        <v>0</v>
      </c>
      <c r="AK24" s="198"/>
      <c r="AL24" s="250" t="s">
        <v>2067</v>
      </c>
    </row>
    <row r="25" spans="1:38" ht="14.1" customHeight="1" x14ac:dyDescent="0.2">
      <c r="A25" t="s">
        <v>884</v>
      </c>
      <c r="B25" s="193">
        <v>3716</v>
      </c>
      <c r="C25" s="194" t="s">
        <v>835</v>
      </c>
      <c r="D25" s="229" t="s">
        <v>1597</v>
      </c>
      <c r="E25" s="229" t="s">
        <v>72</v>
      </c>
      <c r="F25" s="236">
        <v>300</v>
      </c>
      <c r="G25" s="196">
        <v>1</v>
      </c>
      <c r="H25" s="195">
        <v>300</v>
      </c>
      <c r="I25" s="197">
        <v>41245</v>
      </c>
      <c r="J25" s="197" t="str">
        <f t="shared" si="3"/>
        <v>ok</v>
      </c>
      <c r="K25" s="413"/>
      <c r="L25" s="413"/>
      <c r="M25" s="413"/>
      <c r="N25" s="413"/>
      <c r="O25" s="413"/>
      <c r="P25" s="413"/>
      <c r="Q25" s="413"/>
      <c r="R25" s="413"/>
      <c r="S25" s="413"/>
      <c r="T25" s="413"/>
      <c r="U25" s="413"/>
      <c r="V25" s="413">
        <v>300</v>
      </c>
      <c r="W25" s="413">
        <f t="shared" si="1"/>
        <v>300</v>
      </c>
      <c r="X25" s="412"/>
      <c r="Y25" s="412"/>
      <c r="Z25" s="412"/>
      <c r="AA25" s="412"/>
      <c r="AB25" s="412"/>
      <c r="AC25" s="412"/>
      <c r="AD25" s="412"/>
      <c r="AE25" s="412"/>
      <c r="AF25" s="412"/>
      <c r="AG25" s="412"/>
      <c r="AH25" s="412"/>
      <c r="AI25" s="412"/>
      <c r="AJ25" s="412">
        <f t="shared" si="2"/>
        <v>0</v>
      </c>
      <c r="AK25" s="198"/>
      <c r="AL25" s="250" t="s">
        <v>2067</v>
      </c>
    </row>
    <row r="26" spans="1:38" ht="14.1" customHeight="1" x14ac:dyDescent="0.2">
      <c r="A26" t="s">
        <v>884</v>
      </c>
      <c r="B26" s="193">
        <v>3717</v>
      </c>
      <c r="C26" s="194" t="s">
        <v>794</v>
      </c>
      <c r="D26" s="229" t="s">
        <v>1518</v>
      </c>
      <c r="E26" s="229" t="s">
        <v>6</v>
      </c>
      <c r="F26" s="236">
        <v>100</v>
      </c>
      <c r="G26" s="196">
        <v>1</v>
      </c>
      <c r="H26" s="195">
        <v>400</v>
      </c>
      <c r="I26" s="197">
        <v>41244</v>
      </c>
      <c r="J26" s="197" t="str">
        <f t="shared" si="3"/>
        <v>ok</v>
      </c>
      <c r="K26" s="413"/>
      <c r="L26" s="413"/>
      <c r="M26" s="413"/>
      <c r="N26" s="413"/>
      <c r="O26" s="413"/>
      <c r="P26" s="413"/>
      <c r="Q26" s="413"/>
      <c r="R26" s="413"/>
      <c r="S26" s="413">
        <v>100</v>
      </c>
      <c r="T26" s="413">
        <v>100</v>
      </c>
      <c r="U26" s="413">
        <v>100</v>
      </c>
      <c r="V26" s="413">
        <v>100</v>
      </c>
      <c r="W26" s="413">
        <f t="shared" si="1"/>
        <v>400</v>
      </c>
      <c r="X26" s="412"/>
      <c r="Y26" s="412"/>
      <c r="Z26" s="412"/>
      <c r="AA26" s="412"/>
      <c r="AB26" s="412"/>
      <c r="AC26" s="412"/>
      <c r="AD26" s="412"/>
      <c r="AE26" s="412"/>
      <c r="AF26" s="412"/>
      <c r="AG26" s="412"/>
      <c r="AH26" s="412"/>
      <c r="AI26" s="412"/>
      <c r="AJ26" s="412">
        <f t="shared" si="2"/>
        <v>0</v>
      </c>
      <c r="AK26" s="198"/>
      <c r="AL26" s="250" t="s">
        <v>2067</v>
      </c>
    </row>
    <row r="27" spans="1:38" ht="14.1" customHeight="1" x14ac:dyDescent="0.2">
      <c r="A27" t="s">
        <v>893</v>
      </c>
      <c r="B27" s="193">
        <v>3718</v>
      </c>
      <c r="C27" s="194" t="s">
        <v>1122</v>
      </c>
      <c r="D27" s="229" t="s">
        <v>1577</v>
      </c>
      <c r="E27" s="229" t="s">
        <v>280</v>
      </c>
      <c r="F27" s="236">
        <v>300</v>
      </c>
      <c r="G27" s="196">
        <v>1</v>
      </c>
      <c r="H27" s="195">
        <v>300</v>
      </c>
      <c r="I27" s="197">
        <v>41244</v>
      </c>
      <c r="J27" s="197" t="str">
        <f t="shared" si="3"/>
        <v>ok</v>
      </c>
      <c r="K27" s="413"/>
      <c r="L27" s="413"/>
      <c r="M27" s="413"/>
      <c r="N27" s="413"/>
      <c r="O27" s="413"/>
      <c r="P27" s="413"/>
      <c r="Q27" s="413"/>
      <c r="R27" s="413"/>
      <c r="S27" s="413"/>
      <c r="T27" s="413"/>
      <c r="U27" s="413"/>
      <c r="V27" s="413">
        <v>300</v>
      </c>
      <c r="W27" s="413">
        <f t="shared" si="1"/>
        <v>300</v>
      </c>
      <c r="X27" s="412"/>
      <c r="Y27" s="412"/>
      <c r="Z27" s="412"/>
      <c r="AA27" s="412"/>
      <c r="AB27" s="412"/>
      <c r="AC27" s="412"/>
      <c r="AD27" s="412"/>
      <c r="AE27" s="412"/>
      <c r="AF27" s="412"/>
      <c r="AG27" s="412"/>
      <c r="AH27" s="412"/>
      <c r="AI27" s="412"/>
      <c r="AJ27" s="412">
        <f t="shared" si="2"/>
        <v>0</v>
      </c>
      <c r="AK27" s="198"/>
      <c r="AL27" s="250" t="s">
        <v>2067</v>
      </c>
    </row>
    <row r="28" spans="1:38" ht="14.1" customHeight="1" x14ac:dyDescent="0.2">
      <c r="A28" t="s">
        <v>893</v>
      </c>
      <c r="B28" s="193">
        <v>3719</v>
      </c>
      <c r="C28" s="194" t="s">
        <v>1122</v>
      </c>
      <c r="D28" s="229" t="s">
        <v>1577</v>
      </c>
      <c r="E28" s="229" t="s">
        <v>280</v>
      </c>
      <c r="F28" s="236">
        <v>300</v>
      </c>
      <c r="G28" s="196">
        <v>2</v>
      </c>
      <c r="H28" s="195">
        <v>300</v>
      </c>
      <c r="I28" s="197">
        <v>41244</v>
      </c>
      <c r="J28" s="197" t="str">
        <f t="shared" si="3"/>
        <v>ok</v>
      </c>
      <c r="K28" s="413"/>
      <c r="L28" s="413"/>
      <c r="M28" s="413"/>
      <c r="N28" s="413"/>
      <c r="O28" s="413"/>
      <c r="P28" s="413"/>
      <c r="Q28" s="413"/>
      <c r="R28" s="413"/>
      <c r="S28" s="413"/>
      <c r="T28" s="413"/>
      <c r="U28" s="413"/>
      <c r="V28" s="413"/>
      <c r="W28" s="413">
        <f t="shared" si="1"/>
        <v>0</v>
      </c>
      <c r="X28" s="412"/>
      <c r="Y28" s="412"/>
      <c r="Z28" s="412"/>
      <c r="AA28" s="412"/>
      <c r="AB28" s="412"/>
      <c r="AC28" s="412"/>
      <c r="AD28" s="412"/>
      <c r="AE28" s="412"/>
      <c r="AF28" s="412"/>
      <c r="AG28" s="412"/>
      <c r="AH28" s="412"/>
      <c r="AI28" s="412"/>
      <c r="AJ28" s="412">
        <f t="shared" si="2"/>
        <v>0</v>
      </c>
      <c r="AK28" s="198"/>
      <c r="AL28" s="250" t="s">
        <v>2068</v>
      </c>
    </row>
    <row r="29" spans="1:38" ht="14.1" customHeight="1" x14ac:dyDescent="0.2">
      <c r="A29" t="s">
        <v>884</v>
      </c>
      <c r="B29" s="193">
        <v>3720</v>
      </c>
      <c r="C29" s="194" t="s">
        <v>775</v>
      </c>
      <c r="D29" s="229" t="s">
        <v>1388</v>
      </c>
      <c r="E29" s="229" t="s">
        <v>1207</v>
      </c>
      <c r="F29" s="236">
        <v>300</v>
      </c>
      <c r="G29" s="196">
        <v>1</v>
      </c>
      <c r="H29" s="195">
        <v>300</v>
      </c>
      <c r="I29" s="197">
        <v>41244</v>
      </c>
      <c r="J29" s="197" t="str">
        <f t="shared" si="3"/>
        <v>ok</v>
      </c>
      <c r="K29" s="413"/>
      <c r="L29" s="413"/>
      <c r="M29" s="413"/>
      <c r="N29" s="413"/>
      <c r="O29" s="413"/>
      <c r="P29" s="413"/>
      <c r="Q29" s="413"/>
      <c r="R29" s="413"/>
      <c r="S29" s="413"/>
      <c r="T29" s="413"/>
      <c r="U29" s="413"/>
      <c r="V29" s="413">
        <v>300</v>
      </c>
      <c r="W29" s="413">
        <f t="shared" si="1"/>
        <v>300</v>
      </c>
      <c r="X29" s="412"/>
      <c r="Y29" s="412"/>
      <c r="Z29" s="412"/>
      <c r="AA29" s="412"/>
      <c r="AB29" s="412"/>
      <c r="AC29" s="412"/>
      <c r="AD29" s="412"/>
      <c r="AE29" s="412"/>
      <c r="AF29" s="412"/>
      <c r="AG29" s="412"/>
      <c r="AH29" s="412"/>
      <c r="AI29" s="412"/>
      <c r="AJ29" s="412">
        <f t="shared" si="2"/>
        <v>0</v>
      </c>
      <c r="AK29" s="198"/>
      <c r="AL29" s="250" t="s">
        <v>2067</v>
      </c>
    </row>
    <row r="30" spans="1:38" ht="14.1" customHeight="1" x14ac:dyDescent="0.2">
      <c r="A30" t="s">
        <v>892</v>
      </c>
      <c r="B30" s="193">
        <v>3721</v>
      </c>
      <c r="C30" s="194" t="s">
        <v>1181</v>
      </c>
      <c r="D30" s="229" t="s">
        <v>1425</v>
      </c>
      <c r="E30" s="229" t="s">
        <v>557</v>
      </c>
      <c r="F30" s="236">
        <v>300</v>
      </c>
      <c r="G30" s="196">
        <v>1</v>
      </c>
      <c r="H30" s="195">
        <v>300</v>
      </c>
      <c r="I30" s="197">
        <v>41244</v>
      </c>
      <c r="J30" s="197" t="str">
        <f t="shared" si="3"/>
        <v>ok</v>
      </c>
      <c r="K30" s="413"/>
      <c r="L30" s="413"/>
      <c r="M30" s="413"/>
      <c r="N30" s="413"/>
      <c r="O30" s="413"/>
      <c r="P30" s="413"/>
      <c r="Q30" s="413"/>
      <c r="R30" s="413"/>
      <c r="S30" s="413"/>
      <c r="T30" s="413"/>
      <c r="U30" s="413"/>
      <c r="V30" s="413">
        <v>300</v>
      </c>
      <c r="W30" s="413">
        <f t="shared" si="1"/>
        <v>300</v>
      </c>
      <c r="X30" s="412"/>
      <c r="Y30" s="412"/>
      <c r="Z30" s="412"/>
      <c r="AA30" s="412"/>
      <c r="AB30" s="412"/>
      <c r="AC30" s="412"/>
      <c r="AD30" s="412"/>
      <c r="AE30" s="412"/>
      <c r="AF30" s="412"/>
      <c r="AG30" s="412"/>
      <c r="AH30" s="412"/>
      <c r="AI30" s="412"/>
      <c r="AJ30" s="412">
        <f t="shared" si="2"/>
        <v>0</v>
      </c>
      <c r="AK30" s="198"/>
      <c r="AL30" s="250" t="s">
        <v>2067</v>
      </c>
    </row>
    <row r="31" spans="1:38" ht="14.1" customHeight="1" x14ac:dyDescent="0.2">
      <c r="A31" t="s">
        <v>890</v>
      </c>
      <c r="B31" s="193">
        <v>3722</v>
      </c>
      <c r="C31" s="194" t="s">
        <v>1006</v>
      </c>
      <c r="D31" s="229" t="s">
        <v>1370</v>
      </c>
      <c r="E31" s="229" t="s">
        <v>1217</v>
      </c>
      <c r="F31" s="236">
        <v>300</v>
      </c>
      <c r="G31" s="196">
        <v>1</v>
      </c>
      <c r="H31" s="195">
        <v>300</v>
      </c>
      <c r="I31" s="197">
        <v>41244</v>
      </c>
      <c r="J31" s="197" t="str">
        <f t="shared" si="3"/>
        <v>ok</v>
      </c>
      <c r="K31" s="413"/>
      <c r="L31" s="413"/>
      <c r="M31" s="413"/>
      <c r="N31" s="413"/>
      <c r="O31" s="413"/>
      <c r="P31" s="413"/>
      <c r="Q31" s="413"/>
      <c r="R31" s="413"/>
      <c r="S31" s="413"/>
      <c r="T31" s="413"/>
      <c r="U31" s="413"/>
      <c r="V31" s="413">
        <v>300</v>
      </c>
      <c r="W31" s="413">
        <f t="shared" si="1"/>
        <v>300</v>
      </c>
      <c r="X31" s="412"/>
      <c r="Y31" s="412"/>
      <c r="Z31" s="412"/>
      <c r="AA31" s="412"/>
      <c r="AB31" s="412"/>
      <c r="AC31" s="412"/>
      <c r="AD31" s="412"/>
      <c r="AE31" s="412"/>
      <c r="AF31" s="412"/>
      <c r="AG31" s="412"/>
      <c r="AH31" s="412"/>
      <c r="AI31" s="412"/>
      <c r="AJ31" s="412">
        <f t="shared" si="2"/>
        <v>0</v>
      </c>
      <c r="AK31" s="198"/>
      <c r="AL31" s="250" t="s">
        <v>2067</v>
      </c>
    </row>
    <row r="32" spans="1:38" ht="14.1" customHeight="1" x14ac:dyDescent="0.2">
      <c r="A32" t="s">
        <v>890</v>
      </c>
      <c r="B32" s="193">
        <v>3723</v>
      </c>
      <c r="C32" s="194" t="s">
        <v>989</v>
      </c>
      <c r="D32" s="229" t="s">
        <v>1392</v>
      </c>
      <c r="E32" s="229" t="s">
        <v>478</v>
      </c>
      <c r="F32" s="236">
        <v>300</v>
      </c>
      <c r="G32" s="196">
        <v>1</v>
      </c>
      <c r="H32" s="195">
        <v>300</v>
      </c>
      <c r="I32" s="197">
        <v>41244</v>
      </c>
      <c r="J32" s="197" t="str">
        <f t="shared" si="3"/>
        <v>ok</v>
      </c>
      <c r="K32" s="413"/>
      <c r="L32" s="413"/>
      <c r="M32" s="413"/>
      <c r="N32" s="413"/>
      <c r="O32" s="413"/>
      <c r="P32" s="413"/>
      <c r="Q32" s="413"/>
      <c r="R32" s="413"/>
      <c r="S32" s="413"/>
      <c r="T32" s="413"/>
      <c r="U32" s="413"/>
      <c r="V32" s="413">
        <v>300</v>
      </c>
      <c r="W32" s="413">
        <f t="shared" si="1"/>
        <v>300</v>
      </c>
      <c r="X32" s="412"/>
      <c r="Y32" s="412"/>
      <c r="Z32" s="412"/>
      <c r="AA32" s="412"/>
      <c r="AB32" s="412"/>
      <c r="AC32" s="412"/>
      <c r="AD32" s="412"/>
      <c r="AE32" s="412"/>
      <c r="AF32" s="412"/>
      <c r="AG32" s="412"/>
      <c r="AH32" s="412"/>
      <c r="AI32" s="412"/>
      <c r="AJ32" s="412">
        <f t="shared" si="2"/>
        <v>0</v>
      </c>
      <c r="AK32" s="198"/>
      <c r="AL32" s="250" t="s">
        <v>2067</v>
      </c>
    </row>
    <row r="33" spans="1:38" ht="14.1" customHeight="1" x14ac:dyDescent="0.2">
      <c r="A33" t="s">
        <v>890</v>
      </c>
      <c r="B33" s="193">
        <v>3724</v>
      </c>
      <c r="C33" s="194" t="s">
        <v>989</v>
      </c>
      <c r="D33" s="229" t="s">
        <v>1392</v>
      </c>
      <c r="E33" s="229" t="s">
        <v>478</v>
      </c>
      <c r="F33" s="236">
        <v>300</v>
      </c>
      <c r="G33" s="196">
        <v>2</v>
      </c>
      <c r="H33" s="195">
        <v>300</v>
      </c>
      <c r="I33" s="197">
        <v>41244</v>
      </c>
      <c r="J33" s="197" t="str">
        <f t="shared" si="3"/>
        <v>ok</v>
      </c>
      <c r="K33" s="413"/>
      <c r="L33" s="413"/>
      <c r="M33" s="413"/>
      <c r="N33" s="413"/>
      <c r="O33" s="413"/>
      <c r="P33" s="413"/>
      <c r="Q33" s="413"/>
      <c r="R33" s="413"/>
      <c r="S33" s="413"/>
      <c r="T33" s="413"/>
      <c r="U33" s="413"/>
      <c r="V33" s="413"/>
      <c r="W33" s="413">
        <f t="shared" si="1"/>
        <v>0</v>
      </c>
      <c r="X33" s="412"/>
      <c r="Y33" s="412"/>
      <c r="Z33" s="412"/>
      <c r="AA33" s="412"/>
      <c r="AB33" s="412"/>
      <c r="AC33" s="412"/>
      <c r="AD33" s="412"/>
      <c r="AE33" s="412"/>
      <c r="AF33" s="412"/>
      <c r="AG33" s="412"/>
      <c r="AH33" s="412"/>
      <c r="AI33" s="412"/>
      <c r="AJ33" s="412">
        <f t="shared" si="2"/>
        <v>0</v>
      </c>
      <c r="AK33" s="198"/>
      <c r="AL33" s="250" t="s">
        <v>2068</v>
      </c>
    </row>
    <row r="34" spans="1:38" ht="14.1" customHeight="1" x14ac:dyDescent="0.2">
      <c r="A34" t="s">
        <v>888</v>
      </c>
      <c r="B34" s="193">
        <v>3725</v>
      </c>
      <c r="C34" s="194" t="s">
        <v>939</v>
      </c>
      <c r="D34" s="229" t="s">
        <v>1507</v>
      </c>
      <c r="E34" s="229" t="s">
        <v>395</v>
      </c>
      <c r="F34" s="236">
        <v>300</v>
      </c>
      <c r="G34" s="196">
        <v>1</v>
      </c>
      <c r="H34" s="195">
        <v>300</v>
      </c>
      <c r="I34" s="197">
        <v>41244</v>
      </c>
      <c r="J34" s="197" t="str">
        <f t="shared" si="3"/>
        <v>ok</v>
      </c>
      <c r="K34" s="413"/>
      <c r="L34" s="413"/>
      <c r="M34" s="413"/>
      <c r="N34" s="413"/>
      <c r="O34" s="413"/>
      <c r="P34" s="413"/>
      <c r="Q34" s="413"/>
      <c r="R34" s="413"/>
      <c r="S34" s="413"/>
      <c r="T34" s="413"/>
      <c r="U34" s="413"/>
      <c r="V34" s="413">
        <v>300</v>
      </c>
      <c r="W34" s="413">
        <f t="shared" si="1"/>
        <v>300</v>
      </c>
      <c r="X34" s="412"/>
      <c r="Y34" s="412"/>
      <c r="Z34" s="412"/>
      <c r="AA34" s="412"/>
      <c r="AB34" s="412"/>
      <c r="AC34" s="412"/>
      <c r="AD34" s="412"/>
      <c r="AE34" s="412"/>
      <c r="AF34" s="412"/>
      <c r="AG34" s="412"/>
      <c r="AH34" s="412"/>
      <c r="AI34" s="412"/>
      <c r="AJ34" s="412">
        <f t="shared" si="2"/>
        <v>0</v>
      </c>
      <c r="AK34" s="198"/>
      <c r="AL34" s="250" t="s">
        <v>2067</v>
      </c>
    </row>
    <row r="35" spans="1:38" ht="14.1" customHeight="1" x14ac:dyDescent="0.2">
      <c r="A35" t="s">
        <v>893</v>
      </c>
      <c r="B35" s="193">
        <v>3726</v>
      </c>
      <c r="C35" s="194" t="s">
        <v>1076</v>
      </c>
      <c r="D35" s="229" t="s">
        <v>1395</v>
      </c>
      <c r="E35" s="229" t="s">
        <v>193</v>
      </c>
      <c r="F35" s="236">
        <v>300</v>
      </c>
      <c r="G35" s="196">
        <v>1</v>
      </c>
      <c r="H35" s="195">
        <v>300</v>
      </c>
      <c r="I35" s="197">
        <v>41244</v>
      </c>
      <c r="J35" s="197" t="str">
        <f t="shared" si="3"/>
        <v>ok</v>
      </c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>
        <v>300</v>
      </c>
      <c r="W35" s="413">
        <f t="shared" si="1"/>
        <v>300</v>
      </c>
      <c r="X35" s="412"/>
      <c r="Y35" s="412"/>
      <c r="Z35" s="412"/>
      <c r="AA35" s="412"/>
      <c r="AB35" s="412"/>
      <c r="AC35" s="412"/>
      <c r="AD35" s="412"/>
      <c r="AE35" s="412"/>
      <c r="AF35" s="412"/>
      <c r="AG35" s="412"/>
      <c r="AH35" s="412"/>
      <c r="AI35" s="412"/>
      <c r="AJ35" s="412">
        <f t="shared" si="2"/>
        <v>0</v>
      </c>
      <c r="AK35" s="198"/>
      <c r="AL35" s="250" t="s">
        <v>2067</v>
      </c>
    </row>
    <row r="36" spans="1:38" ht="14.1" customHeight="1" x14ac:dyDescent="0.2">
      <c r="A36" t="s">
        <v>893</v>
      </c>
      <c r="B36" s="193">
        <v>3727</v>
      </c>
      <c r="C36" s="194" t="s">
        <v>1136</v>
      </c>
      <c r="D36" s="229" t="s">
        <v>1502</v>
      </c>
      <c r="E36" s="229" t="s">
        <v>308</v>
      </c>
      <c r="F36" s="236">
        <v>300</v>
      </c>
      <c r="G36" s="196">
        <v>1</v>
      </c>
      <c r="H36" s="195">
        <v>300</v>
      </c>
      <c r="I36" s="197">
        <v>41244</v>
      </c>
      <c r="J36" s="197" t="str">
        <f t="shared" si="3"/>
        <v>ok</v>
      </c>
      <c r="K36" s="413"/>
      <c r="L36" s="413"/>
      <c r="M36" s="413"/>
      <c r="N36" s="413"/>
      <c r="O36" s="413"/>
      <c r="P36" s="413"/>
      <c r="Q36" s="413"/>
      <c r="R36" s="413"/>
      <c r="S36" s="413"/>
      <c r="T36" s="413"/>
      <c r="U36" s="413">
        <v>300</v>
      </c>
      <c r="V36" s="413"/>
      <c r="W36" s="413">
        <f t="shared" si="1"/>
        <v>300</v>
      </c>
      <c r="X36" s="412"/>
      <c r="Y36" s="412"/>
      <c r="Z36" s="412"/>
      <c r="AA36" s="412"/>
      <c r="AB36" s="412"/>
      <c r="AC36" s="412"/>
      <c r="AD36" s="412"/>
      <c r="AE36" s="412"/>
      <c r="AF36" s="412"/>
      <c r="AG36" s="412"/>
      <c r="AH36" s="412"/>
      <c r="AI36" s="412"/>
      <c r="AJ36" s="412">
        <f t="shared" si="2"/>
        <v>0</v>
      </c>
      <c r="AK36" s="198"/>
      <c r="AL36" s="250" t="s">
        <v>2067</v>
      </c>
    </row>
    <row r="37" spans="1:38" ht="14.1" customHeight="1" x14ac:dyDescent="0.2">
      <c r="A37" t="s">
        <v>884</v>
      </c>
      <c r="B37" s="193">
        <v>3728</v>
      </c>
      <c r="C37" s="194" t="s">
        <v>824</v>
      </c>
      <c r="D37" s="229" t="s">
        <v>1506</v>
      </c>
      <c r="E37" s="229" t="s">
        <v>1570</v>
      </c>
      <c r="F37" s="236">
        <v>300</v>
      </c>
      <c r="G37" s="196">
        <v>1</v>
      </c>
      <c r="H37" s="195">
        <v>600</v>
      </c>
      <c r="I37" s="197">
        <v>41244</v>
      </c>
      <c r="J37" s="197" t="str">
        <f t="shared" si="3"/>
        <v>ok</v>
      </c>
      <c r="K37" s="413"/>
      <c r="L37" s="413"/>
      <c r="M37" s="413"/>
      <c r="N37" s="413"/>
      <c r="O37" s="413"/>
      <c r="P37" s="413"/>
      <c r="Q37" s="413"/>
      <c r="R37" s="413"/>
      <c r="S37" s="413"/>
      <c r="T37" s="413">
        <v>300</v>
      </c>
      <c r="U37" s="413">
        <v>300</v>
      </c>
      <c r="V37" s="413"/>
      <c r="W37" s="413">
        <f t="shared" si="1"/>
        <v>600</v>
      </c>
      <c r="X37" s="412"/>
      <c r="Y37" s="412"/>
      <c r="Z37" s="412"/>
      <c r="AA37" s="412"/>
      <c r="AB37" s="412"/>
      <c r="AC37" s="412"/>
      <c r="AD37" s="412"/>
      <c r="AE37" s="412"/>
      <c r="AF37" s="412"/>
      <c r="AG37" s="412"/>
      <c r="AH37" s="412"/>
      <c r="AI37" s="412"/>
      <c r="AJ37" s="412">
        <f t="shared" si="2"/>
        <v>0</v>
      </c>
      <c r="AK37" s="198"/>
      <c r="AL37" s="250" t="s">
        <v>2067</v>
      </c>
    </row>
    <row r="38" spans="1:38" ht="14.1" customHeight="1" x14ac:dyDescent="0.2">
      <c r="A38" t="s">
        <v>893</v>
      </c>
      <c r="B38" s="193">
        <v>3729</v>
      </c>
      <c r="C38" s="194" t="s">
        <v>1124</v>
      </c>
      <c r="D38" s="229" t="s">
        <v>1364</v>
      </c>
      <c r="E38" s="229" t="s">
        <v>1630</v>
      </c>
      <c r="F38" s="236">
        <v>300</v>
      </c>
      <c r="G38" s="196">
        <v>1</v>
      </c>
      <c r="H38" s="195">
        <v>300</v>
      </c>
      <c r="I38" s="197">
        <v>41244</v>
      </c>
      <c r="J38" s="197" t="str">
        <f t="shared" si="3"/>
        <v>ok</v>
      </c>
      <c r="K38" s="413"/>
      <c r="L38" s="413"/>
      <c r="M38" s="413"/>
      <c r="N38" s="413"/>
      <c r="O38" s="413"/>
      <c r="P38" s="413"/>
      <c r="Q38" s="413"/>
      <c r="R38" s="413"/>
      <c r="S38" s="413"/>
      <c r="T38" s="413"/>
      <c r="U38" s="413"/>
      <c r="V38" s="413">
        <v>300</v>
      </c>
      <c r="W38" s="413">
        <f t="shared" si="1"/>
        <v>300</v>
      </c>
      <c r="X38" s="412"/>
      <c r="Y38" s="412"/>
      <c r="Z38" s="412"/>
      <c r="AA38" s="412"/>
      <c r="AB38" s="412"/>
      <c r="AC38" s="412"/>
      <c r="AD38" s="412"/>
      <c r="AE38" s="412"/>
      <c r="AF38" s="412"/>
      <c r="AG38" s="412"/>
      <c r="AH38" s="412"/>
      <c r="AI38" s="412"/>
      <c r="AJ38" s="412">
        <f t="shared" si="2"/>
        <v>0</v>
      </c>
      <c r="AK38" s="198"/>
      <c r="AL38" s="250" t="s">
        <v>2067</v>
      </c>
    </row>
    <row r="39" spans="1:38" ht="14.1" customHeight="1" x14ac:dyDescent="0.2">
      <c r="A39" t="s">
        <v>893</v>
      </c>
      <c r="B39" s="193">
        <v>3730</v>
      </c>
      <c r="C39" s="194" t="s">
        <v>777</v>
      </c>
      <c r="D39" s="229" t="s">
        <v>1387</v>
      </c>
      <c r="E39" s="229" t="s">
        <v>714</v>
      </c>
      <c r="F39" s="236">
        <v>300</v>
      </c>
      <c r="G39" s="196">
        <v>1</v>
      </c>
      <c r="H39" s="195">
        <v>600</v>
      </c>
      <c r="I39" s="197">
        <v>41244</v>
      </c>
      <c r="J39" s="197" t="str">
        <f t="shared" si="3"/>
        <v>ok</v>
      </c>
      <c r="K39" s="413"/>
      <c r="L39" s="413"/>
      <c r="M39" s="413"/>
      <c r="N39" s="413"/>
      <c r="O39" s="413"/>
      <c r="P39" s="413"/>
      <c r="Q39" s="413"/>
      <c r="R39" s="413"/>
      <c r="S39" s="413"/>
      <c r="T39" s="413"/>
      <c r="U39" s="413">
        <v>300</v>
      </c>
      <c r="V39" s="413">
        <v>300</v>
      </c>
      <c r="W39" s="413">
        <f t="shared" si="1"/>
        <v>600</v>
      </c>
      <c r="X39" s="412"/>
      <c r="Y39" s="412"/>
      <c r="Z39" s="412"/>
      <c r="AA39" s="412"/>
      <c r="AB39" s="412"/>
      <c r="AC39" s="412"/>
      <c r="AD39" s="412"/>
      <c r="AE39" s="412"/>
      <c r="AF39" s="412"/>
      <c r="AG39" s="412"/>
      <c r="AH39" s="412"/>
      <c r="AI39" s="412"/>
      <c r="AJ39" s="412">
        <f t="shared" si="2"/>
        <v>0</v>
      </c>
      <c r="AK39" s="198"/>
      <c r="AL39" s="250" t="s">
        <v>2067</v>
      </c>
    </row>
    <row r="40" spans="1:38" ht="14.1" customHeight="1" x14ac:dyDescent="0.2">
      <c r="A40" t="s">
        <v>893</v>
      </c>
      <c r="B40" s="193">
        <v>3730</v>
      </c>
      <c r="C40" s="194" t="s">
        <v>777</v>
      </c>
      <c r="D40" s="229" t="s">
        <v>1387</v>
      </c>
      <c r="E40" s="229" t="s">
        <v>714</v>
      </c>
      <c r="F40" s="236">
        <v>300</v>
      </c>
      <c r="G40" s="196">
        <v>2</v>
      </c>
      <c r="H40" s="195">
        <v>300</v>
      </c>
      <c r="I40" s="197">
        <v>41244</v>
      </c>
      <c r="J40" s="197" t="str">
        <f t="shared" si="3"/>
        <v>ok</v>
      </c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413">
        <f t="shared" si="1"/>
        <v>0</v>
      </c>
      <c r="X40" s="412"/>
      <c r="Y40" s="412"/>
      <c r="Z40" s="412"/>
      <c r="AA40" s="412"/>
      <c r="AB40" s="412"/>
      <c r="AC40" s="412"/>
      <c r="AD40" s="412"/>
      <c r="AE40" s="412"/>
      <c r="AF40" s="412"/>
      <c r="AG40" s="412"/>
      <c r="AH40" s="412"/>
      <c r="AI40" s="412"/>
      <c r="AJ40" s="412">
        <f t="shared" si="2"/>
        <v>0</v>
      </c>
      <c r="AK40" s="198"/>
      <c r="AL40" s="250" t="s">
        <v>2068</v>
      </c>
    </row>
    <row r="41" spans="1:38" ht="14.1" customHeight="1" x14ac:dyDescent="0.2">
      <c r="A41" t="s">
        <v>890</v>
      </c>
      <c r="B41" s="193">
        <v>3731</v>
      </c>
      <c r="C41" s="194" t="s">
        <v>1040</v>
      </c>
      <c r="D41" s="229" t="s">
        <v>1511</v>
      </c>
      <c r="E41" s="229" t="s">
        <v>548</v>
      </c>
      <c r="F41" s="236">
        <v>300</v>
      </c>
      <c r="G41" s="196">
        <v>1</v>
      </c>
      <c r="H41" s="195">
        <v>300</v>
      </c>
      <c r="I41" s="197">
        <v>41244</v>
      </c>
      <c r="J41" s="197" t="str">
        <f t="shared" si="3"/>
        <v>ok</v>
      </c>
      <c r="K41" s="413"/>
      <c r="L41" s="413"/>
      <c r="M41" s="413"/>
      <c r="N41" s="413"/>
      <c r="O41" s="413"/>
      <c r="P41" s="413"/>
      <c r="Q41" s="413"/>
      <c r="R41" s="413"/>
      <c r="S41" s="413"/>
      <c r="T41" s="413"/>
      <c r="U41" s="413"/>
      <c r="V41" s="413">
        <v>300</v>
      </c>
      <c r="W41" s="413">
        <f t="shared" si="1"/>
        <v>300</v>
      </c>
      <c r="X41" s="412"/>
      <c r="Y41" s="412"/>
      <c r="Z41" s="412"/>
      <c r="AA41" s="412"/>
      <c r="AB41" s="412"/>
      <c r="AC41" s="412"/>
      <c r="AD41" s="412"/>
      <c r="AE41" s="412"/>
      <c r="AF41" s="412"/>
      <c r="AG41" s="412"/>
      <c r="AH41" s="412"/>
      <c r="AI41" s="412"/>
      <c r="AJ41" s="412">
        <f t="shared" si="2"/>
        <v>0</v>
      </c>
      <c r="AK41" s="198"/>
      <c r="AL41" s="250" t="s">
        <v>2067</v>
      </c>
    </row>
    <row r="42" spans="1:38" ht="14.1" customHeight="1" x14ac:dyDescent="0.2">
      <c r="A42" t="s">
        <v>890</v>
      </c>
      <c r="B42" s="193">
        <v>3731</v>
      </c>
      <c r="C42" s="194" t="s">
        <v>1040</v>
      </c>
      <c r="D42" s="229" t="s">
        <v>1511</v>
      </c>
      <c r="E42" s="229" t="s">
        <v>548</v>
      </c>
      <c r="F42" s="236">
        <v>300</v>
      </c>
      <c r="G42" s="196">
        <v>2</v>
      </c>
      <c r="H42" s="195">
        <v>300</v>
      </c>
      <c r="I42" s="197">
        <v>41244</v>
      </c>
      <c r="J42" s="197" t="str">
        <f t="shared" si="3"/>
        <v>ok</v>
      </c>
      <c r="K42" s="413"/>
      <c r="L42" s="413"/>
      <c r="M42" s="413"/>
      <c r="N42" s="413"/>
      <c r="O42" s="413"/>
      <c r="P42" s="413"/>
      <c r="Q42" s="413"/>
      <c r="R42" s="413"/>
      <c r="S42" s="413"/>
      <c r="T42" s="413"/>
      <c r="U42" s="413"/>
      <c r="V42" s="413"/>
      <c r="W42" s="413">
        <f t="shared" si="1"/>
        <v>0</v>
      </c>
      <c r="X42" s="412"/>
      <c r="Y42" s="412"/>
      <c r="Z42" s="412"/>
      <c r="AA42" s="412"/>
      <c r="AB42" s="412"/>
      <c r="AC42" s="412"/>
      <c r="AD42" s="412"/>
      <c r="AE42" s="412"/>
      <c r="AF42" s="412"/>
      <c r="AG42" s="412"/>
      <c r="AH42" s="412"/>
      <c r="AI42" s="412"/>
      <c r="AJ42" s="412">
        <f t="shared" si="2"/>
        <v>0</v>
      </c>
      <c r="AK42" s="198"/>
      <c r="AL42" s="250" t="s">
        <v>2068</v>
      </c>
    </row>
    <row r="43" spans="1:38" ht="14.1" customHeight="1" x14ac:dyDescent="0.2">
      <c r="A43" t="s">
        <v>884</v>
      </c>
      <c r="B43" s="193">
        <v>3732</v>
      </c>
      <c r="C43" s="194" t="s">
        <v>873</v>
      </c>
      <c r="D43" s="229" t="s">
        <v>1385</v>
      </c>
      <c r="E43" s="229" t="s">
        <v>126</v>
      </c>
      <c r="F43" s="236">
        <v>300</v>
      </c>
      <c r="G43" s="196">
        <v>1</v>
      </c>
      <c r="H43" s="195">
        <v>300</v>
      </c>
      <c r="I43" s="197">
        <v>41244</v>
      </c>
      <c r="J43" s="197" t="str">
        <f t="shared" si="3"/>
        <v>ok</v>
      </c>
      <c r="K43" s="413"/>
      <c r="L43" s="413"/>
      <c r="M43" s="413"/>
      <c r="N43" s="413"/>
      <c r="O43" s="413"/>
      <c r="P43" s="413"/>
      <c r="Q43" s="413"/>
      <c r="R43" s="413"/>
      <c r="S43" s="413"/>
      <c r="T43" s="413"/>
      <c r="U43" s="413"/>
      <c r="V43" s="413">
        <v>300</v>
      </c>
      <c r="W43" s="413">
        <f t="shared" si="1"/>
        <v>300</v>
      </c>
      <c r="X43" s="412"/>
      <c r="Y43" s="412"/>
      <c r="Z43" s="412"/>
      <c r="AA43" s="412"/>
      <c r="AB43" s="412"/>
      <c r="AC43" s="412"/>
      <c r="AD43" s="412"/>
      <c r="AE43" s="412"/>
      <c r="AF43" s="412"/>
      <c r="AG43" s="412"/>
      <c r="AH43" s="412"/>
      <c r="AI43" s="412"/>
      <c r="AJ43" s="412">
        <f t="shared" si="2"/>
        <v>0</v>
      </c>
      <c r="AK43" s="198"/>
      <c r="AL43" s="250" t="s">
        <v>2067</v>
      </c>
    </row>
    <row r="44" spans="1:38" ht="14.1" customHeight="1" x14ac:dyDescent="0.2">
      <c r="A44" t="s">
        <v>892</v>
      </c>
      <c r="B44" s="193">
        <v>3733</v>
      </c>
      <c r="C44" s="194" t="s">
        <v>1066</v>
      </c>
      <c r="D44" s="229" t="s">
        <v>1591</v>
      </c>
      <c r="E44" s="229" t="s">
        <v>663</v>
      </c>
      <c r="F44" s="236">
        <v>300</v>
      </c>
      <c r="G44" s="196">
        <v>1</v>
      </c>
      <c r="H44" s="195">
        <v>300</v>
      </c>
      <c r="I44" s="197">
        <v>41244</v>
      </c>
      <c r="J44" s="197" t="str">
        <f t="shared" si="3"/>
        <v>ok</v>
      </c>
      <c r="K44" s="413"/>
      <c r="L44" s="413"/>
      <c r="M44" s="413"/>
      <c r="N44" s="413"/>
      <c r="O44" s="413"/>
      <c r="P44" s="413"/>
      <c r="Q44" s="413"/>
      <c r="R44" s="413"/>
      <c r="S44" s="413"/>
      <c r="T44" s="413"/>
      <c r="U44" s="413"/>
      <c r="V44" s="413">
        <v>300</v>
      </c>
      <c r="W44" s="413">
        <f t="shared" si="1"/>
        <v>300</v>
      </c>
      <c r="X44" s="412"/>
      <c r="Y44" s="412"/>
      <c r="Z44" s="412"/>
      <c r="AA44" s="412"/>
      <c r="AB44" s="412"/>
      <c r="AC44" s="412"/>
      <c r="AD44" s="412"/>
      <c r="AE44" s="412"/>
      <c r="AF44" s="412"/>
      <c r="AG44" s="412"/>
      <c r="AH44" s="412"/>
      <c r="AI44" s="412"/>
      <c r="AJ44" s="412">
        <f t="shared" si="2"/>
        <v>0</v>
      </c>
      <c r="AK44" s="198"/>
      <c r="AL44" s="250" t="s">
        <v>2067</v>
      </c>
    </row>
    <row r="45" spans="1:38" ht="14.1" customHeight="1" x14ac:dyDescent="0.2">
      <c r="A45" t="s">
        <v>888</v>
      </c>
      <c r="B45" s="193">
        <v>3734</v>
      </c>
      <c r="C45" s="194" t="s">
        <v>940</v>
      </c>
      <c r="D45" s="229" t="s">
        <v>1575</v>
      </c>
      <c r="E45" s="229" t="s">
        <v>397</v>
      </c>
      <c r="F45" s="236">
        <v>300</v>
      </c>
      <c r="G45" s="196">
        <v>1</v>
      </c>
      <c r="H45" s="195">
        <v>900</v>
      </c>
      <c r="I45" s="197">
        <v>41244</v>
      </c>
      <c r="J45" s="197" t="str">
        <f t="shared" si="3"/>
        <v>ok</v>
      </c>
      <c r="K45" s="413"/>
      <c r="L45" s="413"/>
      <c r="M45" s="413"/>
      <c r="N45" s="413"/>
      <c r="O45" s="413"/>
      <c r="P45" s="413"/>
      <c r="Q45" s="413"/>
      <c r="R45" s="413"/>
      <c r="S45" s="413"/>
      <c r="T45" s="413">
        <v>300</v>
      </c>
      <c r="U45" s="413">
        <v>300</v>
      </c>
      <c r="V45" s="413">
        <v>300</v>
      </c>
      <c r="W45" s="413">
        <f t="shared" si="1"/>
        <v>900</v>
      </c>
      <c r="X45" s="412"/>
      <c r="Y45" s="412"/>
      <c r="Z45" s="412"/>
      <c r="AA45" s="412"/>
      <c r="AB45" s="412"/>
      <c r="AC45" s="412"/>
      <c r="AD45" s="412"/>
      <c r="AE45" s="412"/>
      <c r="AF45" s="412"/>
      <c r="AG45" s="412"/>
      <c r="AH45" s="412"/>
      <c r="AI45" s="412"/>
      <c r="AJ45" s="412">
        <f t="shared" si="2"/>
        <v>0</v>
      </c>
      <c r="AK45" s="198"/>
      <c r="AL45" s="250" t="s">
        <v>2067</v>
      </c>
    </row>
    <row r="46" spans="1:38" ht="14.1" customHeight="1" x14ac:dyDescent="0.2">
      <c r="A46" t="s">
        <v>888</v>
      </c>
      <c r="B46" s="193">
        <v>3734</v>
      </c>
      <c r="C46" s="194" t="s">
        <v>940</v>
      </c>
      <c r="D46" s="229" t="s">
        <v>1575</v>
      </c>
      <c r="E46" s="229" t="s">
        <v>397</v>
      </c>
      <c r="F46" s="236">
        <v>300</v>
      </c>
      <c r="G46" s="196">
        <v>2</v>
      </c>
      <c r="H46" s="195">
        <v>300</v>
      </c>
      <c r="I46" s="197">
        <v>41244</v>
      </c>
      <c r="J46" s="197" t="str">
        <f t="shared" si="3"/>
        <v>ok</v>
      </c>
      <c r="K46" s="413"/>
      <c r="L46" s="413"/>
      <c r="M46" s="413"/>
      <c r="N46" s="413"/>
      <c r="O46" s="413"/>
      <c r="P46" s="413"/>
      <c r="Q46" s="413"/>
      <c r="R46" s="413"/>
      <c r="S46" s="413"/>
      <c r="T46" s="413"/>
      <c r="U46" s="413"/>
      <c r="V46" s="413"/>
      <c r="W46" s="413">
        <f t="shared" si="1"/>
        <v>0</v>
      </c>
      <c r="X46" s="412"/>
      <c r="Y46" s="412"/>
      <c r="Z46" s="412"/>
      <c r="AA46" s="412"/>
      <c r="AB46" s="412"/>
      <c r="AC46" s="412"/>
      <c r="AD46" s="412"/>
      <c r="AE46" s="412"/>
      <c r="AF46" s="412"/>
      <c r="AG46" s="412"/>
      <c r="AH46" s="412"/>
      <c r="AI46" s="412"/>
      <c r="AJ46" s="412">
        <f t="shared" si="2"/>
        <v>0</v>
      </c>
      <c r="AK46" s="198"/>
      <c r="AL46" s="250" t="s">
        <v>2068</v>
      </c>
    </row>
    <row r="47" spans="1:38" ht="14.1" customHeight="1" x14ac:dyDescent="0.2">
      <c r="A47" t="s">
        <v>888</v>
      </c>
      <c r="B47" s="193">
        <v>3735</v>
      </c>
      <c r="C47" s="194" t="s">
        <v>923</v>
      </c>
      <c r="D47" s="229" t="s">
        <v>1561</v>
      </c>
      <c r="E47" s="229" t="s">
        <v>191</v>
      </c>
      <c r="F47" s="236">
        <v>300</v>
      </c>
      <c r="G47" s="196">
        <v>1</v>
      </c>
      <c r="H47" s="195">
        <v>300</v>
      </c>
      <c r="I47" s="197">
        <v>41244</v>
      </c>
      <c r="J47" s="197" t="str">
        <f t="shared" si="3"/>
        <v>ok</v>
      </c>
      <c r="K47" s="413"/>
      <c r="L47" s="413"/>
      <c r="M47" s="413"/>
      <c r="N47" s="413"/>
      <c r="O47" s="413"/>
      <c r="P47" s="413"/>
      <c r="Q47" s="413"/>
      <c r="R47" s="413"/>
      <c r="S47" s="413"/>
      <c r="T47" s="413"/>
      <c r="U47" s="413"/>
      <c r="V47" s="413">
        <v>300</v>
      </c>
      <c r="W47" s="413">
        <f t="shared" si="1"/>
        <v>300</v>
      </c>
      <c r="X47" s="412"/>
      <c r="Y47" s="412"/>
      <c r="Z47" s="412"/>
      <c r="AA47" s="412"/>
      <c r="AB47" s="412"/>
      <c r="AC47" s="412"/>
      <c r="AD47" s="412"/>
      <c r="AE47" s="412"/>
      <c r="AF47" s="412"/>
      <c r="AG47" s="412"/>
      <c r="AH47" s="412"/>
      <c r="AI47" s="412"/>
      <c r="AJ47" s="412">
        <f t="shared" si="2"/>
        <v>0</v>
      </c>
      <c r="AK47" s="198"/>
      <c r="AL47" s="250" t="s">
        <v>2067</v>
      </c>
    </row>
    <row r="48" spans="1:38" ht="14.1" customHeight="1" x14ac:dyDescent="0.2">
      <c r="A48" t="s">
        <v>884</v>
      </c>
      <c r="B48" s="193">
        <v>3736</v>
      </c>
      <c r="C48" s="194" t="s">
        <v>772</v>
      </c>
      <c r="D48" s="229" t="s">
        <v>1409</v>
      </c>
      <c r="E48" s="229" t="s">
        <v>705</v>
      </c>
      <c r="F48" s="236">
        <v>125</v>
      </c>
      <c r="G48" s="196">
        <v>1</v>
      </c>
      <c r="H48" s="195">
        <v>125</v>
      </c>
      <c r="I48" s="197">
        <v>41245</v>
      </c>
      <c r="J48" s="197" t="str">
        <f t="shared" si="3"/>
        <v>ok</v>
      </c>
      <c r="K48" s="413"/>
      <c r="L48" s="413"/>
      <c r="M48" s="413"/>
      <c r="N48" s="413"/>
      <c r="O48" s="413"/>
      <c r="P48" s="413"/>
      <c r="Q48" s="413"/>
      <c r="R48" s="413"/>
      <c r="S48" s="413"/>
      <c r="T48" s="413"/>
      <c r="U48" s="413"/>
      <c r="V48" s="413">
        <v>125</v>
      </c>
      <c r="W48" s="413">
        <f t="shared" si="1"/>
        <v>125</v>
      </c>
      <c r="X48" s="412"/>
      <c r="Y48" s="412"/>
      <c r="Z48" s="412"/>
      <c r="AA48" s="412"/>
      <c r="AB48" s="412"/>
      <c r="AC48" s="412"/>
      <c r="AD48" s="412"/>
      <c r="AE48" s="412"/>
      <c r="AF48" s="412"/>
      <c r="AG48" s="412"/>
      <c r="AH48" s="412"/>
      <c r="AI48" s="412"/>
      <c r="AJ48" s="412">
        <f t="shared" si="2"/>
        <v>0</v>
      </c>
      <c r="AK48" s="198"/>
      <c r="AL48" s="250" t="s">
        <v>2067</v>
      </c>
    </row>
    <row r="49" spans="1:38" ht="14.1" customHeight="1" x14ac:dyDescent="0.2">
      <c r="A49" t="s">
        <v>890</v>
      </c>
      <c r="B49" s="193">
        <v>3737</v>
      </c>
      <c r="C49" s="194" t="s">
        <v>787</v>
      </c>
      <c r="D49" s="229" t="s">
        <v>1618</v>
      </c>
      <c r="E49" s="229" t="s">
        <v>532</v>
      </c>
      <c r="F49" s="236">
        <v>300</v>
      </c>
      <c r="G49" s="196">
        <v>1</v>
      </c>
      <c r="H49" s="195">
        <v>300</v>
      </c>
      <c r="I49" s="197">
        <v>41245</v>
      </c>
      <c r="J49" s="197" t="str">
        <f t="shared" si="3"/>
        <v>ok</v>
      </c>
      <c r="K49" s="413"/>
      <c r="L49" s="413"/>
      <c r="M49" s="413"/>
      <c r="N49" s="413"/>
      <c r="O49" s="413"/>
      <c r="P49" s="413"/>
      <c r="Q49" s="413"/>
      <c r="R49" s="413"/>
      <c r="S49" s="413"/>
      <c r="T49" s="413"/>
      <c r="U49" s="413"/>
      <c r="V49" s="413">
        <v>300</v>
      </c>
      <c r="W49" s="413">
        <f t="shared" si="1"/>
        <v>300</v>
      </c>
      <c r="X49" s="412"/>
      <c r="Y49" s="412"/>
      <c r="Z49" s="412"/>
      <c r="AA49" s="412"/>
      <c r="AB49" s="412"/>
      <c r="AC49" s="412"/>
      <c r="AD49" s="412"/>
      <c r="AE49" s="412"/>
      <c r="AF49" s="412"/>
      <c r="AG49" s="412"/>
      <c r="AH49" s="412"/>
      <c r="AI49" s="412"/>
      <c r="AJ49" s="412">
        <f t="shared" si="2"/>
        <v>0</v>
      </c>
      <c r="AK49" s="198"/>
      <c r="AL49" s="250" t="s">
        <v>2067</v>
      </c>
    </row>
    <row r="50" spans="1:38" ht="14.1" customHeight="1" x14ac:dyDescent="0.2">
      <c r="A50" t="s">
        <v>894</v>
      </c>
      <c r="B50" s="193">
        <v>3738</v>
      </c>
      <c r="C50" s="194" t="s">
        <v>1172</v>
      </c>
      <c r="D50" s="229" t="s">
        <v>1390</v>
      </c>
      <c r="E50" s="229" t="s">
        <v>626</v>
      </c>
      <c r="F50" s="236">
        <v>300</v>
      </c>
      <c r="G50" s="196">
        <v>1</v>
      </c>
      <c r="H50" s="195">
        <v>300</v>
      </c>
      <c r="I50" s="197">
        <v>41245</v>
      </c>
      <c r="J50" s="197" t="str">
        <f t="shared" si="3"/>
        <v>ok</v>
      </c>
      <c r="K50" s="413"/>
      <c r="L50" s="413"/>
      <c r="M50" s="413"/>
      <c r="N50" s="413"/>
      <c r="O50" s="413"/>
      <c r="P50" s="413"/>
      <c r="Q50" s="413"/>
      <c r="R50" s="413"/>
      <c r="S50" s="413"/>
      <c r="T50" s="413"/>
      <c r="U50" s="413"/>
      <c r="V50" s="413">
        <v>300</v>
      </c>
      <c r="W50" s="413">
        <f t="shared" si="1"/>
        <v>300</v>
      </c>
      <c r="X50" s="412"/>
      <c r="Y50" s="412"/>
      <c r="Z50" s="412"/>
      <c r="AA50" s="412"/>
      <c r="AB50" s="412"/>
      <c r="AC50" s="412"/>
      <c r="AD50" s="412"/>
      <c r="AE50" s="412"/>
      <c r="AF50" s="412"/>
      <c r="AG50" s="412"/>
      <c r="AH50" s="412"/>
      <c r="AI50" s="412"/>
      <c r="AJ50" s="412">
        <f t="shared" si="2"/>
        <v>0</v>
      </c>
      <c r="AK50" s="198"/>
      <c r="AL50" s="250" t="s">
        <v>2067</v>
      </c>
    </row>
    <row r="51" spans="1:38" ht="14.1" customHeight="1" x14ac:dyDescent="0.2">
      <c r="A51" t="s">
        <v>888</v>
      </c>
      <c r="B51" s="193">
        <v>3739</v>
      </c>
      <c r="C51" s="194" t="s">
        <v>913</v>
      </c>
      <c r="D51" s="229" t="s">
        <v>1415</v>
      </c>
      <c r="E51" s="229" t="s">
        <v>348</v>
      </c>
      <c r="F51" s="236">
        <v>200</v>
      </c>
      <c r="G51" s="196">
        <v>1</v>
      </c>
      <c r="H51" s="195">
        <v>200</v>
      </c>
      <c r="I51" s="197">
        <v>41245</v>
      </c>
      <c r="J51" s="197" t="str">
        <f t="shared" si="3"/>
        <v>ok</v>
      </c>
      <c r="K51" s="413"/>
      <c r="L51" s="413"/>
      <c r="M51" s="413"/>
      <c r="N51" s="413"/>
      <c r="O51" s="413"/>
      <c r="P51" s="413"/>
      <c r="Q51" s="413"/>
      <c r="R51" s="413"/>
      <c r="S51" s="413"/>
      <c r="T51" s="413"/>
      <c r="U51" s="413"/>
      <c r="V51" s="413">
        <v>200</v>
      </c>
      <c r="W51" s="413">
        <f t="shared" si="1"/>
        <v>200</v>
      </c>
      <c r="X51" s="412"/>
      <c r="Y51" s="412"/>
      <c r="Z51" s="412"/>
      <c r="AA51" s="412"/>
      <c r="AB51" s="412"/>
      <c r="AC51" s="412"/>
      <c r="AD51" s="412"/>
      <c r="AE51" s="412"/>
      <c r="AF51" s="412"/>
      <c r="AG51" s="412"/>
      <c r="AH51" s="412"/>
      <c r="AI51" s="412"/>
      <c r="AJ51" s="412">
        <f t="shared" si="2"/>
        <v>0</v>
      </c>
      <c r="AK51" s="198"/>
      <c r="AL51" s="250" t="s">
        <v>2067</v>
      </c>
    </row>
    <row r="52" spans="1:38" ht="14.1" customHeight="1" x14ac:dyDescent="0.2">
      <c r="A52" t="s">
        <v>888</v>
      </c>
      <c r="B52" s="193">
        <v>3740</v>
      </c>
      <c r="C52" s="194" t="s">
        <v>913</v>
      </c>
      <c r="D52" s="229" t="s">
        <v>1415</v>
      </c>
      <c r="E52" s="229" t="s">
        <v>348</v>
      </c>
      <c r="F52" s="236">
        <v>200</v>
      </c>
      <c r="G52" s="196">
        <v>4</v>
      </c>
      <c r="H52" s="195">
        <v>160</v>
      </c>
      <c r="I52" s="197">
        <v>41245</v>
      </c>
      <c r="J52" s="197" t="str">
        <f t="shared" si="3"/>
        <v>ok</v>
      </c>
      <c r="K52" s="413"/>
      <c r="L52" s="413"/>
      <c r="M52" s="413"/>
      <c r="N52" s="413"/>
      <c r="O52" s="413"/>
      <c r="P52" s="413"/>
      <c r="Q52" s="413"/>
      <c r="R52" s="413"/>
      <c r="S52" s="413"/>
      <c r="T52" s="413"/>
      <c r="U52" s="413"/>
      <c r="V52" s="413"/>
      <c r="W52" s="413">
        <f t="shared" si="1"/>
        <v>0</v>
      </c>
      <c r="X52" s="412"/>
      <c r="Y52" s="412"/>
      <c r="Z52" s="412"/>
      <c r="AA52" s="412"/>
      <c r="AB52" s="412"/>
      <c r="AC52" s="412"/>
      <c r="AD52" s="412"/>
      <c r="AE52" s="412"/>
      <c r="AF52" s="412"/>
      <c r="AG52" s="412"/>
      <c r="AH52" s="412"/>
      <c r="AI52" s="412"/>
      <c r="AJ52" s="412">
        <f t="shared" si="2"/>
        <v>0</v>
      </c>
      <c r="AK52" s="198"/>
      <c r="AL52" s="250" t="s">
        <v>2068</v>
      </c>
    </row>
    <row r="53" spans="1:38" ht="14.1" customHeight="1" x14ac:dyDescent="0.2">
      <c r="A53" t="s">
        <v>884</v>
      </c>
      <c r="B53" s="193">
        <v>3741</v>
      </c>
      <c r="C53" s="194" t="s">
        <v>817</v>
      </c>
      <c r="D53" s="229" t="s">
        <v>1382</v>
      </c>
      <c r="E53" s="229" t="s">
        <v>40</v>
      </c>
      <c r="F53" s="236">
        <v>300</v>
      </c>
      <c r="G53" s="196">
        <v>1</v>
      </c>
      <c r="H53" s="195">
        <v>300</v>
      </c>
      <c r="I53" s="197">
        <v>41244</v>
      </c>
      <c r="J53" s="197" t="str">
        <f t="shared" si="3"/>
        <v>ok</v>
      </c>
      <c r="K53" s="413"/>
      <c r="L53" s="413"/>
      <c r="M53" s="413"/>
      <c r="N53" s="413"/>
      <c r="O53" s="413"/>
      <c r="P53" s="413"/>
      <c r="Q53" s="413"/>
      <c r="R53" s="413"/>
      <c r="S53" s="413"/>
      <c r="T53" s="413"/>
      <c r="U53" s="413"/>
      <c r="V53" s="413">
        <v>300</v>
      </c>
      <c r="W53" s="413">
        <f t="shared" si="1"/>
        <v>300</v>
      </c>
      <c r="X53" s="412"/>
      <c r="Y53" s="412"/>
      <c r="Z53" s="412"/>
      <c r="AA53" s="412"/>
      <c r="AB53" s="412"/>
      <c r="AC53" s="412"/>
      <c r="AD53" s="412"/>
      <c r="AE53" s="412"/>
      <c r="AF53" s="412"/>
      <c r="AG53" s="412"/>
      <c r="AH53" s="412"/>
      <c r="AI53" s="412"/>
      <c r="AJ53" s="412">
        <f t="shared" si="2"/>
        <v>0</v>
      </c>
      <c r="AK53" s="198"/>
      <c r="AL53" s="250" t="s">
        <v>2067</v>
      </c>
    </row>
    <row r="54" spans="1:38" ht="14.1" customHeight="1" x14ac:dyDescent="0.2">
      <c r="A54" t="s">
        <v>893</v>
      </c>
      <c r="B54" s="193">
        <v>3742</v>
      </c>
      <c r="C54" s="194" t="s">
        <v>773</v>
      </c>
      <c r="D54" s="229" t="s">
        <v>1537</v>
      </c>
      <c r="E54" s="229" t="s">
        <v>317</v>
      </c>
      <c r="F54" s="236">
        <v>300</v>
      </c>
      <c r="G54" s="196">
        <v>1</v>
      </c>
      <c r="H54" s="195">
        <v>300</v>
      </c>
      <c r="I54" s="197">
        <v>41244</v>
      </c>
      <c r="J54" s="197" t="str">
        <f t="shared" si="3"/>
        <v>ok</v>
      </c>
      <c r="K54" s="413"/>
      <c r="L54" s="413"/>
      <c r="M54" s="413"/>
      <c r="N54" s="413"/>
      <c r="O54" s="413"/>
      <c r="P54" s="413"/>
      <c r="Q54" s="413"/>
      <c r="R54" s="413"/>
      <c r="S54" s="413"/>
      <c r="T54" s="413"/>
      <c r="U54" s="413"/>
      <c r="V54" s="413">
        <v>300</v>
      </c>
      <c r="W54" s="413">
        <f t="shared" si="1"/>
        <v>300</v>
      </c>
      <c r="X54" s="412"/>
      <c r="Y54" s="412"/>
      <c r="Z54" s="412"/>
      <c r="AA54" s="412"/>
      <c r="AB54" s="412"/>
      <c r="AC54" s="412"/>
      <c r="AD54" s="412"/>
      <c r="AE54" s="412"/>
      <c r="AF54" s="412"/>
      <c r="AG54" s="412"/>
      <c r="AH54" s="412"/>
      <c r="AI54" s="412"/>
      <c r="AJ54" s="412">
        <f t="shared" si="2"/>
        <v>0</v>
      </c>
      <c r="AK54" s="198"/>
      <c r="AL54" s="250" t="s">
        <v>2067</v>
      </c>
    </row>
    <row r="55" spans="1:38" ht="14.1" customHeight="1" x14ac:dyDescent="0.2">
      <c r="A55" t="s">
        <v>893</v>
      </c>
      <c r="B55" s="193">
        <v>3743</v>
      </c>
      <c r="C55" s="194" t="s">
        <v>1081</v>
      </c>
      <c r="D55" s="229" t="s">
        <v>1652</v>
      </c>
      <c r="E55" s="229" t="s">
        <v>202</v>
      </c>
      <c r="F55" s="236">
        <v>300</v>
      </c>
      <c r="G55" s="196">
        <v>1</v>
      </c>
      <c r="H55" s="195">
        <v>900</v>
      </c>
      <c r="I55" s="197">
        <v>41253</v>
      </c>
      <c r="J55" s="197" t="str">
        <f t="shared" si="3"/>
        <v>ok</v>
      </c>
      <c r="K55" s="413"/>
      <c r="L55" s="413"/>
      <c r="M55" s="413"/>
      <c r="N55" s="413"/>
      <c r="O55" s="413"/>
      <c r="P55" s="413"/>
      <c r="Q55" s="413">
        <v>300</v>
      </c>
      <c r="R55" s="413">
        <v>300</v>
      </c>
      <c r="S55" s="413">
        <v>300</v>
      </c>
      <c r="T55" s="413"/>
      <c r="U55" s="413"/>
      <c r="V55" s="413"/>
      <c r="W55" s="413">
        <f t="shared" si="1"/>
        <v>900</v>
      </c>
      <c r="X55" s="412"/>
      <c r="Y55" s="412"/>
      <c r="Z55" s="412"/>
      <c r="AA55" s="412"/>
      <c r="AB55" s="412"/>
      <c r="AC55" s="412"/>
      <c r="AD55" s="412"/>
      <c r="AE55" s="412"/>
      <c r="AF55" s="412"/>
      <c r="AG55" s="412"/>
      <c r="AH55" s="412"/>
      <c r="AI55" s="412"/>
      <c r="AJ55" s="412">
        <f t="shared" si="2"/>
        <v>0</v>
      </c>
      <c r="AK55" s="198"/>
      <c r="AL55" s="250" t="s">
        <v>2067</v>
      </c>
    </row>
    <row r="56" spans="1:38" ht="14.1" customHeight="1" x14ac:dyDescent="0.2">
      <c r="A56" t="s">
        <v>884</v>
      </c>
      <c r="B56" s="193">
        <v>3744</v>
      </c>
      <c r="C56" s="194" t="s">
        <v>803</v>
      </c>
      <c r="D56" s="229" t="s">
        <v>1403</v>
      </c>
      <c r="E56" s="229" t="s">
        <v>20</v>
      </c>
      <c r="F56" s="236">
        <v>300</v>
      </c>
      <c r="G56" s="196">
        <v>1</v>
      </c>
      <c r="H56" s="195">
        <v>300</v>
      </c>
      <c r="I56" s="197">
        <v>41244</v>
      </c>
      <c r="J56" s="197" t="str">
        <f t="shared" si="3"/>
        <v>ok</v>
      </c>
      <c r="K56" s="413"/>
      <c r="L56" s="413"/>
      <c r="M56" s="413"/>
      <c r="N56" s="413"/>
      <c r="O56" s="413"/>
      <c r="P56" s="413"/>
      <c r="Q56" s="413"/>
      <c r="R56" s="413"/>
      <c r="S56" s="413"/>
      <c r="T56" s="413"/>
      <c r="U56" s="413"/>
      <c r="V56" s="413">
        <v>300</v>
      </c>
      <c r="W56" s="413">
        <f t="shared" si="1"/>
        <v>300</v>
      </c>
      <c r="X56" s="412"/>
      <c r="Y56" s="412"/>
      <c r="Z56" s="412"/>
      <c r="AA56" s="412"/>
      <c r="AB56" s="412"/>
      <c r="AC56" s="412"/>
      <c r="AD56" s="412"/>
      <c r="AE56" s="412"/>
      <c r="AF56" s="412"/>
      <c r="AG56" s="412"/>
      <c r="AH56" s="412"/>
      <c r="AI56" s="412"/>
      <c r="AJ56" s="412">
        <f t="shared" si="2"/>
        <v>0</v>
      </c>
      <c r="AK56" s="198"/>
      <c r="AL56" s="250" t="s">
        <v>2067</v>
      </c>
    </row>
    <row r="57" spans="1:38" ht="14.1" customHeight="1" x14ac:dyDescent="0.2">
      <c r="A57" t="s">
        <v>893</v>
      </c>
      <c r="B57" s="193">
        <v>3745</v>
      </c>
      <c r="C57" s="194" t="s">
        <v>1107</v>
      </c>
      <c r="D57" s="229" t="s">
        <v>1453</v>
      </c>
      <c r="E57" s="229" t="s">
        <v>255</v>
      </c>
      <c r="F57" s="236">
        <v>300</v>
      </c>
      <c r="G57" s="196">
        <v>1</v>
      </c>
      <c r="H57" s="195">
        <v>300</v>
      </c>
      <c r="I57" s="197">
        <v>41244</v>
      </c>
      <c r="J57" s="197" t="str">
        <f t="shared" si="3"/>
        <v>ok</v>
      </c>
      <c r="K57" s="413"/>
      <c r="L57" s="413"/>
      <c r="M57" s="413"/>
      <c r="N57" s="413"/>
      <c r="O57" s="413"/>
      <c r="P57" s="413"/>
      <c r="Q57" s="413"/>
      <c r="R57" s="413"/>
      <c r="S57" s="413"/>
      <c r="T57" s="413"/>
      <c r="U57" s="413"/>
      <c r="V57" s="413">
        <v>300</v>
      </c>
      <c r="W57" s="413">
        <f t="shared" si="1"/>
        <v>300</v>
      </c>
      <c r="X57" s="412"/>
      <c r="Y57" s="412"/>
      <c r="Z57" s="412"/>
      <c r="AA57" s="412"/>
      <c r="AB57" s="412"/>
      <c r="AC57" s="412"/>
      <c r="AD57" s="412"/>
      <c r="AE57" s="412"/>
      <c r="AF57" s="412"/>
      <c r="AG57" s="412"/>
      <c r="AH57" s="412"/>
      <c r="AI57" s="412"/>
      <c r="AJ57" s="412">
        <f t="shared" si="2"/>
        <v>0</v>
      </c>
      <c r="AK57" s="198"/>
      <c r="AL57" s="250" t="s">
        <v>2067</v>
      </c>
    </row>
    <row r="58" spans="1:38" ht="14.1" customHeight="1" x14ac:dyDescent="0.2">
      <c r="A58" t="s">
        <v>884</v>
      </c>
      <c r="B58" s="193">
        <v>3746</v>
      </c>
      <c r="C58" s="194" t="s">
        <v>843</v>
      </c>
      <c r="D58" s="229" t="s">
        <v>1434</v>
      </c>
      <c r="E58" s="229" t="s">
        <v>1189</v>
      </c>
      <c r="F58" s="236">
        <v>300</v>
      </c>
      <c r="G58" s="196">
        <v>1</v>
      </c>
      <c r="H58" s="195">
        <v>300</v>
      </c>
      <c r="I58" s="197">
        <v>41244</v>
      </c>
      <c r="J58" s="197" t="str">
        <f t="shared" si="3"/>
        <v>ok</v>
      </c>
      <c r="K58" s="413"/>
      <c r="L58" s="413"/>
      <c r="M58" s="413"/>
      <c r="N58" s="413"/>
      <c r="O58" s="413"/>
      <c r="P58" s="413"/>
      <c r="Q58" s="413"/>
      <c r="R58" s="413"/>
      <c r="S58" s="413"/>
      <c r="T58" s="413"/>
      <c r="U58" s="413"/>
      <c r="V58" s="413">
        <v>300</v>
      </c>
      <c r="W58" s="413">
        <f t="shared" si="1"/>
        <v>300</v>
      </c>
      <c r="X58" s="412"/>
      <c r="Y58" s="412"/>
      <c r="Z58" s="412"/>
      <c r="AA58" s="412"/>
      <c r="AB58" s="412"/>
      <c r="AC58" s="412"/>
      <c r="AD58" s="412"/>
      <c r="AE58" s="412"/>
      <c r="AF58" s="412"/>
      <c r="AG58" s="412"/>
      <c r="AH58" s="412"/>
      <c r="AI58" s="412"/>
      <c r="AJ58" s="412">
        <f t="shared" si="2"/>
        <v>0</v>
      </c>
      <c r="AK58" s="198"/>
      <c r="AL58" s="250" t="s">
        <v>2067</v>
      </c>
    </row>
    <row r="59" spans="1:38" ht="14.1" customHeight="1" x14ac:dyDescent="0.2">
      <c r="A59" t="s">
        <v>884</v>
      </c>
      <c r="B59" s="193">
        <v>3747</v>
      </c>
      <c r="C59" s="194" t="s">
        <v>812</v>
      </c>
      <c r="D59" s="229" t="s">
        <v>1420</v>
      </c>
      <c r="E59" s="229" t="s">
        <v>33</v>
      </c>
      <c r="F59" s="236">
        <v>300</v>
      </c>
      <c r="G59" s="196">
        <v>1</v>
      </c>
      <c r="H59" s="195">
        <v>300</v>
      </c>
      <c r="I59" s="197">
        <v>41244</v>
      </c>
      <c r="J59" s="197" t="str">
        <f t="shared" si="3"/>
        <v>ok</v>
      </c>
      <c r="K59" s="413"/>
      <c r="L59" s="413"/>
      <c r="M59" s="413"/>
      <c r="N59" s="413"/>
      <c r="O59" s="413"/>
      <c r="P59" s="413"/>
      <c r="Q59" s="413"/>
      <c r="R59" s="413"/>
      <c r="S59" s="413"/>
      <c r="T59" s="413"/>
      <c r="U59" s="413"/>
      <c r="V59" s="413">
        <v>300</v>
      </c>
      <c r="W59" s="413">
        <f t="shared" si="1"/>
        <v>300</v>
      </c>
      <c r="X59" s="412"/>
      <c r="Y59" s="412"/>
      <c r="Z59" s="412"/>
      <c r="AA59" s="412"/>
      <c r="AB59" s="412"/>
      <c r="AC59" s="412"/>
      <c r="AD59" s="412"/>
      <c r="AE59" s="412"/>
      <c r="AF59" s="412"/>
      <c r="AG59" s="412"/>
      <c r="AH59" s="412"/>
      <c r="AI59" s="412"/>
      <c r="AJ59" s="412">
        <f t="shared" si="2"/>
        <v>0</v>
      </c>
      <c r="AK59" s="198"/>
      <c r="AL59" s="250" t="s">
        <v>2067</v>
      </c>
    </row>
    <row r="60" spans="1:38" ht="14.1" customHeight="1" x14ac:dyDescent="0.2">
      <c r="A60" t="s">
        <v>884</v>
      </c>
      <c r="B60" s="193">
        <v>3747</v>
      </c>
      <c r="C60" s="194" t="s">
        <v>812</v>
      </c>
      <c r="D60" s="229" t="s">
        <v>1420</v>
      </c>
      <c r="E60" s="229" t="s">
        <v>33</v>
      </c>
      <c r="F60" s="236">
        <v>300</v>
      </c>
      <c r="G60" s="196">
        <v>2</v>
      </c>
      <c r="H60" s="195">
        <v>300</v>
      </c>
      <c r="I60" s="197">
        <v>41244</v>
      </c>
      <c r="J60" s="197" t="str">
        <f t="shared" si="3"/>
        <v>ok</v>
      </c>
      <c r="K60" s="413"/>
      <c r="L60" s="413"/>
      <c r="M60" s="413"/>
      <c r="N60" s="413"/>
      <c r="O60" s="413"/>
      <c r="P60" s="413"/>
      <c r="Q60" s="413"/>
      <c r="R60" s="413"/>
      <c r="S60" s="413"/>
      <c r="T60" s="413"/>
      <c r="U60" s="413"/>
      <c r="V60" s="413"/>
      <c r="W60" s="413">
        <f t="shared" si="1"/>
        <v>0</v>
      </c>
      <c r="X60" s="412"/>
      <c r="Y60" s="412"/>
      <c r="Z60" s="412"/>
      <c r="AA60" s="412"/>
      <c r="AB60" s="412"/>
      <c r="AC60" s="412"/>
      <c r="AD60" s="412"/>
      <c r="AE60" s="412"/>
      <c r="AF60" s="412"/>
      <c r="AG60" s="412"/>
      <c r="AH60" s="412"/>
      <c r="AI60" s="412"/>
      <c r="AJ60" s="412">
        <f t="shared" si="2"/>
        <v>0</v>
      </c>
      <c r="AK60" s="198"/>
      <c r="AL60" s="250" t="s">
        <v>2068</v>
      </c>
    </row>
    <row r="61" spans="1:38" ht="14.1" customHeight="1" x14ac:dyDescent="0.2">
      <c r="A61" t="s">
        <v>888</v>
      </c>
      <c r="B61" s="193">
        <v>3748</v>
      </c>
      <c r="C61" s="194" t="s">
        <v>930</v>
      </c>
      <c r="D61" s="229" t="s">
        <v>1539</v>
      </c>
      <c r="E61" s="229" t="s">
        <v>1273</v>
      </c>
      <c r="F61" s="236">
        <v>300</v>
      </c>
      <c r="G61" s="196">
        <v>1</v>
      </c>
      <c r="H61" s="195">
        <v>300</v>
      </c>
      <c r="I61" s="197">
        <v>41244</v>
      </c>
      <c r="J61" s="197" t="str">
        <f t="shared" si="3"/>
        <v>ok</v>
      </c>
      <c r="K61" s="413"/>
      <c r="L61" s="413"/>
      <c r="M61" s="413"/>
      <c r="N61" s="413"/>
      <c r="O61" s="413"/>
      <c r="P61" s="413"/>
      <c r="Q61" s="413"/>
      <c r="R61" s="413"/>
      <c r="S61" s="413"/>
      <c r="T61" s="413"/>
      <c r="U61" s="413"/>
      <c r="V61" s="413">
        <v>300</v>
      </c>
      <c r="W61" s="413">
        <f t="shared" si="1"/>
        <v>300</v>
      </c>
      <c r="X61" s="412"/>
      <c r="Y61" s="412"/>
      <c r="Z61" s="412"/>
      <c r="AA61" s="412"/>
      <c r="AB61" s="412"/>
      <c r="AC61" s="412"/>
      <c r="AD61" s="412"/>
      <c r="AE61" s="412"/>
      <c r="AF61" s="412"/>
      <c r="AG61" s="412"/>
      <c r="AH61" s="412"/>
      <c r="AI61" s="412"/>
      <c r="AJ61" s="412">
        <f t="shared" si="2"/>
        <v>0</v>
      </c>
      <c r="AK61" s="198"/>
      <c r="AL61" s="250" t="s">
        <v>2067</v>
      </c>
    </row>
    <row r="62" spans="1:38" ht="14.1" customHeight="1" x14ac:dyDescent="0.2">
      <c r="A62" t="s">
        <v>888</v>
      </c>
      <c r="B62" s="193">
        <v>3748</v>
      </c>
      <c r="C62" s="194" t="s">
        <v>930</v>
      </c>
      <c r="D62" s="229" t="s">
        <v>1539</v>
      </c>
      <c r="E62" s="229" t="s">
        <v>1273</v>
      </c>
      <c r="F62" s="236">
        <v>300</v>
      </c>
      <c r="G62" s="196">
        <v>2</v>
      </c>
      <c r="H62" s="195">
        <v>300</v>
      </c>
      <c r="I62" s="197">
        <v>41244</v>
      </c>
      <c r="J62" s="197" t="str">
        <f t="shared" si="3"/>
        <v>ok</v>
      </c>
      <c r="K62" s="413"/>
      <c r="L62" s="413"/>
      <c r="M62" s="413"/>
      <c r="N62" s="413"/>
      <c r="O62" s="413"/>
      <c r="P62" s="413"/>
      <c r="Q62" s="413"/>
      <c r="R62" s="413"/>
      <c r="S62" s="413"/>
      <c r="T62" s="413"/>
      <c r="U62" s="413"/>
      <c r="V62" s="413"/>
      <c r="W62" s="413">
        <f t="shared" si="1"/>
        <v>0</v>
      </c>
      <c r="X62" s="412"/>
      <c r="Y62" s="412"/>
      <c r="Z62" s="412"/>
      <c r="AA62" s="412"/>
      <c r="AB62" s="412"/>
      <c r="AC62" s="412"/>
      <c r="AD62" s="412"/>
      <c r="AE62" s="412"/>
      <c r="AF62" s="412"/>
      <c r="AG62" s="412"/>
      <c r="AH62" s="412"/>
      <c r="AI62" s="412"/>
      <c r="AJ62" s="412">
        <f t="shared" si="2"/>
        <v>0</v>
      </c>
      <c r="AK62" s="198"/>
      <c r="AL62" s="250" t="s">
        <v>2068</v>
      </c>
    </row>
    <row r="63" spans="1:38" ht="14.1" customHeight="1" x14ac:dyDescent="0.2">
      <c r="A63" t="s">
        <v>888</v>
      </c>
      <c r="B63" s="193">
        <v>3749</v>
      </c>
      <c r="C63" s="194" t="s">
        <v>768</v>
      </c>
      <c r="D63" s="229" t="s">
        <v>1399</v>
      </c>
      <c r="E63" s="229" t="s">
        <v>365</v>
      </c>
      <c r="F63" s="236">
        <v>300</v>
      </c>
      <c r="G63" s="196">
        <v>1</v>
      </c>
      <c r="H63" s="195">
        <v>300</v>
      </c>
      <c r="I63" s="197">
        <v>41244</v>
      </c>
      <c r="J63" s="197" t="str">
        <f t="shared" si="3"/>
        <v>ok</v>
      </c>
      <c r="K63" s="413"/>
      <c r="L63" s="413"/>
      <c r="M63" s="413"/>
      <c r="N63" s="413"/>
      <c r="O63" s="413"/>
      <c r="P63" s="413"/>
      <c r="Q63" s="413"/>
      <c r="R63" s="413"/>
      <c r="S63" s="413"/>
      <c r="T63" s="413"/>
      <c r="U63" s="413"/>
      <c r="V63" s="413">
        <v>300</v>
      </c>
      <c r="W63" s="413">
        <f t="shared" si="1"/>
        <v>300</v>
      </c>
      <c r="X63" s="412"/>
      <c r="Y63" s="412"/>
      <c r="Z63" s="412"/>
      <c r="AA63" s="412"/>
      <c r="AB63" s="412"/>
      <c r="AC63" s="412"/>
      <c r="AD63" s="412"/>
      <c r="AE63" s="412"/>
      <c r="AF63" s="412"/>
      <c r="AG63" s="412"/>
      <c r="AH63" s="412"/>
      <c r="AI63" s="412"/>
      <c r="AJ63" s="412">
        <f t="shared" si="2"/>
        <v>0</v>
      </c>
      <c r="AK63" s="198"/>
      <c r="AL63" s="250" t="s">
        <v>2067</v>
      </c>
    </row>
    <row r="64" spans="1:38" ht="14.1" customHeight="1" x14ac:dyDescent="0.2">
      <c r="A64" t="s">
        <v>888</v>
      </c>
      <c r="B64" s="193">
        <v>3750</v>
      </c>
      <c r="C64" s="194" t="s">
        <v>921</v>
      </c>
      <c r="D64" s="229" t="s">
        <v>1546</v>
      </c>
      <c r="E64" s="229" t="s">
        <v>363</v>
      </c>
      <c r="F64" s="236">
        <v>300</v>
      </c>
      <c r="G64" s="196">
        <v>1</v>
      </c>
      <c r="H64" s="195">
        <v>300</v>
      </c>
      <c r="I64" s="197">
        <v>41245</v>
      </c>
      <c r="J64" s="197" t="str">
        <f t="shared" si="3"/>
        <v>ok</v>
      </c>
      <c r="K64" s="413"/>
      <c r="L64" s="413"/>
      <c r="M64" s="413"/>
      <c r="N64" s="413"/>
      <c r="O64" s="413"/>
      <c r="P64" s="413"/>
      <c r="Q64" s="413"/>
      <c r="R64" s="413"/>
      <c r="S64" s="413"/>
      <c r="T64" s="413"/>
      <c r="U64" s="413"/>
      <c r="V64" s="413">
        <v>300</v>
      </c>
      <c r="W64" s="413">
        <f t="shared" si="1"/>
        <v>300</v>
      </c>
      <c r="X64" s="412"/>
      <c r="Y64" s="412"/>
      <c r="Z64" s="412"/>
      <c r="AA64" s="412"/>
      <c r="AB64" s="412"/>
      <c r="AC64" s="412"/>
      <c r="AD64" s="412"/>
      <c r="AE64" s="412"/>
      <c r="AF64" s="412"/>
      <c r="AG64" s="412"/>
      <c r="AH64" s="412"/>
      <c r="AI64" s="412"/>
      <c r="AJ64" s="412">
        <f t="shared" si="2"/>
        <v>0</v>
      </c>
      <c r="AK64" s="198"/>
      <c r="AL64" s="250" t="s">
        <v>2067</v>
      </c>
    </row>
    <row r="65" spans="1:38" ht="14.1" customHeight="1" x14ac:dyDescent="0.2">
      <c r="A65" t="s">
        <v>893</v>
      </c>
      <c r="B65" s="193">
        <v>3751</v>
      </c>
      <c r="C65" s="194" t="s">
        <v>1085</v>
      </c>
      <c r="D65" s="229" t="s">
        <v>1408</v>
      </c>
      <c r="E65" s="229" t="s">
        <v>211</v>
      </c>
      <c r="F65" s="236">
        <v>300</v>
      </c>
      <c r="G65" s="196">
        <v>1</v>
      </c>
      <c r="H65" s="195">
        <v>300</v>
      </c>
      <c r="I65" s="197">
        <v>41245</v>
      </c>
      <c r="J65" s="197" t="str">
        <f t="shared" si="3"/>
        <v>ok</v>
      </c>
      <c r="K65" s="413"/>
      <c r="L65" s="413"/>
      <c r="M65" s="413"/>
      <c r="N65" s="413"/>
      <c r="O65" s="413"/>
      <c r="P65" s="413"/>
      <c r="Q65" s="413"/>
      <c r="R65" s="413"/>
      <c r="S65" s="413"/>
      <c r="T65" s="413"/>
      <c r="U65" s="413"/>
      <c r="V65" s="413">
        <v>300</v>
      </c>
      <c r="W65" s="413">
        <f t="shared" si="1"/>
        <v>300</v>
      </c>
      <c r="X65" s="412"/>
      <c r="Y65" s="412"/>
      <c r="Z65" s="412"/>
      <c r="AA65" s="412"/>
      <c r="AB65" s="412"/>
      <c r="AC65" s="412"/>
      <c r="AD65" s="412"/>
      <c r="AE65" s="412"/>
      <c r="AF65" s="412"/>
      <c r="AG65" s="412"/>
      <c r="AH65" s="412"/>
      <c r="AI65" s="412"/>
      <c r="AJ65" s="412">
        <f t="shared" si="2"/>
        <v>0</v>
      </c>
      <c r="AK65" s="198"/>
      <c r="AL65" s="250" t="s">
        <v>2067</v>
      </c>
    </row>
    <row r="66" spans="1:38" ht="14.1" customHeight="1" x14ac:dyDescent="0.2">
      <c r="A66" t="s">
        <v>890</v>
      </c>
      <c r="B66" s="193">
        <v>3752</v>
      </c>
      <c r="C66" s="194" t="s">
        <v>769</v>
      </c>
      <c r="D66" s="229" t="s">
        <v>1451</v>
      </c>
      <c r="E66" s="229" t="s">
        <v>546</v>
      </c>
      <c r="F66" s="236">
        <v>300</v>
      </c>
      <c r="G66" s="196">
        <v>1</v>
      </c>
      <c r="H66" s="195">
        <v>300</v>
      </c>
      <c r="I66" s="197">
        <v>41244</v>
      </c>
      <c r="J66" s="197" t="str">
        <f t="shared" si="3"/>
        <v>ok</v>
      </c>
      <c r="K66" s="413"/>
      <c r="L66" s="413"/>
      <c r="M66" s="413"/>
      <c r="N66" s="413"/>
      <c r="O66" s="413"/>
      <c r="P66" s="413"/>
      <c r="Q66" s="413"/>
      <c r="R66" s="413"/>
      <c r="S66" s="413"/>
      <c r="T66" s="413"/>
      <c r="U66" s="413"/>
      <c r="V66" s="413">
        <v>300</v>
      </c>
      <c r="W66" s="413">
        <f t="shared" si="1"/>
        <v>300</v>
      </c>
      <c r="X66" s="412"/>
      <c r="Y66" s="412"/>
      <c r="Z66" s="412"/>
      <c r="AA66" s="412"/>
      <c r="AB66" s="412"/>
      <c r="AC66" s="412"/>
      <c r="AD66" s="412"/>
      <c r="AE66" s="412"/>
      <c r="AF66" s="412"/>
      <c r="AG66" s="412"/>
      <c r="AH66" s="412"/>
      <c r="AI66" s="412"/>
      <c r="AJ66" s="412">
        <f t="shared" si="2"/>
        <v>0</v>
      </c>
      <c r="AK66" s="198"/>
      <c r="AL66" s="250" t="s">
        <v>2067</v>
      </c>
    </row>
    <row r="67" spans="1:38" ht="14.1" customHeight="1" x14ac:dyDescent="0.2">
      <c r="A67" t="s">
        <v>884</v>
      </c>
      <c r="B67" s="193">
        <v>3753</v>
      </c>
      <c r="C67" s="194" t="s">
        <v>821</v>
      </c>
      <c r="D67" s="229" t="s">
        <v>1428</v>
      </c>
      <c r="E67" s="229" t="s">
        <v>48</v>
      </c>
      <c r="F67" s="236">
        <v>300</v>
      </c>
      <c r="G67" s="196">
        <v>1</v>
      </c>
      <c r="H67" s="195">
        <v>600</v>
      </c>
      <c r="I67" s="197">
        <v>41244</v>
      </c>
      <c r="J67" s="197" t="str">
        <f t="shared" si="3"/>
        <v>ok</v>
      </c>
      <c r="K67" s="413"/>
      <c r="L67" s="413"/>
      <c r="M67" s="413"/>
      <c r="N67" s="413"/>
      <c r="O67" s="413"/>
      <c r="P67" s="413"/>
      <c r="Q67" s="413"/>
      <c r="R67" s="413"/>
      <c r="S67" s="413"/>
      <c r="T67" s="413"/>
      <c r="U67" s="413">
        <v>300</v>
      </c>
      <c r="V67" s="413">
        <v>300</v>
      </c>
      <c r="W67" s="413">
        <f t="shared" si="1"/>
        <v>600</v>
      </c>
      <c r="X67" s="412"/>
      <c r="Y67" s="412"/>
      <c r="Z67" s="412"/>
      <c r="AA67" s="412"/>
      <c r="AB67" s="412"/>
      <c r="AC67" s="412"/>
      <c r="AD67" s="412"/>
      <c r="AE67" s="412"/>
      <c r="AF67" s="412"/>
      <c r="AG67" s="412"/>
      <c r="AH67" s="412"/>
      <c r="AI67" s="412"/>
      <c r="AJ67" s="412">
        <f t="shared" si="2"/>
        <v>0</v>
      </c>
      <c r="AK67" s="198"/>
      <c r="AL67" s="250" t="s">
        <v>2067</v>
      </c>
    </row>
    <row r="68" spans="1:38" ht="14.1" customHeight="1" x14ac:dyDescent="0.2">
      <c r="A68" t="s">
        <v>890</v>
      </c>
      <c r="B68" s="193">
        <v>3754</v>
      </c>
      <c r="C68" s="194" t="s">
        <v>1023</v>
      </c>
      <c r="D68" s="229" t="s">
        <v>1541</v>
      </c>
      <c r="E68" s="229" t="s">
        <v>522</v>
      </c>
      <c r="F68" s="236">
        <v>300</v>
      </c>
      <c r="G68" s="196">
        <v>1</v>
      </c>
      <c r="H68" s="195">
        <v>900</v>
      </c>
      <c r="I68" s="197">
        <v>41245</v>
      </c>
      <c r="J68" s="197" t="str">
        <f t="shared" si="3"/>
        <v>ok</v>
      </c>
      <c r="K68" s="413"/>
      <c r="L68" s="413"/>
      <c r="M68" s="413"/>
      <c r="N68" s="413"/>
      <c r="O68" s="413"/>
      <c r="P68" s="413"/>
      <c r="Q68" s="413"/>
      <c r="R68" s="413"/>
      <c r="S68" s="413"/>
      <c r="T68" s="413">
        <v>300</v>
      </c>
      <c r="U68" s="413">
        <v>300</v>
      </c>
      <c r="V68" s="413">
        <v>300</v>
      </c>
      <c r="W68" s="413">
        <f t="shared" si="1"/>
        <v>900</v>
      </c>
      <c r="X68" s="412"/>
      <c r="Y68" s="412"/>
      <c r="Z68" s="412"/>
      <c r="AA68" s="412"/>
      <c r="AB68" s="412"/>
      <c r="AC68" s="412"/>
      <c r="AD68" s="412"/>
      <c r="AE68" s="412"/>
      <c r="AF68" s="412"/>
      <c r="AG68" s="412"/>
      <c r="AH68" s="412"/>
      <c r="AI68" s="412"/>
      <c r="AJ68" s="412">
        <f t="shared" si="2"/>
        <v>0</v>
      </c>
      <c r="AK68" s="198"/>
      <c r="AL68" s="250" t="s">
        <v>2067</v>
      </c>
    </row>
    <row r="69" spans="1:38" ht="14.1" customHeight="1" x14ac:dyDescent="0.2">
      <c r="A69" t="s">
        <v>890</v>
      </c>
      <c r="B69" s="193">
        <v>3754</v>
      </c>
      <c r="C69" s="194" t="s">
        <v>1023</v>
      </c>
      <c r="D69" s="229" t="s">
        <v>1541</v>
      </c>
      <c r="E69" s="229" t="s">
        <v>522</v>
      </c>
      <c r="F69" s="236">
        <v>300</v>
      </c>
      <c r="G69" s="196">
        <v>2</v>
      </c>
      <c r="H69" s="195">
        <v>300</v>
      </c>
      <c r="I69" s="197">
        <v>41245</v>
      </c>
      <c r="J69" s="197" t="str">
        <f t="shared" si="3"/>
        <v>ok</v>
      </c>
      <c r="K69" s="413"/>
      <c r="L69" s="413"/>
      <c r="M69" s="413"/>
      <c r="N69" s="413"/>
      <c r="O69" s="413"/>
      <c r="P69" s="413"/>
      <c r="Q69" s="413"/>
      <c r="R69" s="413"/>
      <c r="S69" s="413"/>
      <c r="T69" s="413"/>
      <c r="U69" s="413"/>
      <c r="V69" s="413"/>
      <c r="W69" s="413">
        <f t="shared" si="1"/>
        <v>0</v>
      </c>
      <c r="X69" s="412"/>
      <c r="Y69" s="412"/>
      <c r="Z69" s="412"/>
      <c r="AA69" s="412"/>
      <c r="AB69" s="412"/>
      <c r="AC69" s="412"/>
      <c r="AD69" s="412"/>
      <c r="AE69" s="412"/>
      <c r="AF69" s="412"/>
      <c r="AG69" s="412"/>
      <c r="AH69" s="412"/>
      <c r="AI69" s="412"/>
      <c r="AJ69" s="412">
        <f t="shared" si="2"/>
        <v>0</v>
      </c>
      <c r="AK69" s="198"/>
      <c r="AL69" s="250" t="s">
        <v>2068</v>
      </c>
    </row>
    <row r="70" spans="1:38" ht="14.1" customHeight="1" x14ac:dyDescent="0.2">
      <c r="A70" t="s">
        <v>884</v>
      </c>
      <c r="B70" s="193">
        <v>3755</v>
      </c>
      <c r="C70" s="194" t="s">
        <v>848</v>
      </c>
      <c r="D70" s="229" t="s">
        <v>1545</v>
      </c>
      <c r="E70" s="229" t="s">
        <v>1206</v>
      </c>
      <c r="F70" s="236">
        <v>300</v>
      </c>
      <c r="G70" s="196">
        <v>1</v>
      </c>
      <c r="H70" s="195">
        <v>300</v>
      </c>
      <c r="I70" s="197">
        <v>41244</v>
      </c>
      <c r="J70" s="197" t="str">
        <f t="shared" si="3"/>
        <v>ok</v>
      </c>
      <c r="K70" s="413"/>
      <c r="L70" s="413"/>
      <c r="M70" s="413"/>
      <c r="N70" s="413"/>
      <c r="O70" s="413"/>
      <c r="P70" s="413"/>
      <c r="Q70" s="413"/>
      <c r="R70" s="413"/>
      <c r="S70" s="413"/>
      <c r="T70" s="413"/>
      <c r="U70" s="413"/>
      <c r="V70" s="413">
        <v>300</v>
      </c>
      <c r="W70" s="413">
        <f t="shared" si="1"/>
        <v>300</v>
      </c>
      <c r="X70" s="412"/>
      <c r="Y70" s="412"/>
      <c r="Z70" s="412"/>
      <c r="AA70" s="412"/>
      <c r="AB70" s="412"/>
      <c r="AC70" s="412"/>
      <c r="AD70" s="412"/>
      <c r="AE70" s="412"/>
      <c r="AF70" s="412"/>
      <c r="AG70" s="412"/>
      <c r="AH70" s="412"/>
      <c r="AI70" s="412"/>
      <c r="AJ70" s="412">
        <f t="shared" si="2"/>
        <v>0</v>
      </c>
      <c r="AK70" s="198"/>
      <c r="AL70" s="250" t="s">
        <v>2067</v>
      </c>
    </row>
    <row r="71" spans="1:38" ht="14.1" customHeight="1" x14ac:dyDescent="0.2">
      <c r="A71" t="s">
        <v>884</v>
      </c>
      <c r="B71" s="193">
        <v>3756</v>
      </c>
      <c r="C71" s="194" t="s">
        <v>848</v>
      </c>
      <c r="D71" s="229" t="s">
        <v>1545</v>
      </c>
      <c r="E71" s="229" t="s">
        <v>1206</v>
      </c>
      <c r="F71" s="236">
        <v>300</v>
      </c>
      <c r="G71" s="196">
        <v>1</v>
      </c>
      <c r="H71" s="195">
        <v>300</v>
      </c>
      <c r="I71" s="197">
        <v>41244</v>
      </c>
      <c r="J71" s="197" t="str">
        <f t="shared" si="3"/>
        <v>ok</v>
      </c>
      <c r="K71" s="413"/>
      <c r="L71" s="413"/>
      <c r="M71" s="413"/>
      <c r="N71" s="413"/>
      <c r="O71" s="413"/>
      <c r="P71" s="413"/>
      <c r="Q71" s="413"/>
      <c r="R71" s="413"/>
      <c r="S71" s="413"/>
      <c r="T71" s="413"/>
      <c r="U71" s="413">
        <v>300</v>
      </c>
      <c r="V71" s="413"/>
      <c r="W71" s="413">
        <f t="shared" ref="W71:W134" si="4">SUM(K71:V71)</f>
        <v>300</v>
      </c>
      <c r="X71" s="412"/>
      <c r="Y71" s="412"/>
      <c r="Z71" s="412"/>
      <c r="AA71" s="412"/>
      <c r="AB71" s="412"/>
      <c r="AC71" s="412"/>
      <c r="AD71" s="412"/>
      <c r="AE71" s="412"/>
      <c r="AF71" s="412"/>
      <c r="AG71" s="412"/>
      <c r="AH71" s="412"/>
      <c r="AI71" s="412"/>
      <c r="AJ71" s="412">
        <f t="shared" ref="AJ71:AJ134" si="5">SUM(X71:AI71)</f>
        <v>0</v>
      </c>
      <c r="AK71" s="198"/>
      <c r="AL71" s="250" t="s">
        <v>2067</v>
      </c>
    </row>
    <row r="72" spans="1:38" ht="14.1" customHeight="1" x14ac:dyDescent="0.2">
      <c r="A72" t="s">
        <v>894</v>
      </c>
      <c r="B72" s="193">
        <v>3757</v>
      </c>
      <c r="C72" s="194" t="s">
        <v>1167</v>
      </c>
      <c r="D72" s="229" t="s">
        <v>1432</v>
      </c>
      <c r="E72" s="229" t="s">
        <v>617</v>
      </c>
      <c r="F72" s="236">
        <v>250</v>
      </c>
      <c r="G72" s="196">
        <v>2</v>
      </c>
      <c r="H72" s="195">
        <v>300</v>
      </c>
      <c r="I72" s="197">
        <v>41244</v>
      </c>
      <c r="J72" s="197" t="str">
        <f t="shared" si="3"/>
        <v>ok</v>
      </c>
      <c r="K72" s="413"/>
      <c r="L72" s="413"/>
      <c r="M72" s="413"/>
      <c r="N72" s="413"/>
      <c r="O72" s="413"/>
      <c r="P72" s="413"/>
      <c r="Q72" s="413"/>
      <c r="R72" s="413"/>
      <c r="S72" s="413"/>
      <c r="T72" s="413"/>
      <c r="U72" s="413"/>
      <c r="V72" s="413"/>
      <c r="W72" s="413">
        <f t="shared" si="4"/>
        <v>0</v>
      </c>
      <c r="X72" s="412"/>
      <c r="Y72" s="412"/>
      <c r="Z72" s="412"/>
      <c r="AA72" s="412"/>
      <c r="AB72" s="412"/>
      <c r="AC72" s="412"/>
      <c r="AD72" s="412"/>
      <c r="AE72" s="412"/>
      <c r="AF72" s="412"/>
      <c r="AG72" s="412"/>
      <c r="AH72" s="412"/>
      <c r="AI72" s="412"/>
      <c r="AJ72" s="412">
        <f t="shared" si="5"/>
        <v>0</v>
      </c>
      <c r="AK72" s="198"/>
      <c r="AL72" s="250" t="s">
        <v>2068</v>
      </c>
    </row>
    <row r="73" spans="1:38" ht="14.1" customHeight="1" x14ac:dyDescent="0.2">
      <c r="A73" t="s">
        <v>894</v>
      </c>
      <c r="B73" s="193">
        <v>3758</v>
      </c>
      <c r="C73" s="194" t="s">
        <v>1167</v>
      </c>
      <c r="D73" s="229" t="s">
        <v>1432</v>
      </c>
      <c r="E73" s="229" t="s">
        <v>617</v>
      </c>
      <c r="F73" s="236">
        <v>250</v>
      </c>
      <c r="G73" s="196">
        <v>1</v>
      </c>
      <c r="H73" s="195">
        <v>250</v>
      </c>
      <c r="I73" s="197">
        <v>41244</v>
      </c>
      <c r="J73" s="197" t="str">
        <f t="shared" si="3"/>
        <v>ok</v>
      </c>
      <c r="K73" s="413"/>
      <c r="L73" s="413"/>
      <c r="M73" s="413"/>
      <c r="N73" s="413"/>
      <c r="O73" s="413"/>
      <c r="P73" s="413"/>
      <c r="Q73" s="413"/>
      <c r="R73" s="413"/>
      <c r="S73" s="413"/>
      <c r="T73" s="413"/>
      <c r="U73" s="413"/>
      <c r="V73" s="413">
        <v>250</v>
      </c>
      <c r="W73" s="413">
        <f t="shared" si="4"/>
        <v>250</v>
      </c>
      <c r="X73" s="412"/>
      <c r="Y73" s="412"/>
      <c r="Z73" s="412"/>
      <c r="AA73" s="412"/>
      <c r="AB73" s="412"/>
      <c r="AC73" s="412"/>
      <c r="AD73" s="412"/>
      <c r="AE73" s="412"/>
      <c r="AF73" s="412"/>
      <c r="AG73" s="412"/>
      <c r="AH73" s="412"/>
      <c r="AI73" s="412"/>
      <c r="AJ73" s="412">
        <f t="shared" si="5"/>
        <v>0</v>
      </c>
      <c r="AK73" s="198"/>
      <c r="AL73" s="250" t="s">
        <v>2067</v>
      </c>
    </row>
    <row r="74" spans="1:38" ht="14.1" customHeight="1" x14ac:dyDescent="0.2">
      <c r="A74" t="s">
        <v>890</v>
      </c>
      <c r="B74" s="193">
        <v>3759</v>
      </c>
      <c r="C74" s="194" t="s">
        <v>1039</v>
      </c>
      <c r="D74" s="229" t="s">
        <v>1627</v>
      </c>
      <c r="E74" s="229" t="s">
        <v>547</v>
      </c>
      <c r="F74" s="236">
        <v>300</v>
      </c>
      <c r="G74" s="196">
        <v>1</v>
      </c>
      <c r="H74" s="195">
        <v>300</v>
      </c>
      <c r="I74" s="197">
        <v>41244</v>
      </c>
      <c r="J74" s="197" t="str">
        <f t="shared" si="3"/>
        <v>ok</v>
      </c>
      <c r="K74" s="413"/>
      <c r="L74" s="413"/>
      <c r="M74" s="413"/>
      <c r="N74" s="413"/>
      <c r="O74" s="413"/>
      <c r="P74" s="413"/>
      <c r="Q74" s="413"/>
      <c r="R74" s="413"/>
      <c r="S74" s="413"/>
      <c r="T74" s="413"/>
      <c r="U74" s="413"/>
      <c r="V74" s="413">
        <v>300</v>
      </c>
      <c r="W74" s="413">
        <f t="shared" si="4"/>
        <v>300</v>
      </c>
      <c r="X74" s="412"/>
      <c r="Y74" s="412"/>
      <c r="Z74" s="412"/>
      <c r="AA74" s="412"/>
      <c r="AB74" s="412"/>
      <c r="AC74" s="412"/>
      <c r="AD74" s="412"/>
      <c r="AE74" s="412"/>
      <c r="AF74" s="412"/>
      <c r="AG74" s="412"/>
      <c r="AH74" s="412"/>
      <c r="AI74" s="412"/>
      <c r="AJ74" s="412">
        <f t="shared" si="5"/>
        <v>0</v>
      </c>
      <c r="AK74" s="198"/>
      <c r="AL74" s="250" t="s">
        <v>2067</v>
      </c>
    </row>
    <row r="75" spans="1:38" ht="14.1" customHeight="1" x14ac:dyDescent="0.2">
      <c r="A75" t="s">
        <v>890</v>
      </c>
      <c r="B75" s="193">
        <v>3760</v>
      </c>
      <c r="C75" s="194" t="s">
        <v>1039</v>
      </c>
      <c r="D75" s="229" t="s">
        <v>1627</v>
      </c>
      <c r="E75" s="229" t="s">
        <v>547</v>
      </c>
      <c r="F75" s="236">
        <v>300</v>
      </c>
      <c r="G75" s="196">
        <v>2</v>
      </c>
      <c r="H75" s="195">
        <v>300</v>
      </c>
      <c r="I75" s="197">
        <v>41244</v>
      </c>
      <c r="J75" s="197" t="str">
        <f t="shared" si="3"/>
        <v>ok</v>
      </c>
      <c r="K75" s="413"/>
      <c r="L75" s="413"/>
      <c r="M75" s="413"/>
      <c r="N75" s="413"/>
      <c r="O75" s="413"/>
      <c r="P75" s="413"/>
      <c r="Q75" s="413"/>
      <c r="R75" s="413"/>
      <c r="S75" s="413"/>
      <c r="T75" s="413"/>
      <c r="U75" s="413"/>
      <c r="V75" s="413"/>
      <c r="W75" s="413">
        <f t="shared" si="4"/>
        <v>0</v>
      </c>
      <c r="X75" s="412"/>
      <c r="Y75" s="412"/>
      <c r="Z75" s="412"/>
      <c r="AA75" s="412"/>
      <c r="AB75" s="412"/>
      <c r="AC75" s="412"/>
      <c r="AD75" s="412"/>
      <c r="AE75" s="412"/>
      <c r="AF75" s="412"/>
      <c r="AG75" s="412"/>
      <c r="AH75" s="412"/>
      <c r="AI75" s="412"/>
      <c r="AJ75" s="412">
        <f t="shared" si="5"/>
        <v>0</v>
      </c>
      <c r="AK75" s="198"/>
      <c r="AL75" s="250" t="s">
        <v>2068</v>
      </c>
    </row>
    <row r="76" spans="1:38" ht="14.1" customHeight="1" x14ac:dyDescent="0.2">
      <c r="A76" t="s">
        <v>888</v>
      </c>
      <c r="B76" s="193">
        <v>3761</v>
      </c>
      <c r="C76" s="194" t="s">
        <v>944</v>
      </c>
      <c r="D76" s="229" t="s">
        <v>1525</v>
      </c>
      <c r="E76" s="229" t="s">
        <v>405</v>
      </c>
      <c r="F76" s="236">
        <v>300</v>
      </c>
      <c r="G76" s="196">
        <v>1</v>
      </c>
      <c r="H76" s="195">
        <v>300</v>
      </c>
      <c r="I76" s="197">
        <v>41244</v>
      </c>
      <c r="J76" s="197" t="str">
        <f t="shared" si="3"/>
        <v>ok</v>
      </c>
      <c r="K76" s="413"/>
      <c r="L76" s="413"/>
      <c r="M76" s="413"/>
      <c r="N76" s="413"/>
      <c r="O76" s="413"/>
      <c r="P76" s="413"/>
      <c r="Q76" s="413"/>
      <c r="R76" s="413"/>
      <c r="S76" s="413"/>
      <c r="T76" s="413"/>
      <c r="U76" s="413">
        <v>300</v>
      </c>
      <c r="V76" s="413"/>
      <c r="W76" s="413">
        <f t="shared" si="4"/>
        <v>300</v>
      </c>
      <c r="X76" s="412"/>
      <c r="Y76" s="412"/>
      <c r="Z76" s="412"/>
      <c r="AA76" s="412"/>
      <c r="AB76" s="412"/>
      <c r="AC76" s="412"/>
      <c r="AD76" s="412"/>
      <c r="AE76" s="412"/>
      <c r="AF76" s="412"/>
      <c r="AG76" s="412"/>
      <c r="AH76" s="412"/>
      <c r="AI76" s="412"/>
      <c r="AJ76" s="412">
        <f t="shared" si="5"/>
        <v>0</v>
      </c>
      <c r="AK76" s="198"/>
      <c r="AL76" s="250" t="s">
        <v>2067</v>
      </c>
    </row>
    <row r="77" spans="1:38" ht="14.1" customHeight="1" x14ac:dyDescent="0.2">
      <c r="A77" t="s">
        <v>890</v>
      </c>
      <c r="B77" s="193">
        <v>3762</v>
      </c>
      <c r="C77" s="194" t="s">
        <v>1008</v>
      </c>
      <c r="D77" s="229" t="s">
        <v>1587</v>
      </c>
      <c r="E77" s="229" t="s">
        <v>501</v>
      </c>
      <c r="F77" s="236">
        <v>250</v>
      </c>
      <c r="G77" s="196">
        <v>1</v>
      </c>
      <c r="H77" s="195">
        <v>250</v>
      </c>
      <c r="I77" s="197">
        <v>41246</v>
      </c>
      <c r="J77" s="197" t="str">
        <f t="shared" si="3"/>
        <v>ok</v>
      </c>
      <c r="K77" s="413"/>
      <c r="L77" s="413"/>
      <c r="M77" s="413"/>
      <c r="N77" s="413"/>
      <c r="O77" s="413"/>
      <c r="P77" s="413"/>
      <c r="Q77" s="413"/>
      <c r="R77" s="413"/>
      <c r="S77" s="413"/>
      <c r="T77" s="413"/>
      <c r="U77" s="413"/>
      <c r="V77" s="413">
        <v>250</v>
      </c>
      <c r="W77" s="413">
        <f t="shared" si="4"/>
        <v>250</v>
      </c>
      <c r="X77" s="412"/>
      <c r="Y77" s="412"/>
      <c r="Z77" s="412"/>
      <c r="AA77" s="412"/>
      <c r="AB77" s="412"/>
      <c r="AC77" s="412"/>
      <c r="AD77" s="412"/>
      <c r="AE77" s="412"/>
      <c r="AF77" s="412"/>
      <c r="AG77" s="412"/>
      <c r="AH77" s="412"/>
      <c r="AI77" s="412"/>
      <c r="AJ77" s="412">
        <f t="shared" si="5"/>
        <v>0</v>
      </c>
      <c r="AK77" s="198"/>
      <c r="AL77" s="250" t="s">
        <v>2067</v>
      </c>
    </row>
    <row r="78" spans="1:38" ht="14.1" customHeight="1" x14ac:dyDescent="0.2">
      <c r="A78" t="s">
        <v>884</v>
      </c>
      <c r="B78" s="193">
        <v>3763</v>
      </c>
      <c r="C78" s="194" t="s">
        <v>764</v>
      </c>
      <c r="D78" s="229" t="s">
        <v>1386</v>
      </c>
      <c r="E78" s="229" t="s">
        <v>133</v>
      </c>
      <c r="F78" s="236">
        <v>200</v>
      </c>
      <c r="G78" s="196">
        <v>1</v>
      </c>
      <c r="H78" s="195">
        <v>200</v>
      </c>
      <c r="I78" s="197">
        <v>41247</v>
      </c>
      <c r="J78" s="197" t="str">
        <f t="shared" ref="J78:J141" si="6">IF(OR(G78&lt;&gt;1,SUM(W78,AJ78)=H78),"ok","error")</f>
        <v>ok</v>
      </c>
      <c r="K78" s="413"/>
      <c r="L78" s="413"/>
      <c r="M78" s="413"/>
      <c r="N78" s="413"/>
      <c r="O78" s="413"/>
      <c r="P78" s="413"/>
      <c r="Q78" s="413"/>
      <c r="R78" s="413"/>
      <c r="S78" s="413"/>
      <c r="T78" s="413"/>
      <c r="U78" s="413"/>
      <c r="V78" s="413">
        <v>200</v>
      </c>
      <c r="W78" s="413">
        <f t="shared" si="4"/>
        <v>200</v>
      </c>
      <c r="X78" s="412"/>
      <c r="Y78" s="412"/>
      <c r="Z78" s="412"/>
      <c r="AA78" s="412"/>
      <c r="AB78" s="412"/>
      <c r="AC78" s="412"/>
      <c r="AD78" s="412"/>
      <c r="AE78" s="412"/>
      <c r="AF78" s="412"/>
      <c r="AG78" s="412"/>
      <c r="AH78" s="412"/>
      <c r="AI78" s="412"/>
      <c r="AJ78" s="412">
        <f t="shared" si="5"/>
        <v>0</v>
      </c>
      <c r="AK78" s="198"/>
      <c r="AL78" s="250" t="s">
        <v>2067</v>
      </c>
    </row>
    <row r="79" spans="1:38" ht="14.1" customHeight="1" x14ac:dyDescent="0.2">
      <c r="A79" t="s">
        <v>890</v>
      </c>
      <c r="B79" s="193">
        <v>3764</v>
      </c>
      <c r="C79" s="194" t="s">
        <v>1033</v>
      </c>
      <c r="D79" s="229" t="s">
        <v>1366</v>
      </c>
      <c r="E79" s="229" t="s">
        <v>1218</v>
      </c>
      <c r="F79" s="236">
        <v>300</v>
      </c>
      <c r="G79" s="196">
        <v>1</v>
      </c>
      <c r="H79" s="195">
        <v>300</v>
      </c>
      <c r="I79" s="197">
        <v>41247</v>
      </c>
      <c r="J79" s="197" t="str">
        <f t="shared" si="6"/>
        <v>ok</v>
      </c>
      <c r="K79" s="413"/>
      <c r="L79" s="413"/>
      <c r="M79" s="413"/>
      <c r="N79" s="413"/>
      <c r="O79" s="413"/>
      <c r="P79" s="413"/>
      <c r="Q79" s="413"/>
      <c r="R79" s="413"/>
      <c r="S79" s="413"/>
      <c r="T79" s="413"/>
      <c r="U79" s="413"/>
      <c r="V79" s="413">
        <v>300</v>
      </c>
      <c r="W79" s="413">
        <f t="shared" si="4"/>
        <v>300</v>
      </c>
      <c r="X79" s="412"/>
      <c r="Y79" s="412"/>
      <c r="Z79" s="412"/>
      <c r="AA79" s="412"/>
      <c r="AB79" s="412"/>
      <c r="AC79" s="412"/>
      <c r="AD79" s="412"/>
      <c r="AE79" s="412"/>
      <c r="AF79" s="412"/>
      <c r="AG79" s="412"/>
      <c r="AH79" s="412"/>
      <c r="AI79" s="412"/>
      <c r="AJ79" s="412">
        <f t="shared" si="5"/>
        <v>0</v>
      </c>
      <c r="AK79" s="198"/>
      <c r="AL79" s="250" t="s">
        <v>2067</v>
      </c>
    </row>
    <row r="80" spans="1:38" ht="14.1" customHeight="1" x14ac:dyDescent="0.2">
      <c r="A80" t="s">
        <v>884</v>
      </c>
      <c r="B80" s="193">
        <v>3765</v>
      </c>
      <c r="C80" s="194" t="s">
        <v>802</v>
      </c>
      <c r="D80" s="229" t="s">
        <v>1412</v>
      </c>
      <c r="E80" s="229" t="s">
        <v>19</v>
      </c>
      <c r="F80" s="236">
        <v>300</v>
      </c>
      <c r="G80" s="196">
        <v>1</v>
      </c>
      <c r="H80" s="195">
        <v>300</v>
      </c>
      <c r="I80" s="197">
        <v>41247</v>
      </c>
      <c r="J80" s="197" t="str">
        <f t="shared" si="6"/>
        <v>ok</v>
      </c>
      <c r="K80" s="413"/>
      <c r="L80" s="413"/>
      <c r="M80" s="413"/>
      <c r="N80" s="413"/>
      <c r="O80" s="413"/>
      <c r="P80" s="413"/>
      <c r="Q80" s="413"/>
      <c r="R80" s="413"/>
      <c r="S80" s="413"/>
      <c r="T80" s="413"/>
      <c r="U80" s="413"/>
      <c r="V80" s="413">
        <v>300</v>
      </c>
      <c r="W80" s="413">
        <f t="shared" si="4"/>
        <v>300</v>
      </c>
      <c r="X80" s="412"/>
      <c r="Y80" s="412"/>
      <c r="Z80" s="412"/>
      <c r="AA80" s="412"/>
      <c r="AB80" s="412"/>
      <c r="AC80" s="412"/>
      <c r="AD80" s="412"/>
      <c r="AE80" s="412"/>
      <c r="AF80" s="412"/>
      <c r="AG80" s="412"/>
      <c r="AH80" s="412"/>
      <c r="AI80" s="412"/>
      <c r="AJ80" s="412">
        <f t="shared" si="5"/>
        <v>0</v>
      </c>
      <c r="AK80" s="198"/>
      <c r="AL80" s="250" t="s">
        <v>2067</v>
      </c>
    </row>
    <row r="81" spans="1:38" ht="14.1" customHeight="1" x14ac:dyDescent="0.2">
      <c r="B81" s="193">
        <v>3766</v>
      </c>
      <c r="C81" s="194"/>
      <c r="D81" s="229" t="s">
        <v>1362</v>
      </c>
      <c r="E81" s="229" t="s">
        <v>1362</v>
      </c>
      <c r="F81" s="236" t="s">
        <v>1362</v>
      </c>
      <c r="G81" s="196">
        <v>8</v>
      </c>
      <c r="H81" s="195"/>
      <c r="I81" s="197"/>
      <c r="J81" s="197" t="str">
        <f t="shared" si="6"/>
        <v>ok</v>
      </c>
      <c r="K81" s="413"/>
      <c r="L81" s="413"/>
      <c r="M81" s="413"/>
      <c r="N81" s="413"/>
      <c r="O81" s="413"/>
      <c r="P81" s="413"/>
      <c r="Q81" s="413"/>
      <c r="R81" s="413"/>
      <c r="S81" s="413"/>
      <c r="T81" s="413"/>
      <c r="U81" s="413"/>
      <c r="V81" s="413"/>
      <c r="W81" s="413">
        <f t="shared" si="4"/>
        <v>0</v>
      </c>
      <c r="X81" s="412"/>
      <c r="Y81" s="412"/>
      <c r="Z81" s="412"/>
      <c r="AA81" s="412"/>
      <c r="AB81" s="412"/>
      <c r="AC81" s="412"/>
      <c r="AD81" s="412"/>
      <c r="AE81" s="412"/>
      <c r="AF81" s="412"/>
      <c r="AG81" s="412"/>
      <c r="AH81" s="412"/>
      <c r="AI81" s="412"/>
      <c r="AJ81" s="412">
        <f t="shared" si="5"/>
        <v>0</v>
      </c>
      <c r="AK81" s="198" t="s">
        <v>755</v>
      </c>
      <c r="AL81" s="250" t="s">
        <v>2067</v>
      </c>
    </row>
    <row r="82" spans="1:38" ht="14.1" customHeight="1" x14ac:dyDescent="0.2">
      <c r="A82" t="s">
        <v>888</v>
      </c>
      <c r="B82" s="193">
        <v>3767</v>
      </c>
      <c r="C82" s="194" t="s">
        <v>953</v>
      </c>
      <c r="D82" s="229" t="s">
        <v>1604</v>
      </c>
      <c r="E82" s="229" t="s">
        <v>1261</v>
      </c>
      <c r="F82" s="236">
        <v>150</v>
      </c>
      <c r="G82" s="196">
        <v>1</v>
      </c>
      <c r="H82" s="195">
        <v>150</v>
      </c>
      <c r="I82" s="197">
        <v>41248</v>
      </c>
      <c r="J82" s="197" t="str">
        <f t="shared" si="6"/>
        <v>ok</v>
      </c>
      <c r="K82" s="413"/>
      <c r="L82" s="413"/>
      <c r="M82" s="413"/>
      <c r="N82" s="413"/>
      <c r="O82" s="413"/>
      <c r="P82" s="413"/>
      <c r="Q82" s="413"/>
      <c r="R82" s="413"/>
      <c r="S82" s="413"/>
      <c r="T82" s="413"/>
      <c r="U82" s="413"/>
      <c r="V82" s="413">
        <v>150</v>
      </c>
      <c r="W82" s="413">
        <f t="shared" si="4"/>
        <v>150</v>
      </c>
      <c r="X82" s="412"/>
      <c r="Y82" s="412"/>
      <c r="Z82" s="412"/>
      <c r="AA82" s="412"/>
      <c r="AB82" s="412"/>
      <c r="AC82" s="412"/>
      <c r="AD82" s="412"/>
      <c r="AE82" s="412"/>
      <c r="AF82" s="412"/>
      <c r="AG82" s="412"/>
      <c r="AH82" s="412"/>
      <c r="AI82" s="412"/>
      <c r="AJ82" s="412">
        <f t="shared" si="5"/>
        <v>0</v>
      </c>
      <c r="AK82" s="198"/>
      <c r="AL82" s="250" t="s">
        <v>2067</v>
      </c>
    </row>
    <row r="83" spans="1:38" ht="14.1" customHeight="1" x14ac:dyDescent="0.2">
      <c r="A83" t="s">
        <v>884</v>
      </c>
      <c r="B83" s="193">
        <v>3768</v>
      </c>
      <c r="C83" s="194" t="s">
        <v>800</v>
      </c>
      <c r="D83" s="229" t="s">
        <v>1417</v>
      </c>
      <c r="E83" s="229" t="s">
        <v>17</v>
      </c>
      <c r="F83" s="236">
        <v>300</v>
      </c>
      <c r="G83" s="196">
        <v>3</v>
      </c>
      <c r="H83" s="195">
        <v>150</v>
      </c>
      <c r="I83" s="197">
        <v>41249</v>
      </c>
      <c r="J83" s="197" t="str">
        <f t="shared" si="6"/>
        <v>ok</v>
      </c>
      <c r="K83" s="413"/>
      <c r="L83" s="413"/>
      <c r="M83" s="413"/>
      <c r="N83" s="413"/>
      <c r="O83" s="413"/>
      <c r="P83" s="413"/>
      <c r="Q83" s="413"/>
      <c r="R83" s="413"/>
      <c r="S83" s="413"/>
      <c r="T83" s="413"/>
      <c r="U83" s="413"/>
      <c r="V83" s="413"/>
      <c r="W83" s="413">
        <f t="shared" si="4"/>
        <v>0</v>
      </c>
      <c r="X83" s="412"/>
      <c r="Y83" s="412"/>
      <c r="Z83" s="412"/>
      <c r="AA83" s="412"/>
      <c r="AB83" s="412"/>
      <c r="AC83" s="412"/>
      <c r="AD83" s="412"/>
      <c r="AE83" s="412"/>
      <c r="AF83" s="412"/>
      <c r="AG83" s="412"/>
      <c r="AH83" s="412"/>
      <c r="AI83" s="412"/>
      <c r="AJ83" s="412">
        <f t="shared" si="5"/>
        <v>0</v>
      </c>
      <c r="AK83" s="198"/>
      <c r="AL83" s="250" t="s">
        <v>2068</v>
      </c>
    </row>
    <row r="84" spans="1:38" ht="14.1" customHeight="1" x14ac:dyDescent="0.2">
      <c r="A84" t="s">
        <v>884</v>
      </c>
      <c r="B84" s="193">
        <v>3769</v>
      </c>
      <c r="C84" s="194" t="s">
        <v>849</v>
      </c>
      <c r="D84" s="229" t="s">
        <v>1558</v>
      </c>
      <c r="E84" s="229" t="s">
        <v>89</v>
      </c>
      <c r="F84" s="236">
        <v>150</v>
      </c>
      <c r="G84" s="196">
        <v>1</v>
      </c>
      <c r="H84" s="195">
        <v>300</v>
      </c>
      <c r="I84" s="197">
        <v>41249</v>
      </c>
      <c r="J84" s="197" t="str">
        <f t="shared" si="6"/>
        <v>ok</v>
      </c>
      <c r="K84" s="413"/>
      <c r="L84" s="413"/>
      <c r="M84" s="413"/>
      <c r="N84" s="413"/>
      <c r="O84" s="413"/>
      <c r="P84" s="413"/>
      <c r="Q84" s="413"/>
      <c r="R84" s="413"/>
      <c r="S84" s="413"/>
      <c r="T84" s="413"/>
      <c r="U84" s="413">
        <v>150</v>
      </c>
      <c r="V84" s="413">
        <v>150</v>
      </c>
      <c r="W84" s="413">
        <f t="shared" si="4"/>
        <v>300</v>
      </c>
      <c r="X84" s="412"/>
      <c r="Y84" s="412"/>
      <c r="Z84" s="412"/>
      <c r="AA84" s="412"/>
      <c r="AB84" s="412"/>
      <c r="AC84" s="412"/>
      <c r="AD84" s="412"/>
      <c r="AE84" s="412"/>
      <c r="AF84" s="412"/>
      <c r="AG84" s="412"/>
      <c r="AH84" s="412"/>
      <c r="AI84" s="412"/>
      <c r="AJ84" s="412">
        <f t="shared" si="5"/>
        <v>0</v>
      </c>
      <c r="AK84" s="198"/>
      <c r="AL84" s="250" t="s">
        <v>2067</v>
      </c>
    </row>
    <row r="85" spans="1:38" ht="14.1" customHeight="1" x14ac:dyDescent="0.2">
      <c r="A85" t="s">
        <v>884</v>
      </c>
      <c r="B85" s="193">
        <v>3770</v>
      </c>
      <c r="C85" s="194" t="s">
        <v>839</v>
      </c>
      <c r="D85" s="229" t="s">
        <v>1365</v>
      </c>
      <c r="E85" s="229" t="s">
        <v>1204</v>
      </c>
      <c r="F85" s="236">
        <v>300</v>
      </c>
      <c r="G85" s="196">
        <v>1</v>
      </c>
      <c r="H85" s="195">
        <v>300</v>
      </c>
      <c r="I85" s="197">
        <v>41249</v>
      </c>
      <c r="J85" s="197" t="str">
        <f t="shared" si="6"/>
        <v>ok</v>
      </c>
      <c r="K85" s="413"/>
      <c r="L85" s="413"/>
      <c r="M85" s="413"/>
      <c r="N85" s="413"/>
      <c r="O85" s="413"/>
      <c r="P85" s="413"/>
      <c r="Q85" s="413"/>
      <c r="R85" s="413"/>
      <c r="S85" s="413"/>
      <c r="T85" s="413"/>
      <c r="U85" s="413"/>
      <c r="V85" s="413">
        <v>300</v>
      </c>
      <c r="W85" s="413">
        <f t="shared" si="4"/>
        <v>300</v>
      </c>
      <c r="X85" s="412"/>
      <c r="Y85" s="412"/>
      <c r="Z85" s="412"/>
      <c r="AA85" s="412"/>
      <c r="AB85" s="412"/>
      <c r="AC85" s="412"/>
      <c r="AD85" s="412"/>
      <c r="AE85" s="412"/>
      <c r="AF85" s="412"/>
      <c r="AG85" s="412"/>
      <c r="AH85" s="412"/>
      <c r="AI85" s="412"/>
      <c r="AJ85" s="412">
        <f t="shared" si="5"/>
        <v>0</v>
      </c>
      <c r="AK85" s="198"/>
      <c r="AL85" s="250" t="s">
        <v>2067</v>
      </c>
    </row>
    <row r="86" spans="1:38" ht="14.1" customHeight="1" x14ac:dyDescent="0.2">
      <c r="A86" t="s">
        <v>884</v>
      </c>
      <c r="B86" s="193">
        <v>3770</v>
      </c>
      <c r="C86" s="194" t="s">
        <v>839</v>
      </c>
      <c r="D86" s="229" t="s">
        <v>1365</v>
      </c>
      <c r="E86" s="229" t="s">
        <v>1204</v>
      </c>
      <c r="F86" s="236">
        <v>300</v>
      </c>
      <c r="G86" s="196">
        <v>5</v>
      </c>
      <c r="H86" s="195">
        <v>40</v>
      </c>
      <c r="I86" s="197">
        <v>41249</v>
      </c>
      <c r="J86" s="197" t="str">
        <f t="shared" si="6"/>
        <v>ok</v>
      </c>
      <c r="K86" s="413"/>
      <c r="L86" s="413"/>
      <c r="M86" s="413"/>
      <c r="N86" s="413"/>
      <c r="O86" s="413"/>
      <c r="P86" s="413"/>
      <c r="Q86" s="413"/>
      <c r="R86" s="413"/>
      <c r="S86" s="413"/>
      <c r="T86" s="413"/>
      <c r="U86" s="413"/>
      <c r="V86" s="413"/>
      <c r="W86" s="413">
        <f t="shared" si="4"/>
        <v>0</v>
      </c>
      <c r="X86" s="412"/>
      <c r="Y86" s="412"/>
      <c r="Z86" s="412"/>
      <c r="AA86" s="412"/>
      <c r="AB86" s="412"/>
      <c r="AC86" s="412"/>
      <c r="AD86" s="412"/>
      <c r="AE86" s="412"/>
      <c r="AF86" s="412"/>
      <c r="AG86" s="412"/>
      <c r="AH86" s="412"/>
      <c r="AI86" s="412"/>
      <c r="AJ86" s="412">
        <f t="shared" si="5"/>
        <v>0</v>
      </c>
      <c r="AK86" s="198"/>
      <c r="AL86" s="250" t="s">
        <v>2068</v>
      </c>
    </row>
    <row r="87" spans="1:38" ht="14.1" customHeight="1" x14ac:dyDescent="0.2">
      <c r="A87" t="s">
        <v>884</v>
      </c>
      <c r="B87" s="193">
        <v>3770</v>
      </c>
      <c r="C87" s="194" t="s">
        <v>839</v>
      </c>
      <c r="D87" s="229" t="s">
        <v>1365</v>
      </c>
      <c r="E87" s="229" t="s">
        <v>1204</v>
      </c>
      <c r="F87" s="236">
        <v>300</v>
      </c>
      <c r="G87" s="196">
        <v>4</v>
      </c>
      <c r="H87" s="195">
        <v>160</v>
      </c>
      <c r="I87" s="197">
        <v>41249</v>
      </c>
      <c r="J87" s="197" t="str">
        <f t="shared" si="6"/>
        <v>ok</v>
      </c>
      <c r="K87" s="413"/>
      <c r="L87" s="413"/>
      <c r="M87" s="413"/>
      <c r="N87" s="413"/>
      <c r="O87" s="413"/>
      <c r="P87" s="413"/>
      <c r="Q87" s="413"/>
      <c r="R87" s="413"/>
      <c r="S87" s="413"/>
      <c r="T87" s="413"/>
      <c r="U87" s="413"/>
      <c r="V87" s="413"/>
      <c r="W87" s="413">
        <f t="shared" si="4"/>
        <v>0</v>
      </c>
      <c r="X87" s="412"/>
      <c r="Y87" s="412"/>
      <c r="Z87" s="412"/>
      <c r="AA87" s="412"/>
      <c r="AB87" s="412"/>
      <c r="AC87" s="412"/>
      <c r="AD87" s="412"/>
      <c r="AE87" s="412"/>
      <c r="AF87" s="412"/>
      <c r="AG87" s="412"/>
      <c r="AH87" s="412"/>
      <c r="AI87" s="412"/>
      <c r="AJ87" s="412">
        <f t="shared" si="5"/>
        <v>0</v>
      </c>
      <c r="AK87" s="198"/>
      <c r="AL87" s="250" t="s">
        <v>2068</v>
      </c>
    </row>
    <row r="88" spans="1:38" ht="14.1" customHeight="1" x14ac:dyDescent="0.2">
      <c r="A88" t="s">
        <v>884</v>
      </c>
      <c r="B88" s="193">
        <v>3771</v>
      </c>
      <c r="C88" s="194" t="s">
        <v>849</v>
      </c>
      <c r="D88" s="229" t="s">
        <v>1558</v>
      </c>
      <c r="E88" s="229" t="s">
        <v>89</v>
      </c>
      <c r="F88" s="236">
        <v>150</v>
      </c>
      <c r="G88" s="196">
        <v>5</v>
      </c>
      <c r="H88" s="195">
        <v>40</v>
      </c>
      <c r="I88" s="197">
        <v>41249</v>
      </c>
      <c r="J88" s="197" t="str">
        <f t="shared" si="6"/>
        <v>ok</v>
      </c>
      <c r="K88" s="413"/>
      <c r="L88" s="413"/>
      <c r="M88" s="413"/>
      <c r="N88" s="413"/>
      <c r="O88" s="413"/>
      <c r="P88" s="413"/>
      <c r="Q88" s="413"/>
      <c r="R88" s="413"/>
      <c r="S88" s="413"/>
      <c r="T88" s="413"/>
      <c r="U88" s="413"/>
      <c r="V88" s="413"/>
      <c r="W88" s="413">
        <f t="shared" si="4"/>
        <v>0</v>
      </c>
      <c r="X88" s="412"/>
      <c r="Y88" s="412"/>
      <c r="Z88" s="412"/>
      <c r="AA88" s="412"/>
      <c r="AB88" s="412"/>
      <c r="AC88" s="412"/>
      <c r="AD88" s="412"/>
      <c r="AE88" s="412"/>
      <c r="AF88" s="412"/>
      <c r="AG88" s="412"/>
      <c r="AH88" s="412"/>
      <c r="AI88" s="412"/>
      <c r="AJ88" s="412">
        <f t="shared" si="5"/>
        <v>0</v>
      </c>
      <c r="AK88" s="198"/>
      <c r="AL88" s="250" t="s">
        <v>2068</v>
      </c>
    </row>
    <row r="89" spans="1:38" ht="14.1" customHeight="1" x14ac:dyDescent="0.2">
      <c r="A89" t="s">
        <v>890</v>
      </c>
      <c r="B89" s="193">
        <v>3772</v>
      </c>
      <c r="C89" s="194" t="s">
        <v>1037</v>
      </c>
      <c r="D89" s="229" t="s">
        <v>1612</v>
      </c>
      <c r="E89" s="229" t="s">
        <v>543</v>
      </c>
      <c r="F89" s="236">
        <v>300</v>
      </c>
      <c r="G89" s="196">
        <v>1</v>
      </c>
      <c r="H89" s="195">
        <v>300</v>
      </c>
      <c r="I89" s="197">
        <v>41250</v>
      </c>
      <c r="J89" s="197" t="str">
        <f t="shared" si="6"/>
        <v>ok</v>
      </c>
      <c r="K89" s="413"/>
      <c r="L89" s="413"/>
      <c r="M89" s="413"/>
      <c r="N89" s="413"/>
      <c r="O89" s="413"/>
      <c r="P89" s="413"/>
      <c r="Q89" s="413"/>
      <c r="R89" s="413"/>
      <c r="S89" s="413"/>
      <c r="T89" s="413"/>
      <c r="U89" s="413"/>
      <c r="V89" s="413">
        <v>300</v>
      </c>
      <c r="W89" s="413">
        <f t="shared" si="4"/>
        <v>300</v>
      </c>
      <c r="X89" s="412"/>
      <c r="Y89" s="412"/>
      <c r="Z89" s="412"/>
      <c r="AA89" s="412"/>
      <c r="AB89" s="412"/>
      <c r="AC89" s="412"/>
      <c r="AD89" s="412"/>
      <c r="AE89" s="412"/>
      <c r="AF89" s="412"/>
      <c r="AG89" s="412"/>
      <c r="AH89" s="412"/>
      <c r="AI89" s="412"/>
      <c r="AJ89" s="412">
        <f t="shared" si="5"/>
        <v>0</v>
      </c>
      <c r="AK89" s="198"/>
      <c r="AL89" s="250" t="s">
        <v>2067</v>
      </c>
    </row>
    <row r="90" spans="1:38" ht="14.1" customHeight="1" x14ac:dyDescent="0.2">
      <c r="A90" t="s">
        <v>890</v>
      </c>
      <c r="B90" s="193">
        <v>3773</v>
      </c>
      <c r="C90" s="194" t="s">
        <v>1005</v>
      </c>
      <c r="D90" s="229" t="s">
        <v>1620</v>
      </c>
      <c r="E90" s="229" t="s">
        <v>497</v>
      </c>
      <c r="F90" s="236">
        <v>300</v>
      </c>
      <c r="G90" s="196">
        <v>1</v>
      </c>
      <c r="H90" s="195">
        <v>1800</v>
      </c>
      <c r="I90" s="197">
        <v>41250</v>
      </c>
      <c r="J90" s="197" t="str">
        <f t="shared" si="6"/>
        <v>ok</v>
      </c>
      <c r="K90" s="413"/>
      <c r="L90" s="413"/>
      <c r="M90" s="413"/>
      <c r="N90" s="413"/>
      <c r="O90" s="413"/>
      <c r="P90" s="413"/>
      <c r="Q90" s="413">
        <v>300</v>
      </c>
      <c r="R90" s="413">
        <v>300</v>
      </c>
      <c r="S90" s="413">
        <v>300</v>
      </c>
      <c r="T90" s="413">
        <v>300</v>
      </c>
      <c r="U90" s="413">
        <v>300</v>
      </c>
      <c r="V90" s="413">
        <v>300</v>
      </c>
      <c r="W90" s="413">
        <f t="shared" si="4"/>
        <v>1800</v>
      </c>
      <c r="X90" s="412"/>
      <c r="Y90" s="412"/>
      <c r="Z90" s="412"/>
      <c r="AA90" s="412"/>
      <c r="AB90" s="412"/>
      <c r="AC90" s="412"/>
      <c r="AD90" s="412"/>
      <c r="AE90" s="412"/>
      <c r="AF90" s="412"/>
      <c r="AG90" s="412"/>
      <c r="AH90" s="412"/>
      <c r="AI90" s="412"/>
      <c r="AJ90" s="412">
        <f t="shared" si="5"/>
        <v>0</v>
      </c>
      <c r="AK90" s="198"/>
      <c r="AL90" s="250" t="s">
        <v>2067</v>
      </c>
    </row>
    <row r="91" spans="1:38" ht="14.1" customHeight="1" x14ac:dyDescent="0.2">
      <c r="A91" t="s">
        <v>893</v>
      </c>
      <c r="B91" s="193">
        <v>3774</v>
      </c>
      <c r="C91" s="194" t="s">
        <v>1108</v>
      </c>
      <c r="D91" s="229" t="s">
        <v>1466</v>
      </c>
      <c r="E91" s="229" t="s">
        <v>257</v>
      </c>
      <c r="F91" s="236">
        <v>300</v>
      </c>
      <c r="G91" s="196">
        <v>1</v>
      </c>
      <c r="H91" s="195">
        <v>300</v>
      </c>
      <c r="I91" s="197">
        <v>41252</v>
      </c>
      <c r="J91" s="197" t="str">
        <f t="shared" si="6"/>
        <v>ok</v>
      </c>
      <c r="K91" s="413"/>
      <c r="L91" s="413"/>
      <c r="M91" s="413"/>
      <c r="N91" s="413"/>
      <c r="O91" s="413"/>
      <c r="P91" s="413"/>
      <c r="Q91" s="413"/>
      <c r="R91" s="413"/>
      <c r="S91" s="413"/>
      <c r="T91" s="413"/>
      <c r="U91" s="413"/>
      <c r="V91" s="413">
        <v>300</v>
      </c>
      <c r="W91" s="413">
        <f t="shared" si="4"/>
        <v>300</v>
      </c>
      <c r="X91" s="412"/>
      <c r="Y91" s="412"/>
      <c r="Z91" s="412"/>
      <c r="AA91" s="412"/>
      <c r="AB91" s="412"/>
      <c r="AC91" s="412"/>
      <c r="AD91" s="412"/>
      <c r="AE91" s="412"/>
      <c r="AF91" s="412"/>
      <c r="AG91" s="412"/>
      <c r="AH91" s="412"/>
      <c r="AI91" s="412"/>
      <c r="AJ91" s="412">
        <f t="shared" si="5"/>
        <v>0</v>
      </c>
      <c r="AK91" s="198"/>
      <c r="AL91" s="250" t="s">
        <v>2067</v>
      </c>
    </row>
    <row r="92" spans="1:38" ht="14.1" customHeight="1" x14ac:dyDescent="0.2">
      <c r="A92" t="s">
        <v>893</v>
      </c>
      <c r="B92" s="193">
        <v>3775</v>
      </c>
      <c r="C92" s="194" t="s">
        <v>1108</v>
      </c>
      <c r="D92" s="229" t="s">
        <v>1466</v>
      </c>
      <c r="E92" s="229" t="s">
        <v>257</v>
      </c>
      <c r="F92" s="236">
        <v>300</v>
      </c>
      <c r="G92" s="196">
        <v>2</v>
      </c>
      <c r="H92" s="195">
        <v>300</v>
      </c>
      <c r="I92" s="197">
        <v>41252</v>
      </c>
      <c r="J92" s="197" t="str">
        <f t="shared" si="6"/>
        <v>ok</v>
      </c>
      <c r="K92" s="413"/>
      <c r="L92" s="413"/>
      <c r="M92" s="413"/>
      <c r="N92" s="413"/>
      <c r="O92" s="413"/>
      <c r="P92" s="413"/>
      <c r="Q92" s="413"/>
      <c r="R92" s="413"/>
      <c r="S92" s="413"/>
      <c r="T92" s="413"/>
      <c r="U92" s="413"/>
      <c r="V92" s="413"/>
      <c r="W92" s="413">
        <f t="shared" si="4"/>
        <v>0</v>
      </c>
      <c r="X92" s="412"/>
      <c r="Y92" s="412"/>
      <c r="Z92" s="412"/>
      <c r="AA92" s="412"/>
      <c r="AB92" s="412"/>
      <c r="AC92" s="412"/>
      <c r="AD92" s="412"/>
      <c r="AE92" s="412"/>
      <c r="AF92" s="412"/>
      <c r="AG92" s="412"/>
      <c r="AH92" s="412"/>
      <c r="AI92" s="412"/>
      <c r="AJ92" s="412">
        <f t="shared" si="5"/>
        <v>0</v>
      </c>
      <c r="AK92" s="198"/>
      <c r="AL92" s="250" t="s">
        <v>2068</v>
      </c>
    </row>
    <row r="93" spans="1:38" ht="14.1" customHeight="1" x14ac:dyDescent="0.2">
      <c r="A93" t="s">
        <v>884</v>
      </c>
      <c r="B93" s="193">
        <v>3776</v>
      </c>
      <c r="C93" s="194" t="s">
        <v>840</v>
      </c>
      <c r="D93" s="229" t="s">
        <v>1538</v>
      </c>
      <c r="E93" s="229" t="s">
        <v>79</v>
      </c>
      <c r="F93" s="236">
        <v>300</v>
      </c>
      <c r="G93" s="196">
        <v>1</v>
      </c>
      <c r="H93" s="195">
        <v>600</v>
      </c>
      <c r="I93" s="197">
        <v>41252</v>
      </c>
      <c r="J93" s="197" t="str">
        <f t="shared" si="6"/>
        <v>ok</v>
      </c>
      <c r="K93" s="413"/>
      <c r="L93" s="413"/>
      <c r="M93" s="413"/>
      <c r="N93" s="413"/>
      <c r="O93" s="413"/>
      <c r="P93" s="413"/>
      <c r="Q93" s="413"/>
      <c r="R93" s="413"/>
      <c r="S93" s="413"/>
      <c r="T93" s="413">
        <v>300</v>
      </c>
      <c r="U93" s="413">
        <v>300</v>
      </c>
      <c r="V93" s="413"/>
      <c r="W93" s="413">
        <f t="shared" si="4"/>
        <v>600</v>
      </c>
      <c r="X93" s="412"/>
      <c r="Y93" s="412"/>
      <c r="Z93" s="412"/>
      <c r="AA93" s="412"/>
      <c r="AB93" s="412"/>
      <c r="AC93" s="412"/>
      <c r="AD93" s="412"/>
      <c r="AE93" s="412"/>
      <c r="AF93" s="412"/>
      <c r="AG93" s="412"/>
      <c r="AH93" s="412"/>
      <c r="AI93" s="412"/>
      <c r="AJ93" s="412">
        <f t="shared" si="5"/>
        <v>0</v>
      </c>
      <c r="AK93" s="198"/>
      <c r="AL93" s="250" t="s">
        <v>2067</v>
      </c>
    </row>
    <row r="94" spans="1:38" ht="14.1" customHeight="1" x14ac:dyDescent="0.2">
      <c r="A94" t="s">
        <v>888</v>
      </c>
      <c r="B94" s="193">
        <v>3777</v>
      </c>
      <c r="C94" s="194" t="s">
        <v>925</v>
      </c>
      <c r="D94" s="229" t="s">
        <v>1371</v>
      </c>
      <c r="E94" s="229" t="s">
        <v>373</v>
      </c>
      <c r="F94" s="236">
        <v>300</v>
      </c>
      <c r="G94" s="196">
        <v>1</v>
      </c>
      <c r="H94" s="195">
        <v>300</v>
      </c>
      <c r="I94" s="197">
        <v>41252</v>
      </c>
      <c r="J94" s="197" t="str">
        <f t="shared" si="6"/>
        <v>ok</v>
      </c>
      <c r="K94" s="413"/>
      <c r="L94" s="413"/>
      <c r="M94" s="413"/>
      <c r="N94" s="413"/>
      <c r="O94" s="413"/>
      <c r="P94" s="413"/>
      <c r="Q94" s="413"/>
      <c r="R94" s="413"/>
      <c r="S94" s="413"/>
      <c r="T94" s="413"/>
      <c r="U94" s="413"/>
      <c r="V94" s="413">
        <v>300</v>
      </c>
      <c r="W94" s="413">
        <f t="shared" si="4"/>
        <v>300</v>
      </c>
      <c r="X94" s="412"/>
      <c r="Y94" s="412"/>
      <c r="Z94" s="412"/>
      <c r="AA94" s="412"/>
      <c r="AB94" s="412"/>
      <c r="AC94" s="412"/>
      <c r="AD94" s="412"/>
      <c r="AE94" s="412"/>
      <c r="AF94" s="412"/>
      <c r="AG94" s="412"/>
      <c r="AH94" s="412"/>
      <c r="AI94" s="412"/>
      <c r="AJ94" s="412">
        <f t="shared" si="5"/>
        <v>0</v>
      </c>
      <c r="AK94" s="198"/>
      <c r="AL94" s="250" t="s">
        <v>2067</v>
      </c>
    </row>
    <row r="95" spans="1:38" ht="14.1" customHeight="1" x14ac:dyDescent="0.2">
      <c r="A95" t="s">
        <v>894</v>
      </c>
      <c r="B95" s="193">
        <v>3778</v>
      </c>
      <c r="C95" s="194" t="s">
        <v>1158</v>
      </c>
      <c r="D95" s="229" t="s">
        <v>1590</v>
      </c>
      <c r="E95" s="229" t="s">
        <v>600</v>
      </c>
      <c r="F95" s="236">
        <v>300</v>
      </c>
      <c r="G95" s="196">
        <v>1</v>
      </c>
      <c r="H95" s="195">
        <v>300</v>
      </c>
      <c r="I95" s="197">
        <v>41252</v>
      </c>
      <c r="J95" s="197" t="str">
        <f t="shared" si="6"/>
        <v>ok</v>
      </c>
      <c r="K95" s="413"/>
      <c r="L95" s="413"/>
      <c r="M95" s="413"/>
      <c r="N95" s="413"/>
      <c r="O95" s="413"/>
      <c r="P95" s="413"/>
      <c r="Q95" s="413"/>
      <c r="R95" s="413"/>
      <c r="S95" s="413"/>
      <c r="T95" s="413"/>
      <c r="U95" s="413"/>
      <c r="V95" s="413">
        <v>300</v>
      </c>
      <c r="W95" s="413">
        <f t="shared" si="4"/>
        <v>300</v>
      </c>
      <c r="X95" s="412"/>
      <c r="Y95" s="412"/>
      <c r="Z95" s="412"/>
      <c r="AA95" s="412"/>
      <c r="AB95" s="412"/>
      <c r="AC95" s="412"/>
      <c r="AD95" s="412"/>
      <c r="AE95" s="412"/>
      <c r="AF95" s="412"/>
      <c r="AG95" s="412"/>
      <c r="AH95" s="412"/>
      <c r="AI95" s="412"/>
      <c r="AJ95" s="412">
        <f t="shared" si="5"/>
        <v>0</v>
      </c>
      <c r="AK95" s="198"/>
      <c r="AL95" s="250" t="s">
        <v>2067</v>
      </c>
    </row>
    <row r="96" spans="1:38" ht="14.1" customHeight="1" x14ac:dyDescent="0.2">
      <c r="A96" t="s">
        <v>894</v>
      </c>
      <c r="B96" s="193">
        <v>3778</v>
      </c>
      <c r="C96" s="194" t="s">
        <v>1158</v>
      </c>
      <c r="D96" s="229" t="s">
        <v>1590</v>
      </c>
      <c r="E96" s="229" t="s">
        <v>600</v>
      </c>
      <c r="F96" s="236">
        <v>300</v>
      </c>
      <c r="G96" s="196">
        <v>3</v>
      </c>
      <c r="H96" s="195">
        <v>150</v>
      </c>
      <c r="I96" s="197">
        <v>41252</v>
      </c>
      <c r="J96" s="197" t="str">
        <f t="shared" si="6"/>
        <v>ok</v>
      </c>
      <c r="K96" s="413"/>
      <c r="L96" s="413"/>
      <c r="M96" s="413"/>
      <c r="N96" s="413"/>
      <c r="O96" s="413"/>
      <c r="P96" s="413"/>
      <c r="Q96" s="413"/>
      <c r="R96" s="413"/>
      <c r="S96" s="413"/>
      <c r="T96" s="413"/>
      <c r="U96" s="413"/>
      <c r="V96" s="413"/>
      <c r="W96" s="413">
        <f t="shared" si="4"/>
        <v>0</v>
      </c>
      <c r="X96" s="412"/>
      <c r="Y96" s="412"/>
      <c r="Z96" s="412"/>
      <c r="AA96" s="412"/>
      <c r="AB96" s="412"/>
      <c r="AC96" s="412"/>
      <c r="AD96" s="412"/>
      <c r="AE96" s="412"/>
      <c r="AF96" s="412"/>
      <c r="AG96" s="412"/>
      <c r="AH96" s="412"/>
      <c r="AI96" s="412"/>
      <c r="AJ96" s="412">
        <f t="shared" si="5"/>
        <v>0</v>
      </c>
      <c r="AK96" s="198"/>
      <c r="AL96" s="250" t="s">
        <v>2068</v>
      </c>
    </row>
    <row r="97" spans="1:38" ht="14.1" customHeight="1" x14ac:dyDescent="0.2">
      <c r="A97" t="s">
        <v>890</v>
      </c>
      <c r="B97" s="193">
        <v>3779</v>
      </c>
      <c r="C97" s="194" t="s">
        <v>1003</v>
      </c>
      <c r="D97" s="229" t="s">
        <v>1394</v>
      </c>
      <c r="E97" s="229" t="s">
        <v>493</v>
      </c>
      <c r="F97" s="236">
        <v>300</v>
      </c>
      <c r="G97" s="196">
        <v>1</v>
      </c>
      <c r="H97" s="195">
        <v>300</v>
      </c>
      <c r="I97" s="197">
        <v>41252</v>
      </c>
      <c r="J97" s="197" t="str">
        <f t="shared" si="6"/>
        <v>ok</v>
      </c>
      <c r="K97" s="413"/>
      <c r="L97" s="413"/>
      <c r="M97" s="413"/>
      <c r="N97" s="413"/>
      <c r="O97" s="413"/>
      <c r="P97" s="413"/>
      <c r="Q97" s="413"/>
      <c r="R97" s="413"/>
      <c r="S97" s="413"/>
      <c r="T97" s="413"/>
      <c r="U97" s="413"/>
      <c r="V97" s="413">
        <v>300</v>
      </c>
      <c r="W97" s="413">
        <f t="shared" si="4"/>
        <v>300</v>
      </c>
      <c r="X97" s="412"/>
      <c r="Y97" s="412"/>
      <c r="Z97" s="412"/>
      <c r="AA97" s="412"/>
      <c r="AB97" s="412"/>
      <c r="AC97" s="412"/>
      <c r="AD97" s="412"/>
      <c r="AE97" s="412"/>
      <c r="AF97" s="412"/>
      <c r="AG97" s="412"/>
      <c r="AH97" s="412"/>
      <c r="AI97" s="412"/>
      <c r="AJ97" s="412">
        <f t="shared" si="5"/>
        <v>0</v>
      </c>
      <c r="AK97" s="198"/>
      <c r="AL97" s="250" t="s">
        <v>2067</v>
      </c>
    </row>
    <row r="98" spans="1:38" ht="14.1" customHeight="1" x14ac:dyDescent="0.2">
      <c r="A98" t="s">
        <v>890</v>
      </c>
      <c r="B98" s="193">
        <v>3780</v>
      </c>
      <c r="C98" s="194" t="s">
        <v>1003</v>
      </c>
      <c r="D98" s="229" t="s">
        <v>1394</v>
      </c>
      <c r="E98" s="229" t="s">
        <v>493</v>
      </c>
      <c r="F98" s="236">
        <v>300</v>
      </c>
      <c r="G98" s="196">
        <v>2</v>
      </c>
      <c r="H98" s="195">
        <v>200</v>
      </c>
      <c r="I98" s="197">
        <v>41252</v>
      </c>
      <c r="J98" s="197" t="str">
        <f t="shared" si="6"/>
        <v>ok</v>
      </c>
      <c r="K98" s="413"/>
      <c r="L98" s="413"/>
      <c r="M98" s="413"/>
      <c r="N98" s="413"/>
      <c r="O98" s="413"/>
      <c r="P98" s="413"/>
      <c r="Q98" s="413"/>
      <c r="R98" s="413"/>
      <c r="S98" s="413"/>
      <c r="T98" s="413"/>
      <c r="U98" s="413"/>
      <c r="V98" s="413"/>
      <c r="W98" s="413">
        <f t="shared" si="4"/>
        <v>0</v>
      </c>
      <c r="X98" s="412"/>
      <c r="Y98" s="412"/>
      <c r="Z98" s="412"/>
      <c r="AA98" s="412"/>
      <c r="AB98" s="412"/>
      <c r="AC98" s="412"/>
      <c r="AD98" s="412"/>
      <c r="AE98" s="412"/>
      <c r="AF98" s="412"/>
      <c r="AG98" s="412"/>
      <c r="AH98" s="412"/>
      <c r="AI98" s="412"/>
      <c r="AJ98" s="412">
        <f t="shared" si="5"/>
        <v>0</v>
      </c>
      <c r="AK98" s="198"/>
      <c r="AL98" s="250" t="s">
        <v>2068</v>
      </c>
    </row>
    <row r="99" spans="1:38" ht="14.1" customHeight="1" x14ac:dyDescent="0.2">
      <c r="A99" t="s">
        <v>888</v>
      </c>
      <c r="B99" s="193">
        <v>3781</v>
      </c>
      <c r="C99" s="194" t="s">
        <v>951</v>
      </c>
      <c r="D99" s="229" t="s">
        <v>1707</v>
      </c>
      <c r="E99" s="229" t="s">
        <v>420</v>
      </c>
      <c r="F99" s="236">
        <v>300</v>
      </c>
      <c r="G99" s="196">
        <v>3</v>
      </c>
      <c r="H99" s="195">
        <v>150</v>
      </c>
      <c r="I99" s="197">
        <v>41252</v>
      </c>
      <c r="J99" s="197" t="str">
        <f t="shared" si="6"/>
        <v>ok</v>
      </c>
      <c r="K99" s="413"/>
      <c r="L99" s="413"/>
      <c r="M99" s="413"/>
      <c r="N99" s="413"/>
      <c r="O99" s="413"/>
      <c r="P99" s="413"/>
      <c r="Q99" s="413"/>
      <c r="R99" s="413"/>
      <c r="S99" s="413"/>
      <c r="T99" s="413"/>
      <c r="U99" s="413"/>
      <c r="V99" s="413"/>
      <c r="W99" s="413">
        <f t="shared" si="4"/>
        <v>0</v>
      </c>
      <c r="X99" s="412"/>
      <c r="Y99" s="412"/>
      <c r="Z99" s="412"/>
      <c r="AA99" s="412"/>
      <c r="AB99" s="412"/>
      <c r="AC99" s="412"/>
      <c r="AD99" s="412"/>
      <c r="AE99" s="412"/>
      <c r="AF99" s="412"/>
      <c r="AG99" s="412"/>
      <c r="AH99" s="412"/>
      <c r="AI99" s="412"/>
      <c r="AJ99" s="412">
        <f t="shared" si="5"/>
        <v>0</v>
      </c>
      <c r="AK99" s="198"/>
      <c r="AL99" s="250" t="s">
        <v>2068</v>
      </c>
    </row>
    <row r="100" spans="1:38" ht="14.1" customHeight="1" x14ac:dyDescent="0.2">
      <c r="A100" t="s">
        <v>892</v>
      </c>
      <c r="B100" s="193">
        <v>3782</v>
      </c>
      <c r="C100" s="194" t="s">
        <v>776</v>
      </c>
      <c r="D100" s="229" t="s">
        <v>1413</v>
      </c>
      <c r="E100" s="229" t="s">
        <v>736</v>
      </c>
      <c r="F100" s="236">
        <v>300</v>
      </c>
      <c r="G100" s="196">
        <v>2</v>
      </c>
      <c r="H100" s="195">
        <v>2200</v>
      </c>
      <c r="I100" s="197">
        <v>41252</v>
      </c>
      <c r="J100" s="197" t="str">
        <f t="shared" si="6"/>
        <v>ok</v>
      </c>
      <c r="K100" s="413"/>
      <c r="L100" s="413"/>
      <c r="M100" s="413"/>
      <c r="N100" s="413"/>
      <c r="O100" s="413"/>
      <c r="P100" s="413"/>
      <c r="Q100" s="413"/>
      <c r="R100" s="413"/>
      <c r="S100" s="413"/>
      <c r="T100" s="413"/>
      <c r="U100" s="413"/>
      <c r="V100" s="413"/>
      <c r="W100" s="413">
        <f t="shared" si="4"/>
        <v>0</v>
      </c>
      <c r="X100" s="412"/>
      <c r="Y100" s="412"/>
      <c r="Z100" s="412"/>
      <c r="AA100" s="412"/>
      <c r="AB100" s="412"/>
      <c r="AC100" s="412"/>
      <c r="AD100" s="412"/>
      <c r="AE100" s="412"/>
      <c r="AF100" s="412"/>
      <c r="AG100" s="412"/>
      <c r="AH100" s="412"/>
      <c r="AI100" s="412"/>
      <c r="AJ100" s="412">
        <f t="shared" si="5"/>
        <v>0</v>
      </c>
      <c r="AK100" s="198"/>
      <c r="AL100" s="250" t="s">
        <v>2068</v>
      </c>
    </row>
    <row r="101" spans="1:38" ht="14.1" customHeight="1" x14ac:dyDescent="0.2">
      <c r="A101" t="s">
        <v>888</v>
      </c>
      <c r="B101" s="193">
        <v>3783</v>
      </c>
      <c r="C101" s="194" t="s">
        <v>761</v>
      </c>
      <c r="D101" s="229" t="s">
        <v>1419</v>
      </c>
      <c r="E101" s="229" t="s">
        <v>443</v>
      </c>
      <c r="F101" s="236">
        <v>300</v>
      </c>
      <c r="G101" s="196">
        <v>1</v>
      </c>
      <c r="H101" s="195">
        <v>300</v>
      </c>
      <c r="I101" s="197">
        <v>41252</v>
      </c>
      <c r="J101" s="197" t="str">
        <f t="shared" si="6"/>
        <v>ok</v>
      </c>
      <c r="K101" s="413"/>
      <c r="L101" s="413"/>
      <c r="M101" s="413"/>
      <c r="N101" s="413"/>
      <c r="O101" s="413"/>
      <c r="P101" s="413"/>
      <c r="Q101" s="413"/>
      <c r="R101" s="413"/>
      <c r="S101" s="413"/>
      <c r="T101" s="413"/>
      <c r="U101" s="413"/>
      <c r="V101" s="413">
        <v>300</v>
      </c>
      <c r="W101" s="413">
        <f t="shared" si="4"/>
        <v>300</v>
      </c>
      <c r="X101" s="412"/>
      <c r="Y101" s="412"/>
      <c r="Z101" s="412"/>
      <c r="AA101" s="412"/>
      <c r="AB101" s="412"/>
      <c r="AC101" s="412"/>
      <c r="AD101" s="412"/>
      <c r="AE101" s="412"/>
      <c r="AF101" s="412"/>
      <c r="AG101" s="412"/>
      <c r="AH101" s="412"/>
      <c r="AI101" s="412"/>
      <c r="AJ101" s="412">
        <f t="shared" si="5"/>
        <v>0</v>
      </c>
      <c r="AK101" s="198"/>
      <c r="AL101" s="250" t="s">
        <v>2067</v>
      </c>
    </row>
    <row r="102" spans="1:38" ht="14.1" customHeight="1" x14ac:dyDescent="0.2">
      <c r="A102" t="s">
        <v>888</v>
      </c>
      <c r="B102" s="193">
        <v>3784</v>
      </c>
      <c r="C102" s="194" t="s">
        <v>761</v>
      </c>
      <c r="D102" s="229" t="s">
        <v>1419</v>
      </c>
      <c r="E102" s="229" t="s">
        <v>443</v>
      </c>
      <c r="F102" s="236">
        <v>300</v>
      </c>
      <c r="G102" s="196">
        <v>2</v>
      </c>
      <c r="H102" s="195">
        <v>300</v>
      </c>
      <c r="I102" s="197">
        <v>41252</v>
      </c>
      <c r="J102" s="197" t="str">
        <f t="shared" si="6"/>
        <v>ok</v>
      </c>
      <c r="K102" s="413"/>
      <c r="L102" s="413"/>
      <c r="M102" s="413"/>
      <c r="N102" s="413"/>
      <c r="O102" s="413"/>
      <c r="P102" s="413"/>
      <c r="Q102" s="413"/>
      <c r="R102" s="413"/>
      <c r="S102" s="413"/>
      <c r="T102" s="413"/>
      <c r="U102" s="413"/>
      <c r="V102" s="413"/>
      <c r="W102" s="413">
        <f t="shared" si="4"/>
        <v>0</v>
      </c>
      <c r="X102" s="412"/>
      <c r="Y102" s="412"/>
      <c r="Z102" s="412"/>
      <c r="AA102" s="412"/>
      <c r="AB102" s="412"/>
      <c r="AC102" s="412"/>
      <c r="AD102" s="412"/>
      <c r="AE102" s="412"/>
      <c r="AF102" s="412"/>
      <c r="AG102" s="412"/>
      <c r="AH102" s="412"/>
      <c r="AI102" s="412"/>
      <c r="AJ102" s="412">
        <f t="shared" si="5"/>
        <v>0</v>
      </c>
      <c r="AK102" s="198"/>
      <c r="AL102" s="250" t="s">
        <v>2068</v>
      </c>
    </row>
    <row r="103" spans="1:38" ht="14.1" customHeight="1" x14ac:dyDescent="0.2">
      <c r="A103" t="s">
        <v>888</v>
      </c>
      <c r="B103" s="193">
        <v>3784</v>
      </c>
      <c r="C103" s="194" t="s">
        <v>761</v>
      </c>
      <c r="D103" s="229" t="s">
        <v>1419</v>
      </c>
      <c r="E103" s="229" t="s">
        <v>443</v>
      </c>
      <c r="F103" s="236">
        <v>300</v>
      </c>
      <c r="G103" s="196">
        <v>4</v>
      </c>
      <c r="H103" s="195">
        <v>160</v>
      </c>
      <c r="I103" s="197">
        <v>41252</v>
      </c>
      <c r="J103" s="197" t="str">
        <f t="shared" si="6"/>
        <v>ok</v>
      </c>
      <c r="K103" s="413"/>
      <c r="L103" s="413"/>
      <c r="M103" s="413"/>
      <c r="N103" s="413"/>
      <c r="O103" s="413"/>
      <c r="P103" s="413"/>
      <c r="Q103" s="413"/>
      <c r="R103" s="413"/>
      <c r="S103" s="413"/>
      <c r="T103" s="413"/>
      <c r="U103" s="413"/>
      <c r="V103" s="413"/>
      <c r="W103" s="413">
        <f t="shared" si="4"/>
        <v>0</v>
      </c>
      <c r="X103" s="412"/>
      <c r="Y103" s="412"/>
      <c r="Z103" s="412"/>
      <c r="AA103" s="412"/>
      <c r="AB103" s="412"/>
      <c r="AC103" s="412"/>
      <c r="AD103" s="412"/>
      <c r="AE103" s="412"/>
      <c r="AF103" s="412"/>
      <c r="AG103" s="412"/>
      <c r="AH103" s="412"/>
      <c r="AI103" s="412"/>
      <c r="AJ103" s="412">
        <f t="shared" si="5"/>
        <v>0</v>
      </c>
      <c r="AK103" s="198"/>
      <c r="AL103" s="250" t="s">
        <v>2068</v>
      </c>
    </row>
    <row r="104" spans="1:38" ht="14.1" customHeight="1" x14ac:dyDescent="0.2">
      <c r="A104" t="s">
        <v>884</v>
      </c>
      <c r="B104" s="193">
        <v>3785</v>
      </c>
      <c r="C104" s="194" t="s">
        <v>858</v>
      </c>
      <c r="D104" s="229" t="s">
        <v>1527</v>
      </c>
      <c r="E104" s="229" t="s">
        <v>103</v>
      </c>
      <c r="F104" s="236">
        <v>300</v>
      </c>
      <c r="G104" s="196">
        <v>1</v>
      </c>
      <c r="H104" s="195">
        <v>300</v>
      </c>
      <c r="I104" s="197">
        <v>41252</v>
      </c>
      <c r="J104" s="197" t="str">
        <f t="shared" si="6"/>
        <v>ok</v>
      </c>
      <c r="K104" s="413"/>
      <c r="L104" s="413"/>
      <c r="M104" s="413"/>
      <c r="N104" s="413"/>
      <c r="O104" s="413"/>
      <c r="P104" s="413"/>
      <c r="Q104" s="413"/>
      <c r="R104" s="413"/>
      <c r="S104" s="413"/>
      <c r="T104" s="413"/>
      <c r="U104" s="413"/>
      <c r="V104" s="413">
        <v>300</v>
      </c>
      <c r="W104" s="413">
        <f t="shared" si="4"/>
        <v>300</v>
      </c>
      <c r="X104" s="412"/>
      <c r="Y104" s="412"/>
      <c r="Z104" s="412"/>
      <c r="AA104" s="412"/>
      <c r="AB104" s="412"/>
      <c r="AC104" s="412"/>
      <c r="AD104" s="412"/>
      <c r="AE104" s="412"/>
      <c r="AF104" s="412"/>
      <c r="AG104" s="412"/>
      <c r="AH104" s="412"/>
      <c r="AI104" s="412"/>
      <c r="AJ104" s="412">
        <f t="shared" si="5"/>
        <v>0</v>
      </c>
      <c r="AK104" s="198"/>
      <c r="AL104" s="250" t="s">
        <v>2067</v>
      </c>
    </row>
    <row r="105" spans="1:38" ht="14.1" customHeight="1" x14ac:dyDescent="0.2">
      <c r="A105" t="s">
        <v>884</v>
      </c>
      <c r="B105" s="193">
        <v>3785</v>
      </c>
      <c r="C105" s="194" t="s">
        <v>858</v>
      </c>
      <c r="D105" s="229" t="s">
        <v>1527</v>
      </c>
      <c r="E105" s="229" t="s">
        <v>103</v>
      </c>
      <c r="F105" s="236">
        <v>300</v>
      </c>
      <c r="G105" s="196">
        <v>2</v>
      </c>
      <c r="H105" s="195">
        <v>200</v>
      </c>
      <c r="I105" s="197">
        <v>41252</v>
      </c>
      <c r="J105" s="197" t="str">
        <f t="shared" si="6"/>
        <v>ok</v>
      </c>
      <c r="K105" s="413"/>
      <c r="L105" s="413"/>
      <c r="M105" s="413"/>
      <c r="N105" s="413"/>
      <c r="O105" s="413"/>
      <c r="P105" s="413"/>
      <c r="Q105" s="413"/>
      <c r="R105" s="413"/>
      <c r="S105" s="413"/>
      <c r="T105" s="413"/>
      <c r="U105" s="413"/>
      <c r="V105" s="413"/>
      <c r="W105" s="413">
        <f t="shared" si="4"/>
        <v>0</v>
      </c>
      <c r="X105" s="412"/>
      <c r="Y105" s="412"/>
      <c r="Z105" s="412"/>
      <c r="AA105" s="412"/>
      <c r="AB105" s="412"/>
      <c r="AC105" s="412"/>
      <c r="AD105" s="412"/>
      <c r="AE105" s="412"/>
      <c r="AF105" s="412"/>
      <c r="AG105" s="412"/>
      <c r="AH105" s="412"/>
      <c r="AI105" s="412"/>
      <c r="AJ105" s="412">
        <f t="shared" si="5"/>
        <v>0</v>
      </c>
      <c r="AK105" s="198"/>
      <c r="AL105" s="250" t="s">
        <v>2068</v>
      </c>
    </row>
    <row r="106" spans="1:38" ht="14.1" customHeight="1" x14ac:dyDescent="0.2">
      <c r="A106" t="s">
        <v>884</v>
      </c>
      <c r="B106" s="193">
        <v>3786</v>
      </c>
      <c r="C106" s="194" t="s">
        <v>836</v>
      </c>
      <c r="D106" s="229" t="s">
        <v>1383</v>
      </c>
      <c r="E106" s="229" t="s">
        <v>73</v>
      </c>
      <c r="F106" s="236">
        <v>300</v>
      </c>
      <c r="G106" s="196">
        <v>1</v>
      </c>
      <c r="H106" s="195">
        <v>300</v>
      </c>
      <c r="I106" s="197">
        <v>41252</v>
      </c>
      <c r="J106" s="197" t="str">
        <f t="shared" si="6"/>
        <v>ok</v>
      </c>
      <c r="K106" s="413"/>
      <c r="L106" s="413"/>
      <c r="M106" s="413"/>
      <c r="N106" s="413"/>
      <c r="O106" s="413"/>
      <c r="P106" s="413"/>
      <c r="Q106" s="413"/>
      <c r="R106" s="413"/>
      <c r="S106" s="413"/>
      <c r="T106" s="413"/>
      <c r="U106" s="413"/>
      <c r="V106" s="413">
        <v>300</v>
      </c>
      <c r="W106" s="413">
        <f t="shared" si="4"/>
        <v>300</v>
      </c>
      <c r="X106" s="412"/>
      <c r="Y106" s="412"/>
      <c r="Z106" s="412"/>
      <c r="AA106" s="412"/>
      <c r="AB106" s="412"/>
      <c r="AC106" s="412"/>
      <c r="AD106" s="412"/>
      <c r="AE106" s="412"/>
      <c r="AF106" s="412"/>
      <c r="AG106" s="412"/>
      <c r="AH106" s="412"/>
      <c r="AI106" s="412"/>
      <c r="AJ106" s="412">
        <f t="shared" si="5"/>
        <v>0</v>
      </c>
      <c r="AK106" s="198"/>
      <c r="AL106" s="250" t="s">
        <v>2067</v>
      </c>
    </row>
    <row r="107" spans="1:38" ht="14.1" customHeight="1" x14ac:dyDescent="0.2">
      <c r="A107" t="s">
        <v>892</v>
      </c>
      <c r="B107" s="193">
        <v>3787</v>
      </c>
      <c r="C107" s="194" t="s">
        <v>1058</v>
      </c>
      <c r="D107" s="229" t="s">
        <v>1594</v>
      </c>
      <c r="E107" s="229" t="s">
        <v>1309</v>
      </c>
      <c r="F107" s="236">
        <v>300</v>
      </c>
      <c r="G107" s="196">
        <v>1</v>
      </c>
      <c r="H107" s="195">
        <v>600</v>
      </c>
      <c r="I107" s="197">
        <v>41252</v>
      </c>
      <c r="J107" s="197" t="str">
        <f t="shared" si="6"/>
        <v>ok</v>
      </c>
      <c r="K107" s="413"/>
      <c r="L107" s="413"/>
      <c r="M107" s="413"/>
      <c r="N107" s="413"/>
      <c r="O107" s="413"/>
      <c r="P107" s="413"/>
      <c r="Q107" s="413"/>
      <c r="R107" s="413"/>
      <c r="S107" s="413"/>
      <c r="T107" s="413"/>
      <c r="U107" s="413">
        <v>300</v>
      </c>
      <c r="V107" s="413">
        <v>300</v>
      </c>
      <c r="W107" s="413">
        <f t="shared" si="4"/>
        <v>600</v>
      </c>
      <c r="X107" s="412"/>
      <c r="Y107" s="412"/>
      <c r="Z107" s="412"/>
      <c r="AA107" s="412"/>
      <c r="AB107" s="412"/>
      <c r="AC107" s="412"/>
      <c r="AD107" s="412"/>
      <c r="AE107" s="412"/>
      <c r="AF107" s="412"/>
      <c r="AG107" s="412"/>
      <c r="AH107" s="412"/>
      <c r="AI107" s="412"/>
      <c r="AJ107" s="412">
        <f t="shared" si="5"/>
        <v>0</v>
      </c>
      <c r="AK107" s="198"/>
      <c r="AL107" s="250" t="s">
        <v>2067</v>
      </c>
    </row>
    <row r="108" spans="1:38" ht="14.1" customHeight="1" x14ac:dyDescent="0.2">
      <c r="A108" t="s">
        <v>884</v>
      </c>
      <c r="B108" s="193">
        <v>3788</v>
      </c>
      <c r="C108" s="194" t="s">
        <v>783</v>
      </c>
      <c r="D108" s="229" t="s">
        <v>1572</v>
      </c>
      <c r="E108" s="229" t="s">
        <v>1202</v>
      </c>
      <c r="F108" s="236">
        <v>300</v>
      </c>
      <c r="G108" s="196">
        <v>1</v>
      </c>
      <c r="H108" s="195">
        <v>300</v>
      </c>
      <c r="I108" s="197">
        <v>41252</v>
      </c>
      <c r="J108" s="197" t="str">
        <f t="shared" si="6"/>
        <v>ok</v>
      </c>
      <c r="K108" s="413"/>
      <c r="L108" s="413"/>
      <c r="M108" s="413"/>
      <c r="N108" s="413"/>
      <c r="O108" s="413"/>
      <c r="P108" s="413"/>
      <c r="Q108" s="413"/>
      <c r="R108" s="413"/>
      <c r="S108" s="413"/>
      <c r="T108" s="413"/>
      <c r="U108" s="413"/>
      <c r="V108" s="413">
        <v>300</v>
      </c>
      <c r="W108" s="413">
        <f t="shared" si="4"/>
        <v>300</v>
      </c>
      <c r="X108" s="412"/>
      <c r="Y108" s="412"/>
      <c r="Z108" s="412"/>
      <c r="AA108" s="412"/>
      <c r="AB108" s="412"/>
      <c r="AC108" s="412"/>
      <c r="AD108" s="412"/>
      <c r="AE108" s="412"/>
      <c r="AF108" s="412"/>
      <c r="AG108" s="412"/>
      <c r="AH108" s="412"/>
      <c r="AI108" s="412"/>
      <c r="AJ108" s="412">
        <f t="shared" si="5"/>
        <v>0</v>
      </c>
      <c r="AK108" s="198"/>
      <c r="AL108" s="250" t="s">
        <v>2067</v>
      </c>
    </row>
    <row r="109" spans="1:38" ht="14.1" customHeight="1" x14ac:dyDescent="0.2">
      <c r="A109" t="s">
        <v>893</v>
      </c>
      <c r="B109" s="193">
        <v>3789</v>
      </c>
      <c r="C109" s="194" t="s">
        <v>1089</v>
      </c>
      <c r="D109" s="229" t="s">
        <v>1559</v>
      </c>
      <c r="E109" s="229" t="s">
        <v>218</v>
      </c>
      <c r="F109" s="236">
        <v>300</v>
      </c>
      <c r="G109" s="196">
        <v>1</v>
      </c>
      <c r="H109" s="195">
        <v>600</v>
      </c>
      <c r="I109" s="197">
        <v>41252</v>
      </c>
      <c r="J109" s="197" t="str">
        <f t="shared" si="6"/>
        <v>ok</v>
      </c>
      <c r="K109" s="413"/>
      <c r="L109" s="413"/>
      <c r="M109" s="413"/>
      <c r="N109" s="413"/>
      <c r="O109" s="413"/>
      <c r="P109" s="413"/>
      <c r="Q109" s="413"/>
      <c r="R109" s="413"/>
      <c r="S109" s="413"/>
      <c r="T109" s="413"/>
      <c r="U109" s="413">
        <v>300</v>
      </c>
      <c r="V109" s="413">
        <v>300</v>
      </c>
      <c r="W109" s="413">
        <f t="shared" si="4"/>
        <v>600</v>
      </c>
      <c r="X109" s="412"/>
      <c r="Y109" s="412"/>
      <c r="Z109" s="412"/>
      <c r="AA109" s="412"/>
      <c r="AB109" s="412"/>
      <c r="AC109" s="412"/>
      <c r="AD109" s="412"/>
      <c r="AE109" s="412"/>
      <c r="AF109" s="412"/>
      <c r="AG109" s="412"/>
      <c r="AH109" s="412"/>
      <c r="AI109" s="412"/>
      <c r="AJ109" s="412">
        <f t="shared" si="5"/>
        <v>0</v>
      </c>
      <c r="AK109" s="198"/>
      <c r="AL109" s="250" t="s">
        <v>2067</v>
      </c>
    </row>
    <row r="110" spans="1:38" ht="14.1" customHeight="1" x14ac:dyDescent="0.2">
      <c r="A110" t="s">
        <v>890</v>
      </c>
      <c r="B110" s="193">
        <v>3790</v>
      </c>
      <c r="C110" s="194" t="s">
        <v>986</v>
      </c>
      <c r="D110" s="229" t="s">
        <v>1483</v>
      </c>
      <c r="E110" s="229" t="s">
        <v>473</v>
      </c>
      <c r="F110" s="236">
        <v>250</v>
      </c>
      <c r="G110" s="196">
        <v>1</v>
      </c>
      <c r="H110" s="195">
        <v>250</v>
      </c>
      <c r="I110" s="197">
        <v>41252</v>
      </c>
      <c r="J110" s="197" t="str">
        <f t="shared" si="6"/>
        <v>ok</v>
      </c>
      <c r="K110" s="413"/>
      <c r="L110" s="413"/>
      <c r="M110" s="413"/>
      <c r="N110" s="413"/>
      <c r="O110" s="413"/>
      <c r="P110" s="413"/>
      <c r="Q110" s="413"/>
      <c r="R110" s="413"/>
      <c r="S110" s="413"/>
      <c r="T110" s="413"/>
      <c r="U110" s="413"/>
      <c r="V110" s="413">
        <v>250</v>
      </c>
      <c r="W110" s="413">
        <f t="shared" si="4"/>
        <v>250</v>
      </c>
      <c r="X110" s="412"/>
      <c r="Y110" s="412"/>
      <c r="Z110" s="412"/>
      <c r="AA110" s="412"/>
      <c r="AB110" s="412"/>
      <c r="AC110" s="412"/>
      <c r="AD110" s="412"/>
      <c r="AE110" s="412"/>
      <c r="AF110" s="412"/>
      <c r="AG110" s="412"/>
      <c r="AH110" s="412"/>
      <c r="AI110" s="412"/>
      <c r="AJ110" s="412">
        <f t="shared" si="5"/>
        <v>0</v>
      </c>
      <c r="AK110" s="198"/>
      <c r="AL110" s="250" t="s">
        <v>2067</v>
      </c>
    </row>
    <row r="111" spans="1:38" ht="14.1" customHeight="1" x14ac:dyDescent="0.2">
      <c r="A111" t="s">
        <v>890</v>
      </c>
      <c r="B111" s="193">
        <v>3791</v>
      </c>
      <c r="C111" s="194" t="s">
        <v>992</v>
      </c>
      <c r="D111" s="229" t="s">
        <v>1624</v>
      </c>
      <c r="E111" s="229" t="s">
        <v>727</v>
      </c>
      <c r="F111" s="236">
        <v>300</v>
      </c>
      <c r="G111" s="196">
        <v>1</v>
      </c>
      <c r="H111" s="195">
        <v>300</v>
      </c>
      <c r="I111" s="197">
        <v>41252</v>
      </c>
      <c r="J111" s="197" t="str">
        <f t="shared" si="6"/>
        <v>ok</v>
      </c>
      <c r="K111" s="413"/>
      <c r="L111" s="413"/>
      <c r="M111" s="413"/>
      <c r="N111" s="413"/>
      <c r="O111" s="413"/>
      <c r="P111" s="413"/>
      <c r="Q111" s="413"/>
      <c r="R111" s="413"/>
      <c r="S111" s="413"/>
      <c r="T111" s="413"/>
      <c r="U111" s="413">
        <v>300</v>
      </c>
      <c r="V111" s="413"/>
      <c r="W111" s="413">
        <f t="shared" si="4"/>
        <v>300</v>
      </c>
      <c r="X111" s="412"/>
      <c r="Y111" s="412"/>
      <c r="Z111" s="412"/>
      <c r="AA111" s="412"/>
      <c r="AB111" s="412"/>
      <c r="AC111" s="412"/>
      <c r="AD111" s="412"/>
      <c r="AE111" s="412"/>
      <c r="AF111" s="412"/>
      <c r="AG111" s="412"/>
      <c r="AH111" s="412"/>
      <c r="AI111" s="412"/>
      <c r="AJ111" s="412">
        <f t="shared" si="5"/>
        <v>0</v>
      </c>
      <c r="AK111" s="198"/>
      <c r="AL111" s="250" t="s">
        <v>2067</v>
      </c>
    </row>
    <row r="112" spans="1:38" ht="14.1" customHeight="1" x14ac:dyDescent="0.2">
      <c r="A112" t="s">
        <v>888</v>
      </c>
      <c r="B112" s="193">
        <v>3792</v>
      </c>
      <c r="C112" s="194" t="s">
        <v>933</v>
      </c>
      <c r="D112" s="229" t="s">
        <v>1427</v>
      </c>
      <c r="E112" s="229" t="s">
        <v>1212</v>
      </c>
      <c r="F112" s="236">
        <v>300</v>
      </c>
      <c r="G112" s="196">
        <v>1</v>
      </c>
      <c r="H112" s="195">
        <v>300</v>
      </c>
      <c r="I112" s="197">
        <v>41252</v>
      </c>
      <c r="J112" s="197" t="str">
        <f t="shared" si="6"/>
        <v>ok</v>
      </c>
      <c r="K112" s="413"/>
      <c r="L112" s="413"/>
      <c r="M112" s="413"/>
      <c r="N112" s="413"/>
      <c r="O112" s="413"/>
      <c r="P112" s="413"/>
      <c r="Q112" s="413"/>
      <c r="R112" s="413"/>
      <c r="S112" s="413"/>
      <c r="T112" s="413"/>
      <c r="U112" s="413"/>
      <c r="V112" s="413">
        <v>300</v>
      </c>
      <c r="W112" s="413">
        <f t="shared" si="4"/>
        <v>300</v>
      </c>
      <c r="X112" s="412"/>
      <c r="Y112" s="412"/>
      <c r="Z112" s="412"/>
      <c r="AA112" s="412"/>
      <c r="AB112" s="412"/>
      <c r="AC112" s="412"/>
      <c r="AD112" s="412"/>
      <c r="AE112" s="412"/>
      <c r="AF112" s="412"/>
      <c r="AG112" s="412"/>
      <c r="AH112" s="412"/>
      <c r="AI112" s="412"/>
      <c r="AJ112" s="412">
        <f t="shared" si="5"/>
        <v>0</v>
      </c>
      <c r="AK112" s="198"/>
      <c r="AL112" s="250" t="s">
        <v>2067</v>
      </c>
    </row>
    <row r="113" spans="1:38" ht="14.1" customHeight="1" x14ac:dyDescent="0.2">
      <c r="A113" t="s">
        <v>893</v>
      </c>
      <c r="B113" s="193">
        <v>3793</v>
      </c>
      <c r="C113" s="194" t="s">
        <v>1116</v>
      </c>
      <c r="D113" s="229" t="s">
        <v>1603</v>
      </c>
      <c r="E113" s="229" t="s">
        <v>269</v>
      </c>
      <c r="F113" s="236">
        <v>300</v>
      </c>
      <c r="G113" s="196">
        <v>1</v>
      </c>
      <c r="H113" s="195">
        <v>900</v>
      </c>
      <c r="I113" s="197">
        <v>41252</v>
      </c>
      <c r="J113" s="197" t="str">
        <f t="shared" si="6"/>
        <v>ok</v>
      </c>
      <c r="K113" s="413"/>
      <c r="L113" s="413"/>
      <c r="M113" s="413"/>
      <c r="N113" s="413"/>
      <c r="O113" s="413"/>
      <c r="P113" s="413"/>
      <c r="Q113" s="413"/>
      <c r="R113" s="413"/>
      <c r="S113" s="413"/>
      <c r="T113" s="413"/>
      <c r="U113" s="413">
        <v>300</v>
      </c>
      <c r="V113" s="413">
        <v>300</v>
      </c>
      <c r="W113" s="413">
        <f t="shared" si="4"/>
        <v>600</v>
      </c>
      <c r="X113" s="412">
        <v>300</v>
      </c>
      <c r="Y113" s="412"/>
      <c r="Z113" s="412"/>
      <c r="AA113" s="412"/>
      <c r="AB113" s="412"/>
      <c r="AC113" s="412"/>
      <c r="AD113" s="412"/>
      <c r="AE113" s="412"/>
      <c r="AF113" s="412"/>
      <c r="AG113" s="412"/>
      <c r="AH113" s="412"/>
      <c r="AI113" s="412"/>
      <c r="AJ113" s="412">
        <f t="shared" si="5"/>
        <v>300</v>
      </c>
      <c r="AK113" s="198"/>
      <c r="AL113" s="250" t="s">
        <v>2067</v>
      </c>
    </row>
    <row r="114" spans="1:38" ht="14.1" customHeight="1" x14ac:dyDescent="0.2">
      <c r="A114" t="s">
        <v>888</v>
      </c>
      <c r="B114" s="193">
        <v>3794</v>
      </c>
      <c r="C114" s="194" t="s">
        <v>919</v>
      </c>
      <c r="D114" s="229" t="s">
        <v>1510</v>
      </c>
      <c r="E114" s="229" t="s">
        <v>359</v>
      </c>
      <c r="F114" s="236">
        <v>300</v>
      </c>
      <c r="G114" s="196">
        <v>1</v>
      </c>
      <c r="H114" s="195">
        <v>300</v>
      </c>
      <c r="I114" s="197">
        <v>41252</v>
      </c>
      <c r="J114" s="197" t="str">
        <f t="shared" si="6"/>
        <v>ok</v>
      </c>
      <c r="K114" s="413"/>
      <c r="L114" s="413"/>
      <c r="M114" s="413"/>
      <c r="N114" s="413"/>
      <c r="O114" s="413"/>
      <c r="P114" s="413"/>
      <c r="Q114" s="413"/>
      <c r="R114" s="413"/>
      <c r="S114" s="413"/>
      <c r="T114" s="413"/>
      <c r="U114" s="413"/>
      <c r="V114" s="413">
        <v>300</v>
      </c>
      <c r="W114" s="413">
        <f t="shared" si="4"/>
        <v>300</v>
      </c>
      <c r="X114" s="412"/>
      <c r="Y114" s="412"/>
      <c r="Z114" s="412"/>
      <c r="AA114" s="412"/>
      <c r="AB114" s="412"/>
      <c r="AC114" s="412"/>
      <c r="AD114" s="412"/>
      <c r="AE114" s="412"/>
      <c r="AF114" s="412"/>
      <c r="AG114" s="412"/>
      <c r="AH114" s="412"/>
      <c r="AI114" s="412"/>
      <c r="AJ114" s="412">
        <f t="shared" si="5"/>
        <v>0</v>
      </c>
      <c r="AK114" s="198"/>
      <c r="AL114" s="250" t="s">
        <v>2067</v>
      </c>
    </row>
    <row r="115" spans="1:38" ht="14.1" customHeight="1" x14ac:dyDescent="0.2">
      <c r="A115" t="s">
        <v>890</v>
      </c>
      <c r="B115" s="193">
        <v>3795</v>
      </c>
      <c r="C115" s="194" t="s">
        <v>1005</v>
      </c>
      <c r="D115" s="229" t="s">
        <v>1620</v>
      </c>
      <c r="E115" s="229" t="s">
        <v>497</v>
      </c>
      <c r="F115" s="236">
        <v>300</v>
      </c>
      <c r="G115" s="196">
        <v>3</v>
      </c>
      <c r="H115" s="195">
        <v>150</v>
      </c>
      <c r="I115" s="197">
        <v>41252</v>
      </c>
      <c r="J115" s="197" t="str">
        <f t="shared" si="6"/>
        <v>ok</v>
      </c>
      <c r="K115" s="413"/>
      <c r="L115" s="413"/>
      <c r="M115" s="413"/>
      <c r="N115" s="413"/>
      <c r="O115" s="413"/>
      <c r="P115" s="413"/>
      <c r="Q115" s="413"/>
      <c r="R115" s="413"/>
      <c r="S115" s="413"/>
      <c r="T115" s="413"/>
      <c r="U115" s="413"/>
      <c r="V115" s="413"/>
      <c r="W115" s="413">
        <f t="shared" si="4"/>
        <v>0</v>
      </c>
      <c r="X115" s="412"/>
      <c r="Y115" s="412"/>
      <c r="Z115" s="412"/>
      <c r="AA115" s="412"/>
      <c r="AB115" s="412"/>
      <c r="AC115" s="412"/>
      <c r="AD115" s="412"/>
      <c r="AE115" s="412"/>
      <c r="AF115" s="412"/>
      <c r="AG115" s="412"/>
      <c r="AH115" s="412"/>
      <c r="AI115" s="412"/>
      <c r="AJ115" s="412">
        <f t="shared" si="5"/>
        <v>0</v>
      </c>
      <c r="AK115" s="198"/>
      <c r="AL115" s="250" t="s">
        <v>2068</v>
      </c>
    </row>
    <row r="116" spans="1:38" ht="14.1" customHeight="1" x14ac:dyDescent="0.2">
      <c r="A116" t="s">
        <v>892</v>
      </c>
      <c r="B116" s="193">
        <v>3796</v>
      </c>
      <c r="C116" s="194" t="s">
        <v>776</v>
      </c>
      <c r="D116" s="229" t="s">
        <v>1413</v>
      </c>
      <c r="E116" s="229" t="s">
        <v>736</v>
      </c>
      <c r="F116" s="236">
        <v>300</v>
      </c>
      <c r="G116" s="196">
        <v>1</v>
      </c>
      <c r="H116" s="195">
        <v>300</v>
      </c>
      <c r="I116" s="197">
        <v>41252</v>
      </c>
      <c r="J116" s="197" t="str">
        <f t="shared" si="6"/>
        <v>ok</v>
      </c>
      <c r="K116" s="413"/>
      <c r="L116" s="413"/>
      <c r="M116" s="413"/>
      <c r="N116" s="413"/>
      <c r="O116" s="413"/>
      <c r="P116" s="413"/>
      <c r="Q116" s="413"/>
      <c r="R116" s="413"/>
      <c r="S116" s="413"/>
      <c r="T116" s="413"/>
      <c r="U116" s="413"/>
      <c r="V116" s="413">
        <v>300</v>
      </c>
      <c r="W116" s="413">
        <f t="shared" si="4"/>
        <v>300</v>
      </c>
      <c r="X116" s="412"/>
      <c r="Y116" s="412"/>
      <c r="Z116" s="412"/>
      <c r="AA116" s="412"/>
      <c r="AB116" s="412"/>
      <c r="AC116" s="412"/>
      <c r="AD116" s="412"/>
      <c r="AE116" s="412"/>
      <c r="AF116" s="412"/>
      <c r="AG116" s="412"/>
      <c r="AH116" s="412"/>
      <c r="AI116" s="412"/>
      <c r="AJ116" s="412">
        <f t="shared" si="5"/>
        <v>0</v>
      </c>
      <c r="AK116" s="198"/>
      <c r="AL116" s="250" t="s">
        <v>2067</v>
      </c>
    </row>
    <row r="117" spans="1:38" ht="14.1" customHeight="1" x14ac:dyDescent="0.2">
      <c r="A117" t="s">
        <v>884</v>
      </c>
      <c r="B117" s="193">
        <v>3797</v>
      </c>
      <c r="C117" s="194" t="s">
        <v>789</v>
      </c>
      <c r="D117" s="229" t="s">
        <v>1485</v>
      </c>
      <c r="E117" s="229" t="s">
        <v>1666</v>
      </c>
      <c r="F117" s="236">
        <v>300</v>
      </c>
      <c r="G117" s="196">
        <v>1</v>
      </c>
      <c r="H117" s="195">
        <v>300</v>
      </c>
      <c r="I117" s="197">
        <v>41252</v>
      </c>
      <c r="J117" s="197" t="str">
        <f t="shared" si="6"/>
        <v>ok</v>
      </c>
      <c r="K117" s="413"/>
      <c r="L117" s="413"/>
      <c r="M117" s="413"/>
      <c r="N117" s="413"/>
      <c r="O117" s="413"/>
      <c r="P117" s="413"/>
      <c r="Q117" s="413"/>
      <c r="R117" s="413"/>
      <c r="S117" s="413"/>
      <c r="T117" s="413"/>
      <c r="U117" s="413"/>
      <c r="V117" s="413">
        <v>300</v>
      </c>
      <c r="W117" s="413">
        <f t="shared" si="4"/>
        <v>300</v>
      </c>
      <c r="X117" s="412"/>
      <c r="Y117" s="412"/>
      <c r="Z117" s="412"/>
      <c r="AA117" s="412"/>
      <c r="AB117" s="412"/>
      <c r="AC117" s="412"/>
      <c r="AD117" s="412"/>
      <c r="AE117" s="412"/>
      <c r="AF117" s="412"/>
      <c r="AG117" s="412"/>
      <c r="AH117" s="412"/>
      <c r="AI117" s="412"/>
      <c r="AJ117" s="412">
        <f t="shared" si="5"/>
        <v>0</v>
      </c>
      <c r="AK117" s="198"/>
      <c r="AL117" s="250" t="s">
        <v>2067</v>
      </c>
    </row>
    <row r="118" spans="1:38" ht="14.1" customHeight="1" x14ac:dyDescent="0.2">
      <c r="A118" t="s">
        <v>884</v>
      </c>
      <c r="B118" s="193">
        <v>3798</v>
      </c>
      <c r="C118" s="194" t="s">
        <v>818</v>
      </c>
      <c r="D118" s="229" t="s">
        <v>1375</v>
      </c>
      <c r="E118" s="229" t="s">
        <v>42</v>
      </c>
      <c r="F118" s="236">
        <v>250</v>
      </c>
      <c r="G118" s="196">
        <v>1</v>
      </c>
      <c r="H118" s="195">
        <v>250</v>
      </c>
      <c r="I118" s="197">
        <v>41252</v>
      </c>
      <c r="J118" s="197" t="str">
        <f t="shared" si="6"/>
        <v>ok</v>
      </c>
      <c r="K118" s="413"/>
      <c r="L118" s="413"/>
      <c r="M118" s="413"/>
      <c r="N118" s="413"/>
      <c r="O118" s="413"/>
      <c r="P118" s="413"/>
      <c r="Q118" s="413"/>
      <c r="R118" s="413"/>
      <c r="S118" s="413"/>
      <c r="T118" s="413"/>
      <c r="U118" s="413"/>
      <c r="V118" s="413">
        <v>250</v>
      </c>
      <c r="W118" s="413">
        <f t="shared" si="4"/>
        <v>250</v>
      </c>
      <c r="X118" s="412"/>
      <c r="Y118" s="412"/>
      <c r="Z118" s="412"/>
      <c r="AA118" s="412"/>
      <c r="AB118" s="412"/>
      <c r="AC118" s="412"/>
      <c r="AD118" s="412"/>
      <c r="AE118" s="412"/>
      <c r="AF118" s="412"/>
      <c r="AG118" s="412"/>
      <c r="AH118" s="412"/>
      <c r="AI118" s="412"/>
      <c r="AJ118" s="412">
        <f t="shared" si="5"/>
        <v>0</v>
      </c>
      <c r="AK118" s="198"/>
      <c r="AL118" s="250" t="s">
        <v>2067</v>
      </c>
    </row>
    <row r="119" spans="1:38" ht="14.1" customHeight="1" x14ac:dyDescent="0.2">
      <c r="A119" t="s">
        <v>894</v>
      </c>
      <c r="B119" s="193">
        <v>3799</v>
      </c>
      <c r="C119" s="194" t="s">
        <v>1164</v>
      </c>
      <c r="D119" s="229" t="s">
        <v>1406</v>
      </c>
      <c r="E119" s="229" t="s">
        <v>612</v>
      </c>
      <c r="F119" s="236">
        <v>300</v>
      </c>
      <c r="G119" s="196">
        <v>1</v>
      </c>
      <c r="H119" s="195">
        <v>300</v>
      </c>
      <c r="I119" s="197">
        <v>41252</v>
      </c>
      <c r="J119" s="197" t="str">
        <f t="shared" si="6"/>
        <v>ok</v>
      </c>
      <c r="K119" s="413"/>
      <c r="L119" s="413"/>
      <c r="M119" s="413"/>
      <c r="N119" s="413"/>
      <c r="O119" s="413"/>
      <c r="P119" s="413"/>
      <c r="Q119" s="413"/>
      <c r="R119" s="413"/>
      <c r="S119" s="413"/>
      <c r="T119" s="413"/>
      <c r="U119" s="413"/>
      <c r="V119" s="413">
        <v>300</v>
      </c>
      <c r="W119" s="413">
        <f t="shared" si="4"/>
        <v>300</v>
      </c>
      <c r="X119" s="412"/>
      <c r="Y119" s="412"/>
      <c r="Z119" s="412"/>
      <c r="AA119" s="412"/>
      <c r="AB119" s="412"/>
      <c r="AC119" s="412"/>
      <c r="AD119" s="412"/>
      <c r="AE119" s="412"/>
      <c r="AF119" s="412"/>
      <c r="AG119" s="412"/>
      <c r="AH119" s="412"/>
      <c r="AI119" s="412"/>
      <c r="AJ119" s="412">
        <f t="shared" si="5"/>
        <v>0</v>
      </c>
      <c r="AK119" s="198"/>
      <c r="AL119" s="250" t="s">
        <v>2067</v>
      </c>
    </row>
    <row r="120" spans="1:38" ht="14.1" customHeight="1" x14ac:dyDescent="0.2">
      <c r="A120" t="s">
        <v>894</v>
      </c>
      <c r="B120" s="193">
        <v>3800</v>
      </c>
      <c r="C120" s="194" t="s">
        <v>1164</v>
      </c>
      <c r="D120" s="229" t="s">
        <v>1406</v>
      </c>
      <c r="E120" s="229" t="s">
        <v>612</v>
      </c>
      <c r="F120" s="236">
        <v>300</v>
      </c>
      <c r="G120" s="196">
        <v>2</v>
      </c>
      <c r="H120" s="195">
        <v>300</v>
      </c>
      <c r="I120" s="197">
        <v>41252</v>
      </c>
      <c r="J120" s="197" t="str">
        <f t="shared" si="6"/>
        <v>ok</v>
      </c>
      <c r="K120" s="413"/>
      <c r="L120" s="413"/>
      <c r="M120" s="413"/>
      <c r="N120" s="413"/>
      <c r="O120" s="413"/>
      <c r="P120" s="413"/>
      <c r="Q120" s="413"/>
      <c r="R120" s="413"/>
      <c r="S120" s="413"/>
      <c r="T120" s="413"/>
      <c r="U120" s="413"/>
      <c r="V120" s="413"/>
      <c r="W120" s="413">
        <f t="shared" si="4"/>
        <v>0</v>
      </c>
      <c r="X120" s="412"/>
      <c r="Y120" s="412"/>
      <c r="Z120" s="412"/>
      <c r="AA120" s="412"/>
      <c r="AB120" s="412"/>
      <c r="AC120" s="412"/>
      <c r="AD120" s="412"/>
      <c r="AE120" s="412"/>
      <c r="AF120" s="412"/>
      <c r="AG120" s="412"/>
      <c r="AH120" s="412"/>
      <c r="AI120" s="412"/>
      <c r="AJ120" s="412">
        <f t="shared" si="5"/>
        <v>0</v>
      </c>
      <c r="AK120" s="198"/>
      <c r="AL120" s="250" t="s">
        <v>2068</v>
      </c>
    </row>
    <row r="121" spans="1:38" ht="14.1" customHeight="1" x14ac:dyDescent="0.2">
      <c r="A121" t="s">
        <v>893</v>
      </c>
      <c r="B121" s="193">
        <v>3801</v>
      </c>
      <c r="C121" s="194" t="s">
        <v>1136</v>
      </c>
      <c r="D121" s="229" t="s">
        <v>1502</v>
      </c>
      <c r="E121" s="229" t="s">
        <v>308</v>
      </c>
      <c r="F121" s="236">
        <v>300</v>
      </c>
      <c r="G121" s="196">
        <v>1</v>
      </c>
      <c r="H121" s="195">
        <v>300</v>
      </c>
      <c r="I121" s="197">
        <v>41252</v>
      </c>
      <c r="J121" s="197" t="str">
        <f t="shared" si="6"/>
        <v>ok</v>
      </c>
      <c r="K121" s="413"/>
      <c r="L121" s="413"/>
      <c r="M121" s="413"/>
      <c r="N121" s="413"/>
      <c r="O121" s="413"/>
      <c r="P121" s="413"/>
      <c r="Q121" s="413"/>
      <c r="R121" s="413"/>
      <c r="S121" s="413"/>
      <c r="T121" s="413"/>
      <c r="U121" s="413"/>
      <c r="V121" s="413">
        <v>300</v>
      </c>
      <c r="W121" s="413">
        <f t="shared" si="4"/>
        <v>300</v>
      </c>
      <c r="X121" s="412"/>
      <c r="Y121" s="412"/>
      <c r="Z121" s="412"/>
      <c r="AA121" s="412"/>
      <c r="AB121" s="412"/>
      <c r="AC121" s="412"/>
      <c r="AD121" s="412"/>
      <c r="AE121" s="412"/>
      <c r="AF121" s="412"/>
      <c r="AG121" s="412"/>
      <c r="AH121" s="412"/>
      <c r="AI121" s="412"/>
      <c r="AJ121" s="412">
        <f t="shared" si="5"/>
        <v>0</v>
      </c>
      <c r="AK121" s="198"/>
      <c r="AL121" s="250" t="s">
        <v>2067</v>
      </c>
    </row>
    <row r="122" spans="1:38" ht="14.1" customHeight="1" x14ac:dyDescent="0.2">
      <c r="A122" t="s">
        <v>890</v>
      </c>
      <c r="B122" s="193">
        <v>3802</v>
      </c>
      <c r="C122" s="194" t="s">
        <v>977</v>
      </c>
      <c r="D122" s="229" t="s">
        <v>1494</v>
      </c>
      <c r="E122" s="229" t="s">
        <v>359</v>
      </c>
      <c r="F122" s="236">
        <v>150</v>
      </c>
      <c r="G122" s="196">
        <v>1</v>
      </c>
      <c r="H122" s="195">
        <v>150</v>
      </c>
      <c r="I122" s="197">
        <v>41252</v>
      </c>
      <c r="J122" s="197" t="str">
        <f t="shared" si="6"/>
        <v>ok</v>
      </c>
      <c r="K122" s="413"/>
      <c r="L122" s="413"/>
      <c r="M122" s="413"/>
      <c r="N122" s="413"/>
      <c r="O122" s="413"/>
      <c r="P122" s="413"/>
      <c r="Q122" s="413"/>
      <c r="R122" s="413"/>
      <c r="S122" s="413"/>
      <c r="T122" s="413"/>
      <c r="U122" s="413"/>
      <c r="V122" s="413">
        <v>150</v>
      </c>
      <c r="W122" s="413">
        <f t="shared" si="4"/>
        <v>150</v>
      </c>
      <c r="X122" s="412"/>
      <c r="Y122" s="412"/>
      <c r="Z122" s="412"/>
      <c r="AA122" s="412"/>
      <c r="AB122" s="412"/>
      <c r="AC122" s="412"/>
      <c r="AD122" s="412"/>
      <c r="AE122" s="412"/>
      <c r="AF122" s="412"/>
      <c r="AG122" s="412"/>
      <c r="AH122" s="412"/>
      <c r="AI122" s="412"/>
      <c r="AJ122" s="412">
        <f t="shared" si="5"/>
        <v>0</v>
      </c>
      <c r="AK122" s="198"/>
      <c r="AL122" s="250" t="s">
        <v>2067</v>
      </c>
    </row>
    <row r="123" spans="1:38" ht="14.1" customHeight="1" x14ac:dyDescent="0.2">
      <c r="A123" t="s">
        <v>890</v>
      </c>
      <c r="B123" s="193">
        <v>3803</v>
      </c>
      <c r="C123" s="194" t="s">
        <v>1032</v>
      </c>
      <c r="D123" s="229" t="s">
        <v>1476</v>
      </c>
      <c r="E123" s="229" t="s">
        <v>537</v>
      </c>
      <c r="F123" s="236">
        <v>300</v>
      </c>
      <c r="G123" s="196">
        <v>1</v>
      </c>
      <c r="H123" s="195">
        <v>300</v>
      </c>
      <c r="I123" s="197">
        <v>41252</v>
      </c>
      <c r="J123" s="197" t="str">
        <f t="shared" si="6"/>
        <v>ok</v>
      </c>
      <c r="K123" s="413"/>
      <c r="L123" s="413"/>
      <c r="M123" s="413"/>
      <c r="N123" s="413"/>
      <c r="O123" s="413"/>
      <c r="P123" s="413"/>
      <c r="Q123" s="413"/>
      <c r="R123" s="413"/>
      <c r="S123" s="413"/>
      <c r="T123" s="413"/>
      <c r="U123" s="413"/>
      <c r="V123" s="413">
        <v>300</v>
      </c>
      <c r="W123" s="413">
        <f t="shared" si="4"/>
        <v>300</v>
      </c>
      <c r="X123" s="412"/>
      <c r="Y123" s="412"/>
      <c r="Z123" s="412"/>
      <c r="AA123" s="412"/>
      <c r="AB123" s="412"/>
      <c r="AC123" s="412"/>
      <c r="AD123" s="412"/>
      <c r="AE123" s="412"/>
      <c r="AF123" s="412"/>
      <c r="AG123" s="412"/>
      <c r="AH123" s="412"/>
      <c r="AI123" s="412"/>
      <c r="AJ123" s="412">
        <f t="shared" si="5"/>
        <v>0</v>
      </c>
      <c r="AK123" s="198"/>
      <c r="AL123" s="250" t="s">
        <v>2067</v>
      </c>
    </row>
    <row r="124" spans="1:38" ht="14.1" customHeight="1" x14ac:dyDescent="0.2">
      <c r="A124" t="s">
        <v>890</v>
      </c>
      <c r="B124" s="193">
        <v>3804</v>
      </c>
      <c r="C124" s="194" t="s">
        <v>1038</v>
      </c>
      <c r="D124" s="229" t="s">
        <v>1645</v>
      </c>
      <c r="E124" s="229" t="s">
        <v>545</v>
      </c>
      <c r="F124" s="236">
        <v>300</v>
      </c>
      <c r="G124" s="196">
        <v>1</v>
      </c>
      <c r="H124" s="195">
        <v>1200</v>
      </c>
      <c r="I124" s="197">
        <v>41252</v>
      </c>
      <c r="J124" s="197" t="str">
        <f t="shared" si="6"/>
        <v>ok</v>
      </c>
      <c r="K124" s="413"/>
      <c r="L124" s="413"/>
      <c r="M124" s="413"/>
      <c r="N124" s="413"/>
      <c r="O124" s="413"/>
      <c r="P124" s="413"/>
      <c r="Q124" s="413"/>
      <c r="R124" s="413"/>
      <c r="S124" s="413">
        <v>300</v>
      </c>
      <c r="T124" s="413">
        <v>300</v>
      </c>
      <c r="U124" s="413">
        <v>300</v>
      </c>
      <c r="V124" s="413">
        <v>300</v>
      </c>
      <c r="W124" s="413">
        <f t="shared" si="4"/>
        <v>1200</v>
      </c>
      <c r="X124" s="412"/>
      <c r="Y124" s="412"/>
      <c r="Z124" s="412"/>
      <c r="AA124" s="412"/>
      <c r="AB124" s="412"/>
      <c r="AC124" s="412"/>
      <c r="AD124" s="412"/>
      <c r="AE124" s="412"/>
      <c r="AF124" s="412"/>
      <c r="AG124" s="412"/>
      <c r="AH124" s="412"/>
      <c r="AI124" s="412"/>
      <c r="AJ124" s="412">
        <f t="shared" si="5"/>
        <v>0</v>
      </c>
      <c r="AK124" s="198"/>
      <c r="AL124" s="250" t="s">
        <v>2067</v>
      </c>
    </row>
    <row r="125" spans="1:38" ht="14.1" customHeight="1" x14ac:dyDescent="0.2">
      <c r="A125" t="s">
        <v>890</v>
      </c>
      <c r="B125" s="193">
        <v>3805</v>
      </c>
      <c r="C125" s="194" t="s">
        <v>1038</v>
      </c>
      <c r="D125" s="229" t="s">
        <v>1645</v>
      </c>
      <c r="E125" s="229" t="s">
        <v>545</v>
      </c>
      <c r="F125" s="236">
        <v>300</v>
      </c>
      <c r="G125" s="196">
        <v>3</v>
      </c>
      <c r="H125" s="195">
        <v>150</v>
      </c>
      <c r="I125" s="197">
        <v>41252</v>
      </c>
      <c r="J125" s="197" t="str">
        <f t="shared" si="6"/>
        <v>ok</v>
      </c>
      <c r="K125" s="413"/>
      <c r="L125" s="413"/>
      <c r="M125" s="413"/>
      <c r="N125" s="413"/>
      <c r="O125" s="413"/>
      <c r="P125" s="413"/>
      <c r="Q125" s="413"/>
      <c r="R125" s="413"/>
      <c r="S125" s="413"/>
      <c r="T125" s="413"/>
      <c r="U125" s="413"/>
      <c r="V125" s="413"/>
      <c r="W125" s="413">
        <f t="shared" si="4"/>
        <v>0</v>
      </c>
      <c r="X125" s="412"/>
      <c r="Y125" s="412"/>
      <c r="Z125" s="412"/>
      <c r="AA125" s="412"/>
      <c r="AB125" s="412"/>
      <c r="AC125" s="412"/>
      <c r="AD125" s="412"/>
      <c r="AE125" s="412"/>
      <c r="AF125" s="412"/>
      <c r="AG125" s="412"/>
      <c r="AH125" s="412"/>
      <c r="AI125" s="412"/>
      <c r="AJ125" s="412">
        <f t="shared" si="5"/>
        <v>0</v>
      </c>
      <c r="AK125" s="198"/>
      <c r="AL125" s="250" t="s">
        <v>2068</v>
      </c>
    </row>
    <row r="126" spans="1:38" ht="14.1" customHeight="1" x14ac:dyDescent="0.2">
      <c r="A126" t="s">
        <v>884</v>
      </c>
      <c r="B126" s="193">
        <v>3806</v>
      </c>
      <c r="C126" s="194" t="s">
        <v>852</v>
      </c>
      <c r="D126" s="229" t="s">
        <v>1477</v>
      </c>
      <c r="E126" s="229" t="s">
        <v>92</v>
      </c>
      <c r="F126" s="236">
        <v>300</v>
      </c>
      <c r="G126" s="196">
        <v>1</v>
      </c>
      <c r="H126" s="195">
        <v>300</v>
      </c>
      <c r="I126" s="197">
        <v>41252</v>
      </c>
      <c r="J126" s="197" t="str">
        <f t="shared" si="6"/>
        <v>ok</v>
      </c>
      <c r="K126" s="413"/>
      <c r="L126" s="413"/>
      <c r="M126" s="413"/>
      <c r="N126" s="413"/>
      <c r="O126" s="413"/>
      <c r="P126" s="413"/>
      <c r="Q126" s="413"/>
      <c r="R126" s="413"/>
      <c r="S126" s="413"/>
      <c r="T126" s="413"/>
      <c r="U126" s="413"/>
      <c r="V126" s="413">
        <v>300</v>
      </c>
      <c r="W126" s="413">
        <f t="shared" si="4"/>
        <v>300</v>
      </c>
      <c r="X126" s="412"/>
      <c r="Y126" s="412"/>
      <c r="Z126" s="412"/>
      <c r="AA126" s="412"/>
      <c r="AB126" s="412"/>
      <c r="AC126" s="412"/>
      <c r="AD126" s="412"/>
      <c r="AE126" s="412"/>
      <c r="AF126" s="412"/>
      <c r="AG126" s="412"/>
      <c r="AH126" s="412"/>
      <c r="AI126" s="412"/>
      <c r="AJ126" s="412">
        <f t="shared" si="5"/>
        <v>0</v>
      </c>
      <c r="AK126" s="198"/>
      <c r="AL126" s="250" t="s">
        <v>2067</v>
      </c>
    </row>
    <row r="127" spans="1:38" ht="14.1" customHeight="1" x14ac:dyDescent="0.2">
      <c r="A127" t="s">
        <v>893</v>
      </c>
      <c r="B127" s="193">
        <v>3807</v>
      </c>
      <c r="C127" s="194" t="s">
        <v>1103</v>
      </c>
      <c r="D127" s="229" t="s">
        <v>1407</v>
      </c>
      <c r="E127" s="229" t="s">
        <v>248</v>
      </c>
      <c r="F127" s="236">
        <v>300</v>
      </c>
      <c r="G127" s="196">
        <v>1</v>
      </c>
      <c r="H127" s="195">
        <v>300</v>
      </c>
      <c r="I127" s="197">
        <v>41252</v>
      </c>
      <c r="J127" s="197" t="str">
        <f t="shared" si="6"/>
        <v>ok</v>
      </c>
      <c r="K127" s="413"/>
      <c r="L127" s="413"/>
      <c r="M127" s="413"/>
      <c r="N127" s="413"/>
      <c r="O127" s="413"/>
      <c r="P127" s="413"/>
      <c r="Q127" s="413"/>
      <c r="R127" s="413"/>
      <c r="S127" s="413"/>
      <c r="T127" s="413"/>
      <c r="U127" s="413"/>
      <c r="V127" s="413">
        <v>300</v>
      </c>
      <c r="W127" s="413">
        <f t="shared" si="4"/>
        <v>300</v>
      </c>
      <c r="X127" s="412"/>
      <c r="Y127" s="412"/>
      <c r="Z127" s="412"/>
      <c r="AA127" s="412"/>
      <c r="AB127" s="412"/>
      <c r="AC127" s="412"/>
      <c r="AD127" s="412"/>
      <c r="AE127" s="412"/>
      <c r="AF127" s="412"/>
      <c r="AG127" s="412"/>
      <c r="AH127" s="412"/>
      <c r="AI127" s="412"/>
      <c r="AJ127" s="412">
        <f t="shared" si="5"/>
        <v>0</v>
      </c>
      <c r="AK127" s="198"/>
      <c r="AL127" s="250" t="s">
        <v>2067</v>
      </c>
    </row>
    <row r="128" spans="1:38" ht="14.1" customHeight="1" x14ac:dyDescent="0.2">
      <c r="A128" t="s">
        <v>884</v>
      </c>
      <c r="B128" s="193">
        <v>3808</v>
      </c>
      <c r="C128" s="194" t="s">
        <v>861</v>
      </c>
      <c r="D128" s="229" t="s">
        <v>1446</v>
      </c>
      <c r="E128" s="229" t="s">
        <v>1208</v>
      </c>
      <c r="F128" s="236">
        <v>150</v>
      </c>
      <c r="G128" s="196">
        <v>1</v>
      </c>
      <c r="H128" s="195">
        <v>150</v>
      </c>
      <c r="I128" s="197">
        <v>41252</v>
      </c>
      <c r="J128" s="197" t="str">
        <f t="shared" si="6"/>
        <v>ok</v>
      </c>
      <c r="K128" s="413"/>
      <c r="L128" s="413"/>
      <c r="M128" s="413"/>
      <c r="N128" s="413"/>
      <c r="O128" s="413"/>
      <c r="P128" s="413"/>
      <c r="Q128" s="413"/>
      <c r="R128" s="413"/>
      <c r="S128" s="413"/>
      <c r="T128" s="413"/>
      <c r="U128" s="413"/>
      <c r="V128" s="413">
        <v>150</v>
      </c>
      <c r="W128" s="413">
        <f t="shared" si="4"/>
        <v>150</v>
      </c>
      <c r="X128" s="412"/>
      <c r="Y128" s="412"/>
      <c r="Z128" s="412"/>
      <c r="AA128" s="412"/>
      <c r="AB128" s="412"/>
      <c r="AC128" s="412"/>
      <c r="AD128" s="412"/>
      <c r="AE128" s="412"/>
      <c r="AF128" s="412"/>
      <c r="AG128" s="412"/>
      <c r="AH128" s="412"/>
      <c r="AI128" s="412"/>
      <c r="AJ128" s="412">
        <f t="shared" si="5"/>
        <v>0</v>
      </c>
      <c r="AK128" s="198"/>
      <c r="AL128" s="250" t="s">
        <v>2067</v>
      </c>
    </row>
    <row r="129" spans="1:38" ht="14.1" customHeight="1" x14ac:dyDescent="0.2">
      <c r="A129" t="s">
        <v>893</v>
      </c>
      <c r="B129" s="193">
        <v>3809</v>
      </c>
      <c r="C129" s="194" t="s">
        <v>781</v>
      </c>
      <c r="D129" s="229" t="s">
        <v>1401</v>
      </c>
      <c r="E129" s="229" t="s">
        <v>331</v>
      </c>
      <c r="F129" s="236">
        <v>300</v>
      </c>
      <c r="G129" s="196">
        <v>1</v>
      </c>
      <c r="H129" s="195">
        <v>300</v>
      </c>
      <c r="I129" s="197">
        <v>41252</v>
      </c>
      <c r="J129" s="197" t="str">
        <f t="shared" si="6"/>
        <v>ok</v>
      </c>
      <c r="K129" s="413"/>
      <c r="L129" s="413"/>
      <c r="M129" s="413"/>
      <c r="N129" s="413"/>
      <c r="O129" s="413"/>
      <c r="P129" s="413"/>
      <c r="Q129" s="413"/>
      <c r="R129" s="413"/>
      <c r="S129" s="413"/>
      <c r="T129" s="413"/>
      <c r="U129" s="413"/>
      <c r="V129" s="413">
        <v>300</v>
      </c>
      <c r="W129" s="413">
        <f t="shared" si="4"/>
        <v>300</v>
      </c>
      <c r="X129" s="412"/>
      <c r="Y129" s="412"/>
      <c r="Z129" s="412"/>
      <c r="AA129" s="412"/>
      <c r="AB129" s="412"/>
      <c r="AC129" s="412"/>
      <c r="AD129" s="412"/>
      <c r="AE129" s="412"/>
      <c r="AF129" s="412"/>
      <c r="AG129" s="412"/>
      <c r="AH129" s="412"/>
      <c r="AI129" s="412"/>
      <c r="AJ129" s="412">
        <f t="shared" si="5"/>
        <v>0</v>
      </c>
      <c r="AK129" s="198"/>
      <c r="AL129" s="250" t="s">
        <v>2067</v>
      </c>
    </row>
    <row r="130" spans="1:38" ht="14.1" customHeight="1" x14ac:dyDescent="0.2">
      <c r="A130" t="s">
        <v>884</v>
      </c>
      <c r="B130" s="193">
        <v>3810</v>
      </c>
      <c r="C130" s="194" t="s">
        <v>827</v>
      </c>
      <c r="D130" s="229" t="s">
        <v>1431</v>
      </c>
      <c r="E130" s="229" t="s">
        <v>1271</v>
      </c>
      <c r="F130" s="236">
        <v>300</v>
      </c>
      <c r="G130" s="196">
        <v>1</v>
      </c>
      <c r="H130" s="195">
        <v>300</v>
      </c>
      <c r="I130" s="197">
        <v>41252</v>
      </c>
      <c r="J130" s="197" t="str">
        <f t="shared" si="6"/>
        <v>ok</v>
      </c>
      <c r="K130" s="413"/>
      <c r="L130" s="413"/>
      <c r="M130" s="413"/>
      <c r="N130" s="413"/>
      <c r="O130" s="413"/>
      <c r="P130" s="413"/>
      <c r="Q130" s="413"/>
      <c r="R130" s="413"/>
      <c r="S130" s="413"/>
      <c r="T130" s="413"/>
      <c r="U130" s="413"/>
      <c r="V130" s="413">
        <v>300</v>
      </c>
      <c r="W130" s="413">
        <f t="shared" si="4"/>
        <v>300</v>
      </c>
      <c r="X130" s="412"/>
      <c r="Y130" s="412"/>
      <c r="Z130" s="412"/>
      <c r="AA130" s="412"/>
      <c r="AB130" s="412"/>
      <c r="AC130" s="412"/>
      <c r="AD130" s="412"/>
      <c r="AE130" s="412"/>
      <c r="AF130" s="412"/>
      <c r="AG130" s="412"/>
      <c r="AH130" s="412"/>
      <c r="AI130" s="412"/>
      <c r="AJ130" s="412">
        <f t="shared" si="5"/>
        <v>0</v>
      </c>
      <c r="AK130" s="198"/>
      <c r="AL130" s="250" t="s">
        <v>2067</v>
      </c>
    </row>
    <row r="131" spans="1:38" ht="14.1" customHeight="1" x14ac:dyDescent="0.2">
      <c r="A131" t="s">
        <v>888</v>
      </c>
      <c r="B131" s="193">
        <v>3811</v>
      </c>
      <c r="C131" s="194" t="s">
        <v>790</v>
      </c>
      <c r="D131" s="229" t="s">
        <v>1522</v>
      </c>
      <c r="E131" s="229" t="s">
        <v>384</v>
      </c>
      <c r="F131" s="236">
        <v>300</v>
      </c>
      <c r="G131" s="196">
        <v>1</v>
      </c>
      <c r="H131" s="195">
        <v>300</v>
      </c>
      <c r="I131" s="197">
        <v>41252</v>
      </c>
      <c r="J131" s="197" t="str">
        <f t="shared" si="6"/>
        <v>ok</v>
      </c>
      <c r="K131" s="413"/>
      <c r="L131" s="413"/>
      <c r="M131" s="413"/>
      <c r="N131" s="413"/>
      <c r="O131" s="413"/>
      <c r="P131" s="413"/>
      <c r="Q131" s="413"/>
      <c r="R131" s="413"/>
      <c r="S131" s="413"/>
      <c r="T131" s="413"/>
      <c r="U131" s="413"/>
      <c r="V131" s="413">
        <v>300</v>
      </c>
      <c r="W131" s="413">
        <f t="shared" si="4"/>
        <v>300</v>
      </c>
      <c r="X131" s="412"/>
      <c r="Y131" s="412"/>
      <c r="Z131" s="412"/>
      <c r="AA131" s="412"/>
      <c r="AB131" s="412"/>
      <c r="AC131" s="412"/>
      <c r="AD131" s="412"/>
      <c r="AE131" s="412"/>
      <c r="AF131" s="412"/>
      <c r="AG131" s="412"/>
      <c r="AH131" s="412"/>
      <c r="AI131" s="412"/>
      <c r="AJ131" s="412">
        <f t="shared" si="5"/>
        <v>0</v>
      </c>
      <c r="AK131" s="198"/>
      <c r="AL131" s="250" t="s">
        <v>2067</v>
      </c>
    </row>
    <row r="132" spans="1:38" ht="14.1" customHeight="1" x14ac:dyDescent="0.2">
      <c r="A132" t="s">
        <v>884</v>
      </c>
      <c r="B132" s="193">
        <v>3812</v>
      </c>
      <c r="C132" s="194" t="s">
        <v>791</v>
      </c>
      <c r="D132" s="229" t="s">
        <v>1555</v>
      </c>
      <c r="E132" s="229" t="s">
        <v>380</v>
      </c>
      <c r="F132" s="236">
        <v>100</v>
      </c>
      <c r="G132" s="196">
        <v>1</v>
      </c>
      <c r="H132" s="195">
        <v>100</v>
      </c>
      <c r="I132" s="197">
        <v>41252</v>
      </c>
      <c r="J132" s="197" t="str">
        <f t="shared" si="6"/>
        <v>ok</v>
      </c>
      <c r="K132" s="413"/>
      <c r="L132" s="413"/>
      <c r="M132" s="413"/>
      <c r="N132" s="413"/>
      <c r="O132" s="413"/>
      <c r="P132" s="413"/>
      <c r="Q132" s="413"/>
      <c r="R132" s="413"/>
      <c r="S132" s="413"/>
      <c r="T132" s="413"/>
      <c r="U132" s="413"/>
      <c r="V132" s="413">
        <v>100</v>
      </c>
      <c r="W132" s="413">
        <f t="shared" si="4"/>
        <v>100</v>
      </c>
      <c r="X132" s="412"/>
      <c r="Y132" s="412"/>
      <c r="Z132" s="412"/>
      <c r="AA132" s="412"/>
      <c r="AB132" s="412"/>
      <c r="AC132" s="412"/>
      <c r="AD132" s="412"/>
      <c r="AE132" s="412"/>
      <c r="AF132" s="412"/>
      <c r="AG132" s="412"/>
      <c r="AH132" s="412"/>
      <c r="AI132" s="412"/>
      <c r="AJ132" s="412">
        <f t="shared" si="5"/>
        <v>0</v>
      </c>
      <c r="AK132" s="198"/>
      <c r="AL132" s="250" t="s">
        <v>2067</v>
      </c>
    </row>
    <row r="133" spans="1:38" ht="14.1" customHeight="1" x14ac:dyDescent="0.2">
      <c r="A133" t="s">
        <v>890</v>
      </c>
      <c r="B133" s="193">
        <v>3813</v>
      </c>
      <c r="C133" s="194" t="s">
        <v>987</v>
      </c>
      <c r="D133" s="229" t="s">
        <v>1638</v>
      </c>
      <c r="E133" s="229" t="s">
        <v>475</v>
      </c>
      <c r="F133" s="236">
        <v>300</v>
      </c>
      <c r="G133" s="196">
        <v>1</v>
      </c>
      <c r="H133" s="195">
        <v>600</v>
      </c>
      <c r="I133" s="197">
        <v>41252</v>
      </c>
      <c r="J133" s="197" t="str">
        <f t="shared" si="6"/>
        <v>ok</v>
      </c>
      <c r="K133" s="413"/>
      <c r="L133" s="413"/>
      <c r="M133" s="413"/>
      <c r="N133" s="413"/>
      <c r="O133" s="413"/>
      <c r="P133" s="413"/>
      <c r="Q133" s="413"/>
      <c r="R133" s="413"/>
      <c r="S133" s="413"/>
      <c r="T133" s="413"/>
      <c r="U133" s="413">
        <v>300</v>
      </c>
      <c r="V133" s="413">
        <v>300</v>
      </c>
      <c r="W133" s="413">
        <f t="shared" si="4"/>
        <v>600</v>
      </c>
      <c r="X133" s="412"/>
      <c r="Y133" s="412"/>
      <c r="Z133" s="412"/>
      <c r="AA133" s="412"/>
      <c r="AB133" s="412"/>
      <c r="AC133" s="412"/>
      <c r="AD133" s="412"/>
      <c r="AE133" s="412"/>
      <c r="AF133" s="412"/>
      <c r="AG133" s="412"/>
      <c r="AH133" s="412"/>
      <c r="AI133" s="412"/>
      <c r="AJ133" s="412">
        <f t="shared" si="5"/>
        <v>0</v>
      </c>
      <c r="AK133" s="198"/>
      <c r="AL133" s="250" t="s">
        <v>2067</v>
      </c>
    </row>
    <row r="134" spans="1:38" ht="14.1" customHeight="1" x14ac:dyDescent="0.2">
      <c r="A134" t="s">
        <v>884</v>
      </c>
      <c r="B134" s="193">
        <v>3814</v>
      </c>
      <c r="C134" s="194" t="s">
        <v>859</v>
      </c>
      <c r="D134" s="229" t="s">
        <v>1404</v>
      </c>
      <c r="E134" s="229" t="s">
        <v>105</v>
      </c>
      <c r="F134" s="236">
        <v>150</v>
      </c>
      <c r="G134" s="196">
        <v>1</v>
      </c>
      <c r="H134" s="195">
        <v>150</v>
      </c>
      <c r="I134" s="197">
        <v>41252</v>
      </c>
      <c r="J134" s="197" t="str">
        <f t="shared" si="6"/>
        <v>ok</v>
      </c>
      <c r="K134" s="413"/>
      <c r="L134" s="413"/>
      <c r="M134" s="413"/>
      <c r="N134" s="413"/>
      <c r="O134" s="413"/>
      <c r="P134" s="413"/>
      <c r="Q134" s="413"/>
      <c r="R134" s="413"/>
      <c r="S134" s="413"/>
      <c r="T134" s="413"/>
      <c r="U134" s="413"/>
      <c r="V134" s="413">
        <v>150</v>
      </c>
      <c r="W134" s="413">
        <f t="shared" si="4"/>
        <v>150</v>
      </c>
      <c r="X134" s="412"/>
      <c r="Y134" s="412"/>
      <c r="Z134" s="412"/>
      <c r="AA134" s="412"/>
      <c r="AB134" s="412"/>
      <c r="AC134" s="412"/>
      <c r="AD134" s="412"/>
      <c r="AE134" s="412"/>
      <c r="AF134" s="412"/>
      <c r="AG134" s="412"/>
      <c r="AH134" s="412"/>
      <c r="AI134" s="412"/>
      <c r="AJ134" s="412">
        <f t="shared" si="5"/>
        <v>0</v>
      </c>
      <c r="AK134" s="198"/>
      <c r="AL134" s="250" t="s">
        <v>2067</v>
      </c>
    </row>
    <row r="135" spans="1:38" ht="14.1" customHeight="1" x14ac:dyDescent="0.2">
      <c r="A135" t="s">
        <v>884</v>
      </c>
      <c r="B135" s="193">
        <v>3814</v>
      </c>
      <c r="C135" s="194" t="s">
        <v>859</v>
      </c>
      <c r="D135" s="229" t="s">
        <v>1404</v>
      </c>
      <c r="E135" s="229" t="s">
        <v>105</v>
      </c>
      <c r="F135" s="236">
        <v>150</v>
      </c>
      <c r="G135" s="196">
        <v>2</v>
      </c>
      <c r="H135" s="195">
        <v>150</v>
      </c>
      <c r="I135" s="197">
        <v>41252</v>
      </c>
      <c r="J135" s="197" t="str">
        <f t="shared" si="6"/>
        <v>ok</v>
      </c>
      <c r="K135" s="413"/>
      <c r="L135" s="413"/>
      <c r="M135" s="413"/>
      <c r="N135" s="413"/>
      <c r="O135" s="413"/>
      <c r="P135" s="413"/>
      <c r="Q135" s="413"/>
      <c r="R135" s="413"/>
      <c r="S135" s="413"/>
      <c r="T135" s="413"/>
      <c r="U135" s="413"/>
      <c r="V135" s="413"/>
      <c r="W135" s="413">
        <f t="shared" ref="W135:W198" si="7">SUM(K135:V135)</f>
        <v>0</v>
      </c>
      <c r="X135" s="412"/>
      <c r="Y135" s="412"/>
      <c r="Z135" s="412"/>
      <c r="AA135" s="412"/>
      <c r="AB135" s="412"/>
      <c r="AC135" s="412"/>
      <c r="AD135" s="412"/>
      <c r="AE135" s="412"/>
      <c r="AF135" s="412"/>
      <c r="AG135" s="412"/>
      <c r="AH135" s="412"/>
      <c r="AI135" s="412"/>
      <c r="AJ135" s="412">
        <f t="shared" ref="AJ135:AJ198" si="8">SUM(X135:AI135)</f>
        <v>0</v>
      </c>
      <c r="AK135" s="198"/>
      <c r="AL135" s="250" t="s">
        <v>2068</v>
      </c>
    </row>
    <row r="136" spans="1:38" ht="14.1" customHeight="1" x14ac:dyDescent="0.2">
      <c r="A136" t="s">
        <v>884</v>
      </c>
      <c r="B136" s="193">
        <v>3815</v>
      </c>
      <c r="C136" s="194" t="s">
        <v>853</v>
      </c>
      <c r="D136" s="229" t="s">
        <v>1486</v>
      </c>
      <c r="E136" s="229" t="s">
        <v>93</v>
      </c>
      <c r="F136" s="236">
        <v>300</v>
      </c>
      <c r="G136" s="196">
        <v>1</v>
      </c>
      <c r="H136" s="195">
        <v>300</v>
      </c>
      <c r="I136" s="197">
        <v>41252</v>
      </c>
      <c r="J136" s="197" t="str">
        <f t="shared" si="6"/>
        <v>ok</v>
      </c>
      <c r="K136" s="413"/>
      <c r="L136" s="413"/>
      <c r="M136" s="413"/>
      <c r="N136" s="413"/>
      <c r="O136" s="413"/>
      <c r="P136" s="413"/>
      <c r="Q136" s="413"/>
      <c r="R136" s="413"/>
      <c r="S136" s="413"/>
      <c r="T136" s="413"/>
      <c r="U136" s="413"/>
      <c r="V136" s="413">
        <v>300</v>
      </c>
      <c r="W136" s="413">
        <f t="shared" si="7"/>
        <v>300</v>
      </c>
      <c r="X136" s="412"/>
      <c r="Y136" s="412"/>
      <c r="Z136" s="412"/>
      <c r="AA136" s="412"/>
      <c r="AB136" s="412"/>
      <c r="AC136" s="412"/>
      <c r="AD136" s="412"/>
      <c r="AE136" s="412"/>
      <c r="AF136" s="412"/>
      <c r="AG136" s="412"/>
      <c r="AH136" s="412"/>
      <c r="AI136" s="412"/>
      <c r="AJ136" s="412">
        <f t="shared" si="8"/>
        <v>0</v>
      </c>
      <c r="AK136" s="198"/>
      <c r="AL136" s="250" t="s">
        <v>2067</v>
      </c>
    </row>
    <row r="137" spans="1:38" ht="14.1" customHeight="1" x14ac:dyDescent="0.2">
      <c r="A137" t="s">
        <v>890</v>
      </c>
      <c r="B137" s="193">
        <v>3816</v>
      </c>
      <c r="C137" s="194" t="s">
        <v>1035</v>
      </c>
      <c r="D137" s="229" t="s">
        <v>1521</v>
      </c>
      <c r="E137" s="229" t="s">
        <v>540</v>
      </c>
      <c r="F137" s="236">
        <v>300</v>
      </c>
      <c r="G137" s="196">
        <v>1</v>
      </c>
      <c r="H137" s="195">
        <v>300</v>
      </c>
      <c r="I137" s="197">
        <v>41252</v>
      </c>
      <c r="J137" s="197" t="str">
        <f t="shared" si="6"/>
        <v>ok</v>
      </c>
      <c r="K137" s="413"/>
      <c r="L137" s="413"/>
      <c r="M137" s="413"/>
      <c r="N137" s="413"/>
      <c r="O137" s="413"/>
      <c r="P137" s="413"/>
      <c r="Q137" s="413"/>
      <c r="R137" s="413"/>
      <c r="S137" s="413"/>
      <c r="T137" s="413"/>
      <c r="U137" s="413"/>
      <c r="V137" s="413">
        <v>300</v>
      </c>
      <c r="W137" s="413">
        <f t="shared" si="7"/>
        <v>300</v>
      </c>
      <c r="X137" s="412"/>
      <c r="Y137" s="412"/>
      <c r="Z137" s="412"/>
      <c r="AA137" s="412"/>
      <c r="AB137" s="412"/>
      <c r="AC137" s="412"/>
      <c r="AD137" s="412"/>
      <c r="AE137" s="412"/>
      <c r="AF137" s="412"/>
      <c r="AG137" s="412"/>
      <c r="AH137" s="412"/>
      <c r="AI137" s="412"/>
      <c r="AJ137" s="412">
        <f t="shared" si="8"/>
        <v>0</v>
      </c>
      <c r="AK137" s="198"/>
      <c r="AL137" s="250" t="s">
        <v>2067</v>
      </c>
    </row>
    <row r="138" spans="1:38" ht="14.1" customHeight="1" x14ac:dyDescent="0.2">
      <c r="A138" t="s">
        <v>893</v>
      </c>
      <c r="B138" s="193">
        <v>3817</v>
      </c>
      <c r="C138" s="194" t="s">
        <v>1120</v>
      </c>
      <c r="D138" s="229" t="s">
        <v>1601</v>
      </c>
      <c r="E138" s="229" t="s">
        <v>276</v>
      </c>
      <c r="F138" s="236">
        <v>300</v>
      </c>
      <c r="G138" s="196">
        <v>1</v>
      </c>
      <c r="H138" s="195">
        <v>600</v>
      </c>
      <c r="I138" s="197">
        <v>41252</v>
      </c>
      <c r="J138" s="197" t="str">
        <f t="shared" si="6"/>
        <v>ok</v>
      </c>
      <c r="K138" s="413"/>
      <c r="L138" s="413"/>
      <c r="M138" s="413"/>
      <c r="N138" s="413"/>
      <c r="O138" s="413"/>
      <c r="P138" s="413"/>
      <c r="Q138" s="413"/>
      <c r="R138" s="413"/>
      <c r="S138" s="413"/>
      <c r="T138" s="413"/>
      <c r="U138" s="413"/>
      <c r="V138" s="413">
        <v>300</v>
      </c>
      <c r="W138" s="413">
        <f t="shared" si="7"/>
        <v>300</v>
      </c>
      <c r="X138" s="412">
        <v>300</v>
      </c>
      <c r="Y138" s="412"/>
      <c r="Z138" s="412"/>
      <c r="AA138" s="412"/>
      <c r="AB138" s="412"/>
      <c r="AC138" s="412"/>
      <c r="AD138" s="412"/>
      <c r="AE138" s="412"/>
      <c r="AF138" s="412"/>
      <c r="AG138" s="412"/>
      <c r="AH138" s="412"/>
      <c r="AI138" s="412"/>
      <c r="AJ138" s="412">
        <f t="shared" si="8"/>
        <v>300</v>
      </c>
      <c r="AK138" s="198"/>
      <c r="AL138" s="250" t="s">
        <v>2067</v>
      </c>
    </row>
    <row r="139" spans="1:38" ht="14.1" customHeight="1" x14ac:dyDescent="0.2">
      <c r="A139" t="s">
        <v>888</v>
      </c>
      <c r="B139" s="193">
        <v>3818</v>
      </c>
      <c r="C139" s="194" t="s">
        <v>762</v>
      </c>
      <c r="D139" s="229" t="s">
        <v>1579</v>
      </c>
      <c r="E139" s="229" t="s">
        <v>436</v>
      </c>
      <c r="F139" s="236">
        <v>300</v>
      </c>
      <c r="G139" s="196">
        <v>1</v>
      </c>
      <c r="H139" s="195">
        <v>300</v>
      </c>
      <c r="I139" s="197">
        <v>41252</v>
      </c>
      <c r="J139" s="197" t="str">
        <f t="shared" si="6"/>
        <v>ok</v>
      </c>
      <c r="K139" s="413"/>
      <c r="L139" s="413"/>
      <c r="M139" s="413"/>
      <c r="N139" s="413"/>
      <c r="O139" s="413"/>
      <c r="P139" s="413"/>
      <c r="Q139" s="413"/>
      <c r="R139" s="413"/>
      <c r="S139" s="413"/>
      <c r="T139" s="413"/>
      <c r="U139" s="413"/>
      <c r="V139" s="413">
        <v>300</v>
      </c>
      <c r="W139" s="413">
        <f t="shared" si="7"/>
        <v>300</v>
      </c>
      <c r="X139" s="412"/>
      <c r="Y139" s="412"/>
      <c r="Z139" s="412"/>
      <c r="AA139" s="412"/>
      <c r="AB139" s="412"/>
      <c r="AC139" s="412"/>
      <c r="AD139" s="412"/>
      <c r="AE139" s="412"/>
      <c r="AF139" s="412"/>
      <c r="AG139" s="412"/>
      <c r="AH139" s="412"/>
      <c r="AI139" s="412"/>
      <c r="AJ139" s="412">
        <f t="shared" si="8"/>
        <v>0</v>
      </c>
      <c r="AK139" s="198"/>
      <c r="AL139" s="250" t="s">
        <v>2067</v>
      </c>
    </row>
    <row r="140" spans="1:38" ht="14.1" customHeight="1" x14ac:dyDescent="0.2">
      <c r="A140" t="s">
        <v>893</v>
      </c>
      <c r="B140" s="193">
        <v>3819</v>
      </c>
      <c r="C140" s="194" t="s">
        <v>1077</v>
      </c>
      <c r="D140" s="229" t="s">
        <v>1429</v>
      </c>
      <c r="E140" s="229" t="s">
        <v>195</v>
      </c>
      <c r="F140" s="236">
        <v>200</v>
      </c>
      <c r="G140" s="196">
        <v>1</v>
      </c>
      <c r="H140" s="195">
        <v>200</v>
      </c>
      <c r="I140" s="197">
        <v>41252</v>
      </c>
      <c r="J140" s="197" t="str">
        <f t="shared" si="6"/>
        <v>ok</v>
      </c>
      <c r="K140" s="413"/>
      <c r="L140" s="413"/>
      <c r="M140" s="413"/>
      <c r="N140" s="413"/>
      <c r="O140" s="413"/>
      <c r="P140" s="413"/>
      <c r="Q140" s="413"/>
      <c r="R140" s="413"/>
      <c r="S140" s="413"/>
      <c r="T140" s="413"/>
      <c r="U140" s="413"/>
      <c r="V140" s="413">
        <v>200</v>
      </c>
      <c r="W140" s="413">
        <f t="shared" si="7"/>
        <v>200</v>
      </c>
      <c r="X140" s="412"/>
      <c r="Y140" s="412"/>
      <c r="Z140" s="412"/>
      <c r="AA140" s="412"/>
      <c r="AB140" s="412"/>
      <c r="AC140" s="412"/>
      <c r="AD140" s="412"/>
      <c r="AE140" s="412"/>
      <c r="AF140" s="412"/>
      <c r="AG140" s="412"/>
      <c r="AH140" s="412"/>
      <c r="AI140" s="412"/>
      <c r="AJ140" s="412">
        <f t="shared" si="8"/>
        <v>0</v>
      </c>
      <c r="AK140" s="198"/>
      <c r="AL140" s="250" t="s">
        <v>2067</v>
      </c>
    </row>
    <row r="141" spans="1:38" ht="14.1" customHeight="1" x14ac:dyDescent="0.2">
      <c r="A141" t="s">
        <v>894</v>
      </c>
      <c r="B141" s="193">
        <v>3820</v>
      </c>
      <c r="C141" s="194" t="s">
        <v>1179</v>
      </c>
      <c r="D141" s="229" t="s">
        <v>1452</v>
      </c>
      <c r="E141" s="229" t="s">
        <v>639</v>
      </c>
      <c r="F141" s="236">
        <v>250</v>
      </c>
      <c r="G141" s="196">
        <v>1</v>
      </c>
      <c r="H141" s="195">
        <v>250</v>
      </c>
      <c r="I141" s="197">
        <v>41252</v>
      </c>
      <c r="J141" s="197" t="str">
        <f t="shared" si="6"/>
        <v>ok</v>
      </c>
      <c r="K141" s="413"/>
      <c r="L141" s="413"/>
      <c r="M141" s="413"/>
      <c r="N141" s="413"/>
      <c r="O141" s="413"/>
      <c r="P141" s="413"/>
      <c r="Q141" s="413"/>
      <c r="R141" s="413"/>
      <c r="S141" s="413"/>
      <c r="T141" s="413"/>
      <c r="U141" s="413"/>
      <c r="V141" s="413">
        <v>250</v>
      </c>
      <c r="W141" s="413">
        <f t="shared" si="7"/>
        <v>250</v>
      </c>
      <c r="X141" s="412"/>
      <c r="Y141" s="412"/>
      <c r="Z141" s="412"/>
      <c r="AA141" s="412"/>
      <c r="AB141" s="412"/>
      <c r="AC141" s="412"/>
      <c r="AD141" s="412"/>
      <c r="AE141" s="412"/>
      <c r="AF141" s="412"/>
      <c r="AG141" s="412"/>
      <c r="AH141" s="412"/>
      <c r="AI141" s="412"/>
      <c r="AJ141" s="412">
        <f t="shared" si="8"/>
        <v>0</v>
      </c>
      <c r="AK141" s="198"/>
      <c r="AL141" s="250" t="s">
        <v>2067</v>
      </c>
    </row>
    <row r="142" spans="1:38" ht="14.1" customHeight="1" x14ac:dyDescent="0.2">
      <c r="A142" t="s">
        <v>890</v>
      </c>
      <c r="B142" s="193">
        <v>3821</v>
      </c>
      <c r="C142" s="194" t="s">
        <v>990</v>
      </c>
      <c r="D142" s="229" t="s">
        <v>1542</v>
      </c>
      <c r="E142" s="229" t="s">
        <v>449</v>
      </c>
      <c r="F142" s="236">
        <v>150</v>
      </c>
      <c r="G142" s="196">
        <v>1</v>
      </c>
      <c r="H142" s="195">
        <v>150</v>
      </c>
      <c r="I142" s="197">
        <v>41252</v>
      </c>
      <c r="J142" s="197" t="str">
        <f t="shared" ref="J142:J205" si="9">IF(OR(G142&lt;&gt;1,SUM(W142,AJ142)=H142),"ok","error")</f>
        <v>ok</v>
      </c>
      <c r="K142" s="413"/>
      <c r="L142" s="413"/>
      <c r="M142" s="413"/>
      <c r="N142" s="413"/>
      <c r="O142" s="413"/>
      <c r="P142" s="413"/>
      <c r="Q142" s="413"/>
      <c r="R142" s="413"/>
      <c r="S142" s="413"/>
      <c r="T142" s="413"/>
      <c r="U142" s="413"/>
      <c r="V142" s="413">
        <v>150</v>
      </c>
      <c r="W142" s="413">
        <f t="shared" si="7"/>
        <v>150</v>
      </c>
      <c r="X142" s="412"/>
      <c r="Y142" s="412"/>
      <c r="Z142" s="412"/>
      <c r="AA142" s="412"/>
      <c r="AB142" s="412"/>
      <c r="AC142" s="412"/>
      <c r="AD142" s="412"/>
      <c r="AE142" s="412"/>
      <c r="AF142" s="412"/>
      <c r="AG142" s="412"/>
      <c r="AH142" s="412"/>
      <c r="AI142" s="412"/>
      <c r="AJ142" s="412">
        <f t="shared" si="8"/>
        <v>0</v>
      </c>
      <c r="AK142" s="198"/>
      <c r="AL142" s="250" t="s">
        <v>2067</v>
      </c>
    </row>
    <row r="143" spans="1:38" ht="14.1" customHeight="1" x14ac:dyDescent="0.2">
      <c r="A143" t="s">
        <v>893</v>
      </c>
      <c r="B143" s="193">
        <v>3822</v>
      </c>
      <c r="C143" s="194" t="s">
        <v>1101</v>
      </c>
      <c r="D143" s="229" t="s">
        <v>1563</v>
      </c>
      <c r="E143" s="229" t="s">
        <v>244</v>
      </c>
      <c r="F143" s="236">
        <v>200</v>
      </c>
      <c r="G143" s="196">
        <v>1</v>
      </c>
      <c r="H143" s="195">
        <v>200</v>
      </c>
      <c r="I143" s="197">
        <v>41252</v>
      </c>
      <c r="J143" s="197" t="str">
        <f t="shared" si="9"/>
        <v>ok</v>
      </c>
      <c r="K143" s="413"/>
      <c r="L143" s="413"/>
      <c r="M143" s="413"/>
      <c r="N143" s="413"/>
      <c r="O143" s="413"/>
      <c r="P143" s="413"/>
      <c r="Q143" s="413"/>
      <c r="R143" s="413"/>
      <c r="S143" s="413"/>
      <c r="T143" s="413"/>
      <c r="U143" s="413"/>
      <c r="V143" s="413">
        <v>200</v>
      </c>
      <c r="W143" s="413">
        <f t="shared" si="7"/>
        <v>200</v>
      </c>
      <c r="X143" s="412"/>
      <c r="Y143" s="412"/>
      <c r="Z143" s="412"/>
      <c r="AA143" s="412"/>
      <c r="AB143" s="412"/>
      <c r="AC143" s="412"/>
      <c r="AD143" s="412"/>
      <c r="AE143" s="412"/>
      <c r="AF143" s="412"/>
      <c r="AG143" s="412"/>
      <c r="AH143" s="412"/>
      <c r="AI143" s="412"/>
      <c r="AJ143" s="412">
        <f t="shared" si="8"/>
        <v>0</v>
      </c>
      <c r="AK143" s="198"/>
      <c r="AL143" s="250" t="s">
        <v>2067</v>
      </c>
    </row>
    <row r="144" spans="1:38" ht="14.1" customHeight="1" x14ac:dyDescent="0.2">
      <c r="A144" t="s">
        <v>893</v>
      </c>
      <c r="B144" s="193">
        <v>3823</v>
      </c>
      <c r="C144" s="194" t="s">
        <v>1080</v>
      </c>
      <c r="D144" s="229" t="s">
        <v>1598</v>
      </c>
      <c r="E144" s="229" t="s">
        <v>200</v>
      </c>
      <c r="F144" s="236">
        <v>300</v>
      </c>
      <c r="G144" s="196">
        <v>1</v>
      </c>
      <c r="H144" s="195">
        <v>300</v>
      </c>
      <c r="I144" s="197">
        <v>41252</v>
      </c>
      <c r="J144" s="197" t="str">
        <f t="shared" si="9"/>
        <v>ok</v>
      </c>
      <c r="K144" s="413"/>
      <c r="L144" s="413"/>
      <c r="M144" s="413"/>
      <c r="N144" s="413"/>
      <c r="O144" s="413"/>
      <c r="P144" s="413"/>
      <c r="Q144" s="413"/>
      <c r="R144" s="413"/>
      <c r="S144" s="413"/>
      <c r="T144" s="413"/>
      <c r="U144" s="413"/>
      <c r="V144" s="413"/>
      <c r="W144" s="413">
        <f t="shared" si="7"/>
        <v>0</v>
      </c>
      <c r="X144" s="412">
        <v>300</v>
      </c>
      <c r="Y144" s="412"/>
      <c r="Z144" s="412"/>
      <c r="AA144" s="412"/>
      <c r="AB144" s="412"/>
      <c r="AC144" s="412"/>
      <c r="AD144" s="412"/>
      <c r="AE144" s="412"/>
      <c r="AF144" s="412"/>
      <c r="AG144" s="412"/>
      <c r="AH144" s="412"/>
      <c r="AI144" s="412"/>
      <c r="AJ144" s="412">
        <f t="shared" si="8"/>
        <v>300</v>
      </c>
      <c r="AK144" s="198"/>
      <c r="AL144" s="250" t="s">
        <v>2067</v>
      </c>
    </row>
    <row r="145" spans="1:38" ht="14.1" customHeight="1" x14ac:dyDescent="0.2">
      <c r="A145" t="s">
        <v>893</v>
      </c>
      <c r="B145" s="193">
        <v>3823</v>
      </c>
      <c r="C145" s="194" t="s">
        <v>1080</v>
      </c>
      <c r="D145" s="229" t="s">
        <v>1598</v>
      </c>
      <c r="E145" s="229" t="s">
        <v>200</v>
      </c>
      <c r="F145" s="236">
        <v>300</v>
      </c>
      <c r="G145" s="196">
        <v>2</v>
      </c>
      <c r="H145" s="195">
        <v>300</v>
      </c>
      <c r="I145" s="197">
        <v>41252</v>
      </c>
      <c r="J145" s="197" t="str">
        <f t="shared" si="9"/>
        <v>ok</v>
      </c>
      <c r="K145" s="413"/>
      <c r="L145" s="413"/>
      <c r="M145" s="413"/>
      <c r="N145" s="413"/>
      <c r="O145" s="413"/>
      <c r="P145" s="413"/>
      <c r="Q145" s="413"/>
      <c r="R145" s="413"/>
      <c r="S145" s="413"/>
      <c r="T145" s="413"/>
      <c r="U145" s="413"/>
      <c r="V145" s="413"/>
      <c r="W145" s="413">
        <f t="shared" si="7"/>
        <v>0</v>
      </c>
      <c r="X145" s="412"/>
      <c r="Y145" s="412"/>
      <c r="Z145" s="412"/>
      <c r="AA145" s="412"/>
      <c r="AB145" s="412"/>
      <c r="AC145" s="412"/>
      <c r="AD145" s="412"/>
      <c r="AE145" s="412"/>
      <c r="AF145" s="412"/>
      <c r="AG145" s="412"/>
      <c r="AH145" s="412"/>
      <c r="AI145" s="412"/>
      <c r="AJ145" s="412">
        <f t="shared" si="8"/>
        <v>0</v>
      </c>
      <c r="AK145" s="198"/>
      <c r="AL145" s="250" t="s">
        <v>2068</v>
      </c>
    </row>
    <row r="146" spans="1:38" ht="14.1" customHeight="1" x14ac:dyDescent="0.2">
      <c r="A146" t="s">
        <v>884</v>
      </c>
      <c r="B146" s="193">
        <v>3824</v>
      </c>
      <c r="C146" s="194" t="s">
        <v>874</v>
      </c>
      <c r="D146" s="229" t="s">
        <v>1459</v>
      </c>
      <c r="E146" s="229" t="s">
        <v>127</v>
      </c>
      <c r="F146" s="236">
        <v>300</v>
      </c>
      <c r="G146" s="196">
        <v>1</v>
      </c>
      <c r="H146" s="195">
        <v>300</v>
      </c>
      <c r="I146" s="197">
        <v>41252</v>
      </c>
      <c r="J146" s="197" t="str">
        <f t="shared" si="9"/>
        <v>ok</v>
      </c>
      <c r="K146" s="413"/>
      <c r="L146" s="413"/>
      <c r="M146" s="413"/>
      <c r="N146" s="413"/>
      <c r="O146" s="413"/>
      <c r="P146" s="413"/>
      <c r="Q146" s="413"/>
      <c r="R146" s="413"/>
      <c r="S146" s="413"/>
      <c r="T146" s="413"/>
      <c r="U146" s="413"/>
      <c r="V146" s="413">
        <v>300</v>
      </c>
      <c r="W146" s="413">
        <f t="shared" si="7"/>
        <v>300</v>
      </c>
      <c r="X146" s="412"/>
      <c r="Y146" s="412"/>
      <c r="Z146" s="412"/>
      <c r="AA146" s="412"/>
      <c r="AB146" s="412"/>
      <c r="AC146" s="412"/>
      <c r="AD146" s="412"/>
      <c r="AE146" s="412"/>
      <c r="AF146" s="412"/>
      <c r="AG146" s="412"/>
      <c r="AH146" s="412"/>
      <c r="AI146" s="412"/>
      <c r="AJ146" s="412">
        <f t="shared" si="8"/>
        <v>0</v>
      </c>
      <c r="AK146" s="198"/>
      <c r="AL146" s="250" t="s">
        <v>2067</v>
      </c>
    </row>
    <row r="147" spans="1:38" ht="14.1" customHeight="1" x14ac:dyDescent="0.2">
      <c r="A147" t="s">
        <v>884</v>
      </c>
      <c r="B147" s="193">
        <v>3825</v>
      </c>
      <c r="C147" s="194" t="s">
        <v>815</v>
      </c>
      <c r="D147" s="229" t="s">
        <v>1708</v>
      </c>
      <c r="E147" s="229" t="s">
        <v>37</v>
      </c>
      <c r="F147" s="236">
        <v>300</v>
      </c>
      <c r="G147" s="196">
        <v>1</v>
      </c>
      <c r="H147" s="195">
        <v>600</v>
      </c>
      <c r="I147" s="197">
        <v>41252</v>
      </c>
      <c r="J147" s="197" t="str">
        <f t="shared" si="9"/>
        <v>ok</v>
      </c>
      <c r="K147" s="413"/>
      <c r="L147" s="413"/>
      <c r="M147" s="413"/>
      <c r="N147" s="413"/>
      <c r="O147" s="413"/>
      <c r="P147" s="413"/>
      <c r="Q147" s="413">
        <v>300</v>
      </c>
      <c r="R147" s="413">
        <v>300</v>
      </c>
      <c r="S147" s="413"/>
      <c r="T147" s="413"/>
      <c r="U147" s="413"/>
      <c r="V147" s="413"/>
      <c r="W147" s="413">
        <f t="shared" si="7"/>
        <v>600</v>
      </c>
      <c r="X147" s="412"/>
      <c r="Y147" s="412"/>
      <c r="Z147" s="412"/>
      <c r="AA147" s="412"/>
      <c r="AB147" s="412"/>
      <c r="AC147" s="412"/>
      <c r="AD147" s="412"/>
      <c r="AE147" s="412"/>
      <c r="AF147" s="412"/>
      <c r="AG147" s="412"/>
      <c r="AH147" s="412"/>
      <c r="AI147" s="412"/>
      <c r="AJ147" s="412">
        <f t="shared" si="8"/>
        <v>0</v>
      </c>
      <c r="AK147" s="198"/>
      <c r="AL147" s="250" t="s">
        <v>2067</v>
      </c>
    </row>
    <row r="148" spans="1:38" ht="14.1" customHeight="1" x14ac:dyDescent="0.2">
      <c r="A148" t="s">
        <v>890</v>
      </c>
      <c r="B148" s="193">
        <v>3826</v>
      </c>
      <c r="C148" s="194" t="s">
        <v>1024</v>
      </c>
      <c r="D148" s="229" t="s">
        <v>1599</v>
      </c>
      <c r="E148" s="229" t="s">
        <v>257</v>
      </c>
      <c r="F148" s="236">
        <v>100</v>
      </c>
      <c r="G148" s="196">
        <v>1</v>
      </c>
      <c r="H148" s="195">
        <v>200</v>
      </c>
      <c r="I148" s="197">
        <v>41252</v>
      </c>
      <c r="J148" s="197" t="str">
        <f t="shared" si="9"/>
        <v>ok</v>
      </c>
      <c r="K148" s="413"/>
      <c r="L148" s="413"/>
      <c r="M148" s="413"/>
      <c r="N148" s="413"/>
      <c r="O148" s="413"/>
      <c r="P148" s="413"/>
      <c r="Q148" s="413"/>
      <c r="R148" s="413"/>
      <c r="S148" s="413"/>
      <c r="T148" s="413">
        <v>100</v>
      </c>
      <c r="U148" s="413">
        <v>100</v>
      </c>
      <c r="V148" s="413"/>
      <c r="W148" s="413">
        <f t="shared" si="7"/>
        <v>200</v>
      </c>
      <c r="X148" s="412"/>
      <c r="Y148" s="412"/>
      <c r="Z148" s="412"/>
      <c r="AA148" s="412"/>
      <c r="AB148" s="412"/>
      <c r="AC148" s="412"/>
      <c r="AD148" s="412"/>
      <c r="AE148" s="412"/>
      <c r="AF148" s="412"/>
      <c r="AG148" s="412"/>
      <c r="AH148" s="412"/>
      <c r="AI148" s="412"/>
      <c r="AJ148" s="412">
        <f t="shared" si="8"/>
        <v>0</v>
      </c>
      <c r="AK148" s="198"/>
      <c r="AL148" s="250" t="s">
        <v>2067</v>
      </c>
    </row>
    <row r="149" spans="1:38" ht="14.1" customHeight="1" x14ac:dyDescent="0.2">
      <c r="A149" t="s">
        <v>888</v>
      </c>
      <c r="B149" s="193">
        <v>3827</v>
      </c>
      <c r="C149" s="194" t="s">
        <v>910</v>
      </c>
      <c r="D149" s="229" t="s">
        <v>1514</v>
      </c>
      <c r="E149" s="229" t="s">
        <v>1262</v>
      </c>
      <c r="F149" s="236">
        <v>150</v>
      </c>
      <c r="G149" s="196">
        <v>1</v>
      </c>
      <c r="H149" s="195">
        <v>150</v>
      </c>
      <c r="I149" s="197">
        <v>41252</v>
      </c>
      <c r="J149" s="197" t="str">
        <f t="shared" si="9"/>
        <v>ok</v>
      </c>
      <c r="K149" s="413"/>
      <c r="L149" s="413"/>
      <c r="M149" s="413"/>
      <c r="N149" s="413"/>
      <c r="O149" s="413"/>
      <c r="P149" s="413"/>
      <c r="Q149" s="413"/>
      <c r="R149" s="413"/>
      <c r="S149" s="413"/>
      <c r="T149" s="413"/>
      <c r="U149" s="413"/>
      <c r="V149" s="413">
        <v>150</v>
      </c>
      <c r="W149" s="413">
        <f t="shared" si="7"/>
        <v>150</v>
      </c>
      <c r="X149" s="412"/>
      <c r="Y149" s="412"/>
      <c r="Z149" s="412"/>
      <c r="AA149" s="412"/>
      <c r="AB149" s="412"/>
      <c r="AC149" s="412"/>
      <c r="AD149" s="412"/>
      <c r="AE149" s="412"/>
      <c r="AF149" s="412"/>
      <c r="AG149" s="412"/>
      <c r="AH149" s="412"/>
      <c r="AI149" s="412"/>
      <c r="AJ149" s="412">
        <f t="shared" si="8"/>
        <v>0</v>
      </c>
      <c r="AK149" s="198"/>
      <c r="AL149" s="250" t="s">
        <v>2067</v>
      </c>
    </row>
    <row r="150" spans="1:38" ht="14.1" customHeight="1" x14ac:dyDescent="0.2">
      <c r="A150" t="s">
        <v>893</v>
      </c>
      <c r="B150" s="193">
        <v>3828</v>
      </c>
      <c r="C150" s="194" t="s">
        <v>1136</v>
      </c>
      <c r="D150" s="229" t="s">
        <v>1502</v>
      </c>
      <c r="E150" s="229" t="s">
        <v>308</v>
      </c>
      <c r="F150" s="236">
        <v>300</v>
      </c>
      <c r="G150" s="196">
        <v>3</v>
      </c>
      <c r="H150" s="195">
        <v>150</v>
      </c>
      <c r="I150" s="197">
        <v>41252</v>
      </c>
      <c r="J150" s="197" t="str">
        <f t="shared" si="9"/>
        <v>ok</v>
      </c>
      <c r="K150" s="413"/>
      <c r="L150" s="413"/>
      <c r="M150" s="413"/>
      <c r="N150" s="413"/>
      <c r="O150" s="413"/>
      <c r="P150" s="413"/>
      <c r="Q150" s="413"/>
      <c r="R150" s="413"/>
      <c r="S150" s="413"/>
      <c r="T150" s="413"/>
      <c r="U150" s="413"/>
      <c r="V150" s="413"/>
      <c r="W150" s="413">
        <f t="shared" si="7"/>
        <v>0</v>
      </c>
      <c r="X150" s="412"/>
      <c r="Y150" s="412"/>
      <c r="Z150" s="412"/>
      <c r="AA150" s="412"/>
      <c r="AB150" s="412"/>
      <c r="AC150" s="412"/>
      <c r="AD150" s="412"/>
      <c r="AE150" s="412"/>
      <c r="AF150" s="412"/>
      <c r="AG150" s="412"/>
      <c r="AH150" s="412"/>
      <c r="AI150" s="412"/>
      <c r="AJ150" s="412">
        <f t="shared" si="8"/>
        <v>0</v>
      </c>
      <c r="AK150" s="198"/>
      <c r="AL150" s="250" t="s">
        <v>2068</v>
      </c>
    </row>
    <row r="151" spans="1:38" ht="14.1" customHeight="1" x14ac:dyDescent="0.2">
      <c r="A151" t="s">
        <v>884</v>
      </c>
      <c r="B151" s="193">
        <v>3829</v>
      </c>
      <c r="C151" s="194" t="s">
        <v>785</v>
      </c>
      <c r="D151" s="229" t="s">
        <v>1636</v>
      </c>
      <c r="E151" s="229" t="s">
        <v>49</v>
      </c>
      <c r="F151" s="236">
        <v>300</v>
      </c>
      <c r="G151" s="196">
        <v>1</v>
      </c>
      <c r="H151" s="195">
        <v>600</v>
      </c>
      <c r="I151" s="197">
        <v>41252</v>
      </c>
      <c r="J151" s="197" t="str">
        <f t="shared" si="9"/>
        <v>ok</v>
      </c>
      <c r="K151" s="413"/>
      <c r="L151" s="413"/>
      <c r="M151" s="413"/>
      <c r="N151" s="413"/>
      <c r="O151" s="413"/>
      <c r="P151" s="413"/>
      <c r="Q151" s="413"/>
      <c r="R151" s="413"/>
      <c r="S151" s="413"/>
      <c r="T151" s="413"/>
      <c r="U151" s="413">
        <v>300</v>
      </c>
      <c r="V151" s="413">
        <v>300</v>
      </c>
      <c r="W151" s="413">
        <f t="shared" si="7"/>
        <v>600</v>
      </c>
      <c r="X151" s="412"/>
      <c r="Y151" s="412"/>
      <c r="Z151" s="412"/>
      <c r="AA151" s="412"/>
      <c r="AB151" s="412"/>
      <c r="AC151" s="412"/>
      <c r="AD151" s="412"/>
      <c r="AE151" s="412"/>
      <c r="AF151" s="412"/>
      <c r="AG151" s="412"/>
      <c r="AH151" s="412"/>
      <c r="AI151" s="412"/>
      <c r="AJ151" s="412">
        <f t="shared" si="8"/>
        <v>0</v>
      </c>
      <c r="AK151" s="198"/>
      <c r="AL151" s="250" t="s">
        <v>2067</v>
      </c>
    </row>
    <row r="152" spans="1:38" ht="14.1" customHeight="1" x14ac:dyDescent="0.2">
      <c r="A152" t="s">
        <v>884</v>
      </c>
      <c r="B152" s="193">
        <v>3830</v>
      </c>
      <c r="C152" s="194" t="s">
        <v>785</v>
      </c>
      <c r="D152" s="229" t="s">
        <v>1636</v>
      </c>
      <c r="E152" s="229" t="s">
        <v>49</v>
      </c>
      <c r="F152" s="236">
        <v>300</v>
      </c>
      <c r="G152" s="196">
        <v>2</v>
      </c>
      <c r="H152" s="195">
        <v>300</v>
      </c>
      <c r="I152" s="197">
        <v>41252</v>
      </c>
      <c r="J152" s="197" t="str">
        <f t="shared" si="9"/>
        <v>ok</v>
      </c>
      <c r="K152" s="413"/>
      <c r="L152" s="413"/>
      <c r="M152" s="413"/>
      <c r="N152" s="413"/>
      <c r="O152" s="413"/>
      <c r="P152" s="413"/>
      <c r="Q152" s="413"/>
      <c r="R152" s="413"/>
      <c r="S152" s="413"/>
      <c r="T152" s="413"/>
      <c r="U152" s="413"/>
      <c r="V152" s="413"/>
      <c r="W152" s="413">
        <f t="shared" si="7"/>
        <v>0</v>
      </c>
      <c r="X152" s="412"/>
      <c r="Y152" s="412"/>
      <c r="Z152" s="412"/>
      <c r="AA152" s="412"/>
      <c r="AB152" s="412"/>
      <c r="AC152" s="412"/>
      <c r="AD152" s="412"/>
      <c r="AE152" s="412"/>
      <c r="AF152" s="412"/>
      <c r="AG152" s="412"/>
      <c r="AH152" s="412"/>
      <c r="AI152" s="412"/>
      <c r="AJ152" s="412">
        <f t="shared" si="8"/>
        <v>0</v>
      </c>
      <c r="AK152" s="198"/>
      <c r="AL152" s="250" t="s">
        <v>2068</v>
      </c>
    </row>
    <row r="153" spans="1:38" ht="14.1" customHeight="1" x14ac:dyDescent="0.2">
      <c r="A153" t="s">
        <v>884</v>
      </c>
      <c r="B153" s="193">
        <v>3831</v>
      </c>
      <c r="C153" s="194" t="s">
        <v>814</v>
      </c>
      <c r="D153" s="229" t="s">
        <v>1505</v>
      </c>
      <c r="E153" s="229" t="s">
        <v>1201</v>
      </c>
      <c r="F153" s="236">
        <v>300</v>
      </c>
      <c r="G153" s="196">
        <v>1</v>
      </c>
      <c r="H153" s="195">
        <v>300</v>
      </c>
      <c r="I153" s="197">
        <v>41252</v>
      </c>
      <c r="J153" s="197" t="str">
        <f t="shared" si="9"/>
        <v>ok</v>
      </c>
      <c r="K153" s="413"/>
      <c r="L153" s="413"/>
      <c r="M153" s="413"/>
      <c r="N153" s="413"/>
      <c r="O153" s="413"/>
      <c r="P153" s="413"/>
      <c r="Q153" s="413"/>
      <c r="R153" s="413"/>
      <c r="S153" s="413"/>
      <c r="T153" s="413"/>
      <c r="U153" s="413"/>
      <c r="V153" s="413">
        <v>300</v>
      </c>
      <c r="W153" s="413">
        <f t="shared" si="7"/>
        <v>300</v>
      </c>
      <c r="X153" s="412"/>
      <c r="Y153" s="412"/>
      <c r="Z153" s="412"/>
      <c r="AA153" s="412"/>
      <c r="AB153" s="412"/>
      <c r="AC153" s="412"/>
      <c r="AD153" s="412"/>
      <c r="AE153" s="412"/>
      <c r="AF153" s="412"/>
      <c r="AG153" s="412"/>
      <c r="AH153" s="412"/>
      <c r="AI153" s="412"/>
      <c r="AJ153" s="412">
        <f t="shared" si="8"/>
        <v>0</v>
      </c>
      <c r="AK153" s="198"/>
      <c r="AL153" s="250" t="s">
        <v>2067</v>
      </c>
    </row>
    <row r="154" spans="1:38" ht="14.1" customHeight="1" x14ac:dyDescent="0.2">
      <c r="A154" t="s">
        <v>888</v>
      </c>
      <c r="B154" s="193">
        <v>3832</v>
      </c>
      <c r="C154" s="194" t="s">
        <v>945</v>
      </c>
      <c r="D154" s="229" t="s">
        <v>1379</v>
      </c>
      <c r="E154" s="229" t="s">
        <v>407</v>
      </c>
      <c r="F154" s="236">
        <v>300</v>
      </c>
      <c r="G154" s="196">
        <v>1</v>
      </c>
      <c r="H154" s="195">
        <v>300</v>
      </c>
      <c r="I154" s="197">
        <v>41252</v>
      </c>
      <c r="J154" s="197" t="str">
        <f t="shared" si="9"/>
        <v>ok</v>
      </c>
      <c r="K154" s="413"/>
      <c r="L154" s="413"/>
      <c r="M154" s="413"/>
      <c r="N154" s="413"/>
      <c r="O154" s="413"/>
      <c r="P154" s="413"/>
      <c r="Q154" s="413"/>
      <c r="R154" s="413"/>
      <c r="S154" s="413"/>
      <c r="T154" s="413"/>
      <c r="U154" s="413"/>
      <c r="V154" s="413">
        <v>300</v>
      </c>
      <c r="W154" s="413">
        <f t="shared" si="7"/>
        <v>300</v>
      </c>
      <c r="X154" s="412"/>
      <c r="Y154" s="412"/>
      <c r="Z154" s="412"/>
      <c r="AA154" s="412"/>
      <c r="AB154" s="412"/>
      <c r="AC154" s="412"/>
      <c r="AD154" s="412"/>
      <c r="AE154" s="412"/>
      <c r="AF154" s="412"/>
      <c r="AG154" s="412"/>
      <c r="AH154" s="412"/>
      <c r="AI154" s="412"/>
      <c r="AJ154" s="412">
        <f t="shared" si="8"/>
        <v>0</v>
      </c>
      <c r="AK154" s="198"/>
      <c r="AL154" s="250" t="s">
        <v>2067</v>
      </c>
    </row>
    <row r="155" spans="1:38" ht="14.1" customHeight="1" x14ac:dyDescent="0.2">
      <c r="A155" t="s">
        <v>888</v>
      </c>
      <c r="B155" s="193">
        <v>3832</v>
      </c>
      <c r="C155" s="194" t="s">
        <v>945</v>
      </c>
      <c r="D155" s="229" t="s">
        <v>1379</v>
      </c>
      <c r="E155" s="229" t="s">
        <v>407</v>
      </c>
      <c r="F155" s="236">
        <v>300</v>
      </c>
      <c r="G155" s="196">
        <v>5</v>
      </c>
      <c r="H155" s="195">
        <v>40</v>
      </c>
      <c r="I155" s="197">
        <v>41252</v>
      </c>
      <c r="J155" s="197" t="str">
        <f t="shared" si="9"/>
        <v>ok</v>
      </c>
      <c r="K155" s="413"/>
      <c r="L155" s="413"/>
      <c r="M155" s="413"/>
      <c r="N155" s="413"/>
      <c r="O155" s="413"/>
      <c r="P155" s="413"/>
      <c r="Q155" s="413"/>
      <c r="R155" s="413"/>
      <c r="S155" s="413"/>
      <c r="T155" s="413"/>
      <c r="U155" s="413"/>
      <c r="V155" s="413"/>
      <c r="W155" s="413">
        <f t="shared" si="7"/>
        <v>0</v>
      </c>
      <c r="X155" s="412"/>
      <c r="Y155" s="412"/>
      <c r="Z155" s="412"/>
      <c r="AA155" s="412"/>
      <c r="AB155" s="412"/>
      <c r="AC155" s="412"/>
      <c r="AD155" s="412"/>
      <c r="AE155" s="412"/>
      <c r="AF155" s="412"/>
      <c r="AG155" s="412"/>
      <c r="AH155" s="412"/>
      <c r="AI155" s="412"/>
      <c r="AJ155" s="412">
        <f t="shared" si="8"/>
        <v>0</v>
      </c>
      <c r="AK155" s="198"/>
      <c r="AL155" s="250" t="s">
        <v>2068</v>
      </c>
    </row>
    <row r="156" spans="1:38" ht="14.1" customHeight="1" x14ac:dyDescent="0.2">
      <c r="A156" t="s">
        <v>888</v>
      </c>
      <c r="B156" s="193">
        <v>3833</v>
      </c>
      <c r="C156" s="194" t="s">
        <v>907</v>
      </c>
      <c r="D156" s="229" t="s">
        <v>1614</v>
      </c>
      <c r="E156" s="229" t="s">
        <v>337</v>
      </c>
      <c r="F156" s="236">
        <v>150</v>
      </c>
      <c r="G156" s="196">
        <v>1</v>
      </c>
      <c r="H156" s="195">
        <v>150</v>
      </c>
      <c r="I156" s="197">
        <v>41252</v>
      </c>
      <c r="J156" s="197" t="str">
        <f t="shared" si="9"/>
        <v>ok</v>
      </c>
      <c r="K156" s="413"/>
      <c r="L156" s="413"/>
      <c r="M156" s="413"/>
      <c r="N156" s="413"/>
      <c r="O156" s="413"/>
      <c r="P156" s="413"/>
      <c r="Q156" s="413"/>
      <c r="R156" s="413"/>
      <c r="S156" s="413"/>
      <c r="T156" s="413"/>
      <c r="U156" s="413"/>
      <c r="V156" s="413">
        <v>150</v>
      </c>
      <c r="W156" s="413">
        <f t="shared" si="7"/>
        <v>150</v>
      </c>
      <c r="X156" s="412"/>
      <c r="Y156" s="412"/>
      <c r="Z156" s="412"/>
      <c r="AA156" s="412"/>
      <c r="AB156" s="412"/>
      <c r="AC156" s="412"/>
      <c r="AD156" s="412"/>
      <c r="AE156" s="412"/>
      <c r="AF156" s="412"/>
      <c r="AG156" s="412"/>
      <c r="AH156" s="412"/>
      <c r="AI156" s="412"/>
      <c r="AJ156" s="412">
        <f t="shared" si="8"/>
        <v>0</v>
      </c>
      <c r="AK156" s="198"/>
      <c r="AL156" s="250" t="s">
        <v>2067</v>
      </c>
    </row>
    <row r="157" spans="1:38" ht="14.1" customHeight="1" x14ac:dyDescent="0.2">
      <c r="A157" t="s">
        <v>888</v>
      </c>
      <c r="B157" s="193">
        <v>3834</v>
      </c>
      <c r="C157" s="194" t="s">
        <v>907</v>
      </c>
      <c r="D157" s="229" t="s">
        <v>1614</v>
      </c>
      <c r="E157" s="229" t="s">
        <v>337</v>
      </c>
      <c r="F157" s="236">
        <v>150</v>
      </c>
      <c r="G157" s="196">
        <v>1</v>
      </c>
      <c r="H157" s="195">
        <v>150</v>
      </c>
      <c r="I157" s="197">
        <v>41252</v>
      </c>
      <c r="J157" s="197" t="str">
        <f t="shared" si="9"/>
        <v>ok</v>
      </c>
      <c r="K157" s="413"/>
      <c r="L157" s="413"/>
      <c r="M157" s="413"/>
      <c r="N157" s="413"/>
      <c r="O157" s="413"/>
      <c r="P157" s="413"/>
      <c r="Q157" s="413"/>
      <c r="R157" s="413"/>
      <c r="S157" s="413"/>
      <c r="T157" s="413"/>
      <c r="U157" s="413"/>
      <c r="V157" s="413"/>
      <c r="W157" s="413">
        <f t="shared" si="7"/>
        <v>0</v>
      </c>
      <c r="X157" s="412">
        <v>150</v>
      </c>
      <c r="Y157" s="412"/>
      <c r="Z157" s="412"/>
      <c r="AA157" s="412"/>
      <c r="AB157" s="412"/>
      <c r="AC157" s="412"/>
      <c r="AD157" s="412"/>
      <c r="AE157" s="412"/>
      <c r="AF157" s="412"/>
      <c r="AG157" s="412"/>
      <c r="AH157" s="412"/>
      <c r="AI157" s="412"/>
      <c r="AJ157" s="412">
        <f t="shared" si="8"/>
        <v>150</v>
      </c>
      <c r="AK157" s="198"/>
      <c r="AL157" s="250" t="s">
        <v>2067</v>
      </c>
    </row>
    <row r="158" spans="1:38" ht="14.1" customHeight="1" x14ac:dyDescent="0.2">
      <c r="A158" t="s">
        <v>892</v>
      </c>
      <c r="B158" s="193">
        <v>3835</v>
      </c>
      <c r="C158" s="194" t="s">
        <v>1060</v>
      </c>
      <c r="D158" s="229" t="s">
        <v>1460</v>
      </c>
      <c r="E158" s="229" t="s">
        <v>737</v>
      </c>
      <c r="F158" s="236">
        <v>300</v>
      </c>
      <c r="G158" s="196">
        <v>1</v>
      </c>
      <c r="H158" s="195">
        <v>300</v>
      </c>
      <c r="I158" s="197">
        <v>41252</v>
      </c>
      <c r="J158" s="197" t="str">
        <f t="shared" si="9"/>
        <v>ok</v>
      </c>
      <c r="K158" s="413"/>
      <c r="L158" s="413"/>
      <c r="M158" s="413"/>
      <c r="N158" s="413"/>
      <c r="O158" s="413"/>
      <c r="P158" s="413"/>
      <c r="Q158" s="413"/>
      <c r="R158" s="413"/>
      <c r="S158" s="413"/>
      <c r="T158" s="413"/>
      <c r="U158" s="413"/>
      <c r="V158" s="413">
        <v>300</v>
      </c>
      <c r="W158" s="413">
        <f t="shared" si="7"/>
        <v>300</v>
      </c>
      <c r="X158" s="412"/>
      <c r="Y158" s="412"/>
      <c r="Z158" s="412"/>
      <c r="AA158" s="412"/>
      <c r="AB158" s="412"/>
      <c r="AC158" s="412"/>
      <c r="AD158" s="412"/>
      <c r="AE158" s="412"/>
      <c r="AF158" s="412"/>
      <c r="AG158" s="412"/>
      <c r="AH158" s="412"/>
      <c r="AI158" s="412"/>
      <c r="AJ158" s="412">
        <f t="shared" si="8"/>
        <v>0</v>
      </c>
      <c r="AK158" s="198"/>
      <c r="AL158" s="250" t="s">
        <v>2067</v>
      </c>
    </row>
    <row r="159" spans="1:38" ht="14.1" customHeight="1" x14ac:dyDescent="0.2">
      <c r="A159" t="s">
        <v>888</v>
      </c>
      <c r="B159" s="193">
        <v>3836</v>
      </c>
      <c r="C159" s="194" t="s">
        <v>962</v>
      </c>
      <c r="D159" s="229" t="s">
        <v>1609</v>
      </c>
      <c r="E159" s="229" t="s">
        <v>451</v>
      </c>
      <c r="F159" s="236">
        <v>150</v>
      </c>
      <c r="G159" s="196">
        <v>1</v>
      </c>
      <c r="H159" s="195">
        <v>150</v>
      </c>
      <c r="I159" s="197">
        <v>41252</v>
      </c>
      <c r="J159" s="197" t="str">
        <f t="shared" si="9"/>
        <v>ok</v>
      </c>
      <c r="K159" s="413"/>
      <c r="L159" s="413"/>
      <c r="M159" s="413"/>
      <c r="N159" s="413"/>
      <c r="O159" s="413"/>
      <c r="P159" s="413"/>
      <c r="Q159" s="413"/>
      <c r="R159" s="413"/>
      <c r="S159" s="413"/>
      <c r="T159" s="413"/>
      <c r="U159" s="413"/>
      <c r="V159" s="413">
        <v>150</v>
      </c>
      <c r="W159" s="413">
        <f t="shared" si="7"/>
        <v>150</v>
      </c>
      <c r="X159" s="412"/>
      <c r="Y159" s="412"/>
      <c r="Z159" s="412"/>
      <c r="AA159" s="412"/>
      <c r="AB159" s="412"/>
      <c r="AC159" s="412"/>
      <c r="AD159" s="412"/>
      <c r="AE159" s="412"/>
      <c r="AF159" s="412"/>
      <c r="AG159" s="412"/>
      <c r="AH159" s="412"/>
      <c r="AI159" s="412"/>
      <c r="AJ159" s="412">
        <f t="shared" si="8"/>
        <v>0</v>
      </c>
      <c r="AK159" s="198"/>
      <c r="AL159" s="250" t="s">
        <v>2067</v>
      </c>
    </row>
    <row r="160" spans="1:38" ht="14.1" customHeight="1" x14ac:dyDescent="0.2">
      <c r="A160" t="s">
        <v>884</v>
      </c>
      <c r="B160" s="193">
        <v>3837</v>
      </c>
      <c r="C160" s="194" t="s">
        <v>821</v>
      </c>
      <c r="D160" s="229" t="s">
        <v>1428</v>
      </c>
      <c r="E160" s="229" t="s">
        <v>48</v>
      </c>
      <c r="F160" s="236">
        <v>300</v>
      </c>
      <c r="G160" s="196">
        <v>4</v>
      </c>
      <c r="H160" s="195">
        <v>320</v>
      </c>
      <c r="I160" s="197">
        <v>41252</v>
      </c>
      <c r="J160" s="197" t="str">
        <f t="shared" si="9"/>
        <v>ok</v>
      </c>
      <c r="K160" s="413"/>
      <c r="L160" s="413"/>
      <c r="M160" s="413"/>
      <c r="N160" s="413"/>
      <c r="O160" s="413"/>
      <c r="P160" s="413"/>
      <c r="Q160" s="413"/>
      <c r="R160" s="413"/>
      <c r="S160" s="413"/>
      <c r="T160" s="413"/>
      <c r="U160" s="413"/>
      <c r="V160" s="413"/>
      <c r="W160" s="413">
        <f t="shared" si="7"/>
        <v>0</v>
      </c>
      <c r="X160" s="412"/>
      <c r="Y160" s="412"/>
      <c r="Z160" s="412"/>
      <c r="AA160" s="412"/>
      <c r="AB160" s="412"/>
      <c r="AC160" s="412"/>
      <c r="AD160" s="412"/>
      <c r="AE160" s="412"/>
      <c r="AF160" s="412"/>
      <c r="AG160" s="412"/>
      <c r="AH160" s="412"/>
      <c r="AI160" s="412"/>
      <c r="AJ160" s="412">
        <f t="shared" si="8"/>
        <v>0</v>
      </c>
      <c r="AK160" s="198"/>
      <c r="AL160" s="250" t="s">
        <v>2068</v>
      </c>
    </row>
    <row r="161" spans="1:39" ht="14.1" customHeight="1" x14ac:dyDescent="0.2">
      <c r="A161" t="s">
        <v>890</v>
      </c>
      <c r="B161" s="193">
        <v>3838</v>
      </c>
      <c r="C161" s="194" t="s">
        <v>996</v>
      </c>
      <c r="D161" s="229" t="s">
        <v>1595</v>
      </c>
      <c r="E161" s="229" t="s">
        <v>1216</v>
      </c>
      <c r="F161" s="236">
        <v>300</v>
      </c>
      <c r="G161" s="196">
        <v>1</v>
      </c>
      <c r="H161" s="195">
        <v>600</v>
      </c>
      <c r="I161" s="197">
        <v>41252</v>
      </c>
      <c r="J161" s="197" t="str">
        <f t="shared" si="9"/>
        <v>ok</v>
      </c>
      <c r="K161" s="413"/>
      <c r="L161" s="413"/>
      <c r="M161" s="413"/>
      <c r="N161" s="413"/>
      <c r="O161" s="413"/>
      <c r="P161" s="413"/>
      <c r="Q161" s="413"/>
      <c r="R161" s="413"/>
      <c r="S161" s="413"/>
      <c r="T161" s="413"/>
      <c r="U161" s="413"/>
      <c r="V161" s="413">
        <v>300</v>
      </c>
      <c r="W161" s="413">
        <f t="shared" si="7"/>
        <v>300</v>
      </c>
      <c r="X161" s="412">
        <v>300</v>
      </c>
      <c r="Y161" s="412"/>
      <c r="Z161" s="412"/>
      <c r="AA161" s="412"/>
      <c r="AB161" s="412"/>
      <c r="AC161" s="412"/>
      <c r="AD161" s="412"/>
      <c r="AE161" s="412"/>
      <c r="AF161" s="412"/>
      <c r="AG161" s="412"/>
      <c r="AH161" s="412"/>
      <c r="AI161" s="412"/>
      <c r="AJ161" s="412">
        <f t="shared" si="8"/>
        <v>300</v>
      </c>
      <c r="AK161" s="198"/>
      <c r="AL161" s="250" t="s">
        <v>2067</v>
      </c>
    </row>
    <row r="162" spans="1:39" ht="14.1" customHeight="1" x14ac:dyDescent="0.2">
      <c r="A162" t="s">
        <v>893</v>
      </c>
      <c r="B162" s="193">
        <v>3839</v>
      </c>
      <c r="C162" s="194" t="s">
        <v>1086</v>
      </c>
      <c r="D162" s="229" t="s">
        <v>1376</v>
      </c>
      <c r="E162" s="229" t="s">
        <v>1704</v>
      </c>
      <c r="F162" s="236">
        <v>300</v>
      </c>
      <c r="G162" s="196">
        <v>1</v>
      </c>
      <c r="H162" s="195">
        <v>300</v>
      </c>
      <c r="I162" s="197">
        <v>41253</v>
      </c>
      <c r="J162" s="197" t="str">
        <f t="shared" si="9"/>
        <v>ok</v>
      </c>
      <c r="K162" s="413"/>
      <c r="L162" s="413"/>
      <c r="M162" s="413"/>
      <c r="N162" s="413"/>
      <c r="O162" s="413"/>
      <c r="P162" s="413"/>
      <c r="Q162" s="413"/>
      <c r="R162" s="413"/>
      <c r="S162" s="413"/>
      <c r="T162" s="413"/>
      <c r="U162" s="413"/>
      <c r="V162" s="413">
        <v>300</v>
      </c>
      <c r="W162" s="413">
        <f t="shared" si="7"/>
        <v>300</v>
      </c>
      <c r="X162" s="412"/>
      <c r="Y162" s="412"/>
      <c r="Z162" s="412"/>
      <c r="AA162" s="412"/>
      <c r="AB162" s="412"/>
      <c r="AC162" s="412"/>
      <c r="AD162" s="412"/>
      <c r="AE162" s="412"/>
      <c r="AF162" s="412"/>
      <c r="AG162" s="412"/>
      <c r="AH162" s="412"/>
      <c r="AI162" s="412"/>
      <c r="AJ162" s="412">
        <f t="shared" si="8"/>
        <v>0</v>
      </c>
      <c r="AK162" s="198"/>
      <c r="AL162" s="250" t="s">
        <v>2067</v>
      </c>
    </row>
    <row r="163" spans="1:39" ht="14.1" customHeight="1" x14ac:dyDescent="0.2">
      <c r="A163" t="s">
        <v>893</v>
      </c>
      <c r="B163" s="193">
        <v>3840</v>
      </c>
      <c r="C163" s="194" t="s">
        <v>1086</v>
      </c>
      <c r="D163" s="229" t="s">
        <v>1376</v>
      </c>
      <c r="E163" s="229" t="s">
        <v>1704</v>
      </c>
      <c r="F163" s="236">
        <v>300</v>
      </c>
      <c r="G163" s="196">
        <v>4</v>
      </c>
      <c r="H163" s="195">
        <v>160</v>
      </c>
      <c r="I163" s="197">
        <v>41253</v>
      </c>
      <c r="J163" s="197" t="str">
        <f t="shared" si="9"/>
        <v>ok</v>
      </c>
      <c r="K163" s="413"/>
      <c r="L163" s="413"/>
      <c r="M163" s="413"/>
      <c r="N163" s="413"/>
      <c r="O163" s="413"/>
      <c r="P163" s="413"/>
      <c r="Q163" s="413"/>
      <c r="R163" s="413"/>
      <c r="S163" s="413"/>
      <c r="T163" s="413"/>
      <c r="U163" s="413"/>
      <c r="V163" s="413"/>
      <c r="W163" s="413">
        <f t="shared" si="7"/>
        <v>0</v>
      </c>
      <c r="X163" s="412"/>
      <c r="Y163" s="412"/>
      <c r="Z163" s="412"/>
      <c r="AA163" s="412"/>
      <c r="AB163" s="412"/>
      <c r="AC163" s="412"/>
      <c r="AD163" s="412"/>
      <c r="AE163" s="412"/>
      <c r="AF163" s="412"/>
      <c r="AG163" s="412"/>
      <c r="AH163" s="412"/>
      <c r="AI163" s="412"/>
      <c r="AJ163" s="412">
        <f t="shared" si="8"/>
        <v>0</v>
      </c>
      <c r="AK163" s="198"/>
      <c r="AL163" s="250" t="s">
        <v>2068</v>
      </c>
    </row>
    <row r="164" spans="1:39" ht="14.1" customHeight="1" x14ac:dyDescent="0.2">
      <c r="A164" t="s">
        <v>888</v>
      </c>
      <c r="B164" s="193">
        <v>3841</v>
      </c>
      <c r="C164" s="194" t="s">
        <v>948</v>
      </c>
      <c r="D164" s="229" t="s">
        <v>1504</v>
      </c>
      <c r="E164" s="229" t="s">
        <v>325</v>
      </c>
      <c r="F164" s="236">
        <v>300</v>
      </c>
      <c r="G164" s="196">
        <v>1</v>
      </c>
      <c r="H164" s="195">
        <v>300</v>
      </c>
      <c r="I164" s="197">
        <v>41253</v>
      </c>
      <c r="J164" s="197" t="str">
        <f t="shared" si="9"/>
        <v>ok</v>
      </c>
      <c r="K164" s="413"/>
      <c r="L164" s="413"/>
      <c r="M164" s="413"/>
      <c r="N164" s="413"/>
      <c r="O164" s="413"/>
      <c r="P164" s="413"/>
      <c r="Q164" s="413"/>
      <c r="R164" s="413"/>
      <c r="S164" s="413"/>
      <c r="T164" s="413"/>
      <c r="U164" s="413"/>
      <c r="V164" s="413">
        <v>300</v>
      </c>
      <c r="W164" s="413">
        <f t="shared" si="7"/>
        <v>300</v>
      </c>
      <c r="X164" s="412"/>
      <c r="Y164" s="412"/>
      <c r="Z164" s="412"/>
      <c r="AA164" s="412"/>
      <c r="AB164" s="412"/>
      <c r="AC164" s="412"/>
      <c r="AD164" s="412"/>
      <c r="AE164" s="412"/>
      <c r="AF164" s="412"/>
      <c r="AG164" s="412"/>
      <c r="AH164" s="412"/>
      <c r="AI164" s="412"/>
      <c r="AJ164" s="412">
        <f t="shared" si="8"/>
        <v>0</v>
      </c>
      <c r="AK164" s="198"/>
      <c r="AL164" s="250" t="s">
        <v>2067</v>
      </c>
    </row>
    <row r="165" spans="1:39" ht="14.1" customHeight="1" x14ac:dyDescent="0.2">
      <c r="A165" t="s">
        <v>888</v>
      </c>
      <c r="B165" s="193">
        <v>3841</v>
      </c>
      <c r="C165" s="194" t="s">
        <v>948</v>
      </c>
      <c r="D165" s="229" t="s">
        <v>1504</v>
      </c>
      <c r="E165" s="229" t="s">
        <v>325</v>
      </c>
      <c r="F165" s="236">
        <v>300</v>
      </c>
      <c r="G165" s="196">
        <v>4</v>
      </c>
      <c r="H165" s="195">
        <v>160</v>
      </c>
      <c r="I165" s="197">
        <v>41253</v>
      </c>
      <c r="J165" s="197" t="str">
        <f t="shared" si="9"/>
        <v>ok</v>
      </c>
      <c r="K165" s="413"/>
      <c r="L165" s="413"/>
      <c r="M165" s="413"/>
      <c r="N165" s="413"/>
      <c r="O165" s="413"/>
      <c r="P165" s="413"/>
      <c r="Q165" s="413"/>
      <c r="R165" s="413"/>
      <c r="S165" s="413"/>
      <c r="T165" s="413"/>
      <c r="U165" s="413"/>
      <c r="V165" s="413"/>
      <c r="W165" s="413">
        <f t="shared" si="7"/>
        <v>0</v>
      </c>
      <c r="X165" s="412"/>
      <c r="Y165" s="412"/>
      <c r="Z165" s="412"/>
      <c r="AA165" s="412"/>
      <c r="AB165" s="412"/>
      <c r="AC165" s="412"/>
      <c r="AD165" s="412"/>
      <c r="AE165" s="412"/>
      <c r="AF165" s="412"/>
      <c r="AG165" s="412"/>
      <c r="AH165" s="412"/>
      <c r="AI165" s="412"/>
      <c r="AJ165" s="412">
        <f t="shared" si="8"/>
        <v>0</v>
      </c>
      <c r="AK165" s="198"/>
      <c r="AL165" s="250" t="s">
        <v>2068</v>
      </c>
    </row>
    <row r="166" spans="1:39" ht="14.1" customHeight="1" x14ac:dyDescent="0.2">
      <c r="A166" t="s">
        <v>889</v>
      </c>
      <c r="B166" s="193">
        <v>3842</v>
      </c>
      <c r="C166" s="194" t="s">
        <v>970</v>
      </c>
      <c r="D166" s="229" t="s">
        <v>1444</v>
      </c>
      <c r="E166" s="229" t="s">
        <v>1247</v>
      </c>
      <c r="F166" s="236">
        <v>300</v>
      </c>
      <c r="G166" s="196">
        <v>1</v>
      </c>
      <c r="H166" s="195">
        <v>300</v>
      </c>
      <c r="I166" s="197">
        <v>41254</v>
      </c>
      <c r="J166" s="197" t="str">
        <f t="shared" si="9"/>
        <v>ok</v>
      </c>
      <c r="K166" s="413"/>
      <c r="L166" s="413"/>
      <c r="M166" s="413"/>
      <c r="N166" s="413"/>
      <c r="O166" s="413"/>
      <c r="P166" s="413"/>
      <c r="Q166" s="413"/>
      <c r="R166" s="413"/>
      <c r="S166" s="413"/>
      <c r="T166" s="413"/>
      <c r="U166" s="413"/>
      <c r="V166" s="413">
        <v>300</v>
      </c>
      <c r="W166" s="413">
        <f t="shared" si="7"/>
        <v>300</v>
      </c>
      <c r="X166" s="412"/>
      <c r="Y166" s="412"/>
      <c r="Z166" s="412"/>
      <c r="AA166" s="412"/>
      <c r="AB166" s="412"/>
      <c r="AC166" s="412"/>
      <c r="AD166" s="412"/>
      <c r="AE166" s="412"/>
      <c r="AF166" s="412"/>
      <c r="AG166" s="412"/>
      <c r="AH166" s="412"/>
      <c r="AI166" s="412"/>
      <c r="AJ166" s="412">
        <f t="shared" si="8"/>
        <v>0</v>
      </c>
      <c r="AK166" s="198"/>
      <c r="AL166" s="250" t="s">
        <v>2067</v>
      </c>
    </row>
    <row r="167" spans="1:39" ht="14.1" customHeight="1" x14ac:dyDescent="0.2">
      <c r="A167" t="s">
        <v>893</v>
      </c>
      <c r="B167" s="193">
        <v>3843</v>
      </c>
      <c r="C167" s="194" t="s">
        <v>1120</v>
      </c>
      <c r="D167" s="229" t="s">
        <v>1601</v>
      </c>
      <c r="E167" s="229" t="s">
        <v>276</v>
      </c>
      <c r="F167" s="236">
        <v>300</v>
      </c>
      <c r="G167" s="196">
        <v>3</v>
      </c>
      <c r="H167" s="195">
        <v>300</v>
      </c>
      <c r="I167" s="197">
        <v>41256</v>
      </c>
      <c r="J167" s="197" t="str">
        <f t="shared" si="9"/>
        <v>ok</v>
      </c>
      <c r="K167" s="413"/>
      <c r="L167" s="413"/>
      <c r="M167" s="413"/>
      <c r="N167" s="413"/>
      <c r="O167" s="413"/>
      <c r="P167" s="413"/>
      <c r="Q167" s="413"/>
      <c r="R167" s="413"/>
      <c r="S167" s="413"/>
      <c r="T167" s="413"/>
      <c r="U167" s="413"/>
      <c r="V167" s="413"/>
      <c r="W167" s="413">
        <f t="shared" si="7"/>
        <v>0</v>
      </c>
      <c r="X167" s="412"/>
      <c r="Y167" s="412"/>
      <c r="Z167" s="412"/>
      <c r="AA167" s="412"/>
      <c r="AB167" s="412"/>
      <c r="AC167" s="412"/>
      <c r="AD167" s="412"/>
      <c r="AE167" s="412"/>
      <c r="AF167" s="412"/>
      <c r="AG167" s="412"/>
      <c r="AH167" s="412"/>
      <c r="AI167" s="412"/>
      <c r="AJ167" s="412">
        <f t="shared" si="8"/>
        <v>0</v>
      </c>
      <c r="AK167" s="198"/>
      <c r="AL167" s="250" t="s">
        <v>2068</v>
      </c>
    </row>
    <row r="168" spans="1:39" ht="14.1" customHeight="1" x14ac:dyDescent="0.2">
      <c r="A168" t="s">
        <v>893</v>
      </c>
      <c r="B168" s="193">
        <v>3844</v>
      </c>
      <c r="C168" s="194" t="s">
        <v>1134</v>
      </c>
      <c r="D168" s="229" t="s">
        <v>1556</v>
      </c>
      <c r="E168" s="229" t="s">
        <v>305</v>
      </c>
      <c r="F168" s="236">
        <v>300</v>
      </c>
      <c r="G168" s="196">
        <v>1</v>
      </c>
      <c r="H168" s="195">
        <v>300</v>
      </c>
      <c r="I168" s="197">
        <v>41253</v>
      </c>
      <c r="J168" s="197" t="str">
        <f t="shared" si="9"/>
        <v>ok</v>
      </c>
      <c r="K168" s="413"/>
      <c r="L168" s="413"/>
      <c r="M168" s="413"/>
      <c r="N168" s="413"/>
      <c r="O168" s="413"/>
      <c r="P168" s="413"/>
      <c r="Q168" s="413"/>
      <c r="R168" s="413"/>
      <c r="S168" s="413"/>
      <c r="T168" s="413"/>
      <c r="U168" s="413"/>
      <c r="V168" s="413">
        <v>300</v>
      </c>
      <c r="W168" s="413">
        <f t="shared" si="7"/>
        <v>300</v>
      </c>
      <c r="X168" s="412"/>
      <c r="Y168" s="412"/>
      <c r="Z168" s="412"/>
      <c r="AA168" s="412"/>
      <c r="AB168" s="412"/>
      <c r="AC168" s="412"/>
      <c r="AD168" s="412"/>
      <c r="AE168" s="412"/>
      <c r="AF168" s="412"/>
      <c r="AG168" s="412"/>
      <c r="AH168" s="412"/>
      <c r="AI168" s="412"/>
      <c r="AJ168" s="412">
        <f t="shared" si="8"/>
        <v>0</v>
      </c>
      <c r="AK168" s="198"/>
      <c r="AL168" s="250" t="s">
        <v>2067</v>
      </c>
    </row>
    <row r="169" spans="1:39" ht="14.1" customHeight="1" x14ac:dyDescent="0.2">
      <c r="A169" t="s">
        <v>892</v>
      </c>
      <c r="B169" s="193">
        <v>3845</v>
      </c>
      <c r="C169" s="194" t="s">
        <v>1059</v>
      </c>
      <c r="D169" s="229" t="s">
        <v>1426</v>
      </c>
      <c r="E169" s="229" t="s">
        <v>660</v>
      </c>
      <c r="F169" s="236">
        <v>150</v>
      </c>
      <c r="G169" s="196">
        <v>1</v>
      </c>
      <c r="H169" s="195">
        <v>150</v>
      </c>
      <c r="I169" s="197">
        <v>41256</v>
      </c>
      <c r="J169" s="197" t="str">
        <f t="shared" si="9"/>
        <v>ok</v>
      </c>
      <c r="K169" s="413"/>
      <c r="L169" s="413"/>
      <c r="M169" s="413"/>
      <c r="N169" s="413"/>
      <c r="O169" s="413"/>
      <c r="P169" s="413"/>
      <c r="Q169" s="413"/>
      <c r="R169" s="413"/>
      <c r="S169" s="413"/>
      <c r="T169" s="413"/>
      <c r="U169" s="413"/>
      <c r="V169" s="413">
        <v>150</v>
      </c>
      <c r="W169" s="413">
        <f t="shared" si="7"/>
        <v>150</v>
      </c>
      <c r="X169" s="412"/>
      <c r="Y169" s="412"/>
      <c r="Z169" s="412"/>
      <c r="AA169" s="412"/>
      <c r="AB169" s="412"/>
      <c r="AC169" s="412"/>
      <c r="AD169" s="412"/>
      <c r="AE169" s="412"/>
      <c r="AF169" s="412"/>
      <c r="AG169" s="412"/>
      <c r="AH169" s="412"/>
      <c r="AI169" s="412"/>
      <c r="AJ169" s="412">
        <f t="shared" si="8"/>
        <v>0</v>
      </c>
      <c r="AK169" s="198"/>
      <c r="AL169" s="250" t="s">
        <v>2067</v>
      </c>
    </row>
    <row r="170" spans="1:39" ht="14.1" customHeight="1" x14ac:dyDescent="0.2">
      <c r="A170" t="s">
        <v>890</v>
      </c>
      <c r="B170" s="193">
        <v>3846</v>
      </c>
      <c r="C170" s="194" t="s">
        <v>770</v>
      </c>
      <c r="D170" s="229" t="s">
        <v>1438</v>
      </c>
      <c r="E170" s="229" t="s">
        <v>536</v>
      </c>
      <c r="F170" s="236">
        <v>300</v>
      </c>
      <c r="G170" s="196">
        <v>1</v>
      </c>
      <c r="H170" s="195">
        <v>300</v>
      </c>
      <c r="I170" s="197">
        <v>41257</v>
      </c>
      <c r="J170" s="197" t="str">
        <f t="shared" si="9"/>
        <v>ok</v>
      </c>
      <c r="K170" s="413"/>
      <c r="L170" s="413"/>
      <c r="M170" s="413"/>
      <c r="N170" s="413"/>
      <c r="O170" s="413"/>
      <c r="P170" s="413"/>
      <c r="Q170" s="413"/>
      <c r="R170" s="413"/>
      <c r="S170" s="413"/>
      <c r="T170" s="413"/>
      <c r="U170" s="413"/>
      <c r="V170" s="413">
        <v>300</v>
      </c>
      <c r="W170" s="413">
        <f t="shared" si="7"/>
        <v>300</v>
      </c>
      <c r="X170" s="412"/>
      <c r="Y170" s="412"/>
      <c r="Z170" s="412"/>
      <c r="AA170" s="412"/>
      <c r="AB170" s="412"/>
      <c r="AC170" s="412"/>
      <c r="AD170" s="412"/>
      <c r="AE170" s="412"/>
      <c r="AF170" s="412"/>
      <c r="AG170" s="412"/>
      <c r="AH170" s="412"/>
      <c r="AI170" s="412"/>
      <c r="AJ170" s="412">
        <f t="shared" si="8"/>
        <v>0</v>
      </c>
      <c r="AK170" s="198"/>
      <c r="AL170" s="250" t="s">
        <v>2067</v>
      </c>
    </row>
    <row r="171" spans="1:39" ht="14.1" customHeight="1" x14ac:dyDescent="0.2">
      <c r="A171" t="s">
        <v>884</v>
      </c>
      <c r="B171" s="193">
        <v>3847</v>
      </c>
      <c r="C171" s="194" t="s">
        <v>872</v>
      </c>
      <c r="D171" s="229" t="s">
        <v>1501</v>
      </c>
      <c r="E171" s="229" t="s">
        <v>125</v>
      </c>
      <c r="F171" s="236">
        <v>300</v>
      </c>
      <c r="G171" s="196">
        <v>1</v>
      </c>
      <c r="H171" s="195">
        <v>300</v>
      </c>
      <c r="I171" s="197">
        <v>41259</v>
      </c>
      <c r="J171" s="197" t="str">
        <f t="shared" si="9"/>
        <v>ok</v>
      </c>
      <c r="K171" s="413"/>
      <c r="L171" s="413"/>
      <c r="M171" s="413"/>
      <c r="N171" s="413"/>
      <c r="O171" s="413"/>
      <c r="P171" s="413"/>
      <c r="Q171" s="413"/>
      <c r="R171" s="413"/>
      <c r="S171" s="413"/>
      <c r="T171" s="413"/>
      <c r="U171" s="413"/>
      <c r="V171" s="413">
        <v>300</v>
      </c>
      <c r="W171" s="413">
        <f t="shared" si="7"/>
        <v>300</v>
      </c>
      <c r="X171" s="412"/>
      <c r="Y171" s="412"/>
      <c r="Z171" s="412"/>
      <c r="AA171" s="412"/>
      <c r="AB171" s="412"/>
      <c r="AC171" s="412"/>
      <c r="AD171" s="412"/>
      <c r="AE171" s="412"/>
      <c r="AF171" s="412"/>
      <c r="AG171" s="412"/>
      <c r="AH171" s="412"/>
      <c r="AI171" s="412"/>
      <c r="AJ171" s="412">
        <f t="shared" si="8"/>
        <v>0</v>
      </c>
      <c r="AK171" s="198"/>
      <c r="AL171" s="250" t="s">
        <v>2067</v>
      </c>
    </row>
    <row r="172" spans="1:39" ht="14.1" customHeight="1" x14ac:dyDescent="0.2">
      <c r="A172" t="s">
        <v>890</v>
      </c>
      <c r="B172" s="193">
        <v>3848</v>
      </c>
      <c r="C172" s="194" t="s">
        <v>1009</v>
      </c>
      <c r="D172" s="229" t="s">
        <v>1632</v>
      </c>
      <c r="E172" s="229" t="s">
        <v>502</v>
      </c>
      <c r="F172" s="236">
        <v>300</v>
      </c>
      <c r="G172" s="196">
        <v>1</v>
      </c>
      <c r="H172" s="195">
        <v>300</v>
      </c>
      <c r="I172" s="197">
        <v>41259</v>
      </c>
      <c r="J172" s="197" t="str">
        <f t="shared" si="9"/>
        <v>ok</v>
      </c>
      <c r="K172" s="413"/>
      <c r="L172" s="413"/>
      <c r="M172" s="413"/>
      <c r="N172" s="413"/>
      <c r="O172" s="413"/>
      <c r="P172" s="413"/>
      <c r="Q172" s="413"/>
      <c r="R172" s="413"/>
      <c r="S172" s="413"/>
      <c r="T172" s="413"/>
      <c r="U172" s="413"/>
      <c r="V172" s="413">
        <v>300</v>
      </c>
      <c r="W172" s="413">
        <f t="shared" si="7"/>
        <v>300</v>
      </c>
      <c r="X172" s="412"/>
      <c r="Y172" s="412"/>
      <c r="Z172" s="412"/>
      <c r="AA172" s="412"/>
      <c r="AB172" s="412"/>
      <c r="AC172" s="412"/>
      <c r="AD172" s="412"/>
      <c r="AE172" s="412"/>
      <c r="AF172" s="412"/>
      <c r="AG172" s="412"/>
      <c r="AH172" s="412"/>
      <c r="AI172" s="412"/>
      <c r="AJ172" s="412">
        <f t="shared" si="8"/>
        <v>0</v>
      </c>
      <c r="AK172" s="198"/>
      <c r="AL172" s="250" t="s">
        <v>2067</v>
      </c>
    </row>
    <row r="173" spans="1:39" ht="14.1" customHeight="1" x14ac:dyDescent="0.2">
      <c r="A173" t="s">
        <v>884</v>
      </c>
      <c r="B173" s="193">
        <v>3849</v>
      </c>
      <c r="C173" s="194" t="s">
        <v>844</v>
      </c>
      <c r="D173" s="229" t="s">
        <v>1709</v>
      </c>
      <c r="E173" s="229" t="s">
        <v>708</v>
      </c>
      <c r="F173" s="236">
        <v>300</v>
      </c>
      <c r="G173" s="196">
        <v>1</v>
      </c>
      <c r="H173" s="195">
        <v>3300</v>
      </c>
      <c r="I173" s="197">
        <v>41259</v>
      </c>
      <c r="J173" s="197" t="str">
        <f t="shared" si="9"/>
        <v>ok</v>
      </c>
      <c r="K173" s="413"/>
      <c r="L173" s="413"/>
      <c r="M173" s="413"/>
      <c r="N173" s="413"/>
      <c r="O173" s="413"/>
      <c r="P173" s="413"/>
      <c r="Q173" s="413"/>
      <c r="R173" s="413"/>
      <c r="S173" s="413"/>
      <c r="T173" s="413"/>
      <c r="U173" s="413"/>
      <c r="V173" s="413"/>
      <c r="W173" s="413">
        <f t="shared" si="7"/>
        <v>0</v>
      </c>
      <c r="X173" s="412">
        <v>300</v>
      </c>
      <c r="Y173" s="412">
        <v>300</v>
      </c>
      <c r="Z173" s="412">
        <v>300</v>
      </c>
      <c r="AA173" s="412">
        <v>300</v>
      </c>
      <c r="AB173" s="412">
        <v>300</v>
      </c>
      <c r="AC173" s="412">
        <v>300</v>
      </c>
      <c r="AD173" s="412">
        <v>300</v>
      </c>
      <c r="AE173" s="412">
        <v>300</v>
      </c>
      <c r="AF173" s="412">
        <v>300</v>
      </c>
      <c r="AG173" s="412">
        <v>300</v>
      </c>
      <c r="AH173" s="412">
        <v>300</v>
      </c>
      <c r="AI173" s="412"/>
      <c r="AJ173" s="412">
        <f t="shared" si="8"/>
        <v>3300</v>
      </c>
      <c r="AK173" s="198"/>
      <c r="AL173" s="250" t="s">
        <v>2067</v>
      </c>
      <c r="AM173" s="158"/>
    </row>
    <row r="174" spans="1:39" ht="14.1" customHeight="1" x14ac:dyDescent="0.2">
      <c r="A174" t="s">
        <v>890</v>
      </c>
      <c r="B174" s="193">
        <v>3850</v>
      </c>
      <c r="C174" s="194" t="s">
        <v>1000</v>
      </c>
      <c r="D174" s="229" t="s">
        <v>1384</v>
      </c>
      <c r="E174" s="229" t="s">
        <v>79</v>
      </c>
      <c r="F174" s="236">
        <v>300</v>
      </c>
      <c r="G174" s="196">
        <v>1</v>
      </c>
      <c r="H174" s="195">
        <v>900</v>
      </c>
      <c r="I174" s="197">
        <v>41259</v>
      </c>
      <c r="J174" s="197" t="str">
        <f t="shared" si="9"/>
        <v>ok</v>
      </c>
      <c r="K174" s="413"/>
      <c r="L174" s="413"/>
      <c r="M174" s="413"/>
      <c r="N174" s="413"/>
      <c r="O174" s="413"/>
      <c r="P174" s="413"/>
      <c r="Q174" s="413"/>
      <c r="R174" s="413"/>
      <c r="S174" s="413"/>
      <c r="T174" s="413">
        <v>300</v>
      </c>
      <c r="U174" s="413">
        <v>300</v>
      </c>
      <c r="V174" s="413">
        <v>300</v>
      </c>
      <c r="W174" s="413">
        <f t="shared" si="7"/>
        <v>900</v>
      </c>
      <c r="X174" s="412"/>
      <c r="Y174" s="412"/>
      <c r="Z174" s="412"/>
      <c r="AA174" s="412"/>
      <c r="AB174" s="412"/>
      <c r="AC174" s="412"/>
      <c r="AD174" s="412"/>
      <c r="AE174" s="412"/>
      <c r="AF174" s="412"/>
      <c r="AG174" s="412"/>
      <c r="AH174" s="412"/>
      <c r="AI174" s="412"/>
      <c r="AJ174" s="412">
        <f t="shared" si="8"/>
        <v>0</v>
      </c>
      <c r="AK174" s="198"/>
      <c r="AL174" s="250" t="s">
        <v>2067</v>
      </c>
    </row>
    <row r="175" spans="1:39" ht="14.1" customHeight="1" x14ac:dyDescent="0.2">
      <c r="A175" t="s">
        <v>890</v>
      </c>
      <c r="B175" s="193">
        <v>3851</v>
      </c>
      <c r="C175" s="194" t="s">
        <v>1029</v>
      </c>
      <c r="D175" s="229" t="s">
        <v>1482</v>
      </c>
      <c r="E175" s="229" t="s">
        <v>529</v>
      </c>
      <c r="F175" s="236">
        <v>300</v>
      </c>
      <c r="G175" s="196">
        <v>1</v>
      </c>
      <c r="H175" s="195">
        <v>300</v>
      </c>
      <c r="I175" s="197">
        <v>41259</v>
      </c>
      <c r="J175" s="197" t="str">
        <f t="shared" si="9"/>
        <v>ok</v>
      </c>
      <c r="K175" s="413"/>
      <c r="L175" s="413"/>
      <c r="M175" s="413"/>
      <c r="N175" s="413"/>
      <c r="O175" s="413"/>
      <c r="P175" s="413"/>
      <c r="Q175" s="413"/>
      <c r="R175" s="413"/>
      <c r="S175" s="413"/>
      <c r="T175" s="413"/>
      <c r="U175" s="413"/>
      <c r="V175" s="413">
        <v>300</v>
      </c>
      <c r="W175" s="413">
        <f t="shared" si="7"/>
        <v>300</v>
      </c>
      <c r="X175" s="412"/>
      <c r="Y175" s="412"/>
      <c r="Z175" s="412"/>
      <c r="AA175" s="412"/>
      <c r="AB175" s="412"/>
      <c r="AC175" s="412"/>
      <c r="AD175" s="412"/>
      <c r="AE175" s="412"/>
      <c r="AF175" s="412"/>
      <c r="AG175" s="412"/>
      <c r="AH175" s="412"/>
      <c r="AI175" s="412"/>
      <c r="AJ175" s="412">
        <f t="shared" si="8"/>
        <v>0</v>
      </c>
      <c r="AK175" s="198"/>
      <c r="AL175" s="250" t="s">
        <v>2067</v>
      </c>
    </row>
    <row r="176" spans="1:39" ht="14.1" customHeight="1" x14ac:dyDescent="0.2">
      <c r="A176" t="s">
        <v>893</v>
      </c>
      <c r="B176" s="193">
        <v>3852</v>
      </c>
      <c r="C176" s="194" t="s">
        <v>1146</v>
      </c>
      <c r="D176" s="229" t="s">
        <v>1576</v>
      </c>
      <c r="E176" s="229" t="s">
        <v>327</v>
      </c>
      <c r="F176" s="236">
        <v>300</v>
      </c>
      <c r="G176" s="196">
        <v>1</v>
      </c>
      <c r="H176" s="195">
        <v>300</v>
      </c>
      <c r="I176" s="197">
        <v>41259</v>
      </c>
      <c r="J176" s="197" t="str">
        <f t="shared" si="9"/>
        <v>ok</v>
      </c>
      <c r="K176" s="413"/>
      <c r="L176" s="413"/>
      <c r="M176" s="413"/>
      <c r="N176" s="413"/>
      <c r="O176" s="413"/>
      <c r="P176" s="413"/>
      <c r="Q176" s="413"/>
      <c r="R176" s="413"/>
      <c r="S176" s="413"/>
      <c r="T176" s="413"/>
      <c r="U176" s="413"/>
      <c r="V176" s="413">
        <v>300</v>
      </c>
      <c r="W176" s="413">
        <f t="shared" si="7"/>
        <v>300</v>
      </c>
      <c r="X176" s="412"/>
      <c r="Y176" s="412"/>
      <c r="Z176" s="412"/>
      <c r="AA176" s="412"/>
      <c r="AB176" s="412"/>
      <c r="AC176" s="412"/>
      <c r="AD176" s="412"/>
      <c r="AE176" s="412"/>
      <c r="AF176" s="412"/>
      <c r="AG176" s="412"/>
      <c r="AH176" s="412"/>
      <c r="AI176" s="412"/>
      <c r="AJ176" s="412">
        <f t="shared" si="8"/>
        <v>0</v>
      </c>
      <c r="AK176" s="198"/>
      <c r="AL176" s="250" t="s">
        <v>2067</v>
      </c>
    </row>
    <row r="177" spans="1:38" ht="14.1" customHeight="1" x14ac:dyDescent="0.2">
      <c r="A177" t="s">
        <v>894</v>
      </c>
      <c r="B177" s="193">
        <v>3853</v>
      </c>
      <c r="C177" s="194" t="s">
        <v>1176</v>
      </c>
      <c r="D177" s="229" t="s">
        <v>1414</v>
      </c>
      <c r="E177" s="229" t="s">
        <v>634</v>
      </c>
      <c r="F177" s="236">
        <v>250</v>
      </c>
      <c r="G177" s="196">
        <v>1</v>
      </c>
      <c r="H177" s="195">
        <v>250</v>
      </c>
      <c r="I177" s="197">
        <v>41259</v>
      </c>
      <c r="J177" s="197" t="str">
        <f t="shared" si="9"/>
        <v>ok</v>
      </c>
      <c r="K177" s="413"/>
      <c r="L177" s="413"/>
      <c r="M177" s="413"/>
      <c r="N177" s="413"/>
      <c r="O177" s="413"/>
      <c r="P177" s="413"/>
      <c r="Q177" s="413"/>
      <c r="R177" s="413"/>
      <c r="S177" s="413"/>
      <c r="T177" s="413"/>
      <c r="U177" s="413"/>
      <c r="V177" s="413">
        <v>250</v>
      </c>
      <c r="W177" s="413">
        <f t="shared" si="7"/>
        <v>250</v>
      </c>
      <c r="X177" s="412"/>
      <c r="Y177" s="412"/>
      <c r="Z177" s="412"/>
      <c r="AA177" s="412"/>
      <c r="AB177" s="412"/>
      <c r="AC177" s="412"/>
      <c r="AD177" s="412"/>
      <c r="AE177" s="412"/>
      <c r="AF177" s="412"/>
      <c r="AG177" s="412"/>
      <c r="AH177" s="412"/>
      <c r="AI177" s="412"/>
      <c r="AJ177" s="412">
        <f t="shared" si="8"/>
        <v>0</v>
      </c>
      <c r="AK177" s="198"/>
      <c r="AL177" s="250" t="s">
        <v>2067</v>
      </c>
    </row>
    <row r="178" spans="1:38" ht="14.1" customHeight="1" x14ac:dyDescent="0.2">
      <c r="A178" t="s">
        <v>893</v>
      </c>
      <c r="B178" s="193">
        <v>3854</v>
      </c>
      <c r="C178" s="194" t="s">
        <v>1081</v>
      </c>
      <c r="D178" s="229" t="s">
        <v>1652</v>
      </c>
      <c r="E178" s="229" t="s">
        <v>202</v>
      </c>
      <c r="F178" s="236">
        <v>300</v>
      </c>
      <c r="G178" s="196">
        <v>1</v>
      </c>
      <c r="H178" s="195">
        <v>900</v>
      </c>
      <c r="I178" s="197">
        <v>41259</v>
      </c>
      <c r="J178" s="197" t="str">
        <f t="shared" si="9"/>
        <v>ok</v>
      </c>
      <c r="K178" s="413"/>
      <c r="L178" s="413"/>
      <c r="M178" s="413"/>
      <c r="N178" s="413"/>
      <c r="O178" s="413"/>
      <c r="P178" s="413"/>
      <c r="Q178" s="413"/>
      <c r="R178" s="413"/>
      <c r="S178" s="413"/>
      <c r="T178" s="413">
        <v>300</v>
      </c>
      <c r="U178" s="413">
        <v>300</v>
      </c>
      <c r="V178" s="413">
        <v>300</v>
      </c>
      <c r="W178" s="413">
        <f t="shared" si="7"/>
        <v>900</v>
      </c>
      <c r="X178" s="412"/>
      <c r="Y178" s="412"/>
      <c r="Z178" s="412"/>
      <c r="AA178" s="412"/>
      <c r="AB178" s="412"/>
      <c r="AC178" s="412"/>
      <c r="AD178" s="412"/>
      <c r="AE178" s="412"/>
      <c r="AF178" s="412"/>
      <c r="AG178" s="412"/>
      <c r="AH178" s="412"/>
      <c r="AI178" s="412"/>
      <c r="AJ178" s="412">
        <f t="shared" si="8"/>
        <v>0</v>
      </c>
      <c r="AK178" s="198"/>
      <c r="AL178" s="250" t="s">
        <v>2067</v>
      </c>
    </row>
    <row r="179" spans="1:38" ht="14.1" customHeight="1" x14ac:dyDescent="0.2">
      <c r="A179" t="s">
        <v>893</v>
      </c>
      <c r="B179" s="193">
        <v>3854</v>
      </c>
      <c r="C179" s="194" t="s">
        <v>1081</v>
      </c>
      <c r="D179" s="229" t="s">
        <v>1652</v>
      </c>
      <c r="E179" s="229" t="s">
        <v>202</v>
      </c>
      <c r="F179" s="236">
        <v>300</v>
      </c>
      <c r="G179" s="196">
        <v>4</v>
      </c>
      <c r="H179" s="195">
        <v>320</v>
      </c>
      <c r="I179" s="197">
        <v>41259</v>
      </c>
      <c r="J179" s="197" t="str">
        <f t="shared" si="9"/>
        <v>ok</v>
      </c>
      <c r="K179" s="413"/>
      <c r="L179" s="413"/>
      <c r="M179" s="413"/>
      <c r="N179" s="413"/>
      <c r="O179" s="413"/>
      <c r="P179" s="413"/>
      <c r="Q179" s="413"/>
      <c r="R179" s="413"/>
      <c r="S179" s="413"/>
      <c r="T179" s="413"/>
      <c r="U179" s="413"/>
      <c r="V179" s="413"/>
      <c r="W179" s="413">
        <f t="shared" si="7"/>
        <v>0</v>
      </c>
      <c r="X179" s="412"/>
      <c r="Y179" s="412"/>
      <c r="Z179" s="412"/>
      <c r="AA179" s="412"/>
      <c r="AB179" s="412"/>
      <c r="AC179" s="412"/>
      <c r="AD179" s="412"/>
      <c r="AE179" s="412"/>
      <c r="AF179" s="412"/>
      <c r="AG179" s="412"/>
      <c r="AH179" s="412"/>
      <c r="AI179" s="412"/>
      <c r="AJ179" s="412">
        <f t="shared" si="8"/>
        <v>0</v>
      </c>
      <c r="AK179" s="198"/>
      <c r="AL179" s="250" t="s">
        <v>2068</v>
      </c>
    </row>
    <row r="180" spans="1:38" ht="14.1" customHeight="1" x14ac:dyDescent="0.2">
      <c r="A180" t="s">
        <v>884</v>
      </c>
      <c r="B180" s="193">
        <v>3855</v>
      </c>
      <c r="C180" s="194" t="s">
        <v>831</v>
      </c>
      <c r="D180" s="229" t="s">
        <v>1534</v>
      </c>
      <c r="E180" s="229" t="s">
        <v>64</v>
      </c>
      <c r="F180" s="236">
        <v>300</v>
      </c>
      <c r="G180" s="196">
        <v>1</v>
      </c>
      <c r="H180" s="195">
        <v>900</v>
      </c>
      <c r="I180" s="197">
        <v>41259</v>
      </c>
      <c r="J180" s="197" t="str">
        <f t="shared" si="9"/>
        <v>ok</v>
      </c>
      <c r="K180" s="413"/>
      <c r="L180" s="413"/>
      <c r="M180" s="413"/>
      <c r="N180" s="413"/>
      <c r="O180" s="413"/>
      <c r="P180" s="413"/>
      <c r="Q180" s="413"/>
      <c r="R180" s="413"/>
      <c r="S180" s="413"/>
      <c r="T180" s="413">
        <v>300</v>
      </c>
      <c r="U180" s="413">
        <v>300</v>
      </c>
      <c r="V180" s="413">
        <v>300</v>
      </c>
      <c r="W180" s="413">
        <f t="shared" si="7"/>
        <v>900</v>
      </c>
      <c r="X180" s="412"/>
      <c r="Y180" s="412"/>
      <c r="Z180" s="412"/>
      <c r="AA180" s="412"/>
      <c r="AB180" s="412"/>
      <c r="AC180" s="412"/>
      <c r="AD180" s="412"/>
      <c r="AE180" s="412"/>
      <c r="AF180" s="412"/>
      <c r="AG180" s="412"/>
      <c r="AH180" s="412"/>
      <c r="AI180" s="412"/>
      <c r="AJ180" s="412">
        <f t="shared" si="8"/>
        <v>0</v>
      </c>
      <c r="AK180" s="198"/>
      <c r="AL180" s="250" t="s">
        <v>2067</v>
      </c>
    </row>
    <row r="181" spans="1:38" ht="14.1" customHeight="1" x14ac:dyDescent="0.2">
      <c r="A181" t="s">
        <v>894</v>
      </c>
      <c r="B181" s="193">
        <v>3856</v>
      </c>
      <c r="C181" s="194" t="s">
        <v>1151</v>
      </c>
      <c r="D181" s="229" t="s">
        <v>1560</v>
      </c>
      <c r="E181" s="229" t="s">
        <v>588</v>
      </c>
      <c r="F181" s="236">
        <v>300</v>
      </c>
      <c r="G181" s="196">
        <v>1</v>
      </c>
      <c r="H181" s="195">
        <v>300</v>
      </c>
      <c r="I181" s="197">
        <v>41259</v>
      </c>
      <c r="J181" s="197" t="str">
        <f t="shared" si="9"/>
        <v>ok</v>
      </c>
      <c r="K181" s="413"/>
      <c r="L181" s="413"/>
      <c r="M181" s="413"/>
      <c r="N181" s="413"/>
      <c r="O181" s="413"/>
      <c r="P181" s="413"/>
      <c r="Q181" s="413"/>
      <c r="R181" s="413"/>
      <c r="S181" s="413"/>
      <c r="T181" s="413"/>
      <c r="U181" s="413"/>
      <c r="V181" s="413">
        <v>300</v>
      </c>
      <c r="W181" s="413">
        <f t="shared" si="7"/>
        <v>300</v>
      </c>
      <c r="X181" s="412"/>
      <c r="Y181" s="412"/>
      <c r="Z181" s="412"/>
      <c r="AA181" s="412"/>
      <c r="AB181" s="412"/>
      <c r="AC181" s="412"/>
      <c r="AD181" s="412"/>
      <c r="AE181" s="412"/>
      <c r="AF181" s="412"/>
      <c r="AG181" s="412"/>
      <c r="AH181" s="412"/>
      <c r="AI181" s="412"/>
      <c r="AJ181" s="412">
        <f t="shared" si="8"/>
        <v>0</v>
      </c>
      <c r="AK181" s="198"/>
      <c r="AL181" s="250" t="s">
        <v>2067</v>
      </c>
    </row>
    <row r="182" spans="1:38" ht="14.1" customHeight="1" x14ac:dyDescent="0.2">
      <c r="B182" s="193">
        <v>3857</v>
      </c>
      <c r="C182" s="194"/>
      <c r="D182" s="229" t="s">
        <v>1362</v>
      </c>
      <c r="E182" s="229" t="s">
        <v>1362</v>
      </c>
      <c r="F182" s="236" t="s">
        <v>1362</v>
      </c>
      <c r="G182" s="196">
        <v>8</v>
      </c>
      <c r="H182" s="195"/>
      <c r="I182" s="197"/>
      <c r="J182" s="197" t="str">
        <f t="shared" si="9"/>
        <v>ok</v>
      </c>
      <c r="K182" s="413"/>
      <c r="L182" s="413"/>
      <c r="M182" s="413"/>
      <c r="N182" s="413"/>
      <c r="O182" s="413"/>
      <c r="P182" s="413"/>
      <c r="Q182" s="413"/>
      <c r="R182" s="413"/>
      <c r="S182" s="413"/>
      <c r="T182" s="413"/>
      <c r="U182" s="413"/>
      <c r="V182" s="413"/>
      <c r="W182" s="413">
        <f t="shared" si="7"/>
        <v>0</v>
      </c>
      <c r="X182" s="412"/>
      <c r="Y182" s="412"/>
      <c r="Z182" s="412"/>
      <c r="AA182" s="412"/>
      <c r="AB182" s="412"/>
      <c r="AC182" s="412"/>
      <c r="AD182" s="412"/>
      <c r="AE182" s="412"/>
      <c r="AF182" s="412"/>
      <c r="AG182" s="412"/>
      <c r="AH182" s="412"/>
      <c r="AI182" s="412"/>
      <c r="AJ182" s="412">
        <f t="shared" si="8"/>
        <v>0</v>
      </c>
      <c r="AK182" s="198" t="s">
        <v>755</v>
      </c>
      <c r="AL182" s="250" t="s">
        <v>2067</v>
      </c>
    </row>
    <row r="183" spans="1:38" ht="14.1" customHeight="1" x14ac:dyDescent="0.2">
      <c r="A183" t="s">
        <v>888</v>
      </c>
      <c r="B183" s="193">
        <v>3858</v>
      </c>
      <c r="C183" s="194" t="s">
        <v>929</v>
      </c>
      <c r="D183" s="229" t="s">
        <v>1642</v>
      </c>
      <c r="E183" s="229" t="s">
        <v>380</v>
      </c>
      <c r="F183" s="236">
        <v>300</v>
      </c>
      <c r="G183" s="196">
        <v>1</v>
      </c>
      <c r="H183" s="195">
        <v>900</v>
      </c>
      <c r="I183" s="197">
        <v>41259</v>
      </c>
      <c r="J183" s="197" t="str">
        <f t="shared" si="9"/>
        <v>ok</v>
      </c>
      <c r="K183" s="413"/>
      <c r="L183" s="413"/>
      <c r="M183" s="413"/>
      <c r="N183" s="413"/>
      <c r="O183" s="413"/>
      <c r="P183" s="413"/>
      <c r="Q183" s="413">
        <v>300</v>
      </c>
      <c r="R183" s="413">
        <v>300</v>
      </c>
      <c r="S183" s="413">
        <v>300</v>
      </c>
      <c r="T183" s="413"/>
      <c r="U183" s="413"/>
      <c r="V183" s="413"/>
      <c r="W183" s="413">
        <f t="shared" si="7"/>
        <v>900</v>
      </c>
      <c r="X183" s="412"/>
      <c r="Y183" s="412"/>
      <c r="Z183" s="412"/>
      <c r="AA183" s="412"/>
      <c r="AB183" s="412"/>
      <c r="AC183" s="412"/>
      <c r="AD183" s="412"/>
      <c r="AE183" s="412"/>
      <c r="AF183" s="412"/>
      <c r="AG183" s="412"/>
      <c r="AH183" s="412"/>
      <c r="AI183" s="412"/>
      <c r="AJ183" s="412">
        <f t="shared" si="8"/>
        <v>0</v>
      </c>
      <c r="AK183" s="198"/>
      <c r="AL183" s="250" t="s">
        <v>2067</v>
      </c>
    </row>
    <row r="184" spans="1:38" ht="14.1" customHeight="1" x14ac:dyDescent="0.2">
      <c r="A184" t="s">
        <v>890</v>
      </c>
      <c r="B184" s="193">
        <v>3859</v>
      </c>
      <c r="C184" s="194" t="s">
        <v>1021</v>
      </c>
      <c r="D184" s="229" t="s">
        <v>1398</v>
      </c>
      <c r="E184" s="229" t="s">
        <v>520</v>
      </c>
      <c r="F184" s="236">
        <v>300</v>
      </c>
      <c r="G184" s="196">
        <v>1</v>
      </c>
      <c r="H184" s="195">
        <v>900</v>
      </c>
      <c r="I184" s="197">
        <v>41259</v>
      </c>
      <c r="J184" s="197" t="str">
        <f t="shared" si="9"/>
        <v>ok</v>
      </c>
      <c r="K184" s="413"/>
      <c r="L184" s="413"/>
      <c r="M184" s="413"/>
      <c r="N184" s="413"/>
      <c r="O184" s="413"/>
      <c r="P184" s="413"/>
      <c r="Q184" s="413"/>
      <c r="R184" s="413"/>
      <c r="S184" s="413"/>
      <c r="T184" s="413">
        <v>300</v>
      </c>
      <c r="U184" s="413">
        <v>300</v>
      </c>
      <c r="V184" s="413">
        <v>300</v>
      </c>
      <c r="W184" s="413">
        <f t="shared" si="7"/>
        <v>900</v>
      </c>
      <c r="X184" s="412"/>
      <c r="Y184" s="412"/>
      <c r="Z184" s="412"/>
      <c r="AA184" s="412"/>
      <c r="AB184" s="412"/>
      <c r="AC184" s="412"/>
      <c r="AD184" s="412"/>
      <c r="AE184" s="412"/>
      <c r="AF184" s="412"/>
      <c r="AG184" s="412"/>
      <c r="AH184" s="412"/>
      <c r="AI184" s="412"/>
      <c r="AJ184" s="412">
        <f t="shared" si="8"/>
        <v>0</v>
      </c>
      <c r="AK184" s="198"/>
      <c r="AL184" s="250" t="s">
        <v>2067</v>
      </c>
    </row>
    <row r="185" spans="1:38" ht="14.1" customHeight="1" x14ac:dyDescent="0.2">
      <c r="A185" t="s">
        <v>884</v>
      </c>
      <c r="B185" s="193">
        <v>3860</v>
      </c>
      <c r="C185" s="194" t="s">
        <v>819</v>
      </c>
      <c r="D185" s="229" t="s">
        <v>1530</v>
      </c>
      <c r="E185" s="229" t="s">
        <v>1183</v>
      </c>
      <c r="F185" s="236">
        <v>200</v>
      </c>
      <c r="G185" s="196">
        <v>1</v>
      </c>
      <c r="H185" s="195">
        <v>200</v>
      </c>
      <c r="I185" s="197">
        <v>41259</v>
      </c>
      <c r="J185" s="197" t="str">
        <f t="shared" si="9"/>
        <v>ok</v>
      </c>
      <c r="K185" s="413"/>
      <c r="L185" s="413"/>
      <c r="M185" s="413"/>
      <c r="N185" s="413"/>
      <c r="O185" s="413"/>
      <c r="P185" s="413"/>
      <c r="Q185" s="413"/>
      <c r="R185" s="413"/>
      <c r="S185" s="413"/>
      <c r="T185" s="413"/>
      <c r="U185" s="413"/>
      <c r="V185" s="413">
        <v>200</v>
      </c>
      <c r="W185" s="413">
        <f t="shared" si="7"/>
        <v>200</v>
      </c>
      <c r="X185" s="412"/>
      <c r="Y185" s="412"/>
      <c r="Z185" s="412"/>
      <c r="AA185" s="412"/>
      <c r="AB185" s="412"/>
      <c r="AC185" s="412"/>
      <c r="AD185" s="412"/>
      <c r="AE185" s="412"/>
      <c r="AF185" s="412"/>
      <c r="AG185" s="412"/>
      <c r="AH185" s="412"/>
      <c r="AI185" s="412"/>
      <c r="AJ185" s="412">
        <f t="shared" si="8"/>
        <v>0</v>
      </c>
      <c r="AK185" s="198"/>
      <c r="AL185" s="250" t="s">
        <v>2067</v>
      </c>
    </row>
    <row r="186" spans="1:38" ht="14.1" customHeight="1" x14ac:dyDescent="0.2">
      <c r="A186" t="s">
        <v>893</v>
      </c>
      <c r="B186" s="193">
        <v>3861</v>
      </c>
      <c r="C186" s="194" t="s">
        <v>781</v>
      </c>
      <c r="D186" s="229" t="s">
        <v>1401</v>
      </c>
      <c r="E186" s="229" t="s">
        <v>331</v>
      </c>
      <c r="F186" s="236">
        <v>300</v>
      </c>
      <c r="G186" s="196">
        <v>3</v>
      </c>
      <c r="H186" s="195">
        <v>300</v>
      </c>
      <c r="I186" s="197">
        <v>41259</v>
      </c>
      <c r="J186" s="197" t="str">
        <f t="shared" si="9"/>
        <v>ok</v>
      </c>
      <c r="K186" s="413"/>
      <c r="L186" s="413"/>
      <c r="M186" s="413"/>
      <c r="N186" s="413"/>
      <c r="O186" s="413"/>
      <c r="P186" s="413"/>
      <c r="Q186" s="413"/>
      <c r="R186" s="413"/>
      <c r="S186" s="413"/>
      <c r="T186" s="413"/>
      <c r="U186" s="413"/>
      <c r="V186" s="413"/>
      <c r="W186" s="413">
        <f t="shared" si="7"/>
        <v>0</v>
      </c>
      <c r="X186" s="412"/>
      <c r="Y186" s="412"/>
      <c r="Z186" s="412"/>
      <c r="AA186" s="412"/>
      <c r="AB186" s="412"/>
      <c r="AC186" s="412"/>
      <c r="AD186" s="412"/>
      <c r="AE186" s="412"/>
      <c r="AF186" s="412"/>
      <c r="AG186" s="412"/>
      <c r="AH186" s="412"/>
      <c r="AI186" s="412"/>
      <c r="AJ186" s="412">
        <f t="shared" si="8"/>
        <v>0</v>
      </c>
      <c r="AK186" s="198"/>
      <c r="AL186" s="250" t="s">
        <v>2068</v>
      </c>
    </row>
    <row r="187" spans="1:38" ht="14.1" customHeight="1" x14ac:dyDescent="0.2">
      <c r="A187" t="s">
        <v>893</v>
      </c>
      <c r="B187" s="193">
        <v>3861</v>
      </c>
      <c r="C187" s="194" t="s">
        <v>781</v>
      </c>
      <c r="D187" s="229" t="s">
        <v>1401</v>
      </c>
      <c r="E187" s="229" t="s">
        <v>331</v>
      </c>
      <c r="F187" s="236">
        <v>300</v>
      </c>
      <c r="G187" s="196">
        <v>4</v>
      </c>
      <c r="H187" s="195">
        <v>320</v>
      </c>
      <c r="I187" s="197">
        <v>41259</v>
      </c>
      <c r="J187" s="197" t="str">
        <f t="shared" si="9"/>
        <v>ok</v>
      </c>
      <c r="K187" s="413"/>
      <c r="L187" s="413"/>
      <c r="M187" s="413"/>
      <c r="N187" s="413"/>
      <c r="O187" s="413"/>
      <c r="P187" s="413"/>
      <c r="Q187" s="413"/>
      <c r="R187" s="413"/>
      <c r="S187" s="413"/>
      <c r="T187" s="413"/>
      <c r="U187" s="413"/>
      <c r="V187" s="413"/>
      <c r="W187" s="413">
        <f t="shared" si="7"/>
        <v>0</v>
      </c>
      <c r="X187" s="412"/>
      <c r="Y187" s="412"/>
      <c r="Z187" s="412"/>
      <c r="AA187" s="412"/>
      <c r="AB187" s="412"/>
      <c r="AC187" s="412"/>
      <c r="AD187" s="412"/>
      <c r="AE187" s="412"/>
      <c r="AF187" s="412"/>
      <c r="AG187" s="412"/>
      <c r="AH187" s="412"/>
      <c r="AI187" s="412"/>
      <c r="AJ187" s="412">
        <f t="shared" si="8"/>
        <v>0</v>
      </c>
      <c r="AK187" s="198"/>
      <c r="AL187" s="250" t="s">
        <v>2068</v>
      </c>
    </row>
    <row r="188" spans="1:38" ht="14.1" customHeight="1" x14ac:dyDescent="0.2">
      <c r="A188" t="s">
        <v>888</v>
      </c>
      <c r="B188" s="193">
        <v>3862</v>
      </c>
      <c r="C188" s="194" t="s">
        <v>935</v>
      </c>
      <c r="D188" s="229" t="s">
        <v>1613</v>
      </c>
      <c r="E188" s="229" t="s">
        <v>721</v>
      </c>
      <c r="F188" s="236">
        <v>300</v>
      </c>
      <c r="G188" s="196">
        <v>1</v>
      </c>
      <c r="H188" s="195">
        <v>300</v>
      </c>
      <c r="I188" s="197">
        <v>41259</v>
      </c>
      <c r="J188" s="197" t="str">
        <f t="shared" si="9"/>
        <v>ok</v>
      </c>
      <c r="K188" s="413"/>
      <c r="L188" s="413"/>
      <c r="M188" s="413"/>
      <c r="N188" s="413"/>
      <c r="O188" s="413"/>
      <c r="P188" s="413"/>
      <c r="Q188" s="413"/>
      <c r="R188" s="413"/>
      <c r="S188" s="413"/>
      <c r="T188" s="413"/>
      <c r="U188" s="413"/>
      <c r="V188" s="413">
        <v>300</v>
      </c>
      <c r="W188" s="413">
        <f t="shared" si="7"/>
        <v>300</v>
      </c>
      <c r="X188" s="412"/>
      <c r="Y188" s="412"/>
      <c r="Z188" s="412"/>
      <c r="AA188" s="412"/>
      <c r="AB188" s="412"/>
      <c r="AC188" s="412"/>
      <c r="AD188" s="412"/>
      <c r="AE188" s="412"/>
      <c r="AF188" s="412"/>
      <c r="AG188" s="412"/>
      <c r="AH188" s="412"/>
      <c r="AI188" s="412"/>
      <c r="AJ188" s="412">
        <f t="shared" si="8"/>
        <v>0</v>
      </c>
      <c r="AK188" s="198"/>
      <c r="AL188" s="250" t="s">
        <v>2067</v>
      </c>
    </row>
    <row r="189" spans="1:38" ht="14.1" customHeight="1" x14ac:dyDescent="0.2">
      <c r="A189" t="s">
        <v>893</v>
      </c>
      <c r="B189" s="193">
        <v>3863</v>
      </c>
      <c r="C189" s="194" t="s">
        <v>1139</v>
      </c>
      <c r="D189" s="229" t="s">
        <v>1528</v>
      </c>
      <c r="E189" s="229" t="s">
        <v>313</v>
      </c>
      <c r="F189" s="236">
        <v>300</v>
      </c>
      <c r="G189" s="196">
        <v>1</v>
      </c>
      <c r="H189" s="195">
        <v>300</v>
      </c>
      <c r="I189" s="197">
        <v>41259</v>
      </c>
      <c r="J189" s="197" t="str">
        <f t="shared" si="9"/>
        <v>ok</v>
      </c>
      <c r="K189" s="413"/>
      <c r="L189" s="413"/>
      <c r="M189" s="413"/>
      <c r="N189" s="413"/>
      <c r="O189" s="413"/>
      <c r="P189" s="413"/>
      <c r="Q189" s="413"/>
      <c r="R189" s="413"/>
      <c r="S189" s="413"/>
      <c r="T189" s="413"/>
      <c r="U189" s="413"/>
      <c r="V189" s="413">
        <v>300</v>
      </c>
      <c r="W189" s="413">
        <f t="shared" si="7"/>
        <v>300</v>
      </c>
      <c r="X189" s="412"/>
      <c r="Y189" s="412"/>
      <c r="Z189" s="412"/>
      <c r="AA189" s="412"/>
      <c r="AB189" s="412"/>
      <c r="AC189" s="412"/>
      <c r="AD189" s="412"/>
      <c r="AE189" s="412"/>
      <c r="AF189" s="412"/>
      <c r="AG189" s="412"/>
      <c r="AH189" s="412"/>
      <c r="AI189" s="412"/>
      <c r="AJ189" s="412">
        <f t="shared" si="8"/>
        <v>0</v>
      </c>
      <c r="AK189" s="198"/>
      <c r="AL189" s="250" t="s">
        <v>2067</v>
      </c>
    </row>
    <row r="190" spans="1:38" ht="14.1" customHeight="1" x14ac:dyDescent="0.2">
      <c r="A190" t="s">
        <v>894</v>
      </c>
      <c r="B190" s="193">
        <v>3864</v>
      </c>
      <c r="C190" s="194" t="s">
        <v>1161</v>
      </c>
      <c r="D190" s="229" t="s">
        <v>1582</v>
      </c>
      <c r="E190" s="229" t="s">
        <v>605</v>
      </c>
      <c r="F190" s="236">
        <v>300</v>
      </c>
      <c r="G190" s="196">
        <v>1</v>
      </c>
      <c r="H190" s="195">
        <v>300</v>
      </c>
      <c r="I190" s="197">
        <v>41259</v>
      </c>
      <c r="J190" s="197" t="str">
        <f t="shared" si="9"/>
        <v>ok</v>
      </c>
      <c r="K190" s="413"/>
      <c r="L190" s="413"/>
      <c r="M190" s="413"/>
      <c r="N190" s="413"/>
      <c r="O190" s="413"/>
      <c r="P190" s="413"/>
      <c r="Q190" s="413"/>
      <c r="R190" s="413"/>
      <c r="S190" s="413"/>
      <c r="T190" s="413"/>
      <c r="U190" s="413"/>
      <c r="V190" s="413"/>
      <c r="W190" s="413">
        <f t="shared" si="7"/>
        <v>0</v>
      </c>
      <c r="X190" s="412">
        <v>300</v>
      </c>
      <c r="Y190" s="412"/>
      <c r="Z190" s="412"/>
      <c r="AA190" s="412"/>
      <c r="AB190" s="412"/>
      <c r="AC190" s="412"/>
      <c r="AD190" s="412"/>
      <c r="AE190" s="412"/>
      <c r="AF190" s="412"/>
      <c r="AG190" s="412"/>
      <c r="AH190" s="412"/>
      <c r="AI190" s="412"/>
      <c r="AJ190" s="412">
        <f t="shared" si="8"/>
        <v>300</v>
      </c>
      <c r="AK190" s="198"/>
      <c r="AL190" s="250" t="s">
        <v>2067</v>
      </c>
    </row>
    <row r="191" spans="1:38" ht="14.1" customHeight="1" x14ac:dyDescent="0.2">
      <c r="A191" t="s">
        <v>893</v>
      </c>
      <c r="B191" s="193">
        <v>3865</v>
      </c>
      <c r="C191" s="194" t="s">
        <v>1079</v>
      </c>
      <c r="D191" s="229" t="s">
        <v>1552</v>
      </c>
      <c r="E191" s="229" t="s">
        <v>198</v>
      </c>
      <c r="F191" s="236">
        <v>150</v>
      </c>
      <c r="G191" s="196">
        <v>1</v>
      </c>
      <c r="H191" s="195">
        <v>150</v>
      </c>
      <c r="I191" s="197">
        <v>41259</v>
      </c>
      <c r="J191" s="197" t="str">
        <f t="shared" si="9"/>
        <v>ok</v>
      </c>
      <c r="K191" s="413"/>
      <c r="L191" s="413"/>
      <c r="M191" s="413"/>
      <c r="N191" s="413"/>
      <c r="O191" s="413"/>
      <c r="P191" s="413"/>
      <c r="Q191" s="413"/>
      <c r="R191" s="413"/>
      <c r="S191" s="413"/>
      <c r="T191" s="413"/>
      <c r="U191" s="413"/>
      <c r="V191" s="413">
        <v>150</v>
      </c>
      <c r="W191" s="413">
        <f t="shared" si="7"/>
        <v>150</v>
      </c>
      <c r="X191" s="412"/>
      <c r="Y191" s="412"/>
      <c r="Z191" s="412"/>
      <c r="AA191" s="412"/>
      <c r="AB191" s="412"/>
      <c r="AC191" s="412"/>
      <c r="AD191" s="412"/>
      <c r="AE191" s="412"/>
      <c r="AF191" s="412"/>
      <c r="AG191" s="412"/>
      <c r="AH191" s="412"/>
      <c r="AI191" s="412"/>
      <c r="AJ191" s="412">
        <f t="shared" si="8"/>
        <v>0</v>
      </c>
      <c r="AK191" s="198"/>
      <c r="AL191" s="250" t="s">
        <v>2067</v>
      </c>
    </row>
    <row r="192" spans="1:38" ht="14.1" customHeight="1" x14ac:dyDescent="0.2">
      <c r="A192" t="s">
        <v>884</v>
      </c>
      <c r="B192" s="193">
        <v>3866</v>
      </c>
      <c r="C192" s="194" t="s">
        <v>856</v>
      </c>
      <c r="D192" s="229" t="s">
        <v>1515</v>
      </c>
      <c r="E192" s="229" t="s">
        <v>99</v>
      </c>
      <c r="F192" s="236">
        <v>300</v>
      </c>
      <c r="G192" s="196">
        <v>1</v>
      </c>
      <c r="H192" s="195">
        <v>300</v>
      </c>
      <c r="I192" s="197">
        <v>41259</v>
      </c>
      <c r="J192" s="197" t="str">
        <f t="shared" si="9"/>
        <v>ok</v>
      </c>
      <c r="K192" s="413"/>
      <c r="L192" s="413"/>
      <c r="M192" s="413"/>
      <c r="N192" s="413"/>
      <c r="O192" s="413"/>
      <c r="P192" s="413"/>
      <c r="Q192" s="413"/>
      <c r="R192" s="413"/>
      <c r="S192" s="413"/>
      <c r="T192" s="413"/>
      <c r="U192" s="413"/>
      <c r="V192" s="413">
        <v>300</v>
      </c>
      <c r="W192" s="413">
        <f t="shared" si="7"/>
        <v>300</v>
      </c>
      <c r="X192" s="412"/>
      <c r="Y192" s="412"/>
      <c r="Z192" s="412"/>
      <c r="AA192" s="412"/>
      <c r="AB192" s="412"/>
      <c r="AC192" s="412"/>
      <c r="AD192" s="412"/>
      <c r="AE192" s="412"/>
      <c r="AF192" s="412"/>
      <c r="AG192" s="412"/>
      <c r="AH192" s="412"/>
      <c r="AI192" s="412"/>
      <c r="AJ192" s="412">
        <f t="shared" si="8"/>
        <v>0</v>
      </c>
      <c r="AK192" s="198"/>
      <c r="AL192" s="250" t="s">
        <v>2067</v>
      </c>
    </row>
    <row r="193" spans="1:38" ht="14.1" customHeight="1" x14ac:dyDescent="0.2">
      <c r="A193" t="s">
        <v>884</v>
      </c>
      <c r="B193" s="193">
        <v>3867</v>
      </c>
      <c r="C193" s="194" t="s">
        <v>867</v>
      </c>
      <c r="D193" s="229" t="s">
        <v>1513</v>
      </c>
      <c r="E193" s="229" t="s">
        <v>118</v>
      </c>
      <c r="F193" s="236">
        <v>300</v>
      </c>
      <c r="G193" s="196">
        <v>1</v>
      </c>
      <c r="H193" s="195">
        <v>300</v>
      </c>
      <c r="I193" s="197">
        <v>41259</v>
      </c>
      <c r="J193" s="197" t="str">
        <f t="shared" si="9"/>
        <v>ok</v>
      </c>
      <c r="K193" s="413"/>
      <c r="L193" s="413"/>
      <c r="M193" s="413"/>
      <c r="N193" s="413"/>
      <c r="O193" s="413"/>
      <c r="P193" s="413"/>
      <c r="Q193" s="413"/>
      <c r="R193" s="413"/>
      <c r="S193" s="413"/>
      <c r="T193" s="413"/>
      <c r="U193" s="413"/>
      <c r="V193" s="413">
        <v>300</v>
      </c>
      <c r="W193" s="413">
        <f t="shared" si="7"/>
        <v>300</v>
      </c>
      <c r="X193" s="412"/>
      <c r="Y193" s="412"/>
      <c r="Z193" s="412"/>
      <c r="AA193" s="412"/>
      <c r="AB193" s="412"/>
      <c r="AC193" s="412"/>
      <c r="AD193" s="412"/>
      <c r="AE193" s="412"/>
      <c r="AF193" s="412"/>
      <c r="AG193" s="412"/>
      <c r="AH193" s="412"/>
      <c r="AI193" s="412"/>
      <c r="AJ193" s="412">
        <f t="shared" si="8"/>
        <v>0</v>
      </c>
      <c r="AK193" s="198"/>
      <c r="AL193" s="250" t="s">
        <v>2067</v>
      </c>
    </row>
    <row r="194" spans="1:38" ht="14.1" customHeight="1" x14ac:dyDescent="0.2">
      <c r="A194" t="s">
        <v>884</v>
      </c>
      <c r="B194" s="193">
        <v>3868</v>
      </c>
      <c r="C194" s="194" t="s">
        <v>825</v>
      </c>
      <c r="D194" s="229" t="s">
        <v>1580</v>
      </c>
      <c r="E194" s="229" t="s">
        <v>53</v>
      </c>
      <c r="F194" s="236">
        <v>300</v>
      </c>
      <c r="G194" s="196">
        <v>1</v>
      </c>
      <c r="H194" s="195">
        <v>300</v>
      </c>
      <c r="I194" s="197">
        <v>41259</v>
      </c>
      <c r="J194" s="197" t="str">
        <f t="shared" si="9"/>
        <v>ok</v>
      </c>
      <c r="K194" s="413"/>
      <c r="L194" s="413"/>
      <c r="M194" s="413"/>
      <c r="N194" s="413"/>
      <c r="O194" s="413"/>
      <c r="P194" s="413"/>
      <c r="Q194" s="413"/>
      <c r="R194" s="413"/>
      <c r="S194" s="413"/>
      <c r="T194" s="413"/>
      <c r="U194" s="413"/>
      <c r="V194" s="413">
        <v>300</v>
      </c>
      <c r="W194" s="413">
        <f t="shared" si="7"/>
        <v>300</v>
      </c>
      <c r="X194" s="412"/>
      <c r="Y194" s="412"/>
      <c r="Z194" s="412"/>
      <c r="AA194" s="412"/>
      <c r="AB194" s="412"/>
      <c r="AC194" s="412"/>
      <c r="AD194" s="412"/>
      <c r="AE194" s="412"/>
      <c r="AF194" s="412"/>
      <c r="AG194" s="412"/>
      <c r="AH194" s="412"/>
      <c r="AI194" s="412"/>
      <c r="AJ194" s="412">
        <f t="shared" si="8"/>
        <v>0</v>
      </c>
      <c r="AK194" s="198"/>
      <c r="AL194" s="250" t="s">
        <v>2067</v>
      </c>
    </row>
    <row r="195" spans="1:38" ht="14.1" customHeight="1" x14ac:dyDescent="0.2">
      <c r="A195" t="s">
        <v>884</v>
      </c>
      <c r="B195" s="193">
        <v>3869</v>
      </c>
      <c r="C195" s="194" t="s">
        <v>797</v>
      </c>
      <c r="D195" s="229" t="s">
        <v>1405</v>
      </c>
      <c r="E195" s="229" t="s">
        <v>11</v>
      </c>
      <c r="F195" s="236">
        <v>250</v>
      </c>
      <c r="G195" s="196">
        <v>1</v>
      </c>
      <c r="H195" s="195">
        <v>250</v>
      </c>
      <c r="I195" s="197">
        <v>41259</v>
      </c>
      <c r="J195" s="197" t="str">
        <f t="shared" si="9"/>
        <v>ok</v>
      </c>
      <c r="K195" s="413"/>
      <c r="L195" s="413"/>
      <c r="M195" s="413"/>
      <c r="N195" s="413"/>
      <c r="O195" s="413"/>
      <c r="P195" s="413"/>
      <c r="Q195" s="413"/>
      <c r="R195" s="413"/>
      <c r="S195" s="413"/>
      <c r="T195" s="413"/>
      <c r="U195" s="413"/>
      <c r="V195" s="413">
        <v>250</v>
      </c>
      <c r="W195" s="413">
        <f t="shared" si="7"/>
        <v>250</v>
      </c>
      <c r="X195" s="412"/>
      <c r="Y195" s="412"/>
      <c r="Z195" s="412"/>
      <c r="AA195" s="412"/>
      <c r="AB195" s="412"/>
      <c r="AC195" s="412"/>
      <c r="AD195" s="412"/>
      <c r="AE195" s="412"/>
      <c r="AF195" s="412"/>
      <c r="AG195" s="412"/>
      <c r="AH195" s="412"/>
      <c r="AI195" s="412"/>
      <c r="AJ195" s="412">
        <f t="shared" si="8"/>
        <v>0</v>
      </c>
      <c r="AK195" s="198"/>
      <c r="AL195" s="250" t="s">
        <v>2067</v>
      </c>
    </row>
    <row r="196" spans="1:38" ht="14.1" customHeight="1" x14ac:dyDescent="0.2">
      <c r="A196" t="s">
        <v>890</v>
      </c>
      <c r="B196" s="193">
        <v>3870</v>
      </c>
      <c r="C196" s="194" t="s">
        <v>1012</v>
      </c>
      <c r="D196" s="229" t="s">
        <v>1474</v>
      </c>
      <c r="E196" s="229" t="s">
        <v>729</v>
      </c>
      <c r="F196" s="236">
        <v>300</v>
      </c>
      <c r="G196" s="196">
        <v>1</v>
      </c>
      <c r="H196" s="195">
        <v>300</v>
      </c>
      <c r="I196" s="197">
        <v>41259</v>
      </c>
      <c r="J196" s="197" t="str">
        <f t="shared" si="9"/>
        <v>ok</v>
      </c>
      <c r="K196" s="413"/>
      <c r="L196" s="413"/>
      <c r="M196" s="413"/>
      <c r="N196" s="413"/>
      <c r="O196" s="413"/>
      <c r="P196" s="413"/>
      <c r="Q196" s="413"/>
      <c r="R196" s="413"/>
      <c r="S196" s="413"/>
      <c r="T196" s="413"/>
      <c r="U196" s="413"/>
      <c r="V196" s="413">
        <v>300</v>
      </c>
      <c r="W196" s="413">
        <f t="shared" si="7"/>
        <v>300</v>
      </c>
      <c r="X196" s="412"/>
      <c r="Y196" s="412"/>
      <c r="Z196" s="412"/>
      <c r="AA196" s="412"/>
      <c r="AB196" s="412"/>
      <c r="AC196" s="412"/>
      <c r="AD196" s="412"/>
      <c r="AE196" s="412"/>
      <c r="AF196" s="412"/>
      <c r="AG196" s="412"/>
      <c r="AH196" s="412"/>
      <c r="AI196" s="412"/>
      <c r="AJ196" s="412">
        <f t="shared" si="8"/>
        <v>0</v>
      </c>
      <c r="AK196" s="198"/>
      <c r="AL196" s="250" t="s">
        <v>2067</v>
      </c>
    </row>
    <row r="197" spans="1:38" ht="14.1" customHeight="1" x14ac:dyDescent="0.2">
      <c r="A197" t="s">
        <v>893</v>
      </c>
      <c r="B197" s="193">
        <v>3871</v>
      </c>
      <c r="C197" s="194" t="s">
        <v>780</v>
      </c>
      <c r="D197" s="229" t="s">
        <v>1593</v>
      </c>
      <c r="E197" s="229" t="s">
        <v>294</v>
      </c>
      <c r="F197" s="236">
        <v>300</v>
      </c>
      <c r="G197" s="196">
        <v>1</v>
      </c>
      <c r="H197" s="195">
        <v>300</v>
      </c>
      <c r="I197" s="197">
        <v>41259</v>
      </c>
      <c r="J197" s="197" t="str">
        <f t="shared" si="9"/>
        <v>ok</v>
      </c>
      <c r="K197" s="413"/>
      <c r="L197" s="413"/>
      <c r="M197" s="413"/>
      <c r="N197" s="413"/>
      <c r="O197" s="413"/>
      <c r="P197" s="413"/>
      <c r="Q197" s="413"/>
      <c r="R197" s="413"/>
      <c r="S197" s="413"/>
      <c r="T197" s="413"/>
      <c r="U197" s="413"/>
      <c r="V197" s="413"/>
      <c r="W197" s="413">
        <f t="shared" si="7"/>
        <v>0</v>
      </c>
      <c r="X197" s="412">
        <v>300</v>
      </c>
      <c r="Y197" s="412"/>
      <c r="Z197" s="412"/>
      <c r="AA197" s="412"/>
      <c r="AB197" s="412"/>
      <c r="AC197" s="412"/>
      <c r="AD197" s="412"/>
      <c r="AE197" s="412"/>
      <c r="AF197" s="412"/>
      <c r="AG197" s="412"/>
      <c r="AH197" s="412"/>
      <c r="AI197" s="412"/>
      <c r="AJ197" s="412">
        <f t="shared" si="8"/>
        <v>300</v>
      </c>
      <c r="AK197" s="198"/>
      <c r="AL197" s="250" t="s">
        <v>2067</v>
      </c>
    </row>
    <row r="198" spans="1:38" ht="14.1" customHeight="1" x14ac:dyDescent="0.2">
      <c r="A198" t="s">
        <v>892</v>
      </c>
      <c r="B198" s="193">
        <v>3872</v>
      </c>
      <c r="C198" s="194" t="s">
        <v>782</v>
      </c>
      <c r="D198" s="229" t="s">
        <v>1418</v>
      </c>
      <c r="E198" s="229" t="s">
        <v>662</v>
      </c>
      <c r="F198" s="236">
        <v>300</v>
      </c>
      <c r="G198" s="196">
        <v>1</v>
      </c>
      <c r="H198" s="195">
        <v>600</v>
      </c>
      <c r="I198" s="197">
        <v>41259</v>
      </c>
      <c r="J198" s="197" t="str">
        <f t="shared" si="9"/>
        <v>ok</v>
      </c>
      <c r="K198" s="413"/>
      <c r="L198" s="413"/>
      <c r="M198" s="413"/>
      <c r="N198" s="413"/>
      <c r="O198" s="413"/>
      <c r="P198" s="413"/>
      <c r="Q198" s="413"/>
      <c r="R198" s="413"/>
      <c r="S198" s="413"/>
      <c r="T198" s="413"/>
      <c r="U198" s="413">
        <v>300</v>
      </c>
      <c r="V198" s="413">
        <v>300</v>
      </c>
      <c r="W198" s="413">
        <f t="shared" si="7"/>
        <v>600</v>
      </c>
      <c r="X198" s="412"/>
      <c r="Y198" s="412"/>
      <c r="Z198" s="412"/>
      <c r="AA198" s="412"/>
      <c r="AB198" s="412"/>
      <c r="AC198" s="412"/>
      <c r="AD198" s="412"/>
      <c r="AE198" s="412"/>
      <c r="AF198" s="412"/>
      <c r="AG198" s="412"/>
      <c r="AH198" s="412"/>
      <c r="AI198" s="412"/>
      <c r="AJ198" s="412">
        <f t="shared" si="8"/>
        <v>0</v>
      </c>
      <c r="AK198" s="198"/>
      <c r="AL198" s="250" t="s">
        <v>2067</v>
      </c>
    </row>
    <row r="199" spans="1:38" ht="14.1" customHeight="1" x14ac:dyDescent="0.2">
      <c r="A199" t="s">
        <v>888</v>
      </c>
      <c r="B199" s="193">
        <v>3873</v>
      </c>
      <c r="C199" s="194" t="s">
        <v>944</v>
      </c>
      <c r="D199" s="229" t="s">
        <v>1525</v>
      </c>
      <c r="E199" s="229" t="s">
        <v>405</v>
      </c>
      <c r="F199" s="236">
        <v>300</v>
      </c>
      <c r="G199" s="196">
        <v>1</v>
      </c>
      <c r="H199" s="195">
        <v>300</v>
      </c>
      <c r="I199" s="197">
        <v>41259</v>
      </c>
      <c r="J199" s="197" t="str">
        <f t="shared" si="9"/>
        <v>ok</v>
      </c>
      <c r="K199" s="413"/>
      <c r="L199" s="413"/>
      <c r="M199" s="413"/>
      <c r="N199" s="413"/>
      <c r="O199" s="413"/>
      <c r="P199" s="413"/>
      <c r="Q199" s="413"/>
      <c r="R199" s="413"/>
      <c r="S199" s="413"/>
      <c r="T199" s="413"/>
      <c r="U199" s="413"/>
      <c r="V199" s="413">
        <v>300</v>
      </c>
      <c r="W199" s="413">
        <f t="shared" ref="W199:W262" si="10">SUM(K199:V199)</f>
        <v>300</v>
      </c>
      <c r="X199" s="412"/>
      <c r="Y199" s="412"/>
      <c r="Z199" s="412"/>
      <c r="AA199" s="412"/>
      <c r="AB199" s="412"/>
      <c r="AC199" s="412"/>
      <c r="AD199" s="412"/>
      <c r="AE199" s="412"/>
      <c r="AF199" s="412"/>
      <c r="AG199" s="412"/>
      <c r="AH199" s="412"/>
      <c r="AI199" s="412"/>
      <c r="AJ199" s="412">
        <f t="shared" ref="AJ199:AJ262" si="11">SUM(X199:AI199)</f>
        <v>0</v>
      </c>
      <c r="AK199" s="198"/>
      <c r="AL199" s="250" t="s">
        <v>2067</v>
      </c>
    </row>
    <row r="200" spans="1:38" ht="14.1" customHeight="1" x14ac:dyDescent="0.2">
      <c r="A200" t="s">
        <v>894</v>
      </c>
      <c r="B200" s="193">
        <v>3874</v>
      </c>
      <c r="C200" s="194" t="s">
        <v>1166</v>
      </c>
      <c r="D200" s="229" t="s">
        <v>1498</v>
      </c>
      <c r="E200" s="229" t="s">
        <v>615</v>
      </c>
      <c r="F200" s="236">
        <v>300</v>
      </c>
      <c r="G200" s="196">
        <v>1</v>
      </c>
      <c r="H200" s="195">
        <v>300</v>
      </c>
      <c r="I200" s="197">
        <v>41259</v>
      </c>
      <c r="J200" s="197" t="str">
        <f t="shared" si="9"/>
        <v>ok</v>
      </c>
      <c r="K200" s="413"/>
      <c r="L200" s="413"/>
      <c r="M200" s="413"/>
      <c r="N200" s="413"/>
      <c r="O200" s="413"/>
      <c r="P200" s="413"/>
      <c r="Q200" s="413"/>
      <c r="R200" s="413"/>
      <c r="S200" s="413"/>
      <c r="T200" s="413"/>
      <c r="U200" s="413"/>
      <c r="V200" s="413">
        <v>300</v>
      </c>
      <c r="W200" s="413">
        <f t="shared" si="10"/>
        <v>300</v>
      </c>
      <c r="X200" s="412"/>
      <c r="Y200" s="412"/>
      <c r="Z200" s="412"/>
      <c r="AA200" s="412"/>
      <c r="AB200" s="412"/>
      <c r="AC200" s="412"/>
      <c r="AD200" s="412"/>
      <c r="AE200" s="412"/>
      <c r="AF200" s="412"/>
      <c r="AG200" s="412"/>
      <c r="AH200" s="412"/>
      <c r="AI200" s="412"/>
      <c r="AJ200" s="412">
        <f t="shared" si="11"/>
        <v>0</v>
      </c>
      <c r="AK200" s="198"/>
      <c r="AL200" s="250" t="s">
        <v>2067</v>
      </c>
    </row>
    <row r="201" spans="1:38" ht="14.1" customHeight="1" x14ac:dyDescent="0.2">
      <c r="A201" t="s">
        <v>888</v>
      </c>
      <c r="B201" s="193">
        <v>3875</v>
      </c>
      <c r="C201" s="194" t="s">
        <v>928</v>
      </c>
      <c r="D201" s="229" t="s">
        <v>1393</v>
      </c>
      <c r="E201" s="229" t="s">
        <v>719</v>
      </c>
      <c r="F201" s="236">
        <v>300</v>
      </c>
      <c r="G201" s="196">
        <v>1</v>
      </c>
      <c r="H201" s="195">
        <v>300</v>
      </c>
      <c r="I201" s="197">
        <v>41259</v>
      </c>
      <c r="J201" s="197" t="str">
        <f t="shared" si="9"/>
        <v>ok</v>
      </c>
      <c r="K201" s="413"/>
      <c r="L201" s="413"/>
      <c r="M201" s="413"/>
      <c r="N201" s="413"/>
      <c r="O201" s="413"/>
      <c r="P201" s="413"/>
      <c r="Q201" s="413"/>
      <c r="R201" s="413"/>
      <c r="S201" s="413"/>
      <c r="T201" s="413"/>
      <c r="U201" s="413"/>
      <c r="V201" s="413">
        <v>300</v>
      </c>
      <c r="W201" s="413">
        <f t="shared" si="10"/>
        <v>300</v>
      </c>
      <c r="X201" s="412"/>
      <c r="Y201" s="412"/>
      <c r="Z201" s="412"/>
      <c r="AA201" s="412"/>
      <c r="AB201" s="412"/>
      <c r="AC201" s="412"/>
      <c r="AD201" s="412"/>
      <c r="AE201" s="412"/>
      <c r="AF201" s="412"/>
      <c r="AG201" s="412"/>
      <c r="AH201" s="412"/>
      <c r="AI201" s="412"/>
      <c r="AJ201" s="412">
        <f t="shared" si="11"/>
        <v>0</v>
      </c>
      <c r="AK201" s="198"/>
      <c r="AL201" s="250" t="s">
        <v>2067</v>
      </c>
    </row>
    <row r="202" spans="1:38" ht="14.1" customHeight="1" x14ac:dyDescent="0.2">
      <c r="A202" t="s">
        <v>893</v>
      </c>
      <c r="B202" s="193">
        <v>3876</v>
      </c>
      <c r="C202" s="194" t="s">
        <v>1082</v>
      </c>
      <c r="D202" s="229" t="s">
        <v>1544</v>
      </c>
      <c r="E202" s="229" t="s">
        <v>204</v>
      </c>
      <c r="F202" s="236">
        <v>300</v>
      </c>
      <c r="G202" s="196">
        <v>1</v>
      </c>
      <c r="H202" s="195">
        <v>300</v>
      </c>
      <c r="I202" s="197">
        <v>41259</v>
      </c>
      <c r="J202" s="197" t="str">
        <f t="shared" si="9"/>
        <v>ok</v>
      </c>
      <c r="K202" s="413"/>
      <c r="L202" s="413"/>
      <c r="M202" s="413"/>
      <c r="N202" s="413"/>
      <c r="O202" s="413"/>
      <c r="P202" s="413"/>
      <c r="Q202" s="413"/>
      <c r="R202" s="413"/>
      <c r="S202" s="413"/>
      <c r="T202" s="413"/>
      <c r="U202" s="413"/>
      <c r="V202" s="413">
        <v>300</v>
      </c>
      <c r="W202" s="413">
        <f t="shared" si="10"/>
        <v>300</v>
      </c>
      <c r="X202" s="412"/>
      <c r="Y202" s="412"/>
      <c r="Z202" s="412"/>
      <c r="AA202" s="412"/>
      <c r="AB202" s="412"/>
      <c r="AC202" s="412"/>
      <c r="AD202" s="412"/>
      <c r="AE202" s="412"/>
      <c r="AF202" s="412"/>
      <c r="AG202" s="412"/>
      <c r="AH202" s="412"/>
      <c r="AI202" s="412"/>
      <c r="AJ202" s="412">
        <f t="shared" si="11"/>
        <v>0</v>
      </c>
      <c r="AK202" s="198"/>
      <c r="AL202" s="250" t="s">
        <v>2067</v>
      </c>
    </row>
    <row r="203" spans="1:38" ht="14.1" customHeight="1" x14ac:dyDescent="0.2">
      <c r="A203" t="s">
        <v>888</v>
      </c>
      <c r="B203" s="193">
        <v>3877</v>
      </c>
      <c r="C203" s="194" t="s">
        <v>915</v>
      </c>
      <c r="D203" s="229" t="s">
        <v>1592</v>
      </c>
      <c r="E203" s="229" t="s">
        <v>717</v>
      </c>
      <c r="F203" s="236">
        <v>200</v>
      </c>
      <c r="G203" s="196">
        <v>1</v>
      </c>
      <c r="H203" s="195">
        <v>200</v>
      </c>
      <c r="I203" s="197">
        <v>41259</v>
      </c>
      <c r="J203" s="197" t="str">
        <f t="shared" si="9"/>
        <v>ok</v>
      </c>
      <c r="K203" s="413"/>
      <c r="L203" s="413"/>
      <c r="M203" s="413"/>
      <c r="N203" s="413"/>
      <c r="O203" s="413"/>
      <c r="P203" s="413"/>
      <c r="Q203" s="413"/>
      <c r="R203" s="413"/>
      <c r="S203" s="413"/>
      <c r="T203" s="413"/>
      <c r="U203" s="413"/>
      <c r="V203" s="413">
        <v>200</v>
      </c>
      <c r="W203" s="413">
        <f t="shared" si="10"/>
        <v>200</v>
      </c>
      <c r="X203" s="412"/>
      <c r="Y203" s="412"/>
      <c r="Z203" s="412"/>
      <c r="AA203" s="412"/>
      <c r="AB203" s="412"/>
      <c r="AC203" s="412"/>
      <c r="AD203" s="412"/>
      <c r="AE203" s="412"/>
      <c r="AF203" s="412"/>
      <c r="AG203" s="412"/>
      <c r="AH203" s="412"/>
      <c r="AI203" s="412"/>
      <c r="AJ203" s="412">
        <f t="shared" si="11"/>
        <v>0</v>
      </c>
      <c r="AK203" s="198"/>
      <c r="AL203" s="250" t="s">
        <v>2067</v>
      </c>
    </row>
    <row r="204" spans="1:38" ht="14.1" customHeight="1" x14ac:dyDescent="0.2">
      <c r="A204" t="s">
        <v>890</v>
      </c>
      <c r="B204" s="193">
        <v>3878</v>
      </c>
      <c r="C204" s="194" t="s">
        <v>1027</v>
      </c>
      <c r="D204" s="229" t="s">
        <v>1565</v>
      </c>
      <c r="E204" s="229" t="s">
        <v>527</v>
      </c>
      <c r="F204" s="236">
        <v>300</v>
      </c>
      <c r="G204" s="196">
        <v>1</v>
      </c>
      <c r="H204" s="195">
        <v>300</v>
      </c>
      <c r="I204" s="197">
        <v>41259</v>
      </c>
      <c r="J204" s="197" t="str">
        <f t="shared" si="9"/>
        <v>ok</v>
      </c>
      <c r="K204" s="413"/>
      <c r="L204" s="413"/>
      <c r="M204" s="413"/>
      <c r="N204" s="413"/>
      <c r="O204" s="413"/>
      <c r="P204" s="413"/>
      <c r="Q204" s="413"/>
      <c r="R204" s="413"/>
      <c r="S204" s="413"/>
      <c r="T204" s="413"/>
      <c r="U204" s="413"/>
      <c r="V204" s="413">
        <v>300</v>
      </c>
      <c r="W204" s="413">
        <f t="shared" si="10"/>
        <v>300</v>
      </c>
      <c r="X204" s="412"/>
      <c r="Y204" s="412"/>
      <c r="Z204" s="412"/>
      <c r="AA204" s="412"/>
      <c r="AB204" s="412"/>
      <c r="AC204" s="412"/>
      <c r="AD204" s="412"/>
      <c r="AE204" s="412"/>
      <c r="AF204" s="412"/>
      <c r="AG204" s="412"/>
      <c r="AH204" s="412"/>
      <c r="AI204" s="412"/>
      <c r="AJ204" s="412">
        <f t="shared" si="11"/>
        <v>0</v>
      </c>
      <c r="AK204" s="198"/>
      <c r="AL204" s="250" t="s">
        <v>2067</v>
      </c>
    </row>
    <row r="205" spans="1:38" ht="14.1" customHeight="1" x14ac:dyDescent="0.2">
      <c r="A205" t="s">
        <v>884</v>
      </c>
      <c r="B205" s="193">
        <v>3879</v>
      </c>
      <c r="C205" s="194" t="s">
        <v>871</v>
      </c>
      <c r="D205" s="229" t="s">
        <v>1479</v>
      </c>
      <c r="E205" s="229" t="s">
        <v>1252</v>
      </c>
      <c r="F205" s="236">
        <v>200</v>
      </c>
      <c r="G205" s="196">
        <v>1</v>
      </c>
      <c r="H205" s="195">
        <v>400</v>
      </c>
      <c r="I205" s="197">
        <v>41259</v>
      </c>
      <c r="J205" s="197" t="str">
        <f t="shared" si="9"/>
        <v>ok</v>
      </c>
      <c r="K205" s="413"/>
      <c r="L205" s="413"/>
      <c r="M205" s="413"/>
      <c r="N205" s="413"/>
      <c r="O205" s="413"/>
      <c r="P205" s="413"/>
      <c r="Q205" s="413"/>
      <c r="R205" s="413"/>
      <c r="S205" s="413"/>
      <c r="T205" s="413"/>
      <c r="U205" s="413">
        <v>200</v>
      </c>
      <c r="V205" s="413">
        <v>200</v>
      </c>
      <c r="W205" s="413">
        <f t="shared" si="10"/>
        <v>400</v>
      </c>
      <c r="X205" s="412"/>
      <c r="Y205" s="412"/>
      <c r="Z205" s="412"/>
      <c r="AA205" s="412"/>
      <c r="AB205" s="412"/>
      <c r="AC205" s="412"/>
      <c r="AD205" s="412"/>
      <c r="AE205" s="412"/>
      <c r="AF205" s="412"/>
      <c r="AG205" s="412"/>
      <c r="AH205" s="412"/>
      <c r="AI205" s="412"/>
      <c r="AJ205" s="412">
        <f t="shared" si="11"/>
        <v>0</v>
      </c>
      <c r="AK205" s="198"/>
      <c r="AL205" s="250" t="s">
        <v>2067</v>
      </c>
    </row>
    <row r="206" spans="1:38" ht="14.1" customHeight="1" x14ac:dyDescent="0.2">
      <c r="A206" t="s">
        <v>884</v>
      </c>
      <c r="B206" s="193">
        <v>3880</v>
      </c>
      <c r="C206" s="194" t="s">
        <v>824</v>
      </c>
      <c r="D206" s="229" t="s">
        <v>1506</v>
      </c>
      <c r="E206" s="229" t="s">
        <v>1570</v>
      </c>
      <c r="F206" s="236">
        <v>300</v>
      </c>
      <c r="G206" s="196">
        <v>1</v>
      </c>
      <c r="H206" s="195">
        <v>300</v>
      </c>
      <c r="I206" s="197">
        <v>41259</v>
      </c>
      <c r="J206" s="197" t="str">
        <f t="shared" ref="J206:J269" si="12">IF(OR(G206&lt;&gt;1,SUM(W206,AJ206)=H206),"ok","error")</f>
        <v>ok</v>
      </c>
      <c r="K206" s="413"/>
      <c r="L206" s="413"/>
      <c r="M206" s="413"/>
      <c r="N206" s="413"/>
      <c r="O206" s="413"/>
      <c r="P206" s="413"/>
      <c r="Q206" s="413"/>
      <c r="R206" s="413"/>
      <c r="S206" s="413"/>
      <c r="T206" s="413"/>
      <c r="U206" s="413"/>
      <c r="V206" s="413">
        <v>300</v>
      </c>
      <c r="W206" s="413">
        <f t="shared" si="10"/>
        <v>300</v>
      </c>
      <c r="X206" s="412"/>
      <c r="Y206" s="412"/>
      <c r="Z206" s="412"/>
      <c r="AA206" s="412"/>
      <c r="AB206" s="412"/>
      <c r="AC206" s="412"/>
      <c r="AD206" s="412"/>
      <c r="AE206" s="412"/>
      <c r="AF206" s="412"/>
      <c r="AG206" s="412"/>
      <c r="AH206" s="412"/>
      <c r="AI206" s="412"/>
      <c r="AJ206" s="412">
        <f t="shared" si="11"/>
        <v>0</v>
      </c>
      <c r="AK206" s="198"/>
      <c r="AL206" s="250" t="s">
        <v>2067</v>
      </c>
    </row>
    <row r="207" spans="1:38" ht="14.1" customHeight="1" x14ac:dyDescent="0.2">
      <c r="A207" t="s">
        <v>884</v>
      </c>
      <c r="B207" s="193">
        <v>3881</v>
      </c>
      <c r="C207" s="194" t="s">
        <v>822</v>
      </c>
      <c r="D207" s="229" t="s">
        <v>1710</v>
      </c>
      <c r="E207" s="229" t="s">
        <v>706</v>
      </c>
      <c r="F207" s="236">
        <v>300</v>
      </c>
      <c r="G207" s="196">
        <v>5</v>
      </c>
      <c r="H207" s="195">
        <v>20</v>
      </c>
      <c r="I207" s="197">
        <v>41259</v>
      </c>
      <c r="J207" s="197" t="str">
        <f t="shared" si="12"/>
        <v>ok</v>
      </c>
      <c r="K207" s="413"/>
      <c r="L207" s="413"/>
      <c r="M207" s="413"/>
      <c r="N207" s="413"/>
      <c r="O207" s="413"/>
      <c r="P207" s="413"/>
      <c r="Q207" s="413"/>
      <c r="R207" s="413"/>
      <c r="S207" s="413"/>
      <c r="T207" s="413"/>
      <c r="U207" s="413"/>
      <c r="V207" s="413"/>
      <c r="W207" s="413">
        <f t="shared" si="10"/>
        <v>0</v>
      </c>
      <c r="X207" s="412"/>
      <c r="Y207" s="412"/>
      <c r="Z207" s="412"/>
      <c r="AA207" s="412"/>
      <c r="AB207" s="412"/>
      <c r="AC207" s="412"/>
      <c r="AD207" s="412"/>
      <c r="AE207" s="412"/>
      <c r="AF207" s="412"/>
      <c r="AG207" s="412"/>
      <c r="AH207" s="412"/>
      <c r="AI207" s="412"/>
      <c r="AJ207" s="412">
        <f t="shared" si="11"/>
        <v>0</v>
      </c>
      <c r="AK207" s="198"/>
      <c r="AL207" s="250" t="s">
        <v>2068</v>
      </c>
    </row>
    <row r="208" spans="1:38" ht="14.1" customHeight="1" x14ac:dyDescent="0.2">
      <c r="A208" t="s">
        <v>884</v>
      </c>
      <c r="B208" s="193">
        <v>3882</v>
      </c>
      <c r="C208" s="194" t="s">
        <v>813</v>
      </c>
      <c r="D208" s="229" t="s">
        <v>1653</v>
      </c>
      <c r="E208" s="229" t="s">
        <v>35</v>
      </c>
      <c r="F208" s="236">
        <v>150</v>
      </c>
      <c r="G208" s="196">
        <v>1</v>
      </c>
      <c r="H208" s="195">
        <v>150</v>
      </c>
      <c r="I208" s="197">
        <v>41259</v>
      </c>
      <c r="J208" s="197" t="str">
        <f t="shared" si="12"/>
        <v>ok</v>
      </c>
      <c r="K208" s="413"/>
      <c r="L208" s="413"/>
      <c r="M208" s="413"/>
      <c r="N208" s="413"/>
      <c r="O208" s="413"/>
      <c r="P208" s="413"/>
      <c r="Q208" s="413"/>
      <c r="R208" s="413"/>
      <c r="S208" s="413"/>
      <c r="T208" s="413"/>
      <c r="U208" s="413"/>
      <c r="V208" s="413">
        <v>150</v>
      </c>
      <c r="W208" s="413">
        <f t="shared" si="10"/>
        <v>150</v>
      </c>
      <c r="X208" s="412"/>
      <c r="Y208" s="412"/>
      <c r="Z208" s="412"/>
      <c r="AA208" s="412"/>
      <c r="AB208" s="412"/>
      <c r="AC208" s="412"/>
      <c r="AD208" s="412"/>
      <c r="AE208" s="412"/>
      <c r="AF208" s="412"/>
      <c r="AG208" s="412"/>
      <c r="AH208" s="412"/>
      <c r="AI208" s="412"/>
      <c r="AJ208" s="412">
        <f t="shared" si="11"/>
        <v>0</v>
      </c>
      <c r="AK208" s="198"/>
      <c r="AL208" s="250" t="s">
        <v>2067</v>
      </c>
    </row>
    <row r="209" spans="1:38" ht="14.1" customHeight="1" x14ac:dyDescent="0.2">
      <c r="A209" t="s">
        <v>890</v>
      </c>
      <c r="B209" s="193">
        <v>3883</v>
      </c>
      <c r="C209" s="194" t="s">
        <v>1024</v>
      </c>
      <c r="D209" s="229" t="s">
        <v>1599</v>
      </c>
      <c r="E209" s="229" t="s">
        <v>257</v>
      </c>
      <c r="F209" s="236">
        <v>100</v>
      </c>
      <c r="G209" s="196">
        <v>1</v>
      </c>
      <c r="H209" s="195">
        <v>100</v>
      </c>
      <c r="I209" s="197">
        <v>41259</v>
      </c>
      <c r="J209" s="197" t="str">
        <f t="shared" si="12"/>
        <v>ok</v>
      </c>
      <c r="K209" s="413"/>
      <c r="L209" s="413"/>
      <c r="M209" s="413"/>
      <c r="N209" s="413"/>
      <c r="O209" s="413"/>
      <c r="P209" s="413"/>
      <c r="Q209" s="413"/>
      <c r="R209" s="413"/>
      <c r="S209" s="413"/>
      <c r="T209" s="413"/>
      <c r="U209" s="413"/>
      <c r="V209" s="413">
        <v>100</v>
      </c>
      <c r="W209" s="413">
        <f t="shared" si="10"/>
        <v>100</v>
      </c>
      <c r="X209" s="412"/>
      <c r="Y209" s="412"/>
      <c r="Z209" s="412"/>
      <c r="AA209" s="412"/>
      <c r="AB209" s="412"/>
      <c r="AC209" s="412"/>
      <c r="AD209" s="412"/>
      <c r="AE209" s="412"/>
      <c r="AF209" s="412"/>
      <c r="AG209" s="412"/>
      <c r="AH209" s="412"/>
      <c r="AI209" s="412"/>
      <c r="AJ209" s="412">
        <f t="shared" si="11"/>
        <v>0</v>
      </c>
      <c r="AK209" s="198"/>
      <c r="AL209" s="250" t="s">
        <v>2067</v>
      </c>
    </row>
    <row r="210" spans="1:38" ht="14.1" customHeight="1" x14ac:dyDescent="0.2">
      <c r="A210" t="s">
        <v>893</v>
      </c>
      <c r="B210" s="193">
        <v>3884</v>
      </c>
      <c r="C210" s="194" t="s">
        <v>1109</v>
      </c>
      <c r="D210" s="229" t="s">
        <v>1533</v>
      </c>
      <c r="E210" s="229" t="s">
        <v>1667</v>
      </c>
      <c r="F210" s="236">
        <v>300</v>
      </c>
      <c r="G210" s="196">
        <v>1</v>
      </c>
      <c r="H210" s="195">
        <v>300</v>
      </c>
      <c r="I210" s="197">
        <v>41259</v>
      </c>
      <c r="J210" s="197" t="str">
        <f t="shared" si="12"/>
        <v>ok</v>
      </c>
      <c r="K210" s="413"/>
      <c r="L210" s="413"/>
      <c r="M210" s="413"/>
      <c r="N210" s="413"/>
      <c r="O210" s="413"/>
      <c r="P210" s="413"/>
      <c r="Q210" s="413"/>
      <c r="R210" s="413"/>
      <c r="S210" s="413"/>
      <c r="T210" s="413"/>
      <c r="U210" s="413"/>
      <c r="V210" s="413">
        <v>300</v>
      </c>
      <c r="W210" s="413">
        <f t="shared" si="10"/>
        <v>300</v>
      </c>
      <c r="X210" s="412"/>
      <c r="Y210" s="412"/>
      <c r="Z210" s="412"/>
      <c r="AA210" s="412"/>
      <c r="AB210" s="412"/>
      <c r="AC210" s="412"/>
      <c r="AD210" s="412"/>
      <c r="AE210" s="412"/>
      <c r="AF210" s="412"/>
      <c r="AG210" s="412"/>
      <c r="AH210" s="412"/>
      <c r="AI210" s="412"/>
      <c r="AJ210" s="412">
        <f t="shared" si="11"/>
        <v>0</v>
      </c>
      <c r="AK210" s="198"/>
      <c r="AL210" s="250" t="s">
        <v>2067</v>
      </c>
    </row>
    <row r="211" spans="1:38" ht="14.1" customHeight="1" x14ac:dyDescent="0.2">
      <c r="A211" t="s">
        <v>884</v>
      </c>
      <c r="B211" s="193">
        <v>3885</v>
      </c>
      <c r="C211" s="194" t="s">
        <v>854</v>
      </c>
      <c r="D211" s="229" t="s">
        <v>1478</v>
      </c>
      <c r="E211" s="229" t="s">
        <v>95</v>
      </c>
      <c r="F211" s="236">
        <v>300</v>
      </c>
      <c r="G211" s="196">
        <v>1</v>
      </c>
      <c r="H211" s="195">
        <v>300</v>
      </c>
      <c r="I211" s="197">
        <v>41259</v>
      </c>
      <c r="J211" s="197" t="str">
        <f t="shared" si="12"/>
        <v>ok</v>
      </c>
      <c r="K211" s="413"/>
      <c r="L211" s="413"/>
      <c r="M211" s="413"/>
      <c r="N211" s="413"/>
      <c r="O211" s="413"/>
      <c r="P211" s="413"/>
      <c r="Q211" s="413"/>
      <c r="R211" s="413"/>
      <c r="S211" s="413"/>
      <c r="T211" s="413"/>
      <c r="U211" s="413"/>
      <c r="V211" s="413">
        <v>300</v>
      </c>
      <c r="W211" s="413">
        <f t="shared" si="10"/>
        <v>300</v>
      </c>
      <c r="X211" s="412"/>
      <c r="Y211" s="412"/>
      <c r="Z211" s="412"/>
      <c r="AA211" s="412"/>
      <c r="AB211" s="412"/>
      <c r="AC211" s="412"/>
      <c r="AD211" s="412"/>
      <c r="AE211" s="412"/>
      <c r="AF211" s="412"/>
      <c r="AG211" s="412"/>
      <c r="AH211" s="412"/>
      <c r="AI211" s="412"/>
      <c r="AJ211" s="412">
        <f t="shared" si="11"/>
        <v>0</v>
      </c>
      <c r="AK211" s="198"/>
      <c r="AL211" s="250" t="s">
        <v>2067</v>
      </c>
    </row>
    <row r="212" spans="1:38" ht="14.1" customHeight="1" x14ac:dyDescent="0.2">
      <c r="A212" t="s">
        <v>893</v>
      </c>
      <c r="B212" s="193">
        <v>3886</v>
      </c>
      <c r="C212" s="194" t="s">
        <v>1112</v>
      </c>
      <c r="D212" s="229" t="s">
        <v>1566</v>
      </c>
      <c r="E212" s="229" t="s">
        <v>263</v>
      </c>
      <c r="F212" s="236">
        <v>300</v>
      </c>
      <c r="G212" s="196">
        <v>1</v>
      </c>
      <c r="H212" s="195">
        <v>300</v>
      </c>
      <c r="I212" s="197">
        <v>41259</v>
      </c>
      <c r="J212" s="197" t="str">
        <f t="shared" si="12"/>
        <v>ok</v>
      </c>
      <c r="K212" s="413"/>
      <c r="L212" s="413"/>
      <c r="M212" s="413"/>
      <c r="N212" s="413"/>
      <c r="O212" s="413"/>
      <c r="P212" s="413"/>
      <c r="Q212" s="413"/>
      <c r="R212" s="413"/>
      <c r="S212" s="413"/>
      <c r="T212" s="413"/>
      <c r="U212" s="413"/>
      <c r="V212" s="413">
        <v>300</v>
      </c>
      <c r="W212" s="413">
        <f t="shared" si="10"/>
        <v>300</v>
      </c>
      <c r="X212" s="412"/>
      <c r="Y212" s="412"/>
      <c r="Z212" s="412"/>
      <c r="AA212" s="412"/>
      <c r="AB212" s="412"/>
      <c r="AC212" s="412"/>
      <c r="AD212" s="412"/>
      <c r="AE212" s="412"/>
      <c r="AF212" s="412"/>
      <c r="AG212" s="412"/>
      <c r="AH212" s="412"/>
      <c r="AI212" s="412"/>
      <c r="AJ212" s="412">
        <f t="shared" si="11"/>
        <v>0</v>
      </c>
      <c r="AK212" s="198"/>
      <c r="AL212" s="250" t="s">
        <v>2067</v>
      </c>
    </row>
    <row r="213" spans="1:38" ht="14.1" customHeight="1" x14ac:dyDescent="0.2">
      <c r="A213" t="s">
        <v>890</v>
      </c>
      <c r="B213" s="193">
        <v>3887</v>
      </c>
      <c r="C213" s="194" t="s">
        <v>983</v>
      </c>
      <c r="D213" s="229" t="s">
        <v>1711</v>
      </c>
      <c r="E213" s="229" t="s">
        <v>59</v>
      </c>
      <c r="F213" s="236">
        <v>300</v>
      </c>
      <c r="G213" s="196">
        <v>1</v>
      </c>
      <c r="H213" s="195">
        <v>1500</v>
      </c>
      <c r="I213" s="197">
        <v>41259</v>
      </c>
      <c r="J213" s="197" t="str">
        <f t="shared" si="12"/>
        <v>ok</v>
      </c>
      <c r="K213" s="413"/>
      <c r="L213" s="413"/>
      <c r="M213" s="413"/>
      <c r="N213" s="413"/>
      <c r="O213" s="413"/>
      <c r="P213" s="413"/>
      <c r="Q213" s="413"/>
      <c r="R213" s="413">
        <v>300</v>
      </c>
      <c r="S213" s="413">
        <v>300</v>
      </c>
      <c r="T213" s="413">
        <v>300</v>
      </c>
      <c r="U213" s="413">
        <v>300</v>
      </c>
      <c r="V213" s="413">
        <v>300</v>
      </c>
      <c r="W213" s="413">
        <f t="shared" si="10"/>
        <v>1500</v>
      </c>
      <c r="X213" s="412"/>
      <c r="Y213" s="412"/>
      <c r="Z213" s="412"/>
      <c r="AA213" s="412"/>
      <c r="AB213" s="412"/>
      <c r="AC213" s="412"/>
      <c r="AD213" s="412"/>
      <c r="AE213" s="412"/>
      <c r="AF213" s="412"/>
      <c r="AG213" s="412"/>
      <c r="AH213" s="412"/>
      <c r="AI213" s="412"/>
      <c r="AJ213" s="412">
        <f t="shared" si="11"/>
        <v>0</v>
      </c>
      <c r="AK213" s="198"/>
      <c r="AL213" s="250" t="s">
        <v>2067</v>
      </c>
    </row>
    <row r="214" spans="1:38" ht="14.1" customHeight="1" x14ac:dyDescent="0.2">
      <c r="A214" t="s">
        <v>888</v>
      </c>
      <c r="B214" s="193">
        <v>3888</v>
      </c>
      <c r="C214" s="194" t="s">
        <v>957</v>
      </c>
      <c r="D214" s="229" t="s">
        <v>1649</v>
      </c>
      <c r="E214" s="229" t="s">
        <v>438</v>
      </c>
      <c r="F214" s="236">
        <v>300</v>
      </c>
      <c r="G214" s="196">
        <v>1</v>
      </c>
      <c r="H214" s="195">
        <v>1200</v>
      </c>
      <c r="I214" s="197">
        <v>41261</v>
      </c>
      <c r="J214" s="197" t="str">
        <f t="shared" si="12"/>
        <v>ok</v>
      </c>
      <c r="K214" s="413"/>
      <c r="L214" s="413"/>
      <c r="M214" s="413"/>
      <c r="N214" s="413"/>
      <c r="O214" s="413"/>
      <c r="P214" s="413"/>
      <c r="Q214" s="413"/>
      <c r="R214" s="413"/>
      <c r="S214" s="413">
        <v>300</v>
      </c>
      <c r="T214" s="413">
        <v>300</v>
      </c>
      <c r="U214" s="413">
        <v>300</v>
      </c>
      <c r="V214" s="413">
        <v>300</v>
      </c>
      <c r="W214" s="413">
        <f t="shared" si="10"/>
        <v>1200</v>
      </c>
      <c r="X214" s="412"/>
      <c r="Y214" s="412"/>
      <c r="Z214" s="412"/>
      <c r="AA214" s="412"/>
      <c r="AB214" s="412"/>
      <c r="AC214" s="412"/>
      <c r="AD214" s="412"/>
      <c r="AE214" s="412"/>
      <c r="AF214" s="412"/>
      <c r="AG214" s="412"/>
      <c r="AH214" s="412"/>
      <c r="AI214" s="412"/>
      <c r="AJ214" s="412">
        <f t="shared" si="11"/>
        <v>0</v>
      </c>
      <c r="AK214" s="198"/>
      <c r="AL214" s="250" t="s">
        <v>2067</v>
      </c>
    </row>
    <row r="215" spans="1:38" ht="14.1" customHeight="1" x14ac:dyDescent="0.2">
      <c r="A215" t="s">
        <v>892</v>
      </c>
      <c r="B215" s="193">
        <v>3889</v>
      </c>
      <c r="C215" s="194" t="s">
        <v>1057</v>
      </c>
      <c r="D215" s="229" t="s">
        <v>1548</v>
      </c>
      <c r="E215" s="229" t="s">
        <v>46</v>
      </c>
      <c r="F215" s="236">
        <v>300</v>
      </c>
      <c r="G215" s="196">
        <v>1</v>
      </c>
      <c r="H215" s="195">
        <v>300</v>
      </c>
      <c r="I215" s="197">
        <v>41261</v>
      </c>
      <c r="J215" s="197" t="str">
        <f t="shared" si="12"/>
        <v>ok</v>
      </c>
      <c r="K215" s="413"/>
      <c r="L215" s="413"/>
      <c r="M215" s="413"/>
      <c r="N215" s="413"/>
      <c r="O215" s="413"/>
      <c r="P215" s="413"/>
      <c r="Q215" s="413"/>
      <c r="R215" s="413"/>
      <c r="S215" s="413"/>
      <c r="T215" s="413"/>
      <c r="U215" s="413"/>
      <c r="V215" s="413">
        <v>300</v>
      </c>
      <c r="W215" s="413">
        <f t="shared" si="10"/>
        <v>300</v>
      </c>
      <c r="X215" s="412"/>
      <c r="Y215" s="412"/>
      <c r="Z215" s="412"/>
      <c r="AA215" s="412"/>
      <c r="AB215" s="412"/>
      <c r="AC215" s="412"/>
      <c r="AD215" s="412"/>
      <c r="AE215" s="412"/>
      <c r="AF215" s="412"/>
      <c r="AG215" s="412"/>
      <c r="AH215" s="412"/>
      <c r="AI215" s="412"/>
      <c r="AJ215" s="412">
        <f t="shared" si="11"/>
        <v>0</v>
      </c>
      <c r="AK215" s="198"/>
      <c r="AL215" s="250" t="s">
        <v>2067</v>
      </c>
    </row>
    <row r="216" spans="1:38" ht="14.1" customHeight="1" x14ac:dyDescent="0.2">
      <c r="A216" t="s">
        <v>890</v>
      </c>
      <c r="B216" s="193">
        <v>3890</v>
      </c>
      <c r="C216" s="194" t="s">
        <v>981</v>
      </c>
      <c r="D216" s="229" t="s">
        <v>1655</v>
      </c>
      <c r="E216" s="229" t="s">
        <v>468</v>
      </c>
      <c r="F216" s="236">
        <v>300</v>
      </c>
      <c r="G216" s="196">
        <v>1</v>
      </c>
      <c r="H216" s="195">
        <v>300</v>
      </c>
      <c r="I216" s="197">
        <v>41262</v>
      </c>
      <c r="J216" s="197" t="str">
        <f t="shared" si="12"/>
        <v>ok</v>
      </c>
      <c r="K216" s="413"/>
      <c r="L216" s="413"/>
      <c r="M216" s="413"/>
      <c r="N216" s="413"/>
      <c r="O216" s="413"/>
      <c r="P216" s="413"/>
      <c r="Q216" s="413"/>
      <c r="R216" s="413"/>
      <c r="S216" s="413"/>
      <c r="T216" s="413"/>
      <c r="U216" s="413"/>
      <c r="V216" s="413">
        <v>300</v>
      </c>
      <c r="W216" s="413">
        <f t="shared" si="10"/>
        <v>300</v>
      </c>
      <c r="X216" s="412"/>
      <c r="Y216" s="412"/>
      <c r="Z216" s="412"/>
      <c r="AA216" s="412"/>
      <c r="AB216" s="412"/>
      <c r="AC216" s="412"/>
      <c r="AD216" s="412"/>
      <c r="AE216" s="412"/>
      <c r="AF216" s="412"/>
      <c r="AG216" s="412"/>
      <c r="AH216" s="412"/>
      <c r="AI216" s="412"/>
      <c r="AJ216" s="412">
        <f t="shared" si="11"/>
        <v>0</v>
      </c>
      <c r="AK216" s="198"/>
      <c r="AL216" s="250" t="s">
        <v>2067</v>
      </c>
    </row>
    <row r="217" spans="1:38" ht="14.1" customHeight="1" x14ac:dyDescent="0.2">
      <c r="A217" t="s">
        <v>893</v>
      </c>
      <c r="B217" s="193">
        <v>3891</v>
      </c>
      <c r="C217" s="194" t="s">
        <v>1092</v>
      </c>
      <c r="D217" s="229" t="s">
        <v>1569</v>
      </c>
      <c r="E217" s="229" t="s">
        <v>223</v>
      </c>
      <c r="F217" s="236">
        <v>300</v>
      </c>
      <c r="G217" s="196">
        <v>1</v>
      </c>
      <c r="H217" s="195">
        <v>300</v>
      </c>
      <c r="I217" s="197">
        <v>41262</v>
      </c>
      <c r="J217" s="197" t="str">
        <f t="shared" si="12"/>
        <v>ok</v>
      </c>
      <c r="K217" s="413"/>
      <c r="L217" s="413"/>
      <c r="M217" s="413"/>
      <c r="N217" s="413"/>
      <c r="O217" s="413"/>
      <c r="P217" s="413"/>
      <c r="Q217" s="413"/>
      <c r="R217" s="413"/>
      <c r="S217" s="413"/>
      <c r="T217" s="413"/>
      <c r="U217" s="413"/>
      <c r="V217" s="413">
        <v>300</v>
      </c>
      <c r="W217" s="413">
        <f t="shared" si="10"/>
        <v>300</v>
      </c>
      <c r="X217" s="412"/>
      <c r="Y217" s="412"/>
      <c r="Z217" s="412"/>
      <c r="AA217" s="412"/>
      <c r="AB217" s="412"/>
      <c r="AC217" s="412"/>
      <c r="AD217" s="412"/>
      <c r="AE217" s="412"/>
      <c r="AF217" s="412"/>
      <c r="AG217" s="412"/>
      <c r="AH217" s="412"/>
      <c r="AI217" s="412"/>
      <c r="AJ217" s="412">
        <f t="shared" si="11"/>
        <v>0</v>
      </c>
      <c r="AK217" s="198"/>
      <c r="AL217" s="250" t="s">
        <v>2067</v>
      </c>
    </row>
    <row r="218" spans="1:38" ht="14.1" customHeight="1" x14ac:dyDescent="0.2">
      <c r="A218" t="s">
        <v>893</v>
      </c>
      <c r="B218" s="193">
        <v>3892</v>
      </c>
      <c r="C218" s="194" t="s">
        <v>1071</v>
      </c>
      <c r="D218" s="229" t="s">
        <v>1547</v>
      </c>
      <c r="E218" s="229" t="s">
        <v>1255</v>
      </c>
      <c r="F218" s="236">
        <v>300</v>
      </c>
      <c r="G218" s="196">
        <v>1</v>
      </c>
      <c r="H218" s="195">
        <v>300</v>
      </c>
      <c r="I218" s="197">
        <v>41262</v>
      </c>
      <c r="J218" s="197" t="str">
        <f t="shared" si="12"/>
        <v>ok</v>
      </c>
      <c r="K218" s="413"/>
      <c r="L218" s="413"/>
      <c r="M218" s="413"/>
      <c r="N218" s="413"/>
      <c r="O218" s="413"/>
      <c r="P218" s="413"/>
      <c r="Q218" s="413"/>
      <c r="R218" s="413"/>
      <c r="S218" s="413"/>
      <c r="T218" s="413"/>
      <c r="U218" s="413"/>
      <c r="V218" s="413">
        <v>300</v>
      </c>
      <c r="W218" s="413">
        <f t="shared" si="10"/>
        <v>300</v>
      </c>
      <c r="X218" s="412"/>
      <c r="Y218" s="412"/>
      <c r="Z218" s="412"/>
      <c r="AA218" s="412"/>
      <c r="AB218" s="412"/>
      <c r="AC218" s="412"/>
      <c r="AD218" s="412"/>
      <c r="AE218" s="412"/>
      <c r="AF218" s="412"/>
      <c r="AG218" s="412"/>
      <c r="AH218" s="412"/>
      <c r="AI218" s="412"/>
      <c r="AJ218" s="412">
        <f t="shared" si="11"/>
        <v>0</v>
      </c>
      <c r="AK218" s="198"/>
      <c r="AL218" s="250" t="s">
        <v>2067</v>
      </c>
    </row>
    <row r="219" spans="1:38" ht="14.1" customHeight="1" x14ac:dyDescent="0.2">
      <c r="A219" t="s">
        <v>884</v>
      </c>
      <c r="B219" s="193">
        <v>3893</v>
      </c>
      <c r="C219" s="194" t="s">
        <v>811</v>
      </c>
      <c r="D219" s="229" t="s">
        <v>1650</v>
      </c>
      <c r="E219" s="229" t="s">
        <v>32</v>
      </c>
      <c r="F219" s="236">
        <v>300</v>
      </c>
      <c r="G219" s="196">
        <v>1</v>
      </c>
      <c r="H219" s="195">
        <v>600</v>
      </c>
      <c r="I219" s="197">
        <v>41263</v>
      </c>
      <c r="J219" s="197" t="str">
        <f t="shared" si="12"/>
        <v>ok</v>
      </c>
      <c r="K219" s="413"/>
      <c r="L219" s="413"/>
      <c r="M219" s="413"/>
      <c r="N219" s="413"/>
      <c r="O219" s="413"/>
      <c r="P219" s="413"/>
      <c r="Q219" s="413"/>
      <c r="R219" s="413"/>
      <c r="S219" s="413">
        <v>300</v>
      </c>
      <c r="T219" s="413">
        <v>300</v>
      </c>
      <c r="U219" s="413"/>
      <c r="V219" s="413"/>
      <c r="W219" s="413">
        <f t="shared" si="10"/>
        <v>600</v>
      </c>
      <c r="X219" s="412"/>
      <c r="Y219" s="412"/>
      <c r="Z219" s="412"/>
      <c r="AA219" s="412"/>
      <c r="AB219" s="412"/>
      <c r="AC219" s="412"/>
      <c r="AD219" s="412"/>
      <c r="AE219" s="412"/>
      <c r="AF219" s="412"/>
      <c r="AG219" s="412"/>
      <c r="AH219" s="412"/>
      <c r="AI219" s="412"/>
      <c r="AJ219" s="412">
        <f t="shared" si="11"/>
        <v>0</v>
      </c>
      <c r="AK219" s="198"/>
      <c r="AL219" s="250" t="s">
        <v>2067</v>
      </c>
    </row>
    <row r="220" spans="1:38" ht="14.1" customHeight="1" x14ac:dyDescent="0.2">
      <c r="A220" t="s">
        <v>888</v>
      </c>
      <c r="B220" s="193">
        <v>3894</v>
      </c>
      <c r="C220" s="194" t="s">
        <v>945</v>
      </c>
      <c r="D220" s="229" t="s">
        <v>1379</v>
      </c>
      <c r="E220" s="229" t="s">
        <v>407</v>
      </c>
      <c r="F220" s="236">
        <v>300</v>
      </c>
      <c r="G220" s="196">
        <v>2</v>
      </c>
      <c r="H220" s="195">
        <v>300</v>
      </c>
      <c r="I220" s="197">
        <v>41264</v>
      </c>
      <c r="J220" s="197" t="str">
        <f t="shared" si="12"/>
        <v>ok</v>
      </c>
      <c r="K220" s="413"/>
      <c r="L220" s="413"/>
      <c r="M220" s="413"/>
      <c r="N220" s="413"/>
      <c r="O220" s="413"/>
      <c r="P220" s="413"/>
      <c r="Q220" s="413"/>
      <c r="R220" s="413"/>
      <c r="S220" s="413"/>
      <c r="T220" s="413"/>
      <c r="U220" s="413"/>
      <c r="V220" s="413"/>
      <c r="W220" s="413">
        <f t="shared" si="10"/>
        <v>0</v>
      </c>
      <c r="X220" s="412"/>
      <c r="Y220" s="412"/>
      <c r="Z220" s="412"/>
      <c r="AA220" s="412"/>
      <c r="AB220" s="412"/>
      <c r="AC220" s="412"/>
      <c r="AD220" s="412"/>
      <c r="AE220" s="412"/>
      <c r="AF220" s="412"/>
      <c r="AG220" s="412"/>
      <c r="AH220" s="412"/>
      <c r="AI220" s="412"/>
      <c r="AJ220" s="412">
        <f t="shared" si="11"/>
        <v>0</v>
      </c>
      <c r="AK220" s="198"/>
      <c r="AL220" s="250" t="s">
        <v>2068</v>
      </c>
    </row>
    <row r="221" spans="1:38" ht="14.1" customHeight="1" x14ac:dyDescent="0.2">
      <c r="A221" t="s">
        <v>888</v>
      </c>
      <c r="B221" s="193">
        <v>3895</v>
      </c>
      <c r="C221" s="194" t="s">
        <v>965</v>
      </c>
      <c r="D221" s="229" t="s">
        <v>1712</v>
      </c>
      <c r="E221" s="229" t="s">
        <v>429</v>
      </c>
      <c r="F221" s="236">
        <v>300</v>
      </c>
      <c r="G221" s="196">
        <v>7</v>
      </c>
      <c r="H221" s="195">
        <v>1000</v>
      </c>
      <c r="I221" s="197">
        <v>41264</v>
      </c>
      <c r="J221" s="197" t="str">
        <f t="shared" si="12"/>
        <v>ok</v>
      </c>
      <c r="K221" s="413"/>
      <c r="L221" s="413"/>
      <c r="M221" s="413"/>
      <c r="N221" s="413"/>
      <c r="O221" s="413"/>
      <c r="P221" s="413"/>
      <c r="Q221" s="413"/>
      <c r="R221" s="413"/>
      <c r="S221" s="413"/>
      <c r="T221" s="413"/>
      <c r="U221" s="413"/>
      <c r="V221" s="413"/>
      <c r="W221" s="413">
        <f t="shared" si="10"/>
        <v>0</v>
      </c>
      <c r="X221" s="412"/>
      <c r="Y221" s="412"/>
      <c r="Z221" s="412"/>
      <c r="AA221" s="412"/>
      <c r="AB221" s="412"/>
      <c r="AC221" s="412"/>
      <c r="AD221" s="412"/>
      <c r="AE221" s="412"/>
      <c r="AF221" s="412"/>
      <c r="AG221" s="412"/>
      <c r="AH221" s="412"/>
      <c r="AI221" s="412"/>
      <c r="AJ221" s="412">
        <f t="shared" si="11"/>
        <v>0</v>
      </c>
      <c r="AK221" s="198"/>
      <c r="AL221" s="250" t="s">
        <v>2068</v>
      </c>
    </row>
    <row r="222" spans="1:38" ht="14.1" customHeight="1" x14ac:dyDescent="0.2">
      <c r="A222" t="s">
        <v>893</v>
      </c>
      <c r="B222" s="193">
        <v>3896</v>
      </c>
      <c r="C222" s="194" t="s">
        <v>1125</v>
      </c>
      <c r="D222" s="229" t="s">
        <v>1543</v>
      </c>
      <c r="E222" s="229" t="s">
        <v>286</v>
      </c>
      <c r="F222" s="236">
        <v>300</v>
      </c>
      <c r="G222" s="196">
        <v>1</v>
      </c>
      <c r="H222" s="195">
        <v>300</v>
      </c>
      <c r="I222" s="197">
        <v>41265</v>
      </c>
      <c r="J222" s="197" t="str">
        <f t="shared" si="12"/>
        <v>ok</v>
      </c>
      <c r="K222" s="413"/>
      <c r="L222" s="413"/>
      <c r="M222" s="413"/>
      <c r="N222" s="413"/>
      <c r="O222" s="413"/>
      <c r="P222" s="413"/>
      <c r="Q222" s="413"/>
      <c r="R222" s="413"/>
      <c r="S222" s="413"/>
      <c r="T222" s="413"/>
      <c r="U222" s="413"/>
      <c r="V222" s="413">
        <v>300</v>
      </c>
      <c r="W222" s="413">
        <f t="shared" si="10"/>
        <v>300</v>
      </c>
      <c r="X222" s="412"/>
      <c r="Y222" s="412"/>
      <c r="Z222" s="412"/>
      <c r="AA222" s="412"/>
      <c r="AB222" s="412"/>
      <c r="AC222" s="412"/>
      <c r="AD222" s="412"/>
      <c r="AE222" s="412"/>
      <c r="AF222" s="412"/>
      <c r="AG222" s="412"/>
      <c r="AH222" s="412"/>
      <c r="AI222" s="412"/>
      <c r="AJ222" s="412">
        <f t="shared" si="11"/>
        <v>0</v>
      </c>
      <c r="AK222" s="198"/>
      <c r="AL222" s="250" t="s">
        <v>2067</v>
      </c>
    </row>
    <row r="223" spans="1:38" ht="14.1" customHeight="1" x14ac:dyDescent="0.2">
      <c r="B223" s="193">
        <v>3897</v>
      </c>
      <c r="C223" s="274" t="s">
        <v>1705</v>
      </c>
      <c r="D223" s="271"/>
      <c r="E223" s="271"/>
      <c r="F223" s="272"/>
      <c r="G223" s="196">
        <v>1</v>
      </c>
      <c r="H223" s="195">
        <v>300</v>
      </c>
      <c r="I223" s="197">
        <v>41266</v>
      </c>
      <c r="J223" s="197" t="str">
        <f t="shared" si="12"/>
        <v>ok</v>
      </c>
      <c r="K223" s="413"/>
      <c r="L223" s="413"/>
      <c r="M223" s="413"/>
      <c r="N223" s="413"/>
      <c r="O223" s="413"/>
      <c r="P223" s="413"/>
      <c r="Q223" s="413"/>
      <c r="R223" s="413"/>
      <c r="S223" s="413"/>
      <c r="T223" s="413"/>
      <c r="U223" s="413">
        <v>300</v>
      </c>
      <c r="V223" s="413"/>
      <c r="W223" s="413">
        <f t="shared" si="10"/>
        <v>300</v>
      </c>
      <c r="X223" s="412"/>
      <c r="Y223" s="412"/>
      <c r="Z223" s="412"/>
      <c r="AA223" s="412"/>
      <c r="AB223" s="412"/>
      <c r="AC223" s="412"/>
      <c r="AD223" s="412"/>
      <c r="AE223" s="412"/>
      <c r="AF223" s="412"/>
      <c r="AG223" s="412"/>
      <c r="AH223" s="412"/>
      <c r="AI223" s="412"/>
      <c r="AJ223" s="412">
        <f t="shared" si="11"/>
        <v>0</v>
      </c>
      <c r="AK223" s="198" t="s">
        <v>1733</v>
      </c>
      <c r="AL223" s="250" t="s">
        <v>2067</v>
      </c>
    </row>
    <row r="224" spans="1:38" ht="14.1" customHeight="1" x14ac:dyDescent="0.2">
      <c r="A224" t="s">
        <v>884</v>
      </c>
      <c r="B224" s="193">
        <v>3898</v>
      </c>
      <c r="C224" s="194" t="s">
        <v>845</v>
      </c>
      <c r="D224" s="229" t="s">
        <v>1619</v>
      </c>
      <c r="E224" s="229" t="s">
        <v>84</v>
      </c>
      <c r="F224" s="236">
        <v>300</v>
      </c>
      <c r="G224" s="196">
        <v>1</v>
      </c>
      <c r="H224" s="195">
        <v>600</v>
      </c>
      <c r="I224" s="197">
        <v>41266</v>
      </c>
      <c r="J224" s="197" t="str">
        <f t="shared" si="12"/>
        <v>ok</v>
      </c>
      <c r="K224" s="413"/>
      <c r="L224" s="413"/>
      <c r="M224" s="413"/>
      <c r="N224" s="413"/>
      <c r="O224" s="413"/>
      <c r="P224" s="413"/>
      <c r="Q224" s="413"/>
      <c r="R224" s="413"/>
      <c r="S224" s="413"/>
      <c r="T224" s="413"/>
      <c r="U224" s="413">
        <v>300</v>
      </c>
      <c r="V224" s="413">
        <v>300</v>
      </c>
      <c r="W224" s="413">
        <f t="shared" si="10"/>
        <v>600</v>
      </c>
      <c r="X224" s="412"/>
      <c r="Y224" s="412"/>
      <c r="Z224" s="412"/>
      <c r="AA224" s="412"/>
      <c r="AB224" s="412"/>
      <c r="AC224" s="412"/>
      <c r="AD224" s="412"/>
      <c r="AE224" s="412"/>
      <c r="AF224" s="412"/>
      <c r="AG224" s="412"/>
      <c r="AH224" s="412"/>
      <c r="AI224" s="412"/>
      <c r="AJ224" s="412">
        <f t="shared" si="11"/>
        <v>0</v>
      </c>
      <c r="AK224" s="198"/>
      <c r="AL224" s="250" t="s">
        <v>2067</v>
      </c>
    </row>
    <row r="225" spans="1:38" ht="14.1" customHeight="1" x14ac:dyDescent="0.2">
      <c r="A225" t="s">
        <v>884</v>
      </c>
      <c r="B225" s="193">
        <v>3898</v>
      </c>
      <c r="C225" s="194" t="s">
        <v>845</v>
      </c>
      <c r="D225" s="229" t="s">
        <v>1619</v>
      </c>
      <c r="E225" s="229" t="s">
        <v>84</v>
      </c>
      <c r="F225" s="236">
        <v>300</v>
      </c>
      <c r="G225" s="196">
        <v>2</v>
      </c>
      <c r="H225" s="195">
        <v>300</v>
      </c>
      <c r="I225" s="197">
        <v>41266</v>
      </c>
      <c r="J225" s="197" t="str">
        <f t="shared" si="12"/>
        <v>ok</v>
      </c>
      <c r="K225" s="413"/>
      <c r="L225" s="413"/>
      <c r="M225" s="413"/>
      <c r="N225" s="413"/>
      <c r="O225" s="413"/>
      <c r="P225" s="413"/>
      <c r="Q225" s="413"/>
      <c r="R225" s="413"/>
      <c r="S225" s="413"/>
      <c r="T225" s="413"/>
      <c r="U225" s="413"/>
      <c r="V225" s="413"/>
      <c r="W225" s="413">
        <f t="shared" si="10"/>
        <v>0</v>
      </c>
      <c r="X225" s="412"/>
      <c r="Y225" s="412"/>
      <c r="Z225" s="412"/>
      <c r="AA225" s="412"/>
      <c r="AB225" s="412"/>
      <c r="AC225" s="412"/>
      <c r="AD225" s="412"/>
      <c r="AE225" s="412"/>
      <c r="AF225" s="412"/>
      <c r="AG225" s="412"/>
      <c r="AH225" s="412"/>
      <c r="AI225" s="412"/>
      <c r="AJ225" s="412">
        <f t="shared" si="11"/>
        <v>0</v>
      </c>
      <c r="AK225" s="198"/>
      <c r="AL225" s="250" t="s">
        <v>2068</v>
      </c>
    </row>
    <row r="226" spans="1:38" ht="14.1" customHeight="1" x14ac:dyDescent="0.2">
      <c r="A226" t="s">
        <v>888</v>
      </c>
      <c r="B226" s="193">
        <v>3899</v>
      </c>
      <c r="C226" s="194" t="s">
        <v>1180</v>
      </c>
      <c r="D226" s="229" t="s">
        <v>1400</v>
      </c>
      <c r="E226" s="229" t="s">
        <v>418</v>
      </c>
      <c r="F226" s="236">
        <v>250</v>
      </c>
      <c r="G226" s="196">
        <v>1</v>
      </c>
      <c r="H226" s="195">
        <v>500</v>
      </c>
      <c r="I226" s="197">
        <v>41266</v>
      </c>
      <c r="J226" s="197" t="str">
        <f t="shared" si="12"/>
        <v>ok</v>
      </c>
      <c r="K226" s="413"/>
      <c r="L226" s="413"/>
      <c r="M226" s="413"/>
      <c r="N226" s="413"/>
      <c r="O226" s="413"/>
      <c r="P226" s="413"/>
      <c r="Q226" s="413"/>
      <c r="R226" s="413"/>
      <c r="S226" s="413"/>
      <c r="T226" s="413">
        <v>250</v>
      </c>
      <c r="U226" s="413">
        <v>250</v>
      </c>
      <c r="V226" s="413"/>
      <c r="W226" s="413">
        <f t="shared" si="10"/>
        <v>500</v>
      </c>
      <c r="X226" s="412"/>
      <c r="Y226" s="412"/>
      <c r="Z226" s="412"/>
      <c r="AA226" s="412"/>
      <c r="AB226" s="412"/>
      <c r="AC226" s="412"/>
      <c r="AD226" s="412"/>
      <c r="AE226" s="412"/>
      <c r="AF226" s="412"/>
      <c r="AG226" s="412"/>
      <c r="AH226" s="412"/>
      <c r="AI226" s="412"/>
      <c r="AJ226" s="412">
        <f t="shared" si="11"/>
        <v>0</v>
      </c>
      <c r="AK226" s="198"/>
      <c r="AL226" s="250" t="s">
        <v>2067</v>
      </c>
    </row>
    <row r="227" spans="1:38" ht="14.1" customHeight="1" x14ac:dyDescent="0.2">
      <c r="A227" t="s">
        <v>891</v>
      </c>
      <c r="B227" s="193">
        <v>3900</v>
      </c>
      <c r="C227" s="194" t="s">
        <v>1049</v>
      </c>
      <c r="D227" s="229" t="s">
        <v>1550</v>
      </c>
      <c r="E227" s="229" t="s">
        <v>649</v>
      </c>
      <c r="F227" s="236">
        <v>100</v>
      </c>
      <c r="G227" s="196">
        <v>1</v>
      </c>
      <c r="H227" s="195">
        <v>100</v>
      </c>
      <c r="I227" s="197">
        <v>41266</v>
      </c>
      <c r="J227" s="197" t="str">
        <f t="shared" si="12"/>
        <v>ok</v>
      </c>
      <c r="K227" s="413"/>
      <c r="L227" s="413"/>
      <c r="M227" s="413"/>
      <c r="N227" s="413"/>
      <c r="O227" s="413"/>
      <c r="P227" s="413"/>
      <c r="Q227" s="413"/>
      <c r="R227" s="413"/>
      <c r="S227" s="413"/>
      <c r="T227" s="413"/>
      <c r="U227" s="413"/>
      <c r="V227" s="413">
        <v>100</v>
      </c>
      <c r="W227" s="413">
        <f t="shared" si="10"/>
        <v>100</v>
      </c>
      <c r="X227" s="412"/>
      <c r="Y227" s="412"/>
      <c r="Z227" s="412"/>
      <c r="AA227" s="412"/>
      <c r="AB227" s="412"/>
      <c r="AC227" s="412"/>
      <c r="AD227" s="412"/>
      <c r="AE227" s="412"/>
      <c r="AF227" s="412"/>
      <c r="AG227" s="412"/>
      <c r="AH227" s="412"/>
      <c r="AI227" s="412"/>
      <c r="AJ227" s="412">
        <f t="shared" si="11"/>
        <v>0</v>
      </c>
      <c r="AK227" s="198"/>
      <c r="AL227" s="250" t="s">
        <v>2067</v>
      </c>
    </row>
    <row r="228" spans="1:38" ht="14.1" customHeight="1" x14ac:dyDescent="0.2">
      <c r="A228" t="s">
        <v>894</v>
      </c>
      <c r="B228" s="193">
        <v>3901</v>
      </c>
      <c r="C228" s="194" t="s">
        <v>1157</v>
      </c>
      <c r="D228" s="229" t="s">
        <v>1487</v>
      </c>
      <c r="E228" s="229" t="s">
        <v>1224</v>
      </c>
      <c r="F228" s="236">
        <v>300</v>
      </c>
      <c r="G228" s="196">
        <v>1</v>
      </c>
      <c r="H228" s="195">
        <v>300</v>
      </c>
      <c r="I228" s="197">
        <v>41266</v>
      </c>
      <c r="J228" s="197" t="str">
        <f t="shared" si="12"/>
        <v>ok</v>
      </c>
      <c r="K228" s="413"/>
      <c r="L228" s="413"/>
      <c r="M228" s="413"/>
      <c r="N228" s="413"/>
      <c r="O228" s="413"/>
      <c r="P228" s="413"/>
      <c r="Q228" s="413"/>
      <c r="R228" s="413"/>
      <c r="S228" s="413"/>
      <c r="T228" s="413"/>
      <c r="U228" s="413"/>
      <c r="V228" s="413">
        <v>300</v>
      </c>
      <c r="W228" s="413">
        <f t="shared" si="10"/>
        <v>300</v>
      </c>
      <c r="X228" s="412"/>
      <c r="Y228" s="412"/>
      <c r="Z228" s="412"/>
      <c r="AA228" s="412"/>
      <c r="AB228" s="412"/>
      <c r="AC228" s="412"/>
      <c r="AD228" s="412"/>
      <c r="AE228" s="412"/>
      <c r="AF228" s="412"/>
      <c r="AG228" s="412"/>
      <c r="AH228" s="412"/>
      <c r="AI228" s="412"/>
      <c r="AJ228" s="412">
        <f t="shared" si="11"/>
        <v>0</v>
      </c>
      <c r="AK228" s="198"/>
      <c r="AL228" s="250" t="s">
        <v>2067</v>
      </c>
    </row>
    <row r="229" spans="1:38" ht="14.1" customHeight="1" x14ac:dyDescent="0.2">
      <c r="A229" t="s">
        <v>893</v>
      </c>
      <c r="B229" s="193">
        <v>3902</v>
      </c>
      <c r="C229" s="194" t="s">
        <v>1073</v>
      </c>
      <c r="D229" s="229" t="s">
        <v>1626</v>
      </c>
      <c r="E229" s="229" t="s">
        <v>711</v>
      </c>
      <c r="F229" s="236">
        <v>300</v>
      </c>
      <c r="G229" s="196">
        <v>1</v>
      </c>
      <c r="H229" s="195">
        <v>300</v>
      </c>
      <c r="I229" s="197">
        <v>41266</v>
      </c>
      <c r="J229" s="197" t="str">
        <f t="shared" si="12"/>
        <v>ok</v>
      </c>
      <c r="K229" s="413"/>
      <c r="L229" s="413"/>
      <c r="M229" s="413"/>
      <c r="N229" s="413"/>
      <c r="O229" s="413"/>
      <c r="P229" s="413"/>
      <c r="Q229" s="413"/>
      <c r="R229" s="413"/>
      <c r="S229" s="413"/>
      <c r="T229" s="413"/>
      <c r="U229" s="413">
        <v>300</v>
      </c>
      <c r="V229" s="413"/>
      <c r="W229" s="413">
        <f t="shared" si="10"/>
        <v>300</v>
      </c>
      <c r="X229" s="412"/>
      <c r="Y229" s="412"/>
      <c r="Z229" s="412"/>
      <c r="AA229" s="412"/>
      <c r="AB229" s="412"/>
      <c r="AC229" s="412"/>
      <c r="AD229" s="412"/>
      <c r="AE229" s="412"/>
      <c r="AF229" s="412"/>
      <c r="AG229" s="412"/>
      <c r="AH229" s="412"/>
      <c r="AI229" s="412"/>
      <c r="AJ229" s="412">
        <f t="shared" si="11"/>
        <v>0</v>
      </c>
      <c r="AK229" s="198"/>
      <c r="AL229" s="250" t="s">
        <v>2067</v>
      </c>
    </row>
    <row r="230" spans="1:38" ht="14.1" customHeight="1" x14ac:dyDescent="0.2">
      <c r="A230" t="s">
        <v>887</v>
      </c>
      <c r="B230" s="193">
        <v>3903</v>
      </c>
      <c r="C230" s="194" t="s">
        <v>905</v>
      </c>
      <c r="D230" s="229" t="s">
        <v>1524</v>
      </c>
      <c r="E230" s="229" t="s">
        <v>669</v>
      </c>
      <c r="F230" s="236">
        <v>150</v>
      </c>
      <c r="G230" s="196">
        <v>1</v>
      </c>
      <c r="H230" s="195">
        <v>150</v>
      </c>
      <c r="I230" s="197">
        <v>41266</v>
      </c>
      <c r="J230" s="197" t="str">
        <f t="shared" si="12"/>
        <v>ok</v>
      </c>
      <c r="K230" s="413"/>
      <c r="L230" s="413"/>
      <c r="M230" s="413"/>
      <c r="N230" s="413"/>
      <c r="O230" s="413"/>
      <c r="P230" s="413"/>
      <c r="Q230" s="413"/>
      <c r="R230" s="413"/>
      <c r="S230" s="413"/>
      <c r="T230" s="413"/>
      <c r="U230" s="413"/>
      <c r="V230" s="413">
        <v>150</v>
      </c>
      <c r="W230" s="413">
        <f t="shared" si="10"/>
        <v>150</v>
      </c>
      <c r="X230" s="412"/>
      <c r="Y230" s="412"/>
      <c r="Z230" s="412"/>
      <c r="AA230" s="412"/>
      <c r="AB230" s="412"/>
      <c r="AC230" s="412"/>
      <c r="AD230" s="412"/>
      <c r="AE230" s="412"/>
      <c r="AF230" s="412"/>
      <c r="AG230" s="412"/>
      <c r="AH230" s="412"/>
      <c r="AI230" s="412"/>
      <c r="AJ230" s="412">
        <f t="shared" si="11"/>
        <v>0</v>
      </c>
      <c r="AK230" s="198"/>
      <c r="AL230" s="250" t="s">
        <v>2067</v>
      </c>
    </row>
    <row r="231" spans="1:38" ht="14.1" customHeight="1" x14ac:dyDescent="0.2">
      <c r="A231" t="s">
        <v>890</v>
      </c>
      <c r="B231" s="193">
        <v>3904</v>
      </c>
      <c r="C231" s="194" t="s">
        <v>999</v>
      </c>
      <c r="D231" s="229" t="s">
        <v>1634</v>
      </c>
      <c r="E231" s="229" t="s">
        <v>489</v>
      </c>
      <c r="F231" s="236">
        <v>300</v>
      </c>
      <c r="G231" s="196">
        <v>1</v>
      </c>
      <c r="H231" s="195">
        <v>900</v>
      </c>
      <c r="I231" s="197">
        <v>41266</v>
      </c>
      <c r="J231" s="197" t="str">
        <f t="shared" si="12"/>
        <v>ok</v>
      </c>
      <c r="K231" s="413"/>
      <c r="L231" s="413"/>
      <c r="M231" s="413"/>
      <c r="N231" s="413"/>
      <c r="O231" s="413"/>
      <c r="P231" s="413"/>
      <c r="Q231" s="413"/>
      <c r="R231" s="413"/>
      <c r="S231" s="413"/>
      <c r="T231" s="413">
        <v>300</v>
      </c>
      <c r="U231" s="413">
        <v>300</v>
      </c>
      <c r="V231" s="413">
        <v>300</v>
      </c>
      <c r="W231" s="413">
        <f t="shared" si="10"/>
        <v>900</v>
      </c>
      <c r="X231" s="412"/>
      <c r="Y231" s="412"/>
      <c r="Z231" s="412"/>
      <c r="AA231" s="412"/>
      <c r="AB231" s="412"/>
      <c r="AC231" s="412"/>
      <c r="AD231" s="412"/>
      <c r="AE231" s="412"/>
      <c r="AF231" s="412"/>
      <c r="AG231" s="412"/>
      <c r="AH231" s="412"/>
      <c r="AI231" s="412"/>
      <c r="AJ231" s="412">
        <f t="shared" si="11"/>
        <v>0</v>
      </c>
      <c r="AK231" s="198"/>
      <c r="AL231" s="250" t="s">
        <v>2067</v>
      </c>
    </row>
    <row r="232" spans="1:38" ht="14.1" customHeight="1" x14ac:dyDescent="0.2">
      <c r="A232" t="s">
        <v>888</v>
      </c>
      <c r="B232" s="193">
        <v>3905</v>
      </c>
      <c r="C232" s="194" t="s">
        <v>936</v>
      </c>
      <c r="D232" s="229" t="s">
        <v>1516</v>
      </c>
      <c r="E232" s="229" t="s">
        <v>390</v>
      </c>
      <c r="F232" s="236">
        <v>150</v>
      </c>
      <c r="G232" s="196">
        <v>1</v>
      </c>
      <c r="H232" s="195">
        <v>450</v>
      </c>
      <c r="I232" s="197">
        <v>41266</v>
      </c>
      <c r="J232" s="197" t="str">
        <f t="shared" si="12"/>
        <v>ok</v>
      </c>
      <c r="K232" s="413"/>
      <c r="L232" s="413"/>
      <c r="M232" s="413"/>
      <c r="N232" s="413"/>
      <c r="O232" s="413"/>
      <c r="P232" s="413"/>
      <c r="Q232" s="413"/>
      <c r="R232" s="413"/>
      <c r="S232" s="413"/>
      <c r="T232" s="413">
        <v>150</v>
      </c>
      <c r="U232" s="413">
        <v>150</v>
      </c>
      <c r="V232" s="413">
        <v>150</v>
      </c>
      <c r="W232" s="413">
        <f t="shared" si="10"/>
        <v>450</v>
      </c>
      <c r="X232" s="412"/>
      <c r="Y232" s="412"/>
      <c r="Z232" s="412"/>
      <c r="AA232" s="412"/>
      <c r="AB232" s="412"/>
      <c r="AC232" s="412"/>
      <c r="AD232" s="412"/>
      <c r="AE232" s="412"/>
      <c r="AF232" s="412"/>
      <c r="AG232" s="412"/>
      <c r="AH232" s="412"/>
      <c r="AI232" s="412"/>
      <c r="AJ232" s="412">
        <f t="shared" si="11"/>
        <v>0</v>
      </c>
      <c r="AK232" s="198"/>
      <c r="AL232" s="250" t="s">
        <v>2067</v>
      </c>
    </row>
    <row r="233" spans="1:38" ht="14.1" customHeight="1" x14ac:dyDescent="0.2">
      <c r="A233" t="s">
        <v>888</v>
      </c>
      <c r="B233" s="193">
        <v>3905</v>
      </c>
      <c r="C233" s="194" t="s">
        <v>936</v>
      </c>
      <c r="D233" s="229" t="s">
        <v>1516</v>
      </c>
      <c r="E233" s="229" t="s">
        <v>390</v>
      </c>
      <c r="F233" s="236">
        <v>300</v>
      </c>
      <c r="G233" s="196">
        <v>2</v>
      </c>
      <c r="H233" s="195">
        <v>300</v>
      </c>
      <c r="I233" s="197">
        <v>41266</v>
      </c>
      <c r="J233" s="197" t="str">
        <f t="shared" si="12"/>
        <v>ok</v>
      </c>
      <c r="K233" s="413"/>
      <c r="L233" s="413"/>
      <c r="M233" s="413"/>
      <c r="N233" s="413"/>
      <c r="O233" s="413"/>
      <c r="P233" s="413"/>
      <c r="Q233" s="413"/>
      <c r="R233" s="413"/>
      <c r="S233" s="413"/>
      <c r="T233" s="413"/>
      <c r="U233" s="413"/>
      <c r="V233" s="413"/>
      <c r="W233" s="413">
        <f t="shared" si="10"/>
        <v>0</v>
      </c>
      <c r="X233" s="412"/>
      <c r="Y233" s="412"/>
      <c r="Z233" s="412"/>
      <c r="AA233" s="412"/>
      <c r="AB233" s="412"/>
      <c r="AC233" s="412"/>
      <c r="AD233" s="412"/>
      <c r="AE233" s="412"/>
      <c r="AF233" s="412"/>
      <c r="AG233" s="412"/>
      <c r="AH233" s="412"/>
      <c r="AI233" s="412"/>
      <c r="AJ233" s="412">
        <f t="shared" si="11"/>
        <v>0</v>
      </c>
      <c r="AK233" s="198"/>
      <c r="AL233" s="250" t="s">
        <v>2068</v>
      </c>
    </row>
    <row r="234" spans="1:38" ht="14.1" customHeight="1" x14ac:dyDescent="0.2">
      <c r="A234" t="s">
        <v>888</v>
      </c>
      <c r="B234" s="193">
        <v>3906</v>
      </c>
      <c r="C234" s="194" t="s">
        <v>931</v>
      </c>
      <c r="D234" s="229" t="s">
        <v>1540</v>
      </c>
      <c r="E234" s="229" t="s">
        <v>720</v>
      </c>
      <c r="F234" s="236">
        <v>300</v>
      </c>
      <c r="G234" s="196">
        <v>1</v>
      </c>
      <c r="H234" s="195">
        <v>600</v>
      </c>
      <c r="I234" s="197">
        <v>41266</v>
      </c>
      <c r="J234" s="197" t="str">
        <f t="shared" si="12"/>
        <v>ok</v>
      </c>
      <c r="K234" s="413"/>
      <c r="L234" s="413"/>
      <c r="M234" s="413"/>
      <c r="N234" s="413"/>
      <c r="O234" s="413"/>
      <c r="P234" s="413"/>
      <c r="Q234" s="413"/>
      <c r="R234" s="413">
        <v>300</v>
      </c>
      <c r="S234" s="413">
        <v>300</v>
      </c>
      <c r="T234" s="413"/>
      <c r="U234" s="413"/>
      <c r="V234" s="413"/>
      <c r="W234" s="413">
        <f t="shared" si="10"/>
        <v>600</v>
      </c>
      <c r="X234" s="412"/>
      <c r="Y234" s="412"/>
      <c r="Z234" s="412"/>
      <c r="AA234" s="412"/>
      <c r="AB234" s="412"/>
      <c r="AC234" s="412"/>
      <c r="AD234" s="412"/>
      <c r="AE234" s="412"/>
      <c r="AF234" s="412"/>
      <c r="AG234" s="412"/>
      <c r="AH234" s="412"/>
      <c r="AI234" s="412"/>
      <c r="AJ234" s="412">
        <f t="shared" si="11"/>
        <v>0</v>
      </c>
      <c r="AK234" s="198"/>
      <c r="AL234" s="250" t="s">
        <v>2067</v>
      </c>
    </row>
    <row r="235" spans="1:38" ht="14.1" customHeight="1" x14ac:dyDescent="0.2">
      <c r="A235" t="s">
        <v>890</v>
      </c>
      <c r="B235" s="193">
        <v>3907</v>
      </c>
      <c r="C235" s="194" t="s">
        <v>1002</v>
      </c>
      <c r="D235" s="229" t="s">
        <v>1639</v>
      </c>
      <c r="E235" s="229" t="s">
        <v>32</v>
      </c>
      <c r="F235" s="236">
        <v>300</v>
      </c>
      <c r="G235" s="196">
        <v>1</v>
      </c>
      <c r="H235" s="195">
        <v>600</v>
      </c>
      <c r="I235" s="197">
        <v>41266</v>
      </c>
      <c r="J235" s="197" t="str">
        <f t="shared" si="12"/>
        <v>ok</v>
      </c>
      <c r="K235" s="413"/>
      <c r="L235" s="413"/>
      <c r="M235" s="413"/>
      <c r="N235" s="413"/>
      <c r="O235" s="413"/>
      <c r="P235" s="413"/>
      <c r="Q235" s="413"/>
      <c r="R235" s="413"/>
      <c r="S235" s="413"/>
      <c r="T235" s="413"/>
      <c r="U235" s="413">
        <v>300</v>
      </c>
      <c r="V235" s="413">
        <v>300</v>
      </c>
      <c r="W235" s="413">
        <f t="shared" si="10"/>
        <v>600</v>
      </c>
      <c r="X235" s="412"/>
      <c r="Y235" s="412"/>
      <c r="Z235" s="412"/>
      <c r="AA235" s="412"/>
      <c r="AB235" s="412"/>
      <c r="AC235" s="412"/>
      <c r="AD235" s="412"/>
      <c r="AE235" s="412"/>
      <c r="AF235" s="412"/>
      <c r="AG235" s="412"/>
      <c r="AH235" s="412"/>
      <c r="AI235" s="412"/>
      <c r="AJ235" s="412">
        <f t="shared" si="11"/>
        <v>0</v>
      </c>
      <c r="AK235" s="198"/>
      <c r="AL235" s="250" t="s">
        <v>2067</v>
      </c>
    </row>
    <row r="236" spans="1:38" ht="14.1" customHeight="1" x14ac:dyDescent="0.2">
      <c r="A236" t="s">
        <v>891</v>
      </c>
      <c r="B236" s="193">
        <v>3908</v>
      </c>
      <c r="C236" s="194" t="s">
        <v>1052</v>
      </c>
      <c r="D236" s="229" t="s">
        <v>1571</v>
      </c>
      <c r="E236" s="229" t="s">
        <v>654</v>
      </c>
      <c r="F236" s="236">
        <v>300</v>
      </c>
      <c r="G236" s="196">
        <v>1</v>
      </c>
      <c r="H236" s="195">
        <v>900</v>
      </c>
      <c r="I236" s="197">
        <v>41266</v>
      </c>
      <c r="J236" s="197" t="str">
        <f t="shared" si="12"/>
        <v>ok</v>
      </c>
      <c r="K236" s="413"/>
      <c r="L236" s="413"/>
      <c r="M236" s="413"/>
      <c r="N236" s="413"/>
      <c r="O236" s="413"/>
      <c r="P236" s="413"/>
      <c r="Q236" s="413"/>
      <c r="R236" s="413"/>
      <c r="S236" s="413"/>
      <c r="T236" s="413">
        <v>300</v>
      </c>
      <c r="U236" s="413">
        <v>300</v>
      </c>
      <c r="V236" s="413">
        <v>300</v>
      </c>
      <c r="W236" s="413">
        <f t="shared" si="10"/>
        <v>900</v>
      </c>
      <c r="X236" s="412"/>
      <c r="Y236" s="412"/>
      <c r="Z236" s="412"/>
      <c r="AA236" s="412"/>
      <c r="AB236" s="412"/>
      <c r="AC236" s="412"/>
      <c r="AD236" s="412"/>
      <c r="AE236" s="412"/>
      <c r="AF236" s="412"/>
      <c r="AG236" s="412"/>
      <c r="AH236" s="412"/>
      <c r="AI236" s="412"/>
      <c r="AJ236" s="412">
        <f t="shared" si="11"/>
        <v>0</v>
      </c>
      <c r="AK236" s="198"/>
      <c r="AL236" s="250" t="s">
        <v>2067</v>
      </c>
    </row>
    <row r="237" spans="1:38" ht="14.1" customHeight="1" x14ac:dyDescent="0.2">
      <c r="A237" t="s">
        <v>884</v>
      </c>
      <c r="B237" s="193">
        <v>3909</v>
      </c>
      <c r="C237" s="194" t="s">
        <v>881</v>
      </c>
      <c r="D237" s="229" t="s">
        <v>1564</v>
      </c>
      <c r="E237" s="229" t="s">
        <v>135</v>
      </c>
      <c r="F237" s="236">
        <v>300</v>
      </c>
      <c r="G237" s="196">
        <v>1</v>
      </c>
      <c r="H237" s="195">
        <v>300</v>
      </c>
      <c r="I237" s="197">
        <v>41266</v>
      </c>
      <c r="J237" s="197" t="str">
        <f t="shared" si="12"/>
        <v>ok</v>
      </c>
      <c r="K237" s="413"/>
      <c r="L237" s="413"/>
      <c r="M237" s="413"/>
      <c r="N237" s="413"/>
      <c r="O237" s="413"/>
      <c r="P237" s="413"/>
      <c r="Q237" s="413"/>
      <c r="R237" s="413"/>
      <c r="S237" s="413"/>
      <c r="T237" s="413"/>
      <c r="U237" s="413"/>
      <c r="V237" s="413">
        <v>300</v>
      </c>
      <c r="W237" s="413">
        <f t="shared" si="10"/>
        <v>300</v>
      </c>
      <c r="X237" s="412"/>
      <c r="Y237" s="412"/>
      <c r="Z237" s="412"/>
      <c r="AA237" s="412"/>
      <c r="AB237" s="412"/>
      <c r="AC237" s="412"/>
      <c r="AD237" s="412"/>
      <c r="AE237" s="412"/>
      <c r="AF237" s="412"/>
      <c r="AG237" s="412"/>
      <c r="AH237" s="412"/>
      <c r="AI237" s="412"/>
      <c r="AJ237" s="412">
        <f t="shared" si="11"/>
        <v>0</v>
      </c>
      <c r="AK237" s="198"/>
      <c r="AL237" s="250" t="s">
        <v>2067</v>
      </c>
    </row>
    <row r="238" spans="1:38" ht="14.1" customHeight="1" x14ac:dyDescent="0.2">
      <c r="A238" t="s">
        <v>890</v>
      </c>
      <c r="B238" s="193">
        <v>3910</v>
      </c>
      <c r="C238" s="194" t="s">
        <v>992</v>
      </c>
      <c r="D238" s="229" t="s">
        <v>1624</v>
      </c>
      <c r="E238" s="229" t="s">
        <v>727</v>
      </c>
      <c r="F238" s="236">
        <v>300</v>
      </c>
      <c r="G238" s="196">
        <v>1</v>
      </c>
      <c r="H238" s="195">
        <v>300</v>
      </c>
      <c r="I238" s="197">
        <v>41266</v>
      </c>
      <c r="J238" s="197" t="str">
        <f t="shared" si="12"/>
        <v>ok</v>
      </c>
      <c r="K238" s="413"/>
      <c r="L238" s="413"/>
      <c r="M238" s="413"/>
      <c r="N238" s="413"/>
      <c r="O238" s="413"/>
      <c r="P238" s="413"/>
      <c r="Q238" s="413"/>
      <c r="R238" s="413"/>
      <c r="S238" s="413"/>
      <c r="T238" s="413"/>
      <c r="U238" s="413"/>
      <c r="V238" s="413">
        <v>300</v>
      </c>
      <c r="W238" s="413">
        <f t="shared" si="10"/>
        <v>300</v>
      </c>
      <c r="X238" s="412"/>
      <c r="Y238" s="412"/>
      <c r="Z238" s="412"/>
      <c r="AA238" s="412"/>
      <c r="AB238" s="412"/>
      <c r="AC238" s="412"/>
      <c r="AD238" s="412"/>
      <c r="AE238" s="412"/>
      <c r="AF238" s="412"/>
      <c r="AG238" s="412"/>
      <c r="AH238" s="412"/>
      <c r="AI238" s="412"/>
      <c r="AJ238" s="412">
        <f t="shared" si="11"/>
        <v>0</v>
      </c>
      <c r="AK238" s="198"/>
      <c r="AL238" s="250" t="s">
        <v>2067</v>
      </c>
    </row>
    <row r="239" spans="1:38" ht="14.1" customHeight="1" x14ac:dyDescent="0.2">
      <c r="A239" t="s">
        <v>893</v>
      </c>
      <c r="B239" s="193">
        <v>3911</v>
      </c>
      <c r="C239" s="194" t="s">
        <v>1121</v>
      </c>
      <c r="D239" s="229" t="s">
        <v>1584</v>
      </c>
      <c r="E239" s="229" t="s">
        <v>278</v>
      </c>
      <c r="F239" s="236">
        <v>300</v>
      </c>
      <c r="G239" s="196">
        <v>1</v>
      </c>
      <c r="H239" s="195">
        <v>600</v>
      </c>
      <c r="I239" s="197">
        <v>41266</v>
      </c>
      <c r="J239" s="197" t="str">
        <f t="shared" si="12"/>
        <v>ok</v>
      </c>
      <c r="K239" s="413"/>
      <c r="L239" s="413"/>
      <c r="M239" s="413"/>
      <c r="N239" s="413"/>
      <c r="O239" s="413"/>
      <c r="P239" s="413"/>
      <c r="Q239" s="413"/>
      <c r="R239" s="413"/>
      <c r="S239" s="413"/>
      <c r="T239" s="413"/>
      <c r="U239" s="413"/>
      <c r="V239" s="413">
        <v>300</v>
      </c>
      <c r="W239" s="413">
        <f t="shared" si="10"/>
        <v>300</v>
      </c>
      <c r="X239" s="412">
        <v>300</v>
      </c>
      <c r="Y239" s="412"/>
      <c r="Z239" s="412"/>
      <c r="AA239" s="412"/>
      <c r="AB239" s="412"/>
      <c r="AC239" s="412"/>
      <c r="AD239" s="412"/>
      <c r="AE239" s="412"/>
      <c r="AF239" s="412"/>
      <c r="AG239" s="412"/>
      <c r="AH239" s="412"/>
      <c r="AI239" s="412"/>
      <c r="AJ239" s="412">
        <f t="shared" si="11"/>
        <v>300</v>
      </c>
      <c r="AK239" s="198"/>
      <c r="AL239" s="250" t="s">
        <v>2067</v>
      </c>
    </row>
    <row r="240" spans="1:38" ht="14.1" customHeight="1" x14ac:dyDescent="0.2">
      <c r="A240" t="s">
        <v>893</v>
      </c>
      <c r="B240" s="193">
        <v>3911</v>
      </c>
      <c r="C240" s="194" t="s">
        <v>1121</v>
      </c>
      <c r="D240" s="229" t="s">
        <v>1584</v>
      </c>
      <c r="E240" s="229" t="s">
        <v>278</v>
      </c>
      <c r="F240" s="236">
        <v>300</v>
      </c>
      <c r="G240" s="196">
        <v>5</v>
      </c>
      <c r="H240" s="195">
        <v>20</v>
      </c>
      <c r="I240" s="197">
        <v>41266</v>
      </c>
      <c r="J240" s="197" t="str">
        <f t="shared" si="12"/>
        <v>ok</v>
      </c>
      <c r="K240" s="413"/>
      <c r="L240" s="413"/>
      <c r="M240" s="413"/>
      <c r="N240" s="413"/>
      <c r="O240" s="413"/>
      <c r="P240" s="413"/>
      <c r="Q240" s="413"/>
      <c r="R240" s="413"/>
      <c r="S240" s="413"/>
      <c r="T240" s="413"/>
      <c r="U240" s="413"/>
      <c r="V240" s="413"/>
      <c r="W240" s="413">
        <f t="shared" si="10"/>
        <v>0</v>
      </c>
      <c r="X240" s="412"/>
      <c r="Y240" s="412"/>
      <c r="Z240" s="412"/>
      <c r="AA240" s="412"/>
      <c r="AB240" s="412"/>
      <c r="AC240" s="412"/>
      <c r="AD240" s="412"/>
      <c r="AE240" s="412"/>
      <c r="AF240" s="412"/>
      <c r="AG240" s="412"/>
      <c r="AH240" s="412"/>
      <c r="AI240" s="412"/>
      <c r="AJ240" s="412">
        <f t="shared" si="11"/>
        <v>0</v>
      </c>
      <c r="AK240" s="198"/>
      <c r="AL240" s="250" t="s">
        <v>2068</v>
      </c>
    </row>
    <row r="241" spans="1:38" ht="14.1" customHeight="1" x14ac:dyDescent="0.2">
      <c r="A241" t="s">
        <v>888</v>
      </c>
      <c r="B241" s="193">
        <v>3912</v>
      </c>
      <c r="C241" s="194" t="s">
        <v>914</v>
      </c>
      <c r="D241" s="229" t="s">
        <v>1567</v>
      </c>
      <c r="E241" s="229" t="s">
        <v>350</v>
      </c>
      <c r="F241" s="236">
        <v>300</v>
      </c>
      <c r="G241" s="196">
        <v>1</v>
      </c>
      <c r="H241" s="195">
        <v>300</v>
      </c>
      <c r="I241" s="197">
        <v>41266</v>
      </c>
      <c r="J241" s="197" t="str">
        <f t="shared" si="12"/>
        <v>ok</v>
      </c>
      <c r="K241" s="413"/>
      <c r="L241" s="413"/>
      <c r="M241" s="413"/>
      <c r="N241" s="413"/>
      <c r="O241" s="413"/>
      <c r="P241" s="413"/>
      <c r="Q241" s="413"/>
      <c r="R241" s="413"/>
      <c r="S241" s="413"/>
      <c r="T241" s="413"/>
      <c r="U241" s="413"/>
      <c r="V241" s="413">
        <v>300</v>
      </c>
      <c r="W241" s="413">
        <f t="shared" si="10"/>
        <v>300</v>
      </c>
      <c r="X241" s="412"/>
      <c r="Y241" s="412"/>
      <c r="Z241" s="412"/>
      <c r="AA241" s="412"/>
      <c r="AB241" s="412"/>
      <c r="AC241" s="412"/>
      <c r="AD241" s="412"/>
      <c r="AE241" s="412"/>
      <c r="AF241" s="412"/>
      <c r="AG241" s="412"/>
      <c r="AH241" s="412"/>
      <c r="AI241" s="412"/>
      <c r="AJ241" s="412">
        <f t="shared" si="11"/>
        <v>0</v>
      </c>
      <c r="AK241" s="198"/>
      <c r="AL241" s="250" t="s">
        <v>2067</v>
      </c>
    </row>
    <row r="242" spans="1:38" ht="14.1" customHeight="1" x14ac:dyDescent="0.2">
      <c r="A242" t="s">
        <v>888</v>
      </c>
      <c r="B242" s="193">
        <v>3913</v>
      </c>
      <c r="C242" s="194" t="s">
        <v>914</v>
      </c>
      <c r="D242" s="229" t="s">
        <v>1567</v>
      </c>
      <c r="E242" s="229" t="s">
        <v>350</v>
      </c>
      <c r="F242" s="236">
        <v>300</v>
      </c>
      <c r="G242" s="196">
        <v>2</v>
      </c>
      <c r="H242" s="195">
        <v>300</v>
      </c>
      <c r="I242" s="197">
        <v>41266</v>
      </c>
      <c r="J242" s="197" t="str">
        <f t="shared" si="12"/>
        <v>ok</v>
      </c>
      <c r="K242" s="413"/>
      <c r="L242" s="413"/>
      <c r="M242" s="413"/>
      <c r="N242" s="413"/>
      <c r="O242" s="413"/>
      <c r="P242" s="413"/>
      <c r="Q242" s="413"/>
      <c r="R242" s="413"/>
      <c r="S242" s="413"/>
      <c r="T242" s="413"/>
      <c r="U242" s="413"/>
      <c r="V242" s="413"/>
      <c r="W242" s="413">
        <f t="shared" si="10"/>
        <v>0</v>
      </c>
      <c r="X242" s="412"/>
      <c r="Y242" s="412"/>
      <c r="Z242" s="412"/>
      <c r="AA242" s="412"/>
      <c r="AB242" s="412"/>
      <c r="AC242" s="412"/>
      <c r="AD242" s="412"/>
      <c r="AE242" s="412"/>
      <c r="AF242" s="412"/>
      <c r="AG242" s="412"/>
      <c r="AH242" s="412"/>
      <c r="AI242" s="412"/>
      <c r="AJ242" s="412">
        <f t="shared" si="11"/>
        <v>0</v>
      </c>
      <c r="AK242" s="198"/>
      <c r="AL242" s="250" t="s">
        <v>2068</v>
      </c>
    </row>
    <row r="243" spans="1:38" ht="14.1" customHeight="1" x14ac:dyDescent="0.2">
      <c r="A243" t="s">
        <v>888</v>
      </c>
      <c r="B243" s="193">
        <v>3914</v>
      </c>
      <c r="C243" s="194" t="s">
        <v>946</v>
      </c>
      <c r="D243" s="229" t="s">
        <v>1602</v>
      </c>
      <c r="E243" s="229" t="s">
        <v>409</v>
      </c>
      <c r="F243" s="236">
        <v>300</v>
      </c>
      <c r="G243" s="196">
        <v>1</v>
      </c>
      <c r="H243" s="195">
        <v>300</v>
      </c>
      <c r="I243" s="197">
        <v>41266</v>
      </c>
      <c r="J243" s="197" t="str">
        <f t="shared" si="12"/>
        <v>ok</v>
      </c>
      <c r="K243" s="413"/>
      <c r="L243" s="413"/>
      <c r="M243" s="413"/>
      <c r="N243" s="413"/>
      <c r="O243" s="413"/>
      <c r="P243" s="413"/>
      <c r="Q243" s="413"/>
      <c r="R243" s="413"/>
      <c r="S243" s="413"/>
      <c r="T243" s="413"/>
      <c r="U243" s="413"/>
      <c r="V243" s="413">
        <v>300</v>
      </c>
      <c r="W243" s="413">
        <f t="shared" si="10"/>
        <v>300</v>
      </c>
      <c r="X243" s="412"/>
      <c r="Y243" s="412"/>
      <c r="Z243" s="412"/>
      <c r="AA243" s="412"/>
      <c r="AB243" s="412"/>
      <c r="AC243" s="412"/>
      <c r="AD243" s="412"/>
      <c r="AE243" s="412"/>
      <c r="AF243" s="412"/>
      <c r="AG243" s="412"/>
      <c r="AH243" s="412"/>
      <c r="AI243" s="412"/>
      <c r="AJ243" s="412">
        <f t="shared" si="11"/>
        <v>0</v>
      </c>
      <c r="AK243" s="198"/>
      <c r="AL243" s="250" t="s">
        <v>2067</v>
      </c>
    </row>
    <row r="244" spans="1:38" ht="14.1" customHeight="1" x14ac:dyDescent="0.2">
      <c r="A244" t="s">
        <v>884</v>
      </c>
      <c r="B244" s="193">
        <v>3915</v>
      </c>
      <c r="C244" s="194" t="s">
        <v>764</v>
      </c>
      <c r="D244" s="229" t="s">
        <v>1386</v>
      </c>
      <c r="E244" s="229" t="s">
        <v>133</v>
      </c>
      <c r="F244" s="236">
        <v>200</v>
      </c>
      <c r="G244" s="196">
        <v>5</v>
      </c>
      <c r="H244" s="195">
        <v>20</v>
      </c>
      <c r="I244" s="197">
        <v>41266</v>
      </c>
      <c r="J244" s="197" t="str">
        <f t="shared" si="12"/>
        <v>ok</v>
      </c>
      <c r="K244" s="413"/>
      <c r="L244" s="413"/>
      <c r="M244" s="413"/>
      <c r="N244" s="413"/>
      <c r="O244" s="413"/>
      <c r="P244" s="413"/>
      <c r="Q244" s="413"/>
      <c r="R244" s="413"/>
      <c r="S244" s="413"/>
      <c r="T244" s="413"/>
      <c r="U244" s="413"/>
      <c r="V244" s="413"/>
      <c r="W244" s="413">
        <f t="shared" si="10"/>
        <v>0</v>
      </c>
      <c r="X244" s="412"/>
      <c r="Y244" s="412"/>
      <c r="Z244" s="412"/>
      <c r="AA244" s="412"/>
      <c r="AB244" s="412"/>
      <c r="AC244" s="412"/>
      <c r="AD244" s="412"/>
      <c r="AE244" s="412"/>
      <c r="AF244" s="412"/>
      <c r="AG244" s="412"/>
      <c r="AH244" s="412"/>
      <c r="AI244" s="412"/>
      <c r="AJ244" s="412">
        <f t="shared" si="11"/>
        <v>0</v>
      </c>
      <c r="AK244" s="198"/>
      <c r="AL244" s="250" t="s">
        <v>2068</v>
      </c>
    </row>
    <row r="245" spans="1:38" ht="14.1" customHeight="1" x14ac:dyDescent="0.2">
      <c r="A245" t="s">
        <v>893</v>
      </c>
      <c r="B245" s="193">
        <v>3916</v>
      </c>
      <c r="C245" s="194" t="s">
        <v>1131</v>
      </c>
      <c r="D245" s="229" t="s">
        <v>1373</v>
      </c>
      <c r="E245" s="229" t="s">
        <v>299</v>
      </c>
      <c r="F245" s="236">
        <v>300</v>
      </c>
      <c r="G245" s="196">
        <v>1</v>
      </c>
      <c r="H245" s="195">
        <v>1200</v>
      </c>
      <c r="I245" s="197">
        <v>41266</v>
      </c>
      <c r="J245" s="197" t="str">
        <f t="shared" si="12"/>
        <v>ok</v>
      </c>
      <c r="K245" s="413"/>
      <c r="L245" s="413"/>
      <c r="M245" s="413"/>
      <c r="N245" s="413"/>
      <c r="O245" s="413"/>
      <c r="P245" s="413"/>
      <c r="Q245" s="413"/>
      <c r="R245" s="413"/>
      <c r="S245" s="413">
        <v>300</v>
      </c>
      <c r="T245" s="413">
        <v>300</v>
      </c>
      <c r="U245" s="413">
        <v>300</v>
      </c>
      <c r="V245" s="413">
        <v>300</v>
      </c>
      <c r="W245" s="413">
        <f t="shared" si="10"/>
        <v>1200</v>
      </c>
      <c r="X245" s="412"/>
      <c r="Y245" s="412"/>
      <c r="Z245" s="412"/>
      <c r="AA245" s="412"/>
      <c r="AB245" s="412"/>
      <c r="AC245" s="412"/>
      <c r="AD245" s="412"/>
      <c r="AE245" s="412"/>
      <c r="AF245" s="412"/>
      <c r="AG245" s="412"/>
      <c r="AH245" s="412"/>
      <c r="AI245" s="412"/>
      <c r="AJ245" s="412">
        <f t="shared" si="11"/>
        <v>0</v>
      </c>
      <c r="AK245" s="198"/>
      <c r="AL245" s="250" t="s">
        <v>2067</v>
      </c>
    </row>
    <row r="246" spans="1:38" ht="14.1" customHeight="1" x14ac:dyDescent="0.2">
      <c r="A246" t="s">
        <v>893</v>
      </c>
      <c r="B246" s="193">
        <v>3916</v>
      </c>
      <c r="C246" s="194" t="s">
        <v>1131</v>
      </c>
      <c r="D246" s="229" t="s">
        <v>1373</v>
      </c>
      <c r="E246" s="229" t="s">
        <v>299</v>
      </c>
      <c r="F246" s="236">
        <v>300</v>
      </c>
      <c r="G246" s="196">
        <v>2</v>
      </c>
      <c r="H246" s="195">
        <v>300</v>
      </c>
      <c r="I246" s="197">
        <v>41266</v>
      </c>
      <c r="J246" s="197" t="str">
        <f t="shared" si="12"/>
        <v>ok</v>
      </c>
      <c r="K246" s="413"/>
      <c r="L246" s="413"/>
      <c r="M246" s="413"/>
      <c r="N246" s="413"/>
      <c r="O246" s="413"/>
      <c r="P246" s="413"/>
      <c r="Q246" s="413"/>
      <c r="R246" s="413"/>
      <c r="S246" s="413"/>
      <c r="T246" s="413"/>
      <c r="U246" s="413"/>
      <c r="V246" s="413"/>
      <c r="W246" s="413">
        <f t="shared" si="10"/>
        <v>0</v>
      </c>
      <c r="X246" s="412"/>
      <c r="Y246" s="412"/>
      <c r="Z246" s="412"/>
      <c r="AA246" s="412"/>
      <c r="AB246" s="412"/>
      <c r="AC246" s="412"/>
      <c r="AD246" s="412"/>
      <c r="AE246" s="412"/>
      <c r="AF246" s="412"/>
      <c r="AG246" s="412"/>
      <c r="AH246" s="412"/>
      <c r="AI246" s="412"/>
      <c r="AJ246" s="412">
        <f t="shared" si="11"/>
        <v>0</v>
      </c>
      <c r="AK246" s="198"/>
      <c r="AL246" s="250" t="s">
        <v>2068</v>
      </c>
    </row>
    <row r="247" spans="1:38" ht="14.1" customHeight="1" x14ac:dyDescent="0.2">
      <c r="A247" t="s">
        <v>890</v>
      </c>
      <c r="B247" s="193">
        <v>3917</v>
      </c>
      <c r="C247" s="194" t="s">
        <v>1042</v>
      </c>
      <c r="D247" s="229" t="s">
        <v>1713</v>
      </c>
      <c r="E247" s="229" t="s">
        <v>1219</v>
      </c>
      <c r="F247" s="236">
        <v>300</v>
      </c>
      <c r="G247" s="196">
        <v>5</v>
      </c>
      <c r="H247" s="195">
        <v>20</v>
      </c>
      <c r="I247" s="197">
        <v>41266</v>
      </c>
      <c r="J247" s="197" t="str">
        <f t="shared" si="12"/>
        <v>ok</v>
      </c>
      <c r="K247" s="413"/>
      <c r="L247" s="413"/>
      <c r="M247" s="413"/>
      <c r="N247" s="413"/>
      <c r="O247" s="413"/>
      <c r="P247" s="413"/>
      <c r="Q247" s="413"/>
      <c r="R247" s="413"/>
      <c r="S247" s="413"/>
      <c r="T247" s="413"/>
      <c r="U247" s="413"/>
      <c r="V247" s="413"/>
      <c r="W247" s="413">
        <f t="shared" si="10"/>
        <v>0</v>
      </c>
      <c r="X247" s="412"/>
      <c r="Y247" s="412"/>
      <c r="Z247" s="412"/>
      <c r="AA247" s="412"/>
      <c r="AB247" s="412"/>
      <c r="AC247" s="412"/>
      <c r="AD247" s="412"/>
      <c r="AE247" s="412"/>
      <c r="AF247" s="412"/>
      <c r="AG247" s="412"/>
      <c r="AH247" s="412"/>
      <c r="AI247" s="412"/>
      <c r="AJ247" s="412">
        <f t="shared" si="11"/>
        <v>0</v>
      </c>
      <c r="AK247" s="198"/>
      <c r="AL247" s="250" t="s">
        <v>2068</v>
      </c>
    </row>
    <row r="248" spans="1:38" ht="14.1" customHeight="1" x14ac:dyDescent="0.2">
      <c r="A248" t="s">
        <v>884</v>
      </c>
      <c r="B248" s="193">
        <v>3918</v>
      </c>
      <c r="C248" s="194" t="s">
        <v>833</v>
      </c>
      <c r="D248" s="229" t="s">
        <v>1644</v>
      </c>
      <c r="E248" s="229" t="s">
        <v>68</v>
      </c>
      <c r="F248" s="236">
        <v>300</v>
      </c>
      <c r="G248" s="196">
        <v>1</v>
      </c>
      <c r="H248" s="195">
        <v>600</v>
      </c>
      <c r="I248" s="197">
        <v>41266</v>
      </c>
      <c r="J248" s="197" t="str">
        <f t="shared" si="12"/>
        <v>ok</v>
      </c>
      <c r="K248" s="413"/>
      <c r="L248" s="413"/>
      <c r="M248" s="413"/>
      <c r="N248" s="413"/>
      <c r="O248" s="413"/>
      <c r="P248" s="413"/>
      <c r="Q248" s="413"/>
      <c r="R248" s="413"/>
      <c r="S248" s="413"/>
      <c r="T248" s="413"/>
      <c r="U248" s="413">
        <v>300</v>
      </c>
      <c r="V248" s="413">
        <v>300</v>
      </c>
      <c r="W248" s="413">
        <f t="shared" si="10"/>
        <v>600</v>
      </c>
      <c r="X248" s="412"/>
      <c r="Y248" s="412"/>
      <c r="Z248" s="412"/>
      <c r="AA248" s="412"/>
      <c r="AB248" s="412"/>
      <c r="AC248" s="412"/>
      <c r="AD248" s="412"/>
      <c r="AE248" s="412"/>
      <c r="AF248" s="412"/>
      <c r="AG248" s="412"/>
      <c r="AH248" s="412"/>
      <c r="AI248" s="412"/>
      <c r="AJ248" s="412">
        <f t="shared" si="11"/>
        <v>0</v>
      </c>
      <c r="AK248" s="198"/>
      <c r="AL248" s="250" t="s">
        <v>2067</v>
      </c>
    </row>
    <row r="249" spans="1:38" ht="14.1" customHeight="1" x14ac:dyDescent="0.2">
      <c r="A249" t="s">
        <v>893</v>
      </c>
      <c r="B249" s="193">
        <v>3919</v>
      </c>
      <c r="C249" s="194" t="s">
        <v>1114</v>
      </c>
      <c r="D249" s="229" t="s">
        <v>1714</v>
      </c>
      <c r="E249" s="229" t="s">
        <v>15</v>
      </c>
      <c r="F249" s="236">
        <v>200</v>
      </c>
      <c r="G249" s="196">
        <v>1</v>
      </c>
      <c r="H249" s="195">
        <v>800</v>
      </c>
      <c r="I249" s="197">
        <v>41270</v>
      </c>
      <c r="J249" s="197" t="str">
        <f t="shared" si="12"/>
        <v>ok</v>
      </c>
      <c r="K249" s="413"/>
      <c r="L249" s="413"/>
      <c r="M249" s="413"/>
      <c r="N249" s="413"/>
      <c r="O249" s="413"/>
      <c r="P249" s="413"/>
      <c r="Q249" s="413"/>
      <c r="R249" s="413"/>
      <c r="S249" s="413">
        <v>200</v>
      </c>
      <c r="T249" s="413">
        <v>200</v>
      </c>
      <c r="U249" s="413">
        <v>200</v>
      </c>
      <c r="V249" s="413">
        <v>200</v>
      </c>
      <c r="W249" s="413">
        <f t="shared" si="10"/>
        <v>800</v>
      </c>
      <c r="X249" s="412"/>
      <c r="Y249" s="412"/>
      <c r="Z249" s="412"/>
      <c r="AA249" s="412"/>
      <c r="AB249" s="412"/>
      <c r="AC249" s="412"/>
      <c r="AD249" s="412"/>
      <c r="AE249" s="412"/>
      <c r="AF249" s="412"/>
      <c r="AG249" s="412"/>
      <c r="AH249" s="412"/>
      <c r="AI249" s="412"/>
      <c r="AJ249" s="412">
        <f t="shared" si="11"/>
        <v>0</v>
      </c>
      <c r="AK249" s="198"/>
      <c r="AL249" s="250" t="s">
        <v>2067</v>
      </c>
    </row>
    <row r="250" spans="1:38" ht="14.1" customHeight="1" x14ac:dyDescent="0.2">
      <c r="A250" t="s">
        <v>884</v>
      </c>
      <c r="B250" s="193">
        <v>3920</v>
      </c>
      <c r="C250" s="194" t="s">
        <v>788</v>
      </c>
      <c r="D250" s="229" t="s">
        <v>1468</v>
      </c>
      <c r="E250" s="229" t="s">
        <v>1269</v>
      </c>
      <c r="F250" s="236">
        <v>300</v>
      </c>
      <c r="G250" s="196">
        <v>1</v>
      </c>
      <c r="H250" s="195">
        <v>600</v>
      </c>
      <c r="I250" s="197">
        <v>41272</v>
      </c>
      <c r="J250" s="197" t="str">
        <f t="shared" si="12"/>
        <v>ok</v>
      </c>
      <c r="K250" s="413"/>
      <c r="L250" s="413"/>
      <c r="M250" s="413"/>
      <c r="N250" s="413"/>
      <c r="O250" s="413"/>
      <c r="P250" s="413"/>
      <c r="Q250" s="413"/>
      <c r="R250" s="413"/>
      <c r="S250" s="413"/>
      <c r="T250" s="413"/>
      <c r="U250" s="413">
        <v>300</v>
      </c>
      <c r="V250" s="413">
        <v>300</v>
      </c>
      <c r="W250" s="413">
        <f t="shared" si="10"/>
        <v>600</v>
      </c>
      <c r="X250" s="412"/>
      <c r="Y250" s="412"/>
      <c r="Z250" s="412"/>
      <c r="AA250" s="412"/>
      <c r="AB250" s="412"/>
      <c r="AC250" s="412"/>
      <c r="AD250" s="412"/>
      <c r="AE250" s="412"/>
      <c r="AF250" s="412"/>
      <c r="AG250" s="412"/>
      <c r="AH250" s="412"/>
      <c r="AI250" s="412"/>
      <c r="AJ250" s="412">
        <f t="shared" si="11"/>
        <v>0</v>
      </c>
      <c r="AK250" s="198"/>
      <c r="AL250" s="250" t="s">
        <v>2067</v>
      </c>
    </row>
    <row r="251" spans="1:38" ht="14.1" customHeight="1" x14ac:dyDescent="0.2">
      <c r="A251" t="s">
        <v>884</v>
      </c>
      <c r="B251" s="193">
        <v>3921</v>
      </c>
      <c r="C251" s="194" t="s">
        <v>811</v>
      </c>
      <c r="D251" s="229" t="s">
        <v>1650</v>
      </c>
      <c r="E251" s="229" t="s">
        <v>32</v>
      </c>
      <c r="F251" s="236">
        <v>300</v>
      </c>
      <c r="G251" s="196">
        <v>1</v>
      </c>
      <c r="H251" s="195">
        <v>600</v>
      </c>
      <c r="I251" s="197">
        <v>41273</v>
      </c>
      <c r="J251" s="197" t="str">
        <f t="shared" si="12"/>
        <v>ok</v>
      </c>
      <c r="K251" s="413"/>
      <c r="L251" s="413"/>
      <c r="M251" s="413"/>
      <c r="N251" s="413"/>
      <c r="O251" s="413"/>
      <c r="P251" s="413"/>
      <c r="Q251" s="413"/>
      <c r="R251" s="413"/>
      <c r="S251" s="413"/>
      <c r="T251" s="413"/>
      <c r="U251" s="413">
        <v>300</v>
      </c>
      <c r="V251" s="413">
        <v>300</v>
      </c>
      <c r="W251" s="413">
        <f t="shared" si="10"/>
        <v>600</v>
      </c>
      <c r="X251" s="412"/>
      <c r="Y251" s="412"/>
      <c r="Z251" s="412"/>
      <c r="AA251" s="412"/>
      <c r="AB251" s="412"/>
      <c r="AC251" s="412"/>
      <c r="AD251" s="412"/>
      <c r="AE251" s="412"/>
      <c r="AF251" s="412"/>
      <c r="AG251" s="412"/>
      <c r="AH251" s="412"/>
      <c r="AI251" s="412"/>
      <c r="AJ251" s="412">
        <f t="shared" si="11"/>
        <v>0</v>
      </c>
      <c r="AK251" s="198"/>
      <c r="AL251" s="250" t="s">
        <v>2067</v>
      </c>
    </row>
    <row r="252" spans="1:38" ht="14.1" customHeight="1" x14ac:dyDescent="0.2">
      <c r="A252" t="s">
        <v>894</v>
      </c>
      <c r="B252" s="193">
        <v>3922</v>
      </c>
      <c r="C252" s="194" t="s">
        <v>1151</v>
      </c>
      <c r="D252" s="229" t="s">
        <v>1560</v>
      </c>
      <c r="E252" s="229" t="s">
        <v>588</v>
      </c>
      <c r="F252" s="236">
        <v>300</v>
      </c>
      <c r="G252" s="196">
        <v>1</v>
      </c>
      <c r="H252" s="195">
        <v>300</v>
      </c>
      <c r="I252" s="197">
        <v>41273</v>
      </c>
      <c r="J252" s="197" t="str">
        <f t="shared" si="12"/>
        <v>ok</v>
      </c>
      <c r="K252" s="413"/>
      <c r="L252" s="413"/>
      <c r="M252" s="413"/>
      <c r="N252" s="413"/>
      <c r="O252" s="413"/>
      <c r="P252" s="413"/>
      <c r="Q252" s="413"/>
      <c r="R252" s="413"/>
      <c r="S252" s="413"/>
      <c r="T252" s="413"/>
      <c r="U252" s="413"/>
      <c r="V252" s="413"/>
      <c r="W252" s="413">
        <f t="shared" si="10"/>
        <v>0</v>
      </c>
      <c r="X252" s="412">
        <v>300</v>
      </c>
      <c r="Y252" s="412"/>
      <c r="Z252" s="412"/>
      <c r="AA252" s="412"/>
      <c r="AB252" s="412"/>
      <c r="AC252" s="412"/>
      <c r="AD252" s="412"/>
      <c r="AE252" s="412"/>
      <c r="AF252" s="412"/>
      <c r="AG252" s="412"/>
      <c r="AH252" s="412"/>
      <c r="AI252" s="412"/>
      <c r="AJ252" s="412">
        <f t="shared" si="11"/>
        <v>300</v>
      </c>
      <c r="AK252" s="198"/>
      <c r="AL252" s="250" t="s">
        <v>2067</v>
      </c>
    </row>
    <row r="253" spans="1:38" ht="14.1" customHeight="1" x14ac:dyDescent="0.2">
      <c r="A253" t="s">
        <v>888</v>
      </c>
      <c r="B253" s="193">
        <v>3923</v>
      </c>
      <c r="C253" s="194" t="s">
        <v>942</v>
      </c>
      <c r="D253" s="229" t="s">
        <v>1473</v>
      </c>
      <c r="E253" s="229" t="s">
        <v>401</v>
      </c>
      <c r="F253" s="236">
        <v>300</v>
      </c>
      <c r="G253" s="196">
        <v>1</v>
      </c>
      <c r="H253" s="195">
        <v>300</v>
      </c>
      <c r="I253" s="197">
        <v>41273</v>
      </c>
      <c r="J253" s="197" t="str">
        <f t="shared" si="12"/>
        <v>ok</v>
      </c>
      <c r="K253" s="413"/>
      <c r="L253" s="413"/>
      <c r="M253" s="413"/>
      <c r="N253" s="413"/>
      <c r="O253" s="413"/>
      <c r="P253" s="413"/>
      <c r="Q253" s="413"/>
      <c r="R253" s="413"/>
      <c r="S253" s="413"/>
      <c r="T253" s="413"/>
      <c r="U253" s="413"/>
      <c r="V253" s="413">
        <v>300</v>
      </c>
      <c r="W253" s="413">
        <f t="shared" si="10"/>
        <v>300</v>
      </c>
      <c r="X253" s="412"/>
      <c r="Y253" s="412"/>
      <c r="Z253" s="412"/>
      <c r="AA253" s="412"/>
      <c r="AB253" s="412"/>
      <c r="AC253" s="412"/>
      <c r="AD253" s="412"/>
      <c r="AE253" s="412"/>
      <c r="AF253" s="412"/>
      <c r="AG253" s="412"/>
      <c r="AH253" s="412"/>
      <c r="AI253" s="412"/>
      <c r="AJ253" s="412">
        <f t="shared" si="11"/>
        <v>0</v>
      </c>
      <c r="AK253" s="198"/>
      <c r="AL253" s="250" t="s">
        <v>2067</v>
      </c>
    </row>
    <row r="254" spans="1:38" ht="14.1" customHeight="1" x14ac:dyDescent="0.2">
      <c r="A254" t="s">
        <v>893</v>
      </c>
      <c r="B254" s="193">
        <v>3924</v>
      </c>
      <c r="C254" s="194" t="s">
        <v>1147</v>
      </c>
      <c r="D254" s="229" t="s">
        <v>1551</v>
      </c>
      <c r="E254" s="229" t="s">
        <v>329</v>
      </c>
      <c r="F254" s="236">
        <v>300</v>
      </c>
      <c r="G254" s="196">
        <v>5</v>
      </c>
      <c r="H254" s="195">
        <v>20</v>
      </c>
      <c r="I254" s="197">
        <v>41273</v>
      </c>
      <c r="J254" s="197" t="str">
        <f t="shared" si="12"/>
        <v>ok</v>
      </c>
      <c r="K254" s="413"/>
      <c r="L254" s="413"/>
      <c r="M254" s="413"/>
      <c r="N254" s="413"/>
      <c r="O254" s="413"/>
      <c r="P254" s="413"/>
      <c r="Q254" s="413"/>
      <c r="R254" s="413"/>
      <c r="S254" s="413"/>
      <c r="T254" s="413"/>
      <c r="U254" s="413"/>
      <c r="V254" s="413"/>
      <c r="W254" s="413">
        <f t="shared" si="10"/>
        <v>0</v>
      </c>
      <c r="X254" s="412"/>
      <c r="Y254" s="412"/>
      <c r="Z254" s="412"/>
      <c r="AA254" s="412"/>
      <c r="AB254" s="412"/>
      <c r="AC254" s="412"/>
      <c r="AD254" s="412"/>
      <c r="AE254" s="412"/>
      <c r="AF254" s="412"/>
      <c r="AG254" s="412"/>
      <c r="AH254" s="412"/>
      <c r="AI254" s="412"/>
      <c r="AJ254" s="412">
        <f t="shared" si="11"/>
        <v>0</v>
      </c>
      <c r="AK254" s="198"/>
      <c r="AL254" s="250" t="s">
        <v>2068</v>
      </c>
    </row>
    <row r="255" spans="1:38" ht="14.1" customHeight="1" x14ac:dyDescent="0.2">
      <c r="A255" t="s">
        <v>890</v>
      </c>
      <c r="B255" s="193">
        <v>3925</v>
      </c>
      <c r="C255" s="194" t="s">
        <v>1046</v>
      </c>
      <c r="D255" s="229" t="s">
        <v>1480</v>
      </c>
      <c r="E255" s="229" t="s">
        <v>458</v>
      </c>
      <c r="F255" s="236">
        <v>150</v>
      </c>
      <c r="G255" s="196">
        <v>1</v>
      </c>
      <c r="H255" s="195">
        <v>150</v>
      </c>
      <c r="I255" s="197">
        <v>41273</v>
      </c>
      <c r="J255" s="197" t="str">
        <f t="shared" si="12"/>
        <v>ok</v>
      </c>
      <c r="K255" s="413"/>
      <c r="L255" s="413"/>
      <c r="M255" s="413"/>
      <c r="N255" s="413"/>
      <c r="O255" s="413"/>
      <c r="P255" s="413"/>
      <c r="Q255" s="413"/>
      <c r="R255" s="413"/>
      <c r="S255" s="413"/>
      <c r="T255" s="413"/>
      <c r="U255" s="413"/>
      <c r="V255" s="413"/>
      <c r="W255" s="413">
        <f t="shared" si="10"/>
        <v>0</v>
      </c>
      <c r="X255" s="412">
        <v>150</v>
      </c>
      <c r="Y255" s="412"/>
      <c r="Z255" s="412"/>
      <c r="AA255" s="412"/>
      <c r="AB255" s="412"/>
      <c r="AC255" s="412"/>
      <c r="AD255" s="412"/>
      <c r="AE255" s="412"/>
      <c r="AF255" s="412"/>
      <c r="AG255" s="412"/>
      <c r="AH255" s="412"/>
      <c r="AI255" s="412"/>
      <c r="AJ255" s="412">
        <f t="shared" si="11"/>
        <v>150</v>
      </c>
      <c r="AK255" s="198"/>
      <c r="AL255" s="250" t="s">
        <v>2067</v>
      </c>
    </row>
    <row r="256" spans="1:38" ht="14.1" customHeight="1" x14ac:dyDescent="0.2">
      <c r="A256" t="s">
        <v>890</v>
      </c>
      <c r="B256" s="193">
        <v>3925</v>
      </c>
      <c r="C256" s="194" t="s">
        <v>1046</v>
      </c>
      <c r="D256" s="229" t="s">
        <v>1480</v>
      </c>
      <c r="E256" s="229" t="s">
        <v>458</v>
      </c>
      <c r="F256" s="236">
        <v>150</v>
      </c>
      <c r="G256" s="196">
        <v>5</v>
      </c>
      <c r="H256" s="195">
        <v>20</v>
      </c>
      <c r="I256" s="197">
        <v>41273</v>
      </c>
      <c r="J256" s="197" t="str">
        <f t="shared" si="12"/>
        <v>ok</v>
      </c>
      <c r="K256" s="413"/>
      <c r="L256" s="413"/>
      <c r="M256" s="413"/>
      <c r="N256" s="413"/>
      <c r="O256" s="413"/>
      <c r="P256" s="413"/>
      <c r="Q256" s="413"/>
      <c r="R256" s="413"/>
      <c r="S256" s="413"/>
      <c r="T256" s="413"/>
      <c r="U256" s="413"/>
      <c r="V256" s="413"/>
      <c r="W256" s="413">
        <f t="shared" si="10"/>
        <v>0</v>
      </c>
      <c r="X256" s="412"/>
      <c r="Y256" s="412"/>
      <c r="Z256" s="412"/>
      <c r="AA256" s="412"/>
      <c r="AB256" s="412"/>
      <c r="AC256" s="412"/>
      <c r="AD256" s="412"/>
      <c r="AE256" s="412"/>
      <c r="AF256" s="412"/>
      <c r="AG256" s="412"/>
      <c r="AH256" s="412"/>
      <c r="AI256" s="412"/>
      <c r="AJ256" s="412">
        <f t="shared" si="11"/>
        <v>0</v>
      </c>
      <c r="AK256" s="198"/>
      <c r="AL256" s="250" t="s">
        <v>2068</v>
      </c>
    </row>
    <row r="257" spans="1:38" ht="14.1" customHeight="1" x14ac:dyDescent="0.2">
      <c r="A257" t="s">
        <v>890</v>
      </c>
      <c r="B257" s="193">
        <v>3926</v>
      </c>
      <c r="C257" s="194" t="s">
        <v>978</v>
      </c>
      <c r="D257" s="229" t="s">
        <v>1616</v>
      </c>
      <c r="E257" s="229" t="s">
        <v>726</v>
      </c>
      <c r="F257" s="236">
        <v>250</v>
      </c>
      <c r="G257" s="196">
        <v>1</v>
      </c>
      <c r="H257" s="195">
        <v>750</v>
      </c>
      <c r="I257" s="197">
        <v>41273</v>
      </c>
      <c r="J257" s="197" t="str">
        <f t="shared" si="12"/>
        <v>ok</v>
      </c>
      <c r="K257" s="413"/>
      <c r="L257" s="413"/>
      <c r="M257" s="413"/>
      <c r="N257" s="413"/>
      <c r="O257" s="413"/>
      <c r="P257" s="413"/>
      <c r="Q257" s="413"/>
      <c r="R257" s="413"/>
      <c r="S257" s="413"/>
      <c r="T257" s="413"/>
      <c r="U257" s="413">
        <v>250</v>
      </c>
      <c r="V257" s="413">
        <v>250</v>
      </c>
      <c r="W257" s="413">
        <f t="shared" si="10"/>
        <v>500</v>
      </c>
      <c r="X257" s="412">
        <v>250</v>
      </c>
      <c r="Y257" s="412"/>
      <c r="Z257" s="412"/>
      <c r="AA257" s="412"/>
      <c r="AB257" s="412"/>
      <c r="AC257" s="412"/>
      <c r="AD257" s="412"/>
      <c r="AE257" s="412"/>
      <c r="AF257" s="412"/>
      <c r="AG257" s="412"/>
      <c r="AH257" s="412"/>
      <c r="AI257" s="412"/>
      <c r="AJ257" s="412">
        <f t="shared" si="11"/>
        <v>250</v>
      </c>
      <c r="AK257" s="198"/>
      <c r="AL257" s="250" t="s">
        <v>2067</v>
      </c>
    </row>
    <row r="258" spans="1:38" ht="14.1" customHeight="1" x14ac:dyDescent="0.2">
      <c r="A258" t="s">
        <v>894</v>
      </c>
      <c r="B258" s="193">
        <v>3927</v>
      </c>
      <c r="C258" s="194" t="s">
        <v>1160</v>
      </c>
      <c r="D258" s="229" t="s">
        <v>1608</v>
      </c>
      <c r="E258" s="229" t="s">
        <v>1275</v>
      </c>
      <c r="F258" s="236">
        <v>300</v>
      </c>
      <c r="G258" s="196">
        <v>1</v>
      </c>
      <c r="H258" s="195">
        <v>300</v>
      </c>
      <c r="I258" s="197">
        <v>41273</v>
      </c>
      <c r="J258" s="197" t="str">
        <f t="shared" si="12"/>
        <v>ok</v>
      </c>
      <c r="K258" s="413"/>
      <c r="L258" s="413"/>
      <c r="M258" s="413"/>
      <c r="N258" s="413"/>
      <c r="O258" s="413"/>
      <c r="P258" s="413"/>
      <c r="Q258" s="413"/>
      <c r="R258" s="413"/>
      <c r="S258" s="413"/>
      <c r="T258" s="413"/>
      <c r="U258" s="413"/>
      <c r="V258" s="413"/>
      <c r="W258" s="413">
        <f t="shared" si="10"/>
        <v>0</v>
      </c>
      <c r="X258" s="412">
        <v>300</v>
      </c>
      <c r="Y258" s="412"/>
      <c r="Z258" s="412"/>
      <c r="AA258" s="412"/>
      <c r="AB258" s="412"/>
      <c r="AC258" s="412"/>
      <c r="AD258" s="412"/>
      <c r="AE258" s="412"/>
      <c r="AF258" s="412"/>
      <c r="AG258" s="412"/>
      <c r="AH258" s="412"/>
      <c r="AI258" s="412"/>
      <c r="AJ258" s="412">
        <f t="shared" si="11"/>
        <v>300</v>
      </c>
      <c r="AK258" s="198"/>
      <c r="AL258" s="250" t="s">
        <v>2067</v>
      </c>
    </row>
    <row r="259" spans="1:38" ht="14.1" customHeight="1" x14ac:dyDescent="0.2">
      <c r="A259" t="s">
        <v>893</v>
      </c>
      <c r="B259" s="193">
        <v>3928</v>
      </c>
      <c r="C259" s="194" t="s">
        <v>778</v>
      </c>
      <c r="D259" s="229" t="s">
        <v>1573</v>
      </c>
      <c r="E259" s="229" t="s">
        <v>715</v>
      </c>
      <c r="F259" s="236">
        <v>300</v>
      </c>
      <c r="G259" s="196">
        <v>1</v>
      </c>
      <c r="H259" s="195">
        <v>300</v>
      </c>
      <c r="I259" s="197">
        <v>41273</v>
      </c>
      <c r="J259" s="197" t="str">
        <f t="shared" si="12"/>
        <v>ok</v>
      </c>
      <c r="K259" s="413"/>
      <c r="L259" s="413"/>
      <c r="M259" s="413"/>
      <c r="N259" s="413"/>
      <c r="O259" s="413"/>
      <c r="P259" s="413"/>
      <c r="Q259" s="413"/>
      <c r="R259" s="413"/>
      <c r="S259" s="413"/>
      <c r="T259" s="413"/>
      <c r="U259" s="413"/>
      <c r="V259" s="413"/>
      <c r="W259" s="413">
        <f t="shared" si="10"/>
        <v>0</v>
      </c>
      <c r="X259" s="412">
        <v>300</v>
      </c>
      <c r="Y259" s="412"/>
      <c r="Z259" s="412"/>
      <c r="AA259" s="412"/>
      <c r="AB259" s="412"/>
      <c r="AC259" s="412"/>
      <c r="AD259" s="412"/>
      <c r="AE259" s="412"/>
      <c r="AF259" s="412"/>
      <c r="AG259" s="412"/>
      <c r="AH259" s="412"/>
      <c r="AI259" s="412"/>
      <c r="AJ259" s="412">
        <f t="shared" si="11"/>
        <v>300</v>
      </c>
      <c r="AK259" s="198"/>
      <c r="AL259" s="250" t="s">
        <v>2067</v>
      </c>
    </row>
    <row r="260" spans="1:38" ht="14.1" customHeight="1" x14ac:dyDescent="0.2">
      <c r="A260" t="s">
        <v>893</v>
      </c>
      <c r="B260" s="193">
        <v>3928</v>
      </c>
      <c r="C260" s="194" t="s">
        <v>778</v>
      </c>
      <c r="D260" s="229" t="s">
        <v>1573</v>
      </c>
      <c r="E260" s="229" t="s">
        <v>715</v>
      </c>
      <c r="F260" s="236">
        <v>300</v>
      </c>
      <c r="G260" s="196">
        <v>5</v>
      </c>
      <c r="H260" s="195">
        <v>40</v>
      </c>
      <c r="I260" s="197">
        <v>41273</v>
      </c>
      <c r="J260" s="197" t="str">
        <f t="shared" si="12"/>
        <v>ok</v>
      </c>
      <c r="K260" s="413"/>
      <c r="L260" s="413"/>
      <c r="M260" s="413"/>
      <c r="N260" s="413"/>
      <c r="O260" s="413"/>
      <c r="P260" s="413"/>
      <c r="Q260" s="413"/>
      <c r="R260" s="413"/>
      <c r="S260" s="413"/>
      <c r="T260" s="413"/>
      <c r="U260" s="413"/>
      <c r="V260" s="413"/>
      <c r="W260" s="413">
        <f t="shared" si="10"/>
        <v>0</v>
      </c>
      <c r="X260" s="412"/>
      <c r="Y260" s="412"/>
      <c r="Z260" s="412"/>
      <c r="AA260" s="412"/>
      <c r="AB260" s="412"/>
      <c r="AC260" s="412"/>
      <c r="AD260" s="412"/>
      <c r="AE260" s="412"/>
      <c r="AF260" s="412"/>
      <c r="AG260" s="412"/>
      <c r="AH260" s="412"/>
      <c r="AI260" s="412"/>
      <c r="AJ260" s="412">
        <f t="shared" si="11"/>
        <v>0</v>
      </c>
      <c r="AK260" s="198"/>
      <c r="AL260" s="250" t="s">
        <v>2068</v>
      </c>
    </row>
    <row r="261" spans="1:38" ht="14.1" customHeight="1" x14ac:dyDescent="0.2">
      <c r="A261" t="s">
        <v>890</v>
      </c>
      <c r="B261" s="193">
        <v>3929</v>
      </c>
      <c r="C261" s="194" t="s">
        <v>1042</v>
      </c>
      <c r="D261" s="229" t="s">
        <v>1713</v>
      </c>
      <c r="E261" s="229" t="s">
        <v>1219</v>
      </c>
      <c r="F261" s="236">
        <v>300</v>
      </c>
      <c r="G261" s="196">
        <v>1</v>
      </c>
      <c r="H261" s="195">
        <v>900</v>
      </c>
      <c r="I261" s="197">
        <v>41273</v>
      </c>
      <c r="J261" s="197" t="str">
        <f t="shared" si="12"/>
        <v>ok</v>
      </c>
      <c r="K261" s="413"/>
      <c r="L261" s="413"/>
      <c r="M261" s="413"/>
      <c r="N261" s="413"/>
      <c r="O261" s="413"/>
      <c r="P261" s="413"/>
      <c r="Q261" s="413"/>
      <c r="R261" s="413"/>
      <c r="S261" s="413"/>
      <c r="T261" s="413">
        <v>300</v>
      </c>
      <c r="U261" s="413">
        <v>300</v>
      </c>
      <c r="V261" s="413">
        <v>300</v>
      </c>
      <c r="W261" s="413">
        <f t="shared" si="10"/>
        <v>900</v>
      </c>
      <c r="X261" s="412"/>
      <c r="Y261" s="412"/>
      <c r="Z261" s="412"/>
      <c r="AA261" s="412"/>
      <c r="AB261" s="412"/>
      <c r="AC261" s="412"/>
      <c r="AD261" s="412"/>
      <c r="AE261" s="412"/>
      <c r="AF261" s="412"/>
      <c r="AG261" s="412"/>
      <c r="AH261" s="412"/>
      <c r="AI261" s="412"/>
      <c r="AJ261" s="412">
        <f t="shared" si="11"/>
        <v>0</v>
      </c>
      <c r="AK261" s="198"/>
      <c r="AL261" s="250" t="s">
        <v>2067</v>
      </c>
    </row>
    <row r="262" spans="1:38" ht="14.1" customHeight="1" x14ac:dyDescent="0.2">
      <c r="A262" t="s">
        <v>893</v>
      </c>
      <c r="B262" s="193">
        <v>3930</v>
      </c>
      <c r="C262" s="194" t="s">
        <v>1113</v>
      </c>
      <c r="D262" s="229" t="s">
        <v>1531</v>
      </c>
      <c r="E262" s="229" t="s">
        <v>57</v>
      </c>
      <c r="F262" s="236">
        <v>150</v>
      </c>
      <c r="G262" s="196">
        <v>1</v>
      </c>
      <c r="H262" s="195">
        <v>150</v>
      </c>
      <c r="I262" s="197">
        <v>41273</v>
      </c>
      <c r="J262" s="197" t="str">
        <f t="shared" si="12"/>
        <v>ok</v>
      </c>
      <c r="K262" s="413"/>
      <c r="L262" s="413"/>
      <c r="M262" s="413"/>
      <c r="N262" s="413"/>
      <c r="O262" s="413"/>
      <c r="P262" s="413"/>
      <c r="Q262" s="413"/>
      <c r="R262" s="413"/>
      <c r="S262" s="413"/>
      <c r="T262" s="413"/>
      <c r="U262" s="413"/>
      <c r="V262" s="413">
        <v>150</v>
      </c>
      <c r="W262" s="413">
        <f t="shared" si="10"/>
        <v>150</v>
      </c>
      <c r="X262" s="412"/>
      <c r="Y262" s="412"/>
      <c r="Z262" s="412"/>
      <c r="AA262" s="412"/>
      <c r="AB262" s="412"/>
      <c r="AC262" s="412"/>
      <c r="AD262" s="412"/>
      <c r="AE262" s="412"/>
      <c r="AF262" s="412"/>
      <c r="AG262" s="412"/>
      <c r="AH262" s="412"/>
      <c r="AI262" s="412"/>
      <c r="AJ262" s="412">
        <f t="shared" si="11"/>
        <v>0</v>
      </c>
      <c r="AK262" s="198"/>
      <c r="AL262" s="250" t="s">
        <v>2067</v>
      </c>
    </row>
    <row r="263" spans="1:38" ht="14.1" customHeight="1" x14ac:dyDescent="0.2">
      <c r="A263" t="s">
        <v>893</v>
      </c>
      <c r="B263" s="193">
        <v>3931</v>
      </c>
      <c r="C263" s="194" t="s">
        <v>1111</v>
      </c>
      <c r="D263" s="229" t="s">
        <v>1600</v>
      </c>
      <c r="E263" s="229" t="s">
        <v>261</v>
      </c>
      <c r="F263" s="236">
        <v>300</v>
      </c>
      <c r="G263" s="196">
        <v>1</v>
      </c>
      <c r="H263" s="195">
        <v>300</v>
      </c>
      <c r="I263" s="197">
        <v>41273</v>
      </c>
      <c r="J263" s="197" t="str">
        <f t="shared" si="12"/>
        <v>ok</v>
      </c>
      <c r="K263" s="413"/>
      <c r="L263" s="413"/>
      <c r="M263" s="413"/>
      <c r="N263" s="413"/>
      <c r="O263" s="413"/>
      <c r="P263" s="413"/>
      <c r="Q263" s="413"/>
      <c r="R263" s="413"/>
      <c r="S263" s="413"/>
      <c r="T263" s="413"/>
      <c r="U263" s="413"/>
      <c r="V263" s="413"/>
      <c r="W263" s="413">
        <f t="shared" ref="W263:W326" si="13">SUM(K263:V263)</f>
        <v>0</v>
      </c>
      <c r="X263" s="412">
        <v>300</v>
      </c>
      <c r="Y263" s="412"/>
      <c r="Z263" s="412"/>
      <c r="AA263" s="412"/>
      <c r="AB263" s="412"/>
      <c r="AC263" s="412"/>
      <c r="AD263" s="412"/>
      <c r="AE263" s="412"/>
      <c r="AF263" s="412"/>
      <c r="AG263" s="412"/>
      <c r="AH263" s="412"/>
      <c r="AI263" s="412"/>
      <c r="AJ263" s="412">
        <f t="shared" ref="AJ263:AJ326" si="14">SUM(X263:AI263)</f>
        <v>300</v>
      </c>
      <c r="AK263" s="198"/>
      <c r="AL263" s="250" t="s">
        <v>2067</v>
      </c>
    </row>
    <row r="264" spans="1:38" ht="21.95" customHeight="1" x14ac:dyDescent="0.2">
      <c r="B264" s="126" t="s">
        <v>756</v>
      </c>
      <c r="C264" s="126" t="s">
        <v>903</v>
      </c>
      <c r="D264" s="126" t="s">
        <v>885</v>
      </c>
      <c r="E264" s="126" t="s">
        <v>689</v>
      </c>
      <c r="F264" s="235" t="s">
        <v>702</v>
      </c>
      <c r="G264" s="126" t="s">
        <v>1182</v>
      </c>
      <c r="H264" s="126" t="s">
        <v>757</v>
      </c>
      <c r="I264" s="126" t="s">
        <v>758</v>
      </c>
      <c r="J264" s="126" t="s">
        <v>2069</v>
      </c>
      <c r="K264" s="126" t="s">
        <v>690</v>
      </c>
      <c r="L264" s="126" t="s">
        <v>691</v>
      </c>
      <c r="M264" s="126" t="s">
        <v>692</v>
      </c>
      <c r="N264" s="126" t="s">
        <v>693</v>
      </c>
      <c r="O264" s="126" t="s">
        <v>694</v>
      </c>
      <c r="P264" s="126" t="s">
        <v>695</v>
      </c>
      <c r="Q264" s="126" t="s">
        <v>696</v>
      </c>
      <c r="R264" s="126" t="s">
        <v>697</v>
      </c>
      <c r="S264" s="126" t="s">
        <v>698</v>
      </c>
      <c r="T264" s="126" t="s">
        <v>699</v>
      </c>
      <c r="U264" s="126" t="s">
        <v>700</v>
      </c>
      <c r="V264" s="126" t="s">
        <v>701</v>
      </c>
      <c r="W264" s="248" t="s">
        <v>1715</v>
      </c>
      <c r="X264" s="126" t="s">
        <v>690</v>
      </c>
      <c r="Y264" s="126" t="s">
        <v>691</v>
      </c>
      <c r="Z264" s="126" t="s">
        <v>692</v>
      </c>
      <c r="AA264" s="126" t="s">
        <v>693</v>
      </c>
      <c r="AB264" s="126" t="s">
        <v>694</v>
      </c>
      <c r="AC264" s="126" t="s">
        <v>695</v>
      </c>
      <c r="AD264" s="126" t="s">
        <v>696</v>
      </c>
      <c r="AE264" s="126" t="s">
        <v>697</v>
      </c>
      <c r="AF264" s="126" t="s">
        <v>698</v>
      </c>
      <c r="AG264" s="126" t="s">
        <v>699</v>
      </c>
      <c r="AH264" s="126" t="s">
        <v>700</v>
      </c>
      <c r="AI264" s="126" t="s">
        <v>701</v>
      </c>
      <c r="AJ264" s="248" t="s">
        <v>1834</v>
      </c>
      <c r="AK264" s="126" t="s">
        <v>759</v>
      </c>
      <c r="AL264" s="250" t="e">
        <v>#VALUE!</v>
      </c>
    </row>
    <row r="265" spans="1:38" ht="14.1" customHeight="1" x14ac:dyDescent="0.2">
      <c r="A265" t="s">
        <v>892</v>
      </c>
      <c r="B265" s="223">
        <v>3932</v>
      </c>
      <c r="C265" s="224" t="s">
        <v>1063</v>
      </c>
      <c r="D265" s="230" t="s">
        <v>1359</v>
      </c>
      <c r="E265" s="230" t="s">
        <v>521</v>
      </c>
      <c r="F265" s="237">
        <v>300</v>
      </c>
      <c r="G265" s="226">
        <v>1</v>
      </c>
      <c r="H265" s="225">
        <v>600</v>
      </c>
      <c r="I265" s="227">
        <v>41276</v>
      </c>
      <c r="J265" s="197" t="str">
        <f t="shared" si="12"/>
        <v>ok</v>
      </c>
      <c r="K265" s="414"/>
      <c r="L265" s="414"/>
      <c r="M265" s="414"/>
      <c r="N265" s="414"/>
      <c r="O265" s="414"/>
      <c r="P265" s="414"/>
      <c r="Q265" s="414"/>
      <c r="R265" s="414"/>
      <c r="S265" s="414"/>
      <c r="T265" s="414"/>
      <c r="U265" s="414"/>
      <c r="V265" s="414"/>
      <c r="W265" s="413">
        <f t="shared" si="13"/>
        <v>0</v>
      </c>
      <c r="X265" s="412">
        <v>300</v>
      </c>
      <c r="Y265" s="412">
        <v>300</v>
      </c>
      <c r="Z265" s="412"/>
      <c r="AA265" s="412"/>
      <c r="AB265" s="412"/>
      <c r="AC265" s="412"/>
      <c r="AD265" s="412"/>
      <c r="AE265" s="412"/>
      <c r="AF265" s="412"/>
      <c r="AG265" s="412"/>
      <c r="AH265" s="412"/>
      <c r="AI265" s="412"/>
      <c r="AJ265" s="412">
        <f t="shared" si="14"/>
        <v>600</v>
      </c>
      <c r="AK265" s="228"/>
      <c r="AL265" s="250" t="s">
        <v>2067</v>
      </c>
    </row>
    <row r="266" spans="1:38" ht="14.1" customHeight="1" x14ac:dyDescent="0.2">
      <c r="A266" t="s">
        <v>884</v>
      </c>
      <c r="B266" s="193">
        <v>3933</v>
      </c>
      <c r="C266" s="194" t="s">
        <v>855</v>
      </c>
      <c r="D266" s="229" t="s">
        <v>1360</v>
      </c>
      <c r="E266" s="229" t="s">
        <v>1235</v>
      </c>
      <c r="F266" s="236">
        <v>300</v>
      </c>
      <c r="G266" s="196">
        <v>1</v>
      </c>
      <c r="H266" s="195">
        <v>1800</v>
      </c>
      <c r="I266" s="197">
        <v>41277</v>
      </c>
      <c r="J266" s="197" t="str">
        <f t="shared" si="12"/>
        <v>ok</v>
      </c>
      <c r="K266" s="413"/>
      <c r="L266" s="413"/>
      <c r="M266" s="413"/>
      <c r="N266" s="413"/>
      <c r="O266" s="413"/>
      <c r="P266" s="413"/>
      <c r="Q266" s="413">
        <v>300</v>
      </c>
      <c r="R266" s="413">
        <v>300</v>
      </c>
      <c r="S266" s="413">
        <v>300</v>
      </c>
      <c r="T266" s="413">
        <v>300</v>
      </c>
      <c r="U266" s="413">
        <v>300</v>
      </c>
      <c r="V266" s="413">
        <v>300</v>
      </c>
      <c r="W266" s="413">
        <f t="shared" si="13"/>
        <v>1800</v>
      </c>
      <c r="X266" s="412"/>
      <c r="Y266" s="412"/>
      <c r="Z266" s="412"/>
      <c r="AA266" s="412"/>
      <c r="AB266" s="412"/>
      <c r="AC266" s="412"/>
      <c r="AD266" s="412"/>
      <c r="AE266" s="412"/>
      <c r="AF266" s="412"/>
      <c r="AG266" s="412"/>
      <c r="AH266" s="412"/>
      <c r="AI266" s="412"/>
      <c r="AJ266" s="412">
        <f t="shared" si="14"/>
        <v>0</v>
      </c>
      <c r="AK266" s="198" t="s">
        <v>1237</v>
      </c>
      <c r="AL266" s="250" t="s">
        <v>2067</v>
      </c>
    </row>
    <row r="267" spans="1:38" ht="14.1" customHeight="1" x14ac:dyDescent="0.2">
      <c r="A267" t="s">
        <v>884</v>
      </c>
      <c r="B267" s="193">
        <v>3933</v>
      </c>
      <c r="C267" s="194" t="s">
        <v>855</v>
      </c>
      <c r="D267" s="229" t="s">
        <v>1360</v>
      </c>
      <c r="E267" s="229" t="s">
        <v>1235</v>
      </c>
      <c r="F267" s="236">
        <v>300</v>
      </c>
      <c r="G267" s="196">
        <v>4</v>
      </c>
      <c r="H267" s="195">
        <v>160</v>
      </c>
      <c r="I267" s="197">
        <v>41277</v>
      </c>
      <c r="J267" s="197" t="str">
        <f t="shared" si="12"/>
        <v>ok</v>
      </c>
      <c r="K267" s="413"/>
      <c r="L267" s="413"/>
      <c r="M267" s="413"/>
      <c r="N267" s="413"/>
      <c r="O267" s="413"/>
      <c r="P267" s="413"/>
      <c r="Q267" s="413"/>
      <c r="R267" s="413"/>
      <c r="S267" s="413"/>
      <c r="T267" s="413"/>
      <c r="U267" s="413"/>
      <c r="V267" s="413"/>
      <c r="W267" s="413">
        <f t="shared" si="13"/>
        <v>0</v>
      </c>
      <c r="X267" s="412"/>
      <c r="Y267" s="412"/>
      <c r="Z267" s="412"/>
      <c r="AA267" s="412"/>
      <c r="AB267" s="412"/>
      <c r="AC267" s="412"/>
      <c r="AD267" s="412"/>
      <c r="AE267" s="412"/>
      <c r="AF267" s="412"/>
      <c r="AG267" s="412"/>
      <c r="AH267" s="412"/>
      <c r="AI267" s="412"/>
      <c r="AJ267" s="412">
        <f t="shared" si="14"/>
        <v>0</v>
      </c>
      <c r="AK267" s="198"/>
      <c r="AL267" s="250" t="s">
        <v>2068</v>
      </c>
    </row>
    <row r="268" spans="1:38" ht="14.1" customHeight="1" x14ac:dyDescent="0.2">
      <c r="A268" t="s">
        <v>887</v>
      </c>
      <c r="B268" s="193">
        <v>3934</v>
      </c>
      <c r="C268" s="194" t="s">
        <v>904</v>
      </c>
      <c r="D268" s="229" t="s">
        <v>1361</v>
      </c>
      <c r="E268" s="229" t="s">
        <v>667</v>
      </c>
      <c r="F268" s="236">
        <v>300</v>
      </c>
      <c r="G268" s="196">
        <v>1</v>
      </c>
      <c r="H268" s="195">
        <v>600</v>
      </c>
      <c r="I268" s="197">
        <v>41277</v>
      </c>
      <c r="J268" s="197" t="str">
        <f t="shared" si="12"/>
        <v>ok</v>
      </c>
      <c r="K268" s="413"/>
      <c r="L268" s="413"/>
      <c r="M268" s="413"/>
      <c r="N268" s="413"/>
      <c r="O268" s="413"/>
      <c r="P268" s="413"/>
      <c r="Q268" s="413"/>
      <c r="R268" s="413"/>
      <c r="S268" s="413"/>
      <c r="T268" s="413"/>
      <c r="U268" s="413"/>
      <c r="V268" s="413">
        <v>300</v>
      </c>
      <c r="W268" s="413">
        <f t="shared" si="13"/>
        <v>300</v>
      </c>
      <c r="X268" s="412">
        <v>300</v>
      </c>
      <c r="Y268" s="412"/>
      <c r="Z268" s="412"/>
      <c r="AA268" s="412"/>
      <c r="AB268" s="412"/>
      <c r="AC268" s="412"/>
      <c r="AD268" s="412"/>
      <c r="AE268" s="412"/>
      <c r="AF268" s="412"/>
      <c r="AG268" s="412"/>
      <c r="AH268" s="412"/>
      <c r="AI268" s="412"/>
      <c r="AJ268" s="412">
        <f t="shared" si="14"/>
        <v>300</v>
      </c>
      <c r="AK268" s="198" t="s">
        <v>1236</v>
      </c>
      <c r="AL268" s="250" t="s">
        <v>2067</v>
      </c>
    </row>
    <row r="269" spans="1:38" ht="14.1" customHeight="1" x14ac:dyDescent="0.2">
      <c r="B269" s="193">
        <v>3935</v>
      </c>
      <c r="C269" s="194"/>
      <c r="D269" s="229" t="s">
        <v>1362</v>
      </c>
      <c r="E269" s="229" t="s">
        <v>1362</v>
      </c>
      <c r="F269" s="236">
        <v>0</v>
      </c>
      <c r="G269" s="196">
        <v>8</v>
      </c>
      <c r="H269" s="195">
        <v>0</v>
      </c>
      <c r="I269" s="197"/>
      <c r="J269" s="197" t="str">
        <f t="shared" si="12"/>
        <v>ok</v>
      </c>
      <c r="K269" s="413"/>
      <c r="L269" s="413"/>
      <c r="M269" s="413"/>
      <c r="N269" s="413"/>
      <c r="O269" s="413"/>
      <c r="P269" s="413"/>
      <c r="Q269" s="413"/>
      <c r="R269" s="413"/>
      <c r="S269" s="413"/>
      <c r="T269" s="413"/>
      <c r="U269" s="413"/>
      <c r="V269" s="413"/>
      <c r="W269" s="413">
        <f t="shared" si="13"/>
        <v>0</v>
      </c>
      <c r="X269" s="412"/>
      <c r="Y269" s="412"/>
      <c r="Z269" s="412"/>
      <c r="AA269" s="412"/>
      <c r="AB269" s="412"/>
      <c r="AC269" s="412"/>
      <c r="AD269" s="412"/>
      <c r="AE269" s="412"/>
      <c r="AF269" s="412"/>
      <c r="AG269" s="412"/>
      <c r="AH269" s="412"/>
      <c r="AI269" s="412"/>
      <c r="AJ269" s="412">
        <f t="shared" si="14"/>
        <v>0</v>
      </c>
      <c r="AK269" s="198" t="s">
        <v>755</v>
      </c>
      <c r="AL269" s="250" t="s">
        <v>2067</v>
      </c>
    </row>
    <row r="270" spans="1:38" ht="14.1" customHeight="1" x14ac:dyDescent="0.2">
      <c r="A270" t="s">
        <v>893</v>
      </c>
      <c r="B270" s="193">
        <v>3936</v>
      </c>
      <c r="C270" s="194" t="s">
        <v>1132</v>
      </c>
      <c r="D270" s="229" t="s">
        <v>1363</v>
      </c>
      <c r="E270" s="229" t="s">
        <v>1270</v>
      </c>
      <c r="F270" s="236">
        <v>300</v>
      </c>
      <c r="G270" s="196">
        <v>1</v>
      </c>
      <c r="H270" s="195">
        <v>300</v>
      </c>
      <c r="I270" s="197">
        <v>41278</v>
      </c>
      <c r="J270" s="197" t="str">
        <f t="shared" ref="J270:J333" si="15">IF(OR(G270&lt;&gt;1,SUM(W270,AJ270)=H270),"ok","error")</f>
        <v>ok</v>
      </c>
      <c r="K270" s="413"/>
      <c r="L270" s="413"/>
      <c r="M270" s="413"/>
      <c r="N270" s="413"/>
      <c r="O270" s="413"/>
      <c r="P270" s="413"/>
      <c r="Q270" s="413"/>
      <c r="R270" s="413"/>
      <c r="S270" s="413"/>
      <c r="T270" s="413"/>
      <c r="U270" s="413"/>
      <c r="V270" s="413"/>
      <c r="W270" s="413">
        <f t="shared" si="13"/>
        <v>0</v>
      </c>
      <c r="X270" s="412">
        <v>300</v>
      </c>
      <c r="Y270" s="412"/>
      <c r="Z270" s="412"/>
      <c r="AA270" s="412"/>
      <c r="AB270" s="412"/>
      <c r="AC270" s="412"/>
      <c r="AD270" s="412"/>
      <c r="AE270" s="412"/>
      <c r="AF270" s="412"/>
      <c r="AG270" s="412"/>
      <c r="AH270" s="412"/>
      <c r="AI270" s="412"/>
      <c r="AJ270" s="412">
        <f t="shared" si="14"/>
        <v>300</v>
      </c>
      <c r="AK270" s="198"/>
      <c r="AL270" s="250" t="s">
        <v>2067</v>
      </c>
    </row>
    <row r="271" spans="1:38" ht="14.1" customHeight="1" x14ac:dyDescent="0.2">
      <c r="A271" t="s">
        <v>893</v>
      </c>
      <c r="B271" s="193">
        <v>3937</v>
      </c>
      <c r="C271" s="194" t="s">
        <v>1124</v>
      </c>
      <c r="D271" s="229" t="s">
        <v>1364</v>
      </c>
      <c r="E271" s="229" t="s">
        <v>284</v>
      </c>
      <c r="F271" s="236">
        <v>300</v>
      </c>
      <c r="G271" s="196">
        <v>1</v>
      </c>
      <c r="H271" s="195">
        <v>300</v>
      </c>
      <c r="I271" s="197">
        <v>41276</v>
      </c>
      <c r="J271" s="197" t="str">
        <f t="shared" si="15"/>
        <v>ok</v>
      </c>
      <c r="K271" s="413"/>
      <c r="L271" s="413"/>
      <c r="M271" s="413"/>
      <c r="N271" s="413"/>
      <c r="O271" s="413"/>
      <c r="P271" s="413"/>
      <c r="Q271" s="413"/>
      <c r="R271" s="413"/>
      <c r="S271" s="413"/>
      <c r="T271" s="413"/>
      <c r="U271" s="413"/>
      <c r="V271" s="413"/>
      <c r="W271" s="413">
        <f t="shared" si="13"/>
        <v>0</v>
      </c>
      <c r="X271" s="412">
        <v>300</v>
      </c>
      <c r="Y271" s="412"/>
      <c r="Z271" s="412"/>
      <c r="AA271" s="412"/>
      <c r="AB271" s="412"/>
      <c r="AC271" s="412"/>
      <c r="AD271" s="412"/>
      <c r="AE271" s="412"/>
      <c r="AF271" s="412"/>
      <c r="AG271" s="412"/>
      <c r="AH271" s="412"/>
      <c r="AI271" s="412"/>
      <c r="AJ271" s="412">
        <f t="shared" si="14"/>
        <v>300</v>
      </c>
      <c r="AK271" s="198"/>
      <c r="AL271" s="250" t="s">
        <v>2067</v>
      </c>
    </row>
    <row r="272" spans="1:38" ht="14.1" customHeight="1" x14ac:dyDescent="0.2">
      <c r="A272" t="s">
        <v>884</v>
      </c>
      <c r="B272" s="193">
        <v>3938</v>
      </c>
      <c r="C272" s="194" t="s">
        <v>839</v>
      </c>
      <c r="D272" s="229" t="s">
        <v>1365</v>
      </c>
      <c r="E272" s="229" t="s">
        <v>1204</v>
      </c>
      <c r="F272" s="236">
        <v>300</v>
      </c>
      <c r="G272" s="196">
        <v>1</v>
      </c>
      <c r="H272" s="195">
        <v>300</v>
      </c>
      <c r="I272" s="197">
        <v>41278</v>
      </c>
      <c r="J272" s="197" t="str">
        <f t="shared" si="15"/>
        <v>ok</v>
      </c>
      <c r="K272" s="413"/>
      <c r="L272" s="413"/>
      <c r="M272" s="413"/>
      <c r="N272" s="413"/>
      <c r="O272" s="413"/>
      <c r="P272" s="413"/>
      <c r="Q272" s="413"/>
      <c r="R272" s="413"/>
      <c r="S272" s="413"/>
      <c r="T272" s="413"/>
      <c r="U272" s="413">
        <v>300</v>
      </c>
      <c r="V272" s="413"/>
      <c r="W272" s="413">
        <f t="shared" si="13"/>
        <v>300</v>
      </c>
      <c r="X272" s="412"/>
      <c r="Y272" s="412"/>
      <c r="Z272" s="412"/>
      <c r="AA272" s="412"/>
      <c r="AB272" s="412"/>
      <c r="AC272" s="412"/>
      <c r="AD272" s="412"/>
      <c r="AE272" s="412"/>
      <c r="AF272" s="412"/>
      <c r="AG272" s="412"/>
      <c r="AH272" s="412"/>
      <c r="AI272" s="412"/>
      <c r="AJ272" s="412">
        <f t="shared" si="14"/>
        <v>0</v>
      </c>
      <c r="AK272" s="198" t="s">
        <v>1238</v>
      </c>
      <c r="AL272" s="250" t="s">
        <v>2067</v>
      </c>
    </row>
    <row r="273" spans="1:38" ht="14.1" customHeight="1" x14ac:dyDescent="0.2">
      <c r="A273" t="s">
        <v>890</v>
      </c>
      <c r="B273" s="193">
        <v>3939</v>
      </c>
      <c r="C273" s="194" t="s">
        <v>1033</v>
      </c>
      <c r="D273" s="229" t="s">
        <v>1366</v>
      </c>
      <c r="E273" s="229" t="s">
        <v>1218</v>
      </c>
      <c r="F273" s="236">
        <v>300</v>
      </c>
      <c r="G273" s="196">
        <v>1</v>
      </c>
      <c r="H273" s="195">
        <v>300</v>
      </c>
      <c r="I273" s="197">
        <v>41278</v>
      </c>
      <c r="J273" s="197" t="str">
        <f t="shared" si="15"/>
        <v>ok</v>
      </c>
      <c r="K273" s="413"/>
      <c r="L273" s="413"/>
      <c r="M273" s="413"/>
      <c r="N273" s="413"/>
      <c r="O273" s="413"/>
      <c r="P273" s="413"/>
      <c r="Q273" s="413"/>
      <c r="R273" s="413"/>
      <c r="S273" s="413"/>
      <c r="T273" s="413"/>
      <c r="U273" s="413"/>
      <c r="V273" s="413"/>
      <c r="W273" s="413">
        <f t="shared" si="13"/>
        <v>0</v>
      </c>
      <c r="X273" s="412">
        <v>300</v>
      </c>
      <c r="Y273" s="412"/>
      <c r="Z273" s="412"/>
      <c r="AA273" s="412"/>
      <c r="AB273" s="412"/>
      <c r="AC273" s="412"/>
      <c r="AD273" s="412"/>
      <c r="AE273" s="412"/>
      <c r="AF273" s="412"/>
      <c r="AG273" s="412"/>
      <c r="AH273" s="412"/>
      <c r="AI273" s="412"/>
      <c r="AJ273" s="412">
        <f t="shared" si="14"/>
        <v>300</v>
      </c>
      <c r="AK273" s="198"/>
      <c r="AL273" s="250" t="s">
        <v>2067</v>
      </c>
    </row>
    <row r="274" spans="1:38" ht="14.1" customHeight="1" x14ac:dyDescent="0.2">
      <c r="A274" t="s">
        <v>884</v>
      </c>
      <c r="B274" s="193">
        <v>3940</v>
      </c>
      <c r="C274" s="194" t="s">
        <v>839</v>
      </c>
      <c r="D274" s="229" t="s">
        <v>1365</v>
      </c>
      <c r="E274" s="229" t="s">
        <v>1204</v>
      </c>
      <c r="F274" s="236">
        <v>300</v>
      </c>
      <c r="G274" s="196">
        <v>1</v>
      </c>
      <c r="H274" s="195">
        <v>300</v>
      </c>
      <c r="I274" s="197">
        <v>41278</v>
      </c>
      <c r="J274" s="197" t="str">
        <f t="shared" si="15"/>
        <v>ok</v>
      </c>
      <c r="K274" s="413"/>
      <c r="L274" s="413"/>
      <c r="M274" s="413"/>
      <c r="N274" s="413"/>
      <c r="O274" s="413"/>
      <c r="P274" s="413"/>
      <c r="Q274" s="413"/>
      <c r="R274" s="413"/>
      <c r="S274" s="413"/>
      <c r="T274" s="413"/>
      <c r="U274" s="413"/>
      <c r="V274" s="413"/>
      <c r="W274" s="413">
        <f t="shared" si="13"/>
        <v>0</v>
      </c>
      <c r="X274" s="412">
        <v>300</v>
      </c>
      <c r="Y274" s="412"/>
      <c r="Z274" s="412"/>
      <c r="AA274" s="412"/>
      <c r="AB274" s="412"/>
      <c r="AC274" s="412"/>
      <c r="AD274" s="412"/>
      <c r="AE274" s="412"/>
      <c r="AF274" s="412"/>
      <c r="AG274" s="412"/>
      <c r="AH274" s="412"/>
      <c r="AI274" s="412"/>
      <c r="AJ274" s="412">
        <f t="shared" si="14"/>
        <v>300</v>
      </c>
      <c r="AK274" s="198"/>
      <c r="AL274" s="250" t="s">
        <v>2067</v>
      </c>
    </row>
    <row r="275" spans="1:38" ht="14.1" customHeight="1" x14ac:dyDescent="0.2">
      <c r="A275" t="s">
        <v>894</v>
      </c>
      <c r="B275" s="193">
        <v>3941</v>
      </c>
      <c r="C275" s="194" t="s">
        <v>1154</v>
      </c>
      <c r="D275" s="229" t="s">
        <v>1367</v>
      </c>
      <c r="E275" s="229" t="s">
        <v>1239</v>
      </c>
      <c r="F275" s="236">
        <v>300</v>
      </c>
      <c r="G275" s="196">
        <v>1</v>
      </c>
      <c r="H275" s="195">
        <v>300</v>
      </c>
      <c r="I275" s="197">
        <v>41279</v>
      </c>
      <c r="J275" s="197" t="str">
        <f t="shared" si="15"/>
        <v>ok</v>
      </c>
      <c r="K275" s="413"/>
      <c r="L275" s="413"/>
      <c r="M275" s="413"/>
      <c r="N275" s="413"/>
      <c r="O275" s="413"/>
      <c r="P275" s="413"/>
      <c r="Q275" s="413"/>
      <c r="R275" s="413"/>
      <c r="S275" s="413"/>
      <c r="T275" s="413"/>
      <c r="U275" s="413"/>
      <c r="V275" s="413">
        <v>300</v>
      </c>
      <c r="W275" s="413">
        <f t="shared" si="13"/>
        <v>300</v>
      </c>
      <c r="X275" s="412"/>
      <c r="Y275" s="412"/>
      <c r="Z275" s="412"/>
      <c r="AA275" s="412"/>
      <c r="AB275" s="412"/>
      <c r="AC275" s="412"/>
      <c r="AD275" s="412"/>
      <c r="AE275" s="412"/>
      <c r="AF275" s="412"/>
      <c r="AG275" s="412"/>
      <c r="AH275" s="412"/>
      <c r="AI275" s="412"/>
      <c r="AJ275" s="412">
        <f t="shared" si="14"/>
        <v>0</v>
      </c>
      <c r="AK275" s="198" t="s">
        <v>1240</v>
      </c>
      <c r="AL275" s="250" t="s">
        <v>2067</v>
      </c>
    </row>
    <row r="276" spans="1:38" ht="14.1" customHeight="1" x14ac:dyDescent="0.2">
      <c r="A276" t="s">
        <v>894</v>
      </c>
      <c r="B276" s="193">
        <v>3941</v>
      </c>
      <c r="C276" s="194" t="s">
        <v>1154</v>
      </c>
      <c r="D276" s="229" t="s">
        <v>1367</v>
      </c>
      <c r="E276" s="229" t="s">
        <v>1239</v>
      </c>
      <c r="F276" s="236">
        <v>300</v>
      </c>
      <c r="G276" s="196">
        <v>3</v>
      </c>
      <c r="H276" s="195">
        <v>160</v>
      </c>
      <c r="I276" s="197">
        <v>41279</v>
      </c>
      <c r="J276" s="197" t="str">
        <f t="shared" si="15"/>
        <v>ok</v>
      </c>
      <c r="K276" s="413"/>
      <c r="L276" s="413"/>
      <c r="M276" s="413"/>
      <c r="N276" s="413"/>
      <c r="O276" s="413"/>
      <c r="P276" s="413"/>
      <c r="Q276" s="413"/>
      <c r="R276" s="413"/>
      <c r="S276" s="413"/>
      <c r="T276" s="413"/>
      <c r="U276" s="413"/>
      <c r="V276" s="413"/>
      <c r="W276" s="413">
        <f t="shared" si="13"/>
        <v>0</v>
      </c>
      <c r="X276" s="412"/>
      <c r="Y276" s="412"/>
      <c r="Z276" s="412"/>
      <c r="AA276" s="412"/>
      <c r="AB276" s="412"/>
      <c r="AC276" s="412"/>
      <c r="AD276" s="412"/>
      <c r="AE276" s="412"/>
      <c r="AF276" s="412"/>
      <c r="AG276" s="412"/>
      <c r="AH276" s="412"/>
      <c r="AI276" s="412"/>
      <c r="AJ276" s="412">
        <f t="shared" si="14"/>
        <v>0</v>
      </c>
      <c r="AK276" s="198"/>
      <c r="AL276" s="250" t="s">
        <v>2068</v>
      </c>
    </row>
    <row r="277" spans="1:38" ht="14.1" customHeight="1" x14ac:dyDescent="0.2">
      <c r="A277" t="s">
        <v>888</v>
      </c>
      <c r="B277" s="193">
        <v>3942</v>
      </c>
      <c r="C277" s="194" t="s">
        <v>938</v>
      </c>
      <c r="D277" s="229" t="s">
        <v>1368</v>
      </c>
      <c r="E277" s="229" t="s">
        <v>35</v>
      </c>
      <c r="F277" s="236">
        <v>300</v>
      </c>
      <c r="G277" s="196">
        <v>1</v>
      </c>
      <c r="H277" s="195">
        <v>300</v>
      </c>
      <c r="I277" s="197">
        <v>41280</v>
      </c>
      <c r="J277" s="197" t="str">
        <f t="shared" si="15"/>
        <v>ok</v>
      </c>
      <c r="K277" s="413"/>
      <c r="L277" s="413"/>
      <c r="M277" s="413"/>
      <c r="N277" s="413"/>
      <c r="O277" s="413"/>
      <c r="P277" s="413"/>
      <c r="Q277" s="413"/>
      <c r="R277" s="413"/>
      <c r="S277" s="413"/>
      <c r="T277" s="413"/>
      <c r="U277" s="413">
        <v>300</v>
      </c>
      <c r="V277" s="413"/>
      <c r="W277" s="413">
        <f t="shared" si="13"/>
        <v>300</v>
      </c>
      <c r="X277" s="412"/>
      <c r="Y277" s="412"/>
      <c r="Z277" s="412"/>
      <c r="AA277" s="412"/>
      <c r="AB277" s="412"/>
      <c r="AC277" s="412"/>
      <c r="AD277" s="412"/>
      <c r="AE277" s="412"/>
      <c r="AF277" s="412"/>
      <c r="AG277" s="412"/>
      <c r="AH277" s="412"/>
      <c r="AI277" s="412"/>
      <c r="AJ277" s="412">
        <f t="shared" si="14"/>
        <v>0</v>
      </c>
      <c r="AK277" s="198" t="s">
        <v>1238</v>
      </c>
      <c r="AL277" s="250" t="s">
        <v>2067</v>
      </c>
    </row>
    <row r="278" spans="1:38" ht="14.1" customHeight="1" x14ac:dyDescent="0.2">
      <c r="A278" t="s">
        <v>893</v>
      </c>
      <c r="B278" s="193">
        <v>3943</v>
      </c>
      <c r="C278" s="194" t="s">
        <v>1129</v>
      </c>
      <c r="D278" s="229" t="s">
        <v>1369</v>
      </c>
      <c r="E278" s="229" t="s">
        <v>296</v>
      </c>
      <c r="F278" s="236">
        <v>300</v>
      </c>
      <c r="G278" s="196">
        <v>1</v>
      </c>
      <c r="H278" s="195">
        <v>300</v>
      </c>
      <c r="I278" s="197">
        <v>41280</v>
      </c>
      <c r="J278" s="197" t="str">
        <f t="shared" si="15"/>
        <v>ok</v>
      </c>
      <c r="K278" s="413"/>
      <c r="L278" s="413"/>
      <c r="M278" s="413"/>
      <c r="N278" s="413"/>
      <c r="O278" s="413"/>
      <c r="P278" s="413"/>
      <c r="Q278" s="413"/>
      <c r="R278" s="413"/>
      <c r="S278" s="413"/>
      <c r="T278" s="413"/>
      <c r="U278" s="413">
        <v>300</v>
      </c>
      <c r="V278" s="413"/>
      <c r="W278" s="413">
        <f t="shared" si="13"/>
        <v>300</v>
      </c>
      <c r="X278" s="412"/>
      <c r="Y278" s="412"/>
      <c r="Z278" s="412"/>
      <c r="AA278" s="412"/>
      <c r="AB278" s="412"/>
      <c r="AC278" s="412"/>
      <c r="AD278" s="412"/>
      <c r="AE278" s="412"/>
      <c r="AF278" s="412"/>
      <c r="AG278" s="412"/>
      <c r="AH278" s="412"/>
      <c r="AI278" s="412"/>
      <c r="AJ278" s="412">
        <f t="shared" si="14"/>
        <v>0</v>
      </c>
      <c r="AK278" s="198" t="s">
        <v>1238</v>
      </c>
      <c r="AL278" s="250" t="s">
        <v>2067</v>
      </c>
    </row>
    <row r="279" spans="1:38" ht="14.1" customHeight="1" x14ac:dyDescent="0.2">
      <c r="A279" t="s">
        <v>890</v>
      </c>
      <c r="B279" s="193">
        <v>3944</v>
      </c>
      <c r="C279" s="194" t="s">
        <v>1006</v>
      </c>
      <c r="D279" s="229" t="s">
        <v>1370</v>
      </c>
      <c r="E279" s="229" t="s">
        <v>1217</v>
      </c>
      <c r="F279" s="236">
        <v>300</v>
      </c>
      <c r="G279" s="196">
        <v>1</v>
      </c>
      <c r="H279" s="195">
        <v>300</v>
      </c>
      <c r="I279" s="197">
        <v>41280</v>
      </c>
      <c r="J279" s="197" t="str">
        <f t="shared" si="15"/>
        <v>ok</v>
      </c>
      <c r="K279" s="413"/>
      <c r="L279" s="413"/>
      <c r="M279" s="413"/>
      <c r="N279" s="413"/>
      <c r="O279" s="413"/>
      <c r="P279" s="413"/>
      <c r="Q279" s="413"/>
      <c r="R279" s="413"/>
      <c r="S279" s="413"/>
      <c r="T279" s="413"/>
      <c r="U279" s="413"/>
      <c r="V279" s="413"/>
      <c r="W279" s="413">
        <f t="shared" si="13"/>
        <v>0</v>
      </c>
      <c r="X279" s="412">
        <v>300</v>
      </c>
      <c r="Y279" s="412"/>
      <c r="Z279" s="412"/>
      <c r="AA279" s="412"/>
      <c r="AB279" s="412"/>
      <c r="AC279" s="412"/>
      <c r="AD279" s="412"/>
      <c r="AE279" s="412"/>
      <c r="AF279" s="412"/>
      <c r="AG279" s="412"/>
      <c r="AH279" s="412"/>
      <c r="AI279" s="412"/>
      <c r="AJ279" s="412">
        <f t="shared" si="14"/>
        <v>300</v>
      </c>
      <c r="AK279" s="198"/>
      <c r="AL279" s="250" t="s">
        <v>2067</v>
      </c>
    </row>
    <row r="280" spans="1:38" ht="14.1" customHeight="1" x14ac:dyDescent="0.2">
      <c r="A280" t="s">
        <v>888</v>
      </c>
      <c r="B280" s="193">
        <v>3945</v>
      </c>
      <c r="C280" s="194" t="s">
        <v>925</v>
      </c>
      <c r="D280" s="229" t="s">
        <v>1371</v>
      </c>
      <c r="E280" s="229" t="s">
        <v>373</v>
      </c>
      <c r="F280" s="236">
        <v>300</v>
      </c>
      <c r="G280" s="196">
        <v>1</v>
      </c>
      <c r="H280" s="195">
        <v>300</v>
      </c>
      <c r="I280" s="197">
        <v>41280</v>
      </c>
      <c r="J280" s="197" t="str">
        <f t="shared" si="15"/>
        <v>ok</v>
      </c>
      <c r="K280" s="413"/>
      <c r="L280" s="413"/>
      <c r="M280" s="413"/>
      <c r="N280" s="413"/>
      <c r="O280" s="413"/>
      <c r="P280" s="413"/>
      <c r="Q280" s="413"/>
      <c r="R280" s="413"/>
      <c r="S280" s="413"/>
      <c r="T280" s="413"/>
      <c r="U280" s="413"/>
      <c r="V280" s="413"/>
      <c r="W280" s="413">
        <f t="shared" si="13"/>
        <v>0</v>
      </c>
      <c r="X280" s="412">
        <v>300</v>
      </c>
      <c r="Y280" s="412"/>
      <c r="Z280" s="412"/>
      <c r="AA280" s="412"/>
      <c r="AB280" s="412"/>
      <c r="AC280" s="412"/>
      <c r="AD280" s="412"/>
      <c r="AE280" s="412"/>
      <c r="AF280" s="412"/>
      <c r="AG280" s="412"/>
      <c r="AH280" s="412"/>
      <c r="AI280" s="412"/>
      <c r="AJ280" s="412">
        <f t="shared" si="14"/>
        <v>300</v>
      </c>
      <c r="AK280" s="198"/>
      <c r="AL280" s="250" t="s">
        <v>2067</v>
      </c>
    </row>
    <row r="281" spans="1:38" ht="14.1" customHeight="1" x14ac:dyDescent="0.2">
      <c r="A281" t="s">
        <v>888</v>
      </c>
      <c r="B281" s="193">
        <v>3945</v>
      </c>
      <c r="C281" s="194" t="s">
        <v>925</v>
      </c>
      <c r="D281" s="229" t="s">
        <v>1371</v>
      </c>
      <c r="E281" s="229" t="s">
        <v>373</v>
      </c>
      <c r="F281" s="236">
        <v>300</v>
      </c>
      <c r="G281" s="196">
        <v>4</v>
      </c>
      <c r="H281" s="195">
        <v>160</v>
      </c>
      <c r="I281" s="197">
        <v>41280</v>
      </c>
      <c r="J281" s="197" t="str">
        <f t="shared" si="15"/>
        <v>ok</v>
      </c>
      <c r="K281" s="413"/>
      <c r="L281" s="413"/>
      <c r="M281" s="413"/>
      <c r="N281" s="413"/>
      <c r="O281" s="413"/>
      <c r="P281" s="413"/>
      <c r="Q281" s="413"/>
      <c r="R281" s="413"/>
      <c r="S281" s="413"/>
      <c r="T281" s="413"/>
      <c r="U281" s="413"/>
      <c r="V281" s="413"/>
      <c r="W281" s="413">
        <f t="shared" si="13"/>
        <v>0</v>
      </c>
      <c r="X281" s="412">
        <v>160</v>
      </c>
      <c r="Y281" s="412"/>
      <c r="Z281" s="412"/>
      <c r="AA281" s="412"/>
      <c r="AB281" s="412"/>
      <c r="AC281" s="412"/>
      <c r="AD281" s="412"/>
      <c r="AE281" s="412"/>
      <c r="AF281" s="412"/>
      <c r="AG281" s="412"/>
      <c r="AH281" s="412"/>
      <c r="AI281" s="412"/>
      <c r="AJ281" s="412">
        <f t="shared" si="14"/>
        <v>160</v>
      </c>
      <c r="AK281" s="198"/>
      <c r="AL281" s="250" t="s">
        <v>2067</v>
      </c>
    </row>
    <row r="282" spans="1:38" ht="14.1" customHeight="1" x14ac:dyDescent="0.2">
      <c r="A282" t="s">
        <v>893</v>
      </c>
      <c r="B282" s="193">
        <v>3946</v>
      </c>
      <c r="C282" s="194" t="s">
        <v>1091</v>
      </c>
      <c r="D282" s="229" t="s">
        <v>1372</v>
      </c>
      <c r="E282" s="229" t="s">
        <v>221</v>
      </c>
      <c r="F282" s="236">
        <v>300</v>
      </c>
      <c r="G282" s="196">
        <v>1</v>
      </c>
      <c r="H282" s="195">
        <v>300</v>
      </c>
      <c r="I282" s="197">
        <v>41280</v>
      </c>
      <c r="J282" s="197" t="str">
        <f t="shared" si="15"/>
        <v>ok</v>
      </c>
      <c r="K282" s="413"/>
      <c r="L282" s="413"/>
      <c r="M282" s="413"/>
      <c r="N282" s="413"/>
      <c r="O282" s="413"/>
      <c r="P282" s="413"/>
      <c r="Q282" s="413"/>
      <c r="R282" s="413"/>
      <c r="S282" s="413"/>
      <c r="T282" s="413"/>
      <c r="U282" s="413"/>
      <c r="V282" s="413"/>
      <c r="W282" s="413">
        <f t="shared" si="13"/>
        <v>0</v>
      </c>
      <c r="X282" s="412">
        <v>300</v>
      </c>
      <c r="Y282" s="412"/>
      <c r="Z282" s="412"/>
      <c r="AA282" s="412"/>
      <c r="AB282" s="412"/>
      <c r="AC282" s="412"/>
      <c r="AD282" s="412"/>
      <c r="AE282" s="412"/>
      <c r="AF282" s="412"/>
      <c r="AG282" s="412"/>
      <c r="AH282" s="412"/>
      <c r="AI282" s="412"/>
      <c r="AJ282" s="412">
        <f t="shared" si="14"/>
        <v>300</v>
      </c>
      <c r="AK282" s="198"/>
      <c r="AL282" s="250" t="s">
        <v>2067</v>
      </c>
    </row>
    <row r="283" spans="1:38" ht="14.1" customHeight="1" x14ac:dyDescent="0.2">
      <c r="A283" t="s">
        <v>893</v>
      </c>
      <c r="B283" s="193">
        <v>3947</v>
      </c>
      <c r="C283" s="194" t="s">
        <v>1131</v>
      </c>
      <c r="D283" s="229" t="s">
        <v>1373</v>
      </c>
      <c r="E283" s="229" t="s">
        <v>299</v>
      </c>
      <c r="F283" s="236">
        <v>300</v>
      </c>
      <c r="G283" s="196">
        <v>1</v>
      </c>
      <c r="H283" s="195">
        <v>300</v>
      </c>
      <c r="I283" s="197">
        <v>41280</v>
      </c>
      <c r="J283" s="197" t="str">
        <f t="shared" si="15"/>
        <v>ok</v>
      </c>
      <c r="K283" s="413"/>
      <c r="L283" s="413"/>
      <c r="M283" s="413"/>
      <c r="N283" s="413"/>
      <c r="O283" s="413"/>
      <c r="P283" s="413"/>
      <c r="Q283" s="413"/>
      <c r="R283" s="413"/>
      <c r="S283" s="413"/>
      <c r="T283" s="413"/>
      <c r="U283" s="413"/>
      <c r="V283" s="413"/>
      <c r="W283" s="413">
        <f t="shared" si="13"/>
        <v>0</v>
      </c>
      <c r="X283" s="412">
        <v>300</v>
      </c>
      <c r="Y283" s="412"/>
      <c r="Z283" s="412"/>
      <c r="AA283" s="412"/>
      <c r="AB283" s="412"/>
      <c r="AC283" s="412"/>
      <c r="AD283" s="412"/>
      <c r="AE283" s="412"/>
      <c r="AF283" s="412"/>
      <c r="AG283" s="412"/>
      <c r="AH283" s="412"/>
      <c r="AI283" s="412"/>
      <c r="AJ283" s="412">
        <f t="shared" si="14"/>
        <v>300</v>
      </c>
      <c r="AK283" s="198"/>
      <c r="AL283" s="250" t="s">
        <v>2067</v>
      </c>
    </row>
    <row r="284" spans="1:38" ht="14.1" customHeight="1" x14ac:dyDescent="0.2">
      <c r="A284" t="s">
        <v>893</v>
      </c>
      <c r="B284" s="193">
        <v>3948</v>
      </c>
      <c r="C284" s="194" t="s">
        <v>1099</v>
      </c>
      <c r="D284" s="229" t="s">
        <v>1374</v>
      </c>
      <c r="E284" s="229" t="s">
        <v>240</v>
      </c>
      <c r="F284" s="236">
        <v>300</v>
      </c>
      <c r="G284" s="196">
        <v>1</v>
      </c>
      <c r="H284" s="195">
        <v>600</v>
      </c>
      <c r="I284" s="197">
        <v>41280</v>
      </c>
      <c r="J284" s="197" t="str">
        <f t="shared" si="15"/>
        <v>ok</v>
      </c>
      <c r="K284" s="413"/>
      <c r="L284" s="413"/>
      <c r="M284" s="413"/>
      <c r="N284" s="413"/>
      <c r="O284" s="413"/>
      <c r="P284" s="413"/>
      <c r="Q284" s="413"/>
      <c r="R284" s="413"/>
      <c r="S284" s="413"/>
      <c r="T284" s="413"/>
      <c r="U284" s="413"/>
      <c r="V284" s="413">
        <v>300</v>
      </c>
      <c r="W284" s="413">
        <f t="shared" si="13"/>
        <v>300</v>
      </c>
      <c r="X284" s="412">
        <v>300</v>
      </c>
      <c r="Y284" s="412"/>
      <c r="Z284" s="412"/>
      <c r="AA284" s="412"/>
      <c r="AB284" s="412"/>
      <c r="AC284" s="412"/>
      <c r="AD284" s="412"/>
      <c r="AE284" s="412"/>
      <c r="AF284" s="412"/>
      <c r="AG284" s="412"/>
      <c r="AH284" s="412"/>
      <c r="AI284" s="412"/>
      <c r="AJ284" s="412">
        <f t="shared" si="14"/>
        <v>300</v>
      </c>
      <c r="AK284" s="198" t="s">
        <v>1236</v>
      </c>
      <c r="AL284" s="250" t="s">
        <v>2067</v>
      </c>
    </row>
    <row r="285" spans="1:38" ht="14.1" customHeight="1" x14ac:dyDescent="0.2">
      <c r="B285" s="193">
        <v>3949</v>
      </c>
      <c r="C285" s="194"/>
      <c r="D285" s="229" t="s">
        <v>1362</v>
      </c>
      <c r="E285" s="229" t="s">
        <v>1362</v>
      </c>
      <c r="F285" s="236">
        <v>0</v>
      </c>
      <c r="G285" s="196">
        <v>8</v>
      </c>
      <c r="H285" s="195"/>
      <c r="I285" s="197"/>
      <c r="J285" s="197" t="str">
        <f t="shared" si="15"/>
        <v>ok</v>
      </c>
      <c r="K285" s="413"/>
      <c r="L285" s="413"/>
      <c r="M285" s="413"/>
      <c r="N285" s="413"/>
      <c r="O285" s="413"/>
      <c r="P285" s="413"/>
      <c r="Q285" s="413"/>
      <c r="R285" s="413"/>
      <c r="S285" s="413"/>
      <c r="T285" s="413"/>
      <c r="U285" s="413"/>
      <c r="V285" s="413"/>
      <c r="W285" s="413">
        <f t="shared" si="13"/>
        <v>0</v>
      </c>
      <c r="X285" s="412"/>
      <c r="Y285" s="412"/>
      <c r="Z285" s="412"/>
      <c r="AA285" s="412"/>
      <c r="AB285" s="412"/>
      <c r="AC285" s="412"/>
      <c r="AD285" s="412"/>
      <c r="AE285" s="412"/>
      <c r="AF285" s="412"/>
      <c r="AG285" s="412"/>
      <c r="AH285" s="412"/>
      <c r="AI285" s="412"/>
      <c r="AJ285" s="412">
        <f t="shared" si="14"/>
        <v>0</v>
      </c>
      <c r="AK285" s="198" t="s">
        <v>755</v>
      </c>
      <c r="AL285" s="250" t="s">
        <v>2067</v>
      </c>
    </row>
    <row r="286" spans="1:38" ht="14.1" customHeight="1" x14ac:dyDescent="0.2">
      <c r="A286" t="s">
        <v>884</v>
      </c>
      <c r="B286" s="193">
        <v>3950</v>
      </c>
      <c r="C286" s="194" t="s">
        <v>818</v>
      </c>
      <c r="D286" s="229" t="s">
        <v>1375</v>
      </c>
      <c r="E286" s="229" t="s">
        <v>42</v>
      </c>
      <c r="F286" s="236">
        <v>250</v>
      </c>
      <c r="G286" s="196">
        <v>1</v>
      </c>
      <c r="H286" s="195">
        <v>250</v>
      </c>
      <c r="I286" s="197">
        <v>41280</v>
      </c>
      <c r="J286" s="197" t="str">
        <f t="shared" si="15"/>
        <v>ok</v>
      </c>
      <c r="K286" s="413"/>
      <c r="L286" s="413"/>
      <c r="M286" s="413"/>
      <c r="N286" s="413"/>
      <c r="O286" s="413"/>
      <c r="P286" s="413"/>
      <c r="Q286" s="413"/>
      <c r="R286" s="413"/>
      <c r="S286" s="413"/>
      <c r="T286" s="413"/>
      <c r="U286" s="413"/>
      <c r="V286" s="413"/>
      <c r="W286" s="413">
        <f t="shared" si="13"/>
        <v>0</v>
      </c>
      <c r="X286" s="412">
        <v>250</v>
      </c>
      <c r="Y286" s="412"/>
      <c r="Z286" s="412"/>
      <c r="AA286" s="412"/>
      <c r="AB286" s="412"/>
      <c r="AC286" s="412"/>
      <c r="AD286" s="412"/>
      <c r="AE286" s="412"/>
      <c r="AF286" s="412"/>
      <c r="AG286" s="412"/>
      <c r="AH286" s="412"/>
      <c r="AI286" s="412"/>
      <c r="AJ286" s="412">
        <f t="shared" si="14"/>
        <v>250</v>
      </c>
      <c r="AK286" s="198"/>
      <c r="AL286" s="250" t="s">
        <v>2067</v>
      </c>
    </row>
    <row r="287" spans="1:38" ht="14.1" customHeight="1" x14ac:dyDescent="0.2">
      <c r="A287" t="s">
        <v>893</v>
      </c>
      <c r="B287" s="193">
        <v>3951</v>
      </c>
      <c r="C287" s="194" t="s">
        <v>1086</v>
      </c>
      <c r="D287" s="229" t="s">
        <v>1376</v>
      </c>
      <c r="E287" s="229" t="s">
        <v>113</v>
      </c>
      <c r="F287" s="236">
        <v>300</v>
      </c>
      <c r="G287" s="196">
        <v>1</v>
      </c>
      <c r="H287" s="195">
        <v>300</v>
      </c>
      <c r="I287" s="197">
        <v>41280</v>
      </c>
      <c r="J287" s="197" t="str">
        <f t="shared" si="15"/>
        <v>ok</v>
      </c>
      <c r="K287" s="413"/>
      <c r="L287" s="413"/>
      <c r="M287" s="413"/>
      <c r="N287" s="413"/>
      <c r="O287" s="413"/>
      <c r="P287" s="413"/>
      <c r="Q287" s="413"/>
      <c r="R287" s="413"/>
      <c r="S287" s="413"/>
      <c r="T287" s="413"/>
      <c r="U287" s="413"/>
      <c r="V287" s="413"/>
      <c r="W287" s="413">
        <f t="shared" si="13"/>
        <v>0</v>
      </c>
      <c r="X287" s="412">
        <v>300</v>
      </c>
      <c r="Y287" s="412"/>
      <c r="Z287" s="412"/>
      <c r="AA287" s="412"/>
      <c r="AB287" s="412"/>
      <c r="AC287" s="412"/>
      <c r="AD287" s="412"/>
      <c r="AE287" s="412"/>
      <c r="AF287" s="412"/>
      <c r="AG287" s="412"/>
      <c r="AH287" s="412"/>
      <c r="AI287" s="412"/>
      <c r="AJ287" s="412">
        <f t="shared" si="14"/>
        <v>300</v>
      </c>
      <c r="AK287" s="198"/>
      <c r="AL287" s="250" t="s">
        <v>2067</v>
      </c>
    </row>
    <row r="288" spans="1:38" ht="14.1" customHeight="1" x14ac:dyDescent="0.2">
      <c r="A288" t="s">
        <v>890</v>
      </c>
      <c r="B288" s="193">
        <v>3952</v>
      </c>
      <c r="C288" s="194" t="s">
        <v>997</v>
      </c>
      <c r="D288" s="229" t="s">
        <v>1377</v>
      </c>
      <c r="E288" s="229" t="s">
        <v>485</v>
      </c>
      <c r="F288" s="236">
        <v>200</v>
      </c>
      <c r="G288" s="196">
        <v>1</v>
      </c>
      <c r="H288" s="195">
        <v>200</v>
      </c>
      <c r="I288" s="197">
        <v>41280</v>
      </c>
      <c r="J288" s="197" t="str">
        <f t="shared" si="15"/>
        <v>ok</v>
      </c>
      <c r="K288" s="413"/>
      <c r="L288" s="413"/>
      <c r="M288" s="413"/>
      <c r="N288" s="413"/>
      <c r="O288" s="413"/>
      <c r="P288" s="413"/>
      <c r="Q288" s="413"/>
      <c r="R288" s="413"/>
      <c r="S288" s="413"/>
      <c r="T288" s="413"/>
      <c r="U288" s="413"/>
      <c r="V288" s="413"/>
      <c r="W288" s="413">
        <f t="shared" si="13"/>
        <v>0</v>
      </c>
      <c r="X288" s="412">
        <v>200</v>
      </c>
      <c r="Y288" s="412"/>
      <c r="Z288" s="412"/>
      <c r="AA288" s="412"/>
      <c r="AB288" s="412"/>
      <c r="AC288" s="412"/>
      <c r="AD288" s="412"/>
      <c r="AE288" s="412"/>
      <c r="AF288" s="412"/>
      <c r="AG288" s="412"/>
      <c r="AH288" s="412"/>
      <c r="AI288" s="412"/>
      <c r="AJ288" s="412">
        <f t="shared" si="14"/>
        <v>200</v>
      </c>
      <c r="AK288" s="198"/>
      <c r="AL288" s="250" t="s">
        <v>2067</v>
      </c>
    </row>
    <row r="289" spans="1:38" ht="14.1" customHeight="1" x14ac:dyDescent="0.2">
      <c r="A289" t="s">
        <v>890</v>
      </c>
      <c r="B289" s="193">
        <v>3953</v>
      </c>
      <c r="C289" s="194" t="s">
        <v>1025</v>
      </c>
      <c r="D289" s="229" t="s">
        <v>1378</v>
      </c>
      <c r="E289" s="229" t="s">
        <v>525</v>
      </c>
      <c r="F289" s="236">
        <v>300</v>
      </c>
      <c r="G289" s="196">
        <v>1</v>
      </c>
      <c r="H289" s="195">
        <v>300</v>
      </c>
      <c r="I289" s="197">
        <v>41280</v>
      </c>
      <c r="J289" s="197" t="str">
        <f t="shared" si="15"/>
        <v>ok</v>
      </c>
      <c r="K289" s="413"/>
      <c r="L289" s="413"/>
      <c r="M289" s="413"/>
      <c r="N289" s="413"/>
      <c r="O289" s="413"/>
      <c r="P289" s="413"/>
      <c r="Q289" s="413"/>
      <c r="R289" s="413"/>
      <c r="S289" s="413"/>
      <c r="T289" s="413"/>
      <c r="U289" s="413"/>
      <c r="V289" s="413">
        <v>300</v>
      </c>
      <c r="W289" s="413">
        <f t="shared" si="13"/>
        <v>300</v>
      </c>
      <c r="X289" s="412"/>
      <c r="Y289" s="412"/>
      <c r="Z289" s="412"/>
      <c r="AA289" s="412"/>
      <c r="AB289" s="412"/>
      <c r="AC289" s="412"/>
      <c r="AD289" s="412"/>
      <c r="AE289" s="412"/>
      <c r="AF289" s="412"/>
      <c r="AG289" s="412"/>
      <c r="AH289" s="412"/>
      <c r="AI289" s="412"/>
      <c r="AJ289" s="412">
        <f t="shared" si="14"/>
        <v>0</v>
      </c>
      <c r="AK289" s="198" t="s">
        <v>1240</v>
      </c>
      <c r="AL289" s="250" t="s">
        <v>2067</v>
      </c>
    </row>
    <row r="290" spans="1:38" ht="14.1" customHeight="1" x14ac:dyDescent="0.2">
      <c r="A290" t="s">
        <v>888</v>
      </c>
      <c r="B290" s="193">
        <v>3954</v>
      </c>
      <c r="C290" s="194" t="s">
        <v>945</v>
      </c>
      <c r="D290" s="229" t="s">
        <v>1379</v>
      </c>
      <c r="E290" s="229" t="s">
        <v>407</v>
      </c>
      <c r="F290" s="236">
        <v>300</v>
      </c>
      <c r="G290" s="196">
        <v>1</v>
      </c>
      <c r="H290" s="195">
        <v>300</v>
      </c>
      <c r="I290" s="197">
        <v>41280</v>
      </c>
      <c r="J290" s="197" t="str">
        <f t="shared" si="15"/>
        <v>ok</v>
      </c>
      <c r="K290" s="413"/>
      <c r="L290" s="413"/>
      <c r="M290" s="413"/>
      <c r="N290" s="413"/>
      <c r="O290" s="413"/>
      <c r="P290" s="413"/>
      <c r="Q290" s="413"/>
      <c r="R290" s="413"/>
      <c r="S290" s="413"/>
      <c r="T290" s="413"/>
      <c r="U290" s="413"/>
      <c r="V290" s="413"/>
      <c r="W290" s="413">
        <f t="shared" si="13"/>
        <v>0</v>
      </c>
      <c r="X290" s="412">
        <v>300</v>
      </c>
      <c r="Y290" s="412"/>
      <c r="Z290" s="412"/>
      <c r="AA290" s="412"/>
      <c r="AB290" s="412"/>
      <c r="AC290" s="412"/>
      <c r="AD290" s="412"/>
      <c r="AE290" s="412"/>
      <c r="AF290" s="412"/>
      <c r="AG290" s="412"/>
      <c r="AH290" s="412"/>
      <c r="AI290" s="412"/>
      <c r="AJ290" s="412">
        <f t="shared" si="14"/>
        <v>300</v>
      </c>
      <c r="AK290" s="198"/>
      <c r="AL290" s="250" t="s">
        <v>2067</v>
      </c>
    </row>
    <row r="291" spans="1:38" ht="14.1" customHeight="1" x14ac:dyDescent="0.2">
      <c r="A291" t="s">
        <v>891</v>
      </c>
      <c r="B291" s="193">
        <v>3955</v>
      </c>
      <c r="C291" s="194" t="s">
        <v>1050</v>
      </c>
      <c r="D291" s="229" t="s">
        <v>1380</v>
      </c>
      <c r="E291" s="229" t="s">
        <v>1220</v>
      </c>
      <c r="F291" s="236">
        <v>150</v>
      </c>
      <c r="G291" s="196">
        <v>1</v>
      </c>
      <c r="H291" s="195">
        <v>150</v>
      </c>
      <c r="I291" s="197">
        <v>41280</v>
      </c>
      <c r="J291" s="197" t="str">
        <f t="shared" si="15"/>
        <v>ok</v>
      </c>
      <c r="K291" s="413"/>
      <c r="L291" s="413"/>
      <c r="M291" s="413"/>
      <c r="N291" s="413"/>
      <c r="O291" s="413"/>
      <c r="P291" s="413"/>
      <c r="Q291" s="413"/>
      <c r="R291" s="413"/>
      <c r="S291" s="413"/>
      <c r="T291" s="413"/>
      <c r="U291" s="413"/>
      <c r="V291" s="413"/>
      <c r="W291" s="413">
        <f t="shared" si="13"/>
        <v>0</v>
      </c>
      <c r="X291" s="412">
        <v>150</v>
      </c>
      <c r="Y291" s="412"/>
      <c r="Z291" s="412"/>
      <c r="AA291" s="412"/>
      <c r="AB291" s="412"/>
      <c r="AC291" s="412"/>
      <c r="AD291" s="412"/>
      <c r="AE291" s="412"/>
      <c r="AF291" s="412"/>
      <c r="AG291" s="412"/>
      <c r="AH291" s="412"/>
      <c r="AI291" s="412"/>
      <c r="AJ291" s="412">
        <f t="shared" si="14"/>
        <v>150</v>
      </c>
      <c r="AK291" s="198"/>
      <c r="AL291" s="250" t="s">
        <v>2067</v>
      </c>
    </row>
    <row r="292" spans="1:38" ht="14.1" customHeight="1" x14ac:dyDescent="0.2">
      <c r="A292" t="s">
        <v>888</v>
      </c>
      <c r="B292" s="193">
        <v>3956</v>
      </c>
      <c r="C292" s="194" t="s">
        <v>1336</v>
      </c>
      <c r="D292" s="229" t="s">
        <v>1381</v>
      </c>
      <c r="E292" s="229" t="s">
        <v>1306</v>
      </c>
      <c r="F292" s="236">
        <v>450</v>
      </c>
      <c r="G292" s="196">
        <v>1</v>
      </c>
      <c r="H292" s="195">
        <v>900</v>
      </c>
      <c r="I292" s="197">
        <v>41280</v>
      </c>
      <c r="J292" s="197" t="str">
        <f t="shared" si="15"/>
        <v>ok</v>
      </c>
      <c r="K292" s="413"/>
      <c r="L292" s="413"/>
      <c r="M292" s="413"/>
      <c r="N292" s="413"/>
      <c r="O292" s="413"/>
      <c r="P292" s="413"/>
      <c r="Q292" s="413"/>
      <c r="R292" s="413"/>
      <c r="S292" s="413"/>
      <c r="T292" s="413"/>
      <c r="U292" s="413">
        <v>450</v>
      </c>
      <c r="V292" s="413">
        <v>450</v>
      </c>
      <c r="W292" s="413">
        <f t="shared" si="13"/>
        <v>900</v>
      </c>
      <c r="X292" s="412"/>
      <c r="Y292" s="412"/>
      <c r="Z292" s="412"/>
      <c r="AA292" s="412"/>
      <c r="AB292" s="412"/>
      <c r="AC292" s="412"/>
      <c r="AD292" s="412"/>
      <c r="AE292" s="412"/>
      <c r="AF292" s="412"/>
      <c r="AG292" s="412"/>
      <c r="AH292" s="412"/>
      <c r="AI292" s="412"/>
      <c r="AJ292" s="412">
        <f t="shared" si="14"/>
        <v>0</v>
      </c>
      <c r="AK292" s="198" t="s">
        <v>1241</v>
      </c>
      <c r="AL292" s="250" t="s">
        <v>2067</v>
      </c>
    </row>
    <row r="293" spans="1:38" ht="14.1" customHeight="1" x14ac:dyDescent="0.2">
      <c r="A293" t="s">
        <v>884</v>
      </c>
      <c r="B293" s="193">
        <v>3957</v>
      </c>
      <c r="C293" s="194" t="s">
        <v>817</v>
      </c>
      <c r="D293" s="229" t="s">
        <v>1382</v>
      </c>
      <c r="E293" s="229" t="s">
        <v>40</v>
      </c>
      <c r="F293" s="236">
        <v>300</v>
      </c>
      <c r="G293" s="196">
        <v>1</v>
      </c>
      <c r="H293" s="195">
        <v>300</v>
      </c>
      <c r="I293" s="197">
        <v>41280</v>
      </c>
      <c r="J293" s="197" t="str">
        <f t="shared" si="15"/>
        <v>ok</v>
      </c>
      <c r="K293" s="413"/>
      <c r="L293" s="413"/>
      <c r="M293" s="413"/>
      <c r="N293" s="413"/>
      <c r="O293" s="413"/>
      <c r="P293" s="413"/>
      <c r="Q293" s="413"/>
      <c r="R293" s="413"/>
      <c r="S293" s="413"/>
      <c r="T293" s="413"/>
      <c r="U293" s="413"/>
      <c r="V293" s="413"/>
      <c r="W293" s="413">
        <f t="shared" si="13"/>
        <v>0</v>
      </c>
      <c r="X293" s="412">
        <v>300</v>
      </c>
      <c r="Y293" s="412"/>
      <c r="Z293" s="412"/>
      <c r="AA293" s="412"/>
      <c r="AB293" s="412"/>
      <c r="AC293" s="412"/>
      <c r="AD293" s="412"/>
      <c r="AE293" s="412"/>
      <c r="AF293" s="412"/>
      <c r="AG293" s="412"/>
      <c r="AH293" s="412"/>
      <c r="AI293" s="412"/>
      <c r="AJ293" s="412">
        <f t="shared" si="14"/>
        <v>300</v>
      </c>
      <c r="AK293" s="198"/>
      <c r="AL293" s="250" t="s">
        <v>2067</v>
      </c>
    </row>
    <row r="294" spans="1:38" ht="14.1" customHeight="1" x14ac:dyDescent="0.2">
      <c r="A294" t="s">
        <v>884</v>
      </c>
      <c r="B294" s="193">
        <v>3958</v>
      </c>
      <c r="C294" s="194" t="s">
        <v>836</v>
      </c>
      <c r="D294" s="229" t="s">
        <v>1383</v>
      </c>
      <c r="E294" s="229" t="s">
        <v>73</v>
      </c>
      <c r="F294" s="236">
        <v>300</v>
      </c>
      <c r="G294" s="196">
        <v>1</v>
      </c>
      <c r="H294" s="195">
        <v>300</v>
      </c>
      <c r="I294" s="197">
        <v>41280</v>
      </c>
      <c r="J294" s="197" t="str">
        <f t="shared" si="15"/>
        <v>ok</v>
      </c>
      <c r="K294" s="413"/>
      <c r="L294" s="413"/>
      <c r="M294" s="413"/>
      <c r="N294" s="413"/>
      <c r="O294" s="413"/>
      <c r="P294" s="413"/>
      <c r="Q294" s="413"/>
      <c r="R294" s="413"/>
      <c r="S294" s="413"/>
      <c r="T294" s="413"/>
      <c r="U294" s="413"/>
      <c r="V294" s="413"/>
      <c r="W294" s="413">
        <f t="shared" si="13"/>
        <v>0</v>
      </c>
      <c r="X294" s="412">
        <v>300</v>
      </c>
      <c r="Y294" s="412"/>
      <c r="Z294" s="412"/>
      <c r="AA294" s="412"/>
      <c r="AB294" s="412"/>
      <c r="AC294" s="412"/>
      <c r="AD294" s="412"/>
      <c r="AE294" s="412"/>
      <c r="AF294" s="412"/>
      <c r="AG294" s="412"/>
      <c r="AH294" s="412"/>
      <c r="AI294" s="412"/>
      <c r="AJ294" s="412">
        <f t="shared" si="14"/>
        <v>300</v>
      </c>
      <c r="AK294" s="198"/>
      <c r="AL294" s="250" t="s">
        <v>2067</v>
      </c>
    </row>
    <row r="295" spans="1:38" ht="14.1" customHeight="1" x14ac:dyDescent="0.2">
      <c r="A295" t="s">
        <v>890</v>
      </c>
      <c r="B295" s="193">
        <v>3959</v>
      </c>
      <c r="C295" s="194" t="s">
        <v>1000</v>
      </c>
      <c r="D295" s="229" t="s">
        <v>1384</v>
      </c>
      <c r="E295" s="229" t="s">
        <v>79</v>
      </c>
      <c r="F295" s="236">
        <v>300</v>
      </c>
      <c r="G295" s="196">
        <v>1</v>
      </c>
      <c r="H295" s="195">
        <v>300</v>
      </c>
      <c r="I295" s="197">
        <v>41280</v>
      </c>
      <c r="J295" s="197" t="str">
        <f t="shared" si="15"/>
        <v>ok</v>
      </c>
      <c r="K295" s="413"/>
      <c r="L295" s="413"/>
      <c r="M295" s="413"/>
      <c r="N295" s="413"/>
      <c r="O295" s="413"/>
      <c r="P295" s="413"/>
      <c r="Q295" s="413"/>
      <c r="R295" s="413"/>
      <c r="S295" s="413"/>
      <c r="T295" s="413"/>
      <c r="U295" s="413"/>
      <c r="V295" s="413"/>
      <c r="W295" s="413">
        <f t="shared" si="13"/>
        <v>0</v>
      </c>
      <c r="X295" s="412">
        <v>300</v>
      </c>
      <c r="Y295" s="412"/>
      <c r="Z295" s="412"/>
      <c r="AA295" s="412"/>
      <c r="AB295" s="412"/>
      <c r="AC295" s="412"/>
      <c r="AD295" s="412"/>
      <c r="AE295" s="412"/>
      <c r="AF295" s="412"/>
      <c r="AG295" s="412"/>
      <c r="AH295" s="412"/>
      <c r="AI295" s="412"/>
      <c r="AJ295" s="412">
        <f t="shared" si="14"/>
        <v>300</v>
      </c>
      <c r="AK295" s="198"/>
      <c r="AL295" s="250" t="s">
        <v>2067</v>
      </c>
    </row>
    <row r="296" spans="1:38" ht="14.1" customHeight="1" x14ac:dyDescent="0.2">
      <c r="A296" t="s">
        <v>884</v>
      </c>
      <c r="B296" s="193">
        <v>3960</v>
      </c>
      <c r="C296" s="194" t="s">
        <v>873</v>
      </c>
      <c r="D296" s="229" t="s">
        <v>1385</v>
      </c>
      <c r="E296" s="229" t="s">
        <v>126</v>
      </c>
      <c r="F296" s="236">
        <v>300</v>
      </c>
      <c r="G296" s="196">
        <v>1</v>
      </c>
      <c r="H296" s="195">
        <v>600</v>
      </c>
      <c r="I296" s="197">
        <v>41280</v>
      </c>
      <c r="J296" s="197" t="str">
        <f t="shared" si="15"/>
        <v>ok</v>
      </c>
      <c r="K296" s="413"/>
      <c r="L296" s="413"/>
      <c r="M296" s="413"/>
      <c r="N296" s="413"/>
      <c r="O296" s="413"/>
      <c r="P296" s="413"/>
      <c r="Q296" s="413"/>
      <c r="R296" s="413"/>
      <c r="S296" s="413"/>
      <c r="T296" s="413"/>
      <c r="U296" s="413"/>
      <c r="V296" s="413"/>
      <c r="W296" s="413">
        <f t="shared" si="13"/>
        <v>0</v>
      </c>
      <c r="X296" s="412">
        <v>300</v>
      </c>
      <c r="Y296" s="412">
        <v>300</v>
      </c>
      <c r="Z296" s="412"/>
      <c r="AA296" s="412"/>
      <c r="AB296" s="412"/>
      <c r="AC296" s="412"/>
      <c r="AD296" s="412"/>
      <c r="AE296" s="412"/>
      <c r="AF296" s="412"/>
      <c r="AG296" s="412"/>
      <c r="AH296" s="412"/>
      <c r="AI296" s="412"/>
      <c r="AJ296" s="412">
        <f t="shared" si="14"/>
        <v>600</v>
      </c>
      <c r="AK296" s="198"/>
      <c r="AL296" s="250" t="s">
        <v>2067</v>
      </c>
    </row>
    <row r="297" spans="1:38" ht="14.1" customHeight="1" x14ac:dyDescent="0.2">
      <c r="A297" t="s">
        <v>884</v>
      </c>
      <c r="B297" s="193">
        <v>3961</v>
      </c>
      <c r="C297" s="194" t="s">
        <v>764</v>
      </c>
      <c r="D297" s="229" t="s">
        <v>1386</v>
      </c>
      <c r="E297" s="229" t="s">
        <v>133</v>
      </c>
      <c r="F297" s="236">
        <v>200</v>
      </c>
      <c r="G297" s="196">
        <v>1</v>
      </c>
      <c r="H297" s="195">
        <v>200</v>
      </c>
      <c r="I297" s="197">
        <v>41280</v>
      </c>
      <c r="J297" s="197" t="str">
        <f t="shared" si="15"/>
        <v>ok</v>
      </c>
      <c r="K297" s="413"/>
      <c r="L297" s="413"/>
      <c r="M297" s="413"/>
      <c r="N297" s="413"/>
      <c r="O297" s="413"/>
      <c r="P297" s="413"/>
      <c r="Q297" s="413"/>
      <c r="R297" s="413"/>
      <c r="S297" s="413"/>
      <c r="T297" s="413"/>
      <c r="U297" s="413"/>
      <c r="V297" s="413"/>
      <c r="W297" s="413">
        <f t="shared" si="13"/>
        <v>0</v>
      </c>
      <c r="X297" s="412">
        <v>200</v>
      </c>
      <c r="Y297" s="412"/>
      <c r="Z297" s="412"/>
      <c r="AA297" s="412"/>
      <c r="AB297" s="412"/>
      <c r="AC297" s="412"/>
      <c r="AD297" s="412"/>
      <c r="AE297" s="412"/>
      <c r="AF297" s="412"/>
      <c r="AG297" s="412"/>
      <c r="AH297" s="412"/>
      <c r="AI297" s="412"/>
      <c r="AJ297" s="412">
        <f t="shared" si="14"/>
        <v>200</v>
      </c>
      <c r="AK297" s="198"/>
      <c r="AL297" s="250" t="s">
        <v>2067</v>
      </c>
    </row>
    <row r="298" spans="1:38" ht="14.1" customHeight="1" x14ac:dyDescent="0.2">
      <c r="A298" t="s">
        <v>893</v>
      </c>
      <c r="B298" s="193">
        <v>3962</v>
      </c>
      <c r="C298" s="194" t="s">
        <v>777</v>
      </c>
      <c r="D298" s="229" t="s">
        <v>1387</v>
      </c>
      <c r="E298" s="229" t="s">
        <v>714</v>
      </c>
      <c r="F298" s="236">
        <v>300</v>
      </c>
      <c r="G298" s="196">
        <v>1</v>
      </c>
      <c r="H298" s="195">
        <v>300</v>
      </c>
      <c r="I298" s="197">
        <v>41280</v>
      </c>
      <c r="J298" s="197" t="str">
        <f t="shared" si="15"/>
        <v>ok</v>
      </c>
      <c r="K298" s="413"/>
      <c r="L298" s="413"/>
      <c r="M298" s="413"/>
      <c r="N298" s="413"/>
      <c r="O298" s="413"/>
      <c r="P298" s="413"/>
      <c r="Q298" s="413"/>
      <c r="R298" s="413"/>
      <c r="S298" s="413"/>
      <c r="T298" s="413"/>
      <c r="U298" s="413"/>
      <c r="V298" s="413"/>
      <c r="W298" s="413">
        <f t="shared" si="13"/>
        <v>0</v>
      </c>
      <c r="X298" s="412">
        <v>300</v>
      </c>
      <c r="Y298" s="412"/>
      <c r="Z298" s="412"/>
      <c r="AA298" s="412"/>
      <c r="AB298" s="412"/>
      <c r="AC298" s="412"/>
      <c r="AD298" s="412"/>
      <c r="AE298" s="412"/>
      <c r="AF298" s="412"/>
      <c r="AG298" s="412"/>
      <c r="AH298" s="412"/>
      <c r="AI298" s="412"/>
      <c r="AJ298" s="412">
        <f t="shared" si="14"/>
        <v>300</v>
      </c>
      <c r="AK298" s="198"/>
      <c r="AL298" s="250" t="s">
        <v>2067</v>
      </c>
    </row>
    <row r="299" spans="1:38" ht="14.1" customHeight="1" x14ac:dyDescent="0.2">
      <c r="A299" t="s">
        <v>884</v>
      </c>
      <c r="B299" s="193">
        <v>3963</v>
      </c>
      <c r="C299" s="194" t="s">
        <v>775</v>
      </c>
      <c r="D299" s="229" t="s">
        <v>1388</v>
      </c>
      <c r="E299" s="229" t="s">
        <v>1207</v>
      </c>
      <c r="F299" s="236">
        <v>300</v>
      </c>
      <c r="G299" s="196">
        <v>1</v>
      </c>
      <c r="H299" s="195">
        <v>300</v>
      </c>
      <c r="I299" s="197">
        <v>41280</v>
      </c>
      <c r="J299" s="197" t="str">
        <f t="shared" si="15"/>
        <v>ok</v>
      </c>
      <c r="K299" s="413"/>
      <c r="L299" s="413"/>
      <c r="M299" s="413"/>
      <c r="N299" s="413"/>
      <c r="O299" s="413"/>
      <c r="P299" s="413"/>
      <c r="Q299" s="413"/>
      <c r="R299" s="413"/>
      <c r="S299" s="413"/>
      <c r="T299" s="413"/>
      <c r="U299" s="413"/>
      <c r="V299" s="413"/>
      <c r="W299" s="413">
        <f t="shared" si="13"/>
        <v>0</v>
      </c>
      <c r="X299" s="412">
        <v>300</v>
      </c>
      <c r="Y299" s="412"/>
      <c r="Z299" s="412"/>
      <c r="AA299" s="412"/>
      <c r="AB299" s="412"/>
      <c r="AC299" s="412"/>
      <c r="AD299" s="412"/>
      <c r="AE299" s="412"/>
      <c r="AF299" s="412"/>
      <c r="AG299" s="412"/>
      <c r="AH299" s="412"/>
      <c r="AI299" s="412"/>
      <c r="AJ299" s="412">
        <f t="shared" si="14"/>
        <v>300</v>
      </c>
      <c r="AK299" s="198"/>
      <c r="AL299" s="250" t="s">
        <v>2067</v>
      </c>
    </row>
    <row r="300" spans="1:38" ht="14.1" customHeight="1" x14ac:dyDescent="0.2">
      <c r="A300" t="s">
        <v>888</v>
      </c>
      <c r="B300" s="193">
        <v>3964</v>
      </c>
      <c r="C300" s="194" t="s">
        <v>926</v>
      </c>
      <c r="D300" s="229" t="s">
        <v>1389</v>
      </c>
      <c r="E300" s="229" t="s">
        <v>375</v>
      </c>
      <c r="F300" s="236">
        <v>300</v>
      </c>
      <c r="G300" s="196">
        <v>1</v>
      </c>
      <c r="H300" s="195">
        <v>600</v>
      </c>
      <c r="I300" s="197">
        <v>41280</v>
      </c>
      <c r="J300" s="197" t="str">
        <f t="shared" si="15"/>
        <v>ok</v>
      </c>
      <c r="K300" s="413"/>
      <c r="L300" s="413"/>
      <c r="M300" s="413"/>
      <c r="N300" s="413"/>
      <c r="O300" s="413"/>
      <c r="P300" s="413"/>
      <c r="Q300" s="413"/>
      <c r="R300" s="413">
        <v>300</v>
      </c>
      <c r="S300" s="413">
        <v>300</v>
      </c>
      <c r="T300" s="413"/>
      <c r="U300" s="413"/>
      <c r="V300" s="413"/>
      <c r="W300" s="413">
        <f t="shared" si="13"/>
        <v>600</v>
      </c>
      <c r="X300" s="412"/>
      <c r="Y300" s="412"/>
      <c r="Z300" s="412"/>
      <c r="AA300" s="412"/>
      <c r="AB300" s="412"/>
      <c r="AC300" s="412"/>
      <c r="AD300" s="412"/>
      <c r="AE300" s="412"/>
      <c r="AF300" s="412"/>
      <c r="AG300" s="412"/>
      <c r="AH300" s="412"/>
      <c r="AI300" s="412"/>
      <c r="AJ300" s="412">
        <f t="shared" si="14"/>
        <v>0</v>
      </c>
      <c r="AK300" s="198" t="s">
        <v>1242</v>
      </c>
      <c r="AL300" s="250" t="s">
        <v>2067</v>
      </c>
    </row>
    <row r="301" spans="1:38" ht="14.1" customHeight="1" x14ac:dyDescent="0.2">
      <c r="A301" t="s">
        <v>894</v>
      </c>
      <c r="B301" s="193">
        <v>3965</v>
      </c>
      <c r="C301" s="194" t="s">
        <v>1172</v>
      </c>
      <c r="D301" s="229" t="s">
        <v>1390</v>
      </c>
      <c r="E301" s="229" t="s">
        <v>626</v>
      </c>
      <c r="F301" s="236">
        <v>300</v>
      </c>
      <c r="G301" s="196">
        <v>1</v>
      </c>
      <c r="H301" s="195">
        <v>300</v>
      </c>
      <c r="I301" s="197">
        <v>41280</v>
      </c>
      <c r="J301" s="197" t="str">
        <f t="shared" si="15"/>
        <v>ok</v>
      </c>
      <c r="K301" s="413"/>
      <c r="L301" s="413"/>
      <c r="M301" s="413"/>
      <c r="N301" s="413"/>
      <c r="O301" s="413"/>
      <c r="P301" s="413"/>
      <c r="Q301" s="413"/>
      <c r="R301" s="413"/>
      <c r="S301" s="413"/>
      <c r="T301" s="413"/>
      <c r="U301" s="413"/>
      <c r="V301" s="413"/>
      <c r="W301" s="413">
        <f t="shared" si="13"/>
        <v>0</v>
      </c>
      <c r="X301" s="412">
        <v>300</v>
      </c>
      <c r="Y301" s="412"/>
      <c r="Z301" s="412"/>
      <c r="AA301" s="412"/>
      <c r="AB301" s="412"/>
      <c r="AC301" s="412"/>
      <c r="AD301" s="412"/>
      <c r="AE301" s="412"/>
      <c r="AF301" s="412"/>
      <c r="AG301" s="412"/>
      <c r="AH301" s="412"/>
      <c r="AI301" s="412"/>
      <c r="AJ301" s="412">
        <f t="shared" si="14"/>
        <v>300</v>
      </c>
      <c r="AK301" s="198"/>
      <c r="AL301" s="250" t="s">
        <v>2067</v>
      </c>
    </row>
    <row r="302" spans="1:38" ht="14.1" customHeight="1" x14ac:dyDescent="0.2">
      <c r="A302" t="s">
        <v>893</v>
      </c>
      <c r="B302" s="193">
        <v>3966</v>
      </c>
      <c r="C302" s="194" t="s">
        <v>779</v>
      </c>
      <c r="D302" s="229" t="s">
        <v>1391</v>
      </c>
      <c r="E302" s="229" t="s">
        <v>713</v>
      </c>
      <c r="F302" s="236">
        <v>300</v>
      </c>
      <c r="G302" s="196">
        <v>1</v>
      </c>
      <c r="H302" s="195">
        <v>300</v>
      </c>
      <c r="I302" s="197">
        <v>41280</v>
      </c>
      <c r="J302" s="197" t="str">
        <f t="shared" si="15"/>
        <v>ok</v>
      </c>
      <c r="K302" s="413"/>
      <c r="L302" s="413"/>
      <c r="M302" s="413"/>
      <c r="N302" s="413"/>
      <c r="O302" s="413"/>
      <c r="P302" s="413"/>
      <c r="Q302" s="413"/>
      <c r="R302" s="413"/>
      <c r="S302" s="413"/>
      <c r="T302" s="413"/>
      <c r="U302" s="413"/>
      <c r="V302" s="413"/>
      <c r="W302" s="413">
        <f t="shared" si="13"/>
        <v>0</v>
      </c>
      <c r="X302" s="412">
        <v>300</v>
      </c>
      <c r="Y302" s="412"/>
      <c r="Z302" s="412"/>
      <c r="AA302" s="412"/>
      <c r="AB302" s="412"/>
      <c r="AC302" s="412"/>
      <c r="AD302" s="412"/>
      <c r="AE302" s="412"/>
      <c r="AF302" s="412"/>
      <c r="AG302" s="412"/>
      <c r="AH302" s="412"/>
      <c r="AI302" s="412"/>
      <c r="AJ302" s="412">
        <f t="shared" si="14"/>
        <v>300</v>
      </c>
      <c r="AK302" s="198"/>
      <c r="AL302" s="250" t="s">
        <v>2067</v>
      </c>
    </row>
    <row r="303" spans="1:38" ht="14.1" customHeight="1" x14ac:dyDescent="0.2">
      <c r="A303" t="s">
        <v>890</v>
      </c>
      <c r="B303" s="193">
        <v>3967</v>
      </c>
      <c r="C303" s="194" t="s">
        <v>989</v>
      </c>
      <c r="D303" s="229" t="s">
        <v>1392</v>
      </c>
      <c r="E303" s="229" t="s">
        <v>478</v>
      </c>
      <c r="F303" s="236">
        <v>300</v>
      </c>
      <c r="G303" s="196">
        <v>1</v>
      </c>
      <c r="H303" s="195">
        <v>300</v>
      </c>
      <c r="I303" s="197">
        <v>41280</v>
      </c>
      <c r="J303" s="197" t="str">
        <f t="shared" si="15"/>
        <v>ok</v>
      </c>
      <c r="K303" s="413"/>
      <c r="L303" s="413"/>
      <c r="M303" s="413"/>
      <c r="N303" s="413"/>
      <c r="O303" s="413"/>
      <c r="P303" s="413"/>
      <c r="Q303" s="413"/>
      <c r="R303" s="413"/>
      <c r="S303" s="413"/>
      <c r="T303" s="413"/>
      <c r="U303" s="413"/>
      <c r="V303" s="413"/>
      <c r="W303" s="413">
        <f t="shared" si="13"/>
        <v>0</v>
      </c>
      <c r="X303" s="412">
        <v>300</v>
      </c>
      <c r="Y303" s="412"/>
      <c r="Z303" s="412"/>
      <c r="AA303" s="412"/>
      <c r="AB303" s="412"/>
      <c r="AC303" s="412"/>
      <c r="AD303" s="412"/>
      <c r="AE303" s="412"/>
      <c r="AF303" s="412"/>
      <c r="AG303" s="412"/>
      <c r="AH303" s="412"/>
      <c r="AI303" s="412"/>
      <c r="AJ303" s="412">
        <f t="shared" si="14"/>
        <v>300</v>
      </c>
      <c r="AK303" s="198"/>
      <c r="AL303" s="250" t="s">
        <v>2067</v>
      </c>
    </row>
    <row r="304" spans="1:38" ht="14.1" customHeight="1" x14ac:dyDescent="0.2">
      <c r="A304" t="s">
        <v>888</v>
      </c>
      <c r="B304" s="193">
        <v>3968</v>
      </c>
      <c r="C304" s="194" t="s">
        <v>928</v>
      </c>
      <c r="D304" s="229" t="s">
        <v>1393</v>
      </c>
      <c r="E304" s="229" t="s">
        <v>719</v>
      </c>
      <c r="F304" s="236">
        <v>300</v>
      </c>
      <c r="G304" s="196">
        <v>1</v>
      </c>
      <c r="H304" s="195">
        <v>300</v>
      </c>
      <c r="I304" s="197">
        <v>41280</v>
      </c>
      <c r="J304" s="197" t="str">
        <f t="shared" si="15"/>
        <v>ok</v>
      </c>
      <c r="K304" s="413"/>
      <c r="L304" s="413"/>
      <c r="M304" s="413"/>
      <c r="N304" s="413"/>
      <c r="O304" s="413"/>
      <c r="P304" s="413"/>
      <c r="Q304" s="413"/>
      <c r="R304" s="413"/>
      <c r="S304" s="413"/>
      <c r="T304" s="413"/>
      <c r="U304" s="413"/>
      <c r="V304" s="413"/>
      <c r="W304" s="413">
        <f t="shared" si="13"/>
        <v>0</v>
      </c>
      <c r="X304" s="412">
        <v>300</v>
      </c>
      <c r="Y304" s="412"/>
      <c r="Z304" s="412"/>
      <c r="AA304" s="412"/>
      <c r="AB304" s="412"/>
      <c r="AC304" s="412"/>
      <c r="AD304" s="412"/>
      <c r="AE304" s="412"/>
      <c r="AF304" s="412"/>
      <c r="AG304" s="412"/>
      <c r="AH304" s="412"/>
      <c r="AI304" s="412"/>
      <c r="AJ304" s="412">
        <f t="shared" si="14"/>
        <v>300</v>
      </c>
      <c r="AK304" s="198"/>
      <c r="AL304" s="250" t="s">
        <v>2067</v>
      </c>
    </row>
    <row r="305" spans="1:38" ht="14.1" customHeight="1" x14ac:dyDescent="0.2">
      <c r="A305" t="s">
        <v>890</v>
      </c>
      <c r="B305" s="193">
        <v>3969</v>
      </c>
      <c r="C305" s="194" t="s">
        <v>1003</v>
      </c>
      <c r="D305" s="229" t="s">
        <v>1394</v>
      </c>
      <c r="E305" s="229" t="s">
        <v>493</v>
      </c>
      <c r="F305" s="236">
        <v>300</v>
      </c>
      <c r="G305" s="196">
        <v>1</v>
      </c>
      <c r="H305" s="195">
        <v>300</v>
      </c>
      <c r="I305" s="197">
        <v>41280</v>
      </c>
      <c r="J305" s="197" t="str">
        <f t="shared" si="15"/>
        <v>ok</v>
      </c>
      <c r="K305" s="413"/>
      <c r="L305" s="413"/>
      <c r="M305" s="413"/>
      <c r="N305" s="413"/>
      <c r="O305" s="413"/>
      <c r="P305" s="413"/>
      <c r="Q305" s="413"/>
      <c r="R305" s="413"/>
      <c r="S305" s="413"/>
      <c r="T305" s="413"/>
      <c r="U305" s="413"/>
      <c r="V305" s="413"/>
      <c r="W305" s="413">
        <f t="shared" si="13"/>
        <v>0</v>
      </c>
      <c r="X305" s="412">
        <v>300</v>
      </c>
      <c r="Y305" s="412"/>
      <c r="Z305" s="412"/>
      <c r="AA305" s="412"/>
      <c r="AB305" s="412"/>
      <c r="AC305" s="412"/>
      <c r="AD305" s="412"/>
      <c r="AE305" s="412"/>
      <c r="AF305" s="412"/>
      <c r="AG305" s="412"/>
      <c r="AH305" s="412"/>
      <c r="AI305" s="412"/>
      <c r="AJ305" s="412">
        <f t="shared" si="14"/>
        <v>300</v>
      </c>
      <c r="AK305" s="198"/>
      <c r="AL305" s="250" t="s">
        <v>2067</v>
      </c>
    </row>
    <row r="306" spans="1:38" ht="14.1" customHeight="1" x14ac:dyDescent="0.2">
      <c r="A306" t="s">
        <v>893</v>
      </c>
      <c r="B306" s="193">
        <v>3970</v>
      </c>
      <c r="C306" s="194" t="s">
        <v>1076</v>
      </c>
      <c r="D306" s="229" t="s">
        <v>1395</v>
      </c>
      <c r="E306" s="229" t="s">
        <v>193</v>
      </c>
      <c r="F306" s="236">
        <v>300</v>
      </c>
      <c r="G306" s="196">
        <v>1</v>
      </c>
      <c r="H306" s="195">
        <v>300</v>
      </c>
      <c r="I306" s="197">
        <v>41280</v>
      </c>
      <c r="J306" s="197" t="str">
        <f t="shared" si="15"/>
        <v>ok</v>
      </c>
      <c r="K306" s="413"/>
      <c r="L306" s="413"/>
      <c r="M306" s="413"/>
      <c r="N306" s="413"/>
      <c r="O306" s="413"/>
      <c r="P306" s="413"/>
      <c r="Q306" s="413"/>
      <c r="R306" s="413"/>
      <c r="S306" s="413"/>
      <c r="T306" s="413"/>
      <c r="U306" s="413"/>
      <c r="V306" s="413"/>
      <c r="W306" s="413">
        <f t="shared" si="13"/>
        <v>0</v>
      </c>
      <c r="X306" s="412">
        <v>300</v>
      </c>
      <c r="Y306" s="412"/>
      <c r="Z306" s="412"/>
      <c r="AA306" s="412"/>
      <c r="AB306" s="412"/>
      <c r="AC306" s="412"/>
      <c r="AD306" s="412"/>
      <c r="AE306" s="412"/>
      <c r="AF306" s="412"/>
      <c r="AG306" s="412"/>
      <c r="AH306" s="412"/>
      <c r="AI306" s="412"/>
      <c r="AJ306" s="412">
        <f t="shared" si="14"/>
        <v>300</v>
      </c>
      <c r="AK306" s="198"/>
      <c r="AL306" s="250" t="s">
        <v>2067</v>
      </c>
    </row>
    <row r="307" spans="1:38" ht="14.1" customHeight="1" x14ac:dyDescent="0.2">
      <c r="A307" t="s">
        <v>893</v>
      </c>
      <c r="B307" s="193">
        <v>3971</v>
      </c>
      <c r="C307" s="194" t="s">
        <v>1083</v>
      </c>
      <c r="D307" s="229" t="s">
        <v>1396</v>
      </c>
      <c r="E307" s="229" t="s">
        <v>206</v>
      </c>
      <c r="F307" s="236">
        <v>300</v>
      </c>
      <c r="G307" s="196">
        <v>1</v>
      </c>
      <c r="H307" s="195">
        <v>300</v>
      </c>
      <c r="I307" s="197">
        <v>41280</v>
      </c>
      <c r="J307" s="197" t="str">
        <f t="shared" si="15"/>
        <v>ok</v>
      </c>
      <c r="K307" s="413"/>
      <c r="L307" s="413"/>
      <c r="M307" s="413"/>
      <c r="N307" s="413"/>
      <c r="O307" s="413"/>
      <c r="P307" s="413"/>
      <c r="Q307" s="413"/>
      <c r="R307" s="413"/>
      <c r="S307" s="413"/>
      <c r="T307" s="413"/>
      <c r="U307" s="413"/>
      <c r="V307" s="413"/>
      <c r="W307" s="413">
        <f t="shared" si="13"/>
        <v>0</v>
      </c>
      <c r="X307" s="412">
        <v>300</v>
      </c>
      <c r="Y307" s="412"/>
      <c r="Z307" s="412"/>
      <c r="AA307" s="412"/>
      <c r="AB307" s="412"/>
      <c r="AC307" s="412"/>
      <c r="AD307" s="412"/>
      <c r="AE307" s="412"/>
      <c r="AF307" s="412"/>
      <c r="AG307" s="412"/>
      <c r="AH307" s="412"/>
      <c r="AI307" s="412"/>
      <c r="AJ307" s="412">
        <f t="shared" si="14"/>
        <v>300</v>
      </c>
      <c r="AK307" s="198"/>
      <c r="AL307" s="250" t="s">
        <v>2067</v>
      </c>
    </row>
    <row r="308" spans="1:38" ht="14.1" customHeight="1" x14ac:dyDescent="0.2">
      <c r="A308" t="s">
        <v>893</v>
      </c>
      <c r="B308" s="193">
        <v>3971</v>
      </c>
      <c r="C308" s="194" t="s">
        <v>1083</v>
      </c>
      <c r="D308" s="229" t="s">
        <v>1396</v>
      </c>
      <c r="E308" s="229" t="s">
        <v>206</v>
      </c>
      <c r="F308" s="236">
        <v>300</v>
      </c>
      <c r="G308" s="196">
        <v>3</v>
      </c>
      <c r="H308" s="195">
        <v>300</v>
      </c>
      <c r="I308" s="197">
        <v>41280</v>
      </c>
      <c r="J308" s="197" t="str">
        <f t="shared" si="15"/>
        <v>ok</v>
      </c>
      <c r="K308" s="413"/>
      <c r="L308" s="413"/>
      <c r="M308" s="413"/>
      <c r="N308" s="413"/>
      <c r="O308" s="413"/>
      <c r="P308" s="413"/>
      <c r="Q308" s="413"/>
      <c r="R308" s="413"/>
      <c r="S308" s="413"/>
      <c r="T308" s="413"/>
      <c r="U308" s="413"/>
      <c r="V308" s="413"/>
      <c r="W308" s="413">
        <f t="shared" si="13"/>
        <v>0</v>
      </c>
      <c r="X308" s="412"/>
      <c r="Y308" s="412"/>
      <c r="Z308" s="412"/>
      <c r="AA308" s="412"/>
      <c r="AB308" s="412"/>
      <c r="AC308" s="412"/>
      <c r="AD308" s="412"/>
      <c r="AE308" s="412"/>
      <c r="AF308" s="412"/>
      <c r="AG308" s="412"/>
      <c r="AH308" s="412"/>
      <c r="AI308" s="412"/>
      <c r="AJ308" s="412">
        <f t="shared" si="14"/>
        <v>0</v>
      </c>
      <c r="AK308" s="198"/>
      <c r="AL308" s="250" t="s">
        <v>2068</v>
      </c>
    </row>
    <row r="309" spans="1:38" ht="14.1" customHeight="1" x14ac:dyDescent="0.2">
      <c r="A309" t="s">
        <v>888</v>
      </c>
      <c r="B309" s="193">
        <v>3972</v>
      </c>
      <c r="C309" s="194" t="s">
        <v>964</v>
      </c>
      <c r="D309" s="229" t="s">
        <v>1397</v>
      </c>
      <c r="E309" s="229" t="s">
        <v>722</v>
      </c>
      <c r="F309" s="236">
        <v>300</v>
      </c>
      <c r="G309" s="196">
        <v>1</v>
      </c>
      <c r="H309" s="195">
        <v>300</v>
      </c>
      <c r="I309" s="197">
        <v>41280</v>
      </c>
      <c r="J309" s="197" t="str">
        <f t="shared" si="15"/>
        <v>ok</v>
      </c>
      <c r="K309" s="413"/>
      <c r="L309" s="413"/>
      <c r="M309" s="413"/>
      <c r="N309" s="413"/>
      <c r="O309" s="413"/>
      <c r="P309" s="413"/>
      <c r="Q309" s="413"/>
      <c r="R309" s="413"/>
      <c r="S309" s="413"/>
      <c r="T309" s="413"/>
      <c r="U309" s="413">
        <v>300</v>
      </c>
      <c r="V309" s="413"/>
      <c r="W309" s="413">
        <f t="shared" si="13"/>
        <v>300</v>
      </c>
      <c r="X309" s="412"/>
      <c r="Y309" s="412"/>
      <c r="Z309" s="412"/>
      <c r="AA309" s="412"/>
      <c r="AB309" s="412"/>
      <c r="AC309" s="412"/>
      <c r="AD309" s="412"/>
      <c r="AE309" s="412"/>
      <c r="AF309" s="412"/>
      <c r="AG309" s="412"/>
      <c r="AH309" s="412"/>
      <c r="AI309" s="412"/>
      <c r="AJ309" s="412">
        <f t="shared" si="14"/>
        <v>0</v>
      </c>
      <c r="AK309" s="198" t="s">
        <v>1238</v>
      </c>
      <c r="AL309" s="250" t="s">
        <v>2067</v>
      </c>
    </row>
    <row r="310" spans="1:38" ht="14.1" customHeight="1" x14ac:dyDescent="0.2">
      <c r="A310" t="s">
        <v>890</v>
      </c>
      <c r="B310" s="193">
        <v>3973</v>
      </c>
      <c r="C310" s="194" t="s">
        <v>1021</v>
      </c>
      <c r="D310" s="229" t="s">
        <v>1398</v>
      </c>
      <c r="E310" s="229" t="s">
        <v>520</v>
      </c>
      <c r="F310" s="236">
        <v>300</v>
      </c>
      <c r="G310" s="196">
        <v>1</v>
      </c>
      <c r="H310" s="195">
        <v>300</v>
      </c>
      <c r="I310" s="197">
        <v>41280</v>
      </c>
      <c r="J310" s="197" t="str">
        <f t="shared" si="15"/>
        <v>ok</v>
      </c>
      <c r="K310" s="413"/>
      <c r="L310" s="413"/>
      <c r="M310" s="413"/>
      <c r="N310" s="413"/>
      <c r="O310" s="413"/>
      <c r="P310" s="413"/>
      <c r="Q310" s="413"/>
      <c r="R310" s="413"/>
      <c r="S310" s="413"/>
      <c r="T310" s="413"/>
      <c r="U310" s="413"/>
      <c r="V310" s="413"/>
      <c r="W310" s="413">
        <f t="shared" si="13"/>
        <v>0</v>
      </c>
      <c r="X310" s="412">
        <v>300</v>
      </c>
      <c r="Y310" s="412"/>
      <c r="Z310" s="412"/>
      <c r="AA310" s="412"/>
      <c r="AB310" s="412"/>
      <c r="AC310" s="412"/>
      <c r="AD310" s="412"/>
      <c r="AE310" s="412"/>
      <c r="AF310" s="412"/>
      <c r="AG310" s="412"/>
      <c r="AH310" s="412"/>
      <c r="AI310" s="412"/>
      <c r="AJ310" s="412">
        <f t="shared" si="14"/>
        <v>300</v>
      </c>
      <c r="AK310" s="198"/>
      <c r="AL310" s="250" t="s">
        <v>2067</v>
      </c>
    </row>
    <row r="311" spans="1:38" ht="14.1" customHeight="1" x14ac:dyDescent="0.2">
      <c r="A311" t="s">
        <v>888</v>
      </c>
      <c r="B311" s="193">
        <v>3974</v>
      </c>
      <c r="C311" s="194" t="s">
        <v>768</v>
      </c>
      <c r="D311" s="229" t="s">
        <v>1399</v>
      </c>
      <c r="E311" s="229" t="s">
        <v>365</v>
      </c>
      <c r="F311" s="236">
        <v>300</v>
      </c>
      <c r="G311" s="196">
        <v>1</v>
      </c>
      <c r="H311" s="195">
        <v>300</v>
      </c>
      <c r="I311" s="197">
        <v>41280</v>
      </c>
      <c r="J311" s="197" t="str">
        <f t="shared" si="15"/>
        <v>ok</v>
      </c>
      <c r="K311" s="413"/>
      <c r="L311" s="413"/>
      <c r="M311" s="413"/>
      <c r="N311" s="413"/>
      <c r="O311" s="413"/>
      <c r="P311" s="413"/>
      <c r="Q311" s="413"/>
      <c r="R311" s="413"/>
      <c r="S311" s="413"/>
      <c r="T311" s="413"/>
      <c r="U311" s="413"/>
      <c r="V311" s="413"/>
      <c r="W311" s="413">
        <f t="shared" si="13"/>
        <v>0</v>
      </c>
      <c r="X311" s="412">
        <v>300</v>
      </c>
      <c r="Y311" s="412"/>
      <c r="Z311" s="412"/>
      <c r="AA311" s="412"/>
      <c r="AB311" s="412"/>
      <c r="AC311" s="412"/>
      <c r="AD311" s="412"/>
      <c r="AE311" s="412"/>
      <c r="AF311" s="412"/>
      <c r="AG311" s="412"/>
      <c r="AH311" s="412"/>
      <c r="AI311" s="412"/>
      <c r="AJ311" s="412">
        <f t="shared" si="14"/>
        <v>300</v>
      </c>
      <c r="AK311" s="198"/>
      <c r="AL311" s="250" t="s">
        <v>2067</v>
      </c>
    </row>
    <row r="312" spans="1:38" ht="14.1" customHeight="1" x14ac:dyDescent="0.2">
      <c r="A312" t="s">
        <v>888</v>
      </c>
      <c r="B312" s="193">
        <v>3974</v>
      </c>
      <c r="C312" s="194" t="s">
        <v>768</v>
      </c>
      <c r="D312" s="229" t="s">
        <v>1399</v>
      </c>
      <c r="E312" s="229" t="s">
        <v>365</v>
      </c>
      <c r="F312" s="236">
        <v>300</v>
      </c>
      <c r="G312" s="196">
        <v>4</v>
      </c>
      <c r="H312" s="195">
        <v>160</v>
      </c>
      <c r="I312" s="197">
        <v>41280</v>
      </c>
      <c r="J312" s="197" t="str">
        <f t="shared" si="15"/>
        <v>ok</v>
      </c>
      <c r="K312" s="413"/>
      <c r="L312" s="413"/>
      <c r="M312" s="413"/>
      <c r="N312" s="413"/>
      <c r="O312" s="413"/>
      <c r="P312" s="413"/>
      <c r="Q312" s="413"/>
      <c r="R312" s="413"/>
      <c r="S312" s="413"/>
      <c r="T312" s="413"/>
      <c r="U312" s="413"/>
      <c r="V312" s="413"/>
      <c r="W312" s="413">
        <f t="shared" si="13"/>
        <v>0</v>
      </c>
      <c r="X312" s="412"/>
      <c r="Y312" s="412"/>
      <c r="Z312" s="412"/>
      <c r="AA312" s="412"/>
      <c r="AB312" s="412"/>
      <c r="AC312" s="412"/>
      <c r="AD312" s="412"/>
      <c r="AE312" s="412"/>
      <c r="AF312" s="412"/>
      <c r="AG312" s="412"/>
      <c r="AH312" s="412"/>
      <c r="AI312" s="412"/>
      <c r="AJ312" s="412">
        <f t="shared" si="14"/>
        <v>0</v>
      </c>
      <c r="AK312" s="198"/>
      <c r="AL312" s="250" t="s">
        <v>2068</v>
      </c>
    </row>
    <row r="313" spans="1:38" ht="14.1" customHeight="1" x14ac:dyDescent="0.2">
      <c r="A313" t="s">
        <v>888</v>
      </c>
      <c r="B313" s="193">
        <v>3975</v>
      </c>
      <c r="C313" s="194" t="s">
        <v>1180</v>
      </c>
      <c r="D313" s="229" t="s">
        <v>1400</v>
      </c>
      <c r="E313" s="229" t="s">
        <v>418</v>
      </c>
      <c r="F313" s="236">
        <v>300</v>
      </c>
      <c r="G313" s="196">
        <v>1</v>
      </c>
      <c r="H313" s="195">
        <v>300</v>
      </c>
      <c r="I313" s="197">
        <v>41280</v>
      </c>
      <c r="J313" s="197" t="str">
        <f t="shared" si="15"/>
        <v>ok</v>
      </c>
      <c r="K313" s="413"/>
      <c r="L313" s="413"/>
      <c r="M313" s="413"/>
      <c r="N313" s="413"/>
      <c r="O313" s="413"/>
      <c r="P313" s="413"/>
      <c r="Q313" s="413"/>
      <c r="R313" s="413"/>
      <c r="S313" s="413"/>
      <c r="T313" s="413"/>
      <c r="U313" s="413"/>
      <c r="V313" s="413">
        <v>300</v>
      </c>
      <c r="W313" s="413">
        <f t="shared" si="13"/>
        <v>300</v>
      </c>
      <c r="X313" s="412"/>
      <c r="Y313" s="412"/>
      <c r="Z313" s="412"/>
      <c r="AA313" s="412"/>
      <c r="AB313" s="412"/>
      <c r="AC313" s="412"/>
      <c r="AD313" s="412"/>
      <c r="AE313" s="412"/>
      <c r="AF313" s="412"/>
      <c r="AG313" s="412"/>
      <c r="AH313" s="412"/>
      <c r="AI313" s="412"/>
      <c r="AJ313" s="412">
        <f t="shared" si="14"/>
        <v>0</v>
      </c>
      <c r="AK313" s="198" t="s">
        <v>1240</v>
      </c>
      <c r="AL313" s="250" t="s">
        <v>2067</v>
      </c>
    </row>
    <row r="314" spans="1:38" ht="14.1" customHeight="1" x14ac:dyDescent="0.2">
      <c r="A314" t="s">
        <v>893</v>
      </c>
      <c r="B314" s="193">
        <v>3976</v>
      </c>
      <c r="C314" s="194" t="s">
        <v>781</v>
      </c>
      <c r="D314" s="229" t="s">
        <v>1401</v>
      </c>
      <c r="E314" s="229" t="s">
        <v>331</v>
      </c>
      <c r="F314" s="236">
        <v>300</v>
      </c>
      <c r="G314" s="196">
        <v>1</v>
      </c>
      <c r="H314" s="195">
        <v>300</v>
      </c>
      <c r="I314" s="197">
        <v>41280</v>
      </c>
      <c r="J314" s="197" t="str">
        <f t="shared" si="15"/>
        <v>ok</v>
      </c>
      <c r="K314" s="413"/>
      <c r="L314" s="413"/>
      <c r="M314" s="413"/>
      <c r="N314" s="413"/>
      <c r="O314" s="413"/>
      <c r="P314" s="413"/>
      <c r="Q314" s="413"/>
      <c r="R314" s="413"/>
      <c r="S314" s="413"/>
      <c r="T314" s="413"/>
      <c r="U314" s="413"/>
      <c r="V314" s="413"/>
      <c r="W314" s="413">
        <f t="shared" si="13"/>
        <v>0</v>
      </c>
      <c r="X314" s="412">
        <v>300</v>
      </c>
      <c r="Y314" s="412"/>
      <c r="Z314" s="412"/>
      <c r="AA314" s="412"/>
      <c r="AB314" s="412"/>
      <c r="AC314" s="412"/>
      <c r="AD314" s="412"/>
      <c r="AE314" s="412"/>
      <c r="AF314" s="412"/>
      <c r="AG314" s="412"/>
      <c r="AH314" s="412"/>
      <c r="AI314" s="412"/>
      <c r="AJ314" s="412">
        <f t="shared" si="14"/>
        <v>300</v>
      </c>
      <c r="AK314" s="198"/>
      <c r="AL314" s="250" t="s">
        <v>2067</v>
      </c>
    </row>
    <row r="315" spans="1:38" ht="14.1" customHeight="1" x14ac:dyDescent="0.2">
      <c r="A315" t="s">
        <v>894</v>
      </c>
      <c r="B315" s="193">
        <v>3977</v>
      </c>
      <c r="C315" s="194" t="s">
        <v>1159</v>
      </c>
      <c r="D315" s="229" t="s">
        <v>1402</v>
      </c>
      <c r="E315" s="229" t="s">
        <v>602</v>
      </c>
      <c r="F315" s="236">
        <v>300</v>
      </c>
      <c r="G315" s="196">
        <v>1</v>
      </c>
      <c r="H315" s="195">
        <v>1800</v>
      </c>
      <c r="I315" s="197">
        <v>41280</v>
      </c>
      <c r="J315" s="197" t="str">
        <f t="shared" si="15"/>
        <v>ok</v>
      </c>
      <c r="K315" s="413"/>
      <c r="L315" s="413"/>
      <c r="M315" s="413"/>
      <c r="N315" s="413"/>
      <c r="O315" s="413"/>
      <c r="P315" s="413"/>
      <c r="Q315" s="413"/>
      <c r="R315" s="413"/>
      <c r="S315" s="413"/>
      <c r="T315" s="413"/>
      <c r="U315" s="413"/>
      <c r="V315" s="413"/>
      <c r="W315" s="413">
        <f t="shared" si="13"/>
        <v>0</v>
      </c>
      <c r="X315" s="412">
        <v>300</v>
      </c>
      <c r="Y315" s="412">
        <v>300</v>
      </c>
      <c r="Z315" s="412">
        <v>300</v>
      </c>
      <c r="AA315" s="412">
        <v>300</v>
      </c>
      <c r="AB315" s="412">
        <v>300</v>
      </c>
      <c r="AC315" s="412">
        <v>300</v>
      </c>
      <c r="AD315" s="412"/>
      <c r="AE315" s="412"/>
      <c r="AF315" s="412"/>
      <c r="AG315" s="412"/>
      <c r="AH315" s="412"/>
      <c r="AI315" s="412"/>
      <c r="AJ315" s="412">
        <f t="shared" si="14"/>
        <v>1800</v>
      </c>
      <c r="AK315" s="198"/>
      <c r="AL315" s="250" t="s">
        <v>2067</v>
      </c>
    </row>
    <row r="316" spans="1:38" ht="14.1" customHeight="1" x14ac:dyDescent="0.2">
      <c r="A316" t="s">
        <v>884</v>
      </c>
      <c r="B316" s="193">
        <v>3978</v>
      </c>
      <c r="C316" s="194" t="s">
        <v>803</v>
      </c>
      <c r="D316" s="229" t="s">
        <v>1403</v>
      </c>
      <c r="E316" s="229" t="s">
        <v>20</v>
      </c>
      <c r="F316" s="236">
        <v>300</v>
      </c>
      <c r="G316" s="196">
        <v>1</v>
      </c>
      <c r="H316" s="195">
        <v>300</v>
      </c>
      <c r="I316" s="197">
        <v>41280</v>
      </c>
      <c r="J316" s="197" t="str">
        <f t="shared" si="15"/>
        <v>ok</v>
      </c>
      <c r="K316" s="413"/>
      <c r="L316" s="413"/>
      <c r="M316" s="413"/>
      <c r="N316" s="413"/>
      <c r="O316" s="413"/>
      <c r="P316" s="413"/>
      <c r="Q316" s="413"/>
      <c r="R316" s="413"/>
      <c r="S316" s="413"/>
      <c r="T316" s="413"/>
      <c r="U316" s="413"/>
      <c r="V316" s="413"/>
      <c r="W316" s="413">
        <f t="shared" si="13"/>
        <v>0</v>
      </c>
      <c r="X316" s="412">
        <v>300</v>
      </c>
      <c r="Y316" s="412"/>
      <c r="Z316" s="412"/>
      <c r="AA316" s="412"/>
      <c r="AB316" s="412"/>
      <c r="AC316" s="412"/>
      <c r="AD316" s="412"/>
      <c r="AE316" s="412"/>
      <c r="AF316" s="412"/>
      <c r="AG316" s="412"/>
      <c r="AH316" s="412"/>
      <c r="AI316" s="412"/>
      <c r="AJ316" s="412">
        <f t="shared" si="14"/>
        <v>300</v>
      </c>
      <c r="AK316" s="198"/>
      <c r="AL316" s="250" t="s">
        <v>2067</v>
      </c>
    </row>
    <row r="317" spans="1:38" ht="14.1" customHeight="1" x14ac:dyDescent="0.2">
      <c r="A317" t="s">
        <v>884</v>
      </c>
      <c r="B317" s="193">
        <v>3979</v>
      </c>
      <c r="C317" s="194" t="s">
        <v>859</v>
      </c>
      <c r="D317" s="229" t="s">
        <v>1404</v>
      </c>
      <c r="E317" s="229" t="s">
        <v>105</v>
      </c>
      <c r="F317" s="236">
        <v>150</v>
      </c>
      <c r="G317" s="196">
        <v>1</v>
      </c>
      <c r="H317" s="195">
        <v>150</v>
      </c>
      <c r="I317" s="197">
        <v>41280</v>
      </c>
      <c r="J317" s="197" t="str">
        <f t="shared" si="15"/>
        <v>ok</v>
      </c>
      <c r="K317" s="413"/>
      <c r="L317" s="413"/>
      <c r="M317" s="413"/>
      <c r="N317" s="413"/>
      <c r="O317" s="413"/>
      <c r="P317" s="413"/>
      <c r="Q317" s="413"/>
      <c r="R317" s="413"/>
      <c r="S317" s="413"/>
      <c r="T317" s="413"/>
      <c r="U317" s="413"/>
      <c r="V317" s="413"/>
      <c r="W317" s="413">
        <f t="shared" si="13"/>
        <v>0</v>
      </c>
      <c r="X317" s="412">
        <v>150</v>
      </c>
      <c r="Y317" s="412"/>
      <c r="Z317" s="412"/>
      <c r="AA317" s="412"/>
      <c r="AB317" s="412"/>
      <c r="AC317" s="412"/>
      <c r="AD317" s="412"/>
      <c r="AE317" s="412"/>
      <c r="AF317" s="412"/>
      <c r="AG317" s="412"/>
      <c r="AH317" s="412"/>
      <c r="AI317" s="412"/>
      <c r="AJ317" s="412">
        <f t="shared" si="14"/>
        <v>150</v>
      </c>
      <c r="AK317" s="198"/>
      <c r="AL317" s="250" t="s">
        <v>2067</v>
      </c>
    </row>
    <row r="318" spans="1:38" ht="14.1" customHeight="1" x14ac:dyDescent="0.2">
      <c r="A318" t="s">
        <v>884</v>
      </c>
      <c r="B318" s="193">
        <v>3980</v>
      </c>
      <c r="C318" s="194" t="s">
        <v>797</v>
      </c>
      <c r="D318" s="229" t="s">
        <v>1405</v>
      </c>
      <c r="E318" s="229" t="s">
        <v>11</v>
      </c>
      <c r="F318" s="236">
        <v>300</v>
      </c>
      <c r="G318" s="196">
        <v>1</v>
      </c>
      <c r="H318" s="195">
        <v>300</v>
      </c>
      <c r="I318" s="197">
        <v>41280</v>
      </c>
      <c r="J318" s="197" t="str">
        <f t="shared" si="15"/>
        <v>ok</v>
      </c>
      <c r="K318" s="413"/>
      <c r="L318" s="413"/>
      <c r="M318" s="413"/>
      <c r="N318" s="413"/>
      <c r="O318" s="413"/>
      <c r="P318" s="413"/>
      <c r="Q318" s="413"/>
      <c r="R318" s="413"/>
      <c r="S318" s="413"/>
      <c r="T318" s="413"/>
      <c r="U318" s="413"/>
      <c r="V318" s="413"/>
      <c r="W318" s="413">
        <f t="shared" si="13"/>
        <v>0</v>
      </c>
      <c r="X318" s="412">
        <v>300</v>
      </c>
      <c r="Y318" s="412"/>
      <c r="Z318" s="412"/>
      <c r="AA318" s="412"/>
      <c r="AB318" s="412"/>
      <c r="AC318" s="412"/>
      <c r="AD318" s="412"/>
      <c r="AE318" s="412"/>
      <c r="AF318" s="412"/>
      <c r="AG318" s="412"/>
      <c r="AH318" s="412"/>
      <c r="AI318" s="412"/>
      <c r="AJ318" s="412">
        <f t="shared" si="14"/>
        <v>300</v>
      </c>
      <c r="AK318" s="198"/>
      <c r="AL318" s="250" t="s">
        <v>2067</v>
      </c>
    </row>
    <row r="319" spans="1:38" ht="14.1" customHeight="1" x14ac:dyDescent="0.2">
      <c r="A319" t="s">
        <v>884</v>
      </c>
      <c r="B319" s="193">
        <v>3980</v>
      </c>
      <c r="C319" s="194" t="s">
        <v>797</v>
      </c>
      <c r="D319" s="229" t="s">
        <v>1405</v>
      </c>
      <c r="E319" s="229" t="s">
        <v>11</v>
      </c>
      <c r="F319" s="236">
        <v>300</v>
      </c>
      <c r="G319" s="196">
        <v>2</v>
      </c>
      <c r="H319" s="195">
        <v>300</v>
      </c>
      <c r="I319" s="197">
        <v>41280</v>
      </c>
      <c r="J319" s="197" t="str">
        <f t="shared" si="15"/>
        <v>ok</v>
      </c>
      <c r="K319" s="413"/>
      <c r="L319" s="413"/>
      <c r="M319" s="413"/>
      <c r="N319" s="413"/>
      <c r="O319" s="413"/>
      <c r="P319" s="413"/>
      <c r="Q319" s="413"/>
      <c r="R319" s="413"/>
      <c r="S319" s="413"/>
      <c r="T319" s="413"/>
      <c r="U319" s="413"/>
      <c r="V319" s="413"/>
      <c r="W319" s="413">
        <f t="shared" si="13"/>
        <v>0</v>
      </c>
      <c r="X319" s="412"/>
      <c r="Y319" s="412"/>
      <c r="Z319" s="412"/>
      <c r="AA319" s="412"/>
      <c r="AB319" s="412"/>
      <c r="AC319" s="412"/>
      <c r="AD319" s="412"/>
      <c r="AE319" s="412"/>
      <c r="AF319" s="412"/>
      <c r="AG319" s="412"/>
      <c r="AH319" s="412"/>
      <c r="AI319" s="412"/>
      <c r="AJ319" s="412">
        <f t="shared" si="14"/>
        <v>0</v>
      </c>
      <c r="AK319" s="198"/>
      <c r="AL319" s="250" t="s">
        <v>2068</v>
      </c>
    </row>
    <row r="320" spans="1:38" ht="14.1" customHeight="1" x14ac:dyDescent="0.2">
      <c r="A320" t="s">
        <v>894</v>
      </c>
      <c r="B320" s="193">
        <v>3981</v>
      </c>
      <c r="C320" s="194" t="s">
        <v>1164</v>
      </c>
      <c r="D320" s="229" t="s">
        <v>1406</v>
      </c>
      <c r="E320" s="229" t="s">
        <v>612</v>
      </c>
      <c r="F320" s="236">
        <v>300</v>
      </c>
      <c r="G320" s="196">
        <v>1</v>
      </c>
      <c r="H320" s="195">
        <v>300</v>
      </c>
      <c r="I320" s="197">
        <v>41280</v>
      </c>
      <c r="J320" s="197" t="str">
        <f t="shared" si="15"/>
        <v>ok</v>
      </c>
      <c r="K320" s="413"/>
      <c r="L320" s="413"/>
      <c r="M320" s="413"/>
      <c r="N320" s="413"/>
      <c r="O320" s="413"/>
      <c r="P320" s="413"/>
      <c r="Q320" s="413"/>
      <c r="R320" s="413"/>
      <c r="S320" s="413"/>
      <c r="T320" s="413"/>
      <c r="U320" s="413"/>
      <c r="V320" s="413"/>
      <c r="W320" s="413">
        <f t="shared" si="13"/>
        <v>0</v>
      </c>
      <c r="X320" s="412">
        <v>300</v>
      </c>
      <c r="Y320" s="412"/>
      <c r="Z320" s="412"/>
      <c r="AA320" s="412"/>
      <c r="AB320" s="412"/>
      <c r="AC320" s="412"/>
      <c r="AD320" s="412"/>
      <c r="AE320" s="412"/>
      <c r="AF320" s="412"/>
      <c r="AG320" s="412"/>
      <c r="AH320" s="412"/>
      <c r="AI320" s="412"/>
      <c r="AJ320" s="412">
        <f t="shared" si="14"/>
        <v>300</v>
      </c>
      <c r="AK320" s="198"/>
      <c r="AL320" s="250" t="s">
        <v>2067</v>
      </c>
    </row>
    <row r="321" spans="1:38" ht="14.1" customHeight="1" x14ac:dyDescent="0.2">
      <c r="A321" t="s">
        <v>893</v>
      </c>
      <c r="B321" s="193">
        <v>3982</v>
      </c>
      <c r="C321" s="194" t="s">
        <v>1103</v>
      </c>
      <c r="D321" s="229" t="s">
        <v>1407</v>
      </c>
      <c r="E321" s="229" t="s">
        <v>248</v>
      </c>
      <c r="F321" s="236">
        <v>300</v>
      </c>
      <c r="G321" s="196">
        <v>1</v>
      </c>
      <c r="H321" s="195">
        <v>300</v>
      </c>
      <c r="I321" s="197">
        <v>41280</v>
      </c>
      <c r="J321" s="197" t="str">
        <f t="shared" si="15"/>
        <v>ok</v>
      </c>
      <c r="K321" s="413"/>
      <c r="L321" s="413"/>
      <c r="M321" s="413"/>
      <c r="N321" s="413"/>
      <c r="O321" s="413"/>
      <c r="P321" s="413"/>
      <c r="Q321" s="413"/>
      <c r="R321" s="413"/>
      <c r="S321" s="413"/>
      <c r="T321" s="413"/>
      <c r="U321" s="413"/>
      <c r="V321" s="413"/>
      <c r="W321" s="413">
        <f t="shared" si="13"/>
        <v>0</v>
      </c>
      <c r="X321" s="412">
        <v>300</v>
      </c>
      <c r="Y321" s="412"/>
      <c r="Z321" s="412"/>
      <c r="AA321" s="412"/>
      <c r="AB321" s="412"/>
      <c r="AC321" s="412"/>
      <c r="AD321" s="412"/>
      <c r="AE321" s="412"/>
      <c r="AF321" s="412"/>
      <c r="AG321" s="412"/>
      <c r="AH321" s="412"/>
      <c r="AI321" s="412"/>
      <c r="AJ321" s="412">
        <f t="shared" si="14"/>
        <v>300</v>
      </c>
      <c r="AK321" s="198"/>
      <c r="AL321" s="250" t="s">
        <v>2067</v>
      </c>
    </row>
    <row r="322" spans="1:38" ht="14.1" customHeight="1" x14ac:dyDescent="0.2">
      <c r="A322" t="s">
        <v>893</v>
      </c>
      <c r="B322" s="193">
        <v>3983</v>
      </c>
      <c r="C322" s="194" t="s">
        <v>1085</v>
      </c>
      <c r="D322" s="229" t="s">
        <v>1408</v>
      </c>
      <c r="E322" s="229" t="s">
        <v>211</v>
      </c>
      <c r="F322" s="236">
        <v>300</v>
      </c>
      <c r="G322" s="196">
        <v>1</v>
      </c>
      <c r="H322" s="195">
        <v>300</v>
      </c>
      <c r="I322" s="197">
        <v>41280</v>
      </c>
      <c r="J322" s="197" t="str">
        <f t="shared" si="15"/>
        <v>ok</v>
      </c>
      <c r="K322" s="413"/>
      <c r="L322" s="413"/>
      <c r="M322" s="413"/>
      <c r="N322" s="413"/>
      <c r="O322" s="413"/>
      <c r="P322" s="413"/>
      <c r="Q322" s="413"/>
      <c r="R322" s="413"/>
      <c r="S322" s="413"/>
      <c r="T322" s="413"/>
      <c r="U322" s="413"/>
      <c r="V322" s="413"/>
      <c r="W322" s="413">
        <f t="shared" si="13"/>
        <v>0</v>
      </c>
      <c r="X322" s="412">
        <v>300</v>
      </c>
      <c r="Y322" s="412"/>
      <c r="Z322" s="412"/>
      <c r="AA322" s="412"/>
      <c r="AB322" s="412"/>
      <c r="AC322" s="412"/>
      <c r="AD322" s="412"/>
      <c r="AE322" s="412"/>
      <c r="AF322" s="412"/>
      <c r="AG322" s="412"/>
      <c r="AH322" s="412"/>
      <c r="AI322" s="412"/>
      <c r="AJ322" s="412">
        <f t="shared" si="14"/>
        <v>300</v>
      </c>
      <c r="AK322" s="198"/>
      <c r="AL322" s="250" t="s">
        <v>2067</v>
      </c>
    </row>
    <row r="323" spans="1:38" ht="14.1" customHeight="1" x14ac:dyDescent="0.2">
      <c r="A323" t="s">
        <v>884</v>
      </c>
      <c r="B323" s="193">
        <v>3984</v>
      </c>
      <c r="C323" s="194" t="s">
        <v>772</v>
      </c>
      <c r="D323" s="229" t="s">
        <v>1409</v>
      </c>
      <c r="E323" s="229" t="s">
        <v>705</v>
      </c>
      <c r="F323" s="236">
        <v>125</v>
      </c>
      <c r="G323" s="196">
        <v>1</v>
      </c>
      <c r="H323" s="195">
        <v>125</v>
      </c>
      <c r="I323" s="197">
        <v>41280</v>
      </c>
      <c r="J323" s="197" t="str">
        <f t="shared" si="15"/>
        <v>ok</v>
      </c>
      <c r="K323" s="413"/>
      <c r="L323" s="413"/>
      <c r="M323" s="413"/>
      <c r="N323" s="413"/>
      <c r="O323" s="413"/>
      <c r="P323" s="413"/>
      <c r="Q323" s="413"/>
      <c r="R323" s="413"/>
      <c r="S323" s="413"/>
      <c r="T323" s="413"/>
      <c r="U323" s="413"/>
      <c r="V323" s="413"/>
      <c r="W323" s="413">
        <f t="shared" si="13"/>
        <v>0</v>
      </c>
      <c r="X323" s="412">
        <v>125</v>
      </c>
      <c r="Y323" s="412"/>
      <c r="Z323" s="412"/>
      <c r="AA323" s="412"/>
      <c r="AB323" s="412"/>
      <c r="AC323" s="412"/>
      <c r="AD323" s="412"/>
      <c r="AE323" s="412"/>
      <c r="AF323" s="412"/>
      <c r="AG323" s="412"/>
      <c r="AH323" s="412"/>
      <c r="AI323" s="412"/>
      <c r="AJ323" s="412">
        <f t="shared" si="14"/>
        <v>125</v>
      </c>
      <c r="AK323" s="198"/>
      <c r="AL323" s="250" t="s">
        <v>2067</v>
      </c>
    </row>
    <row r="324" spans="1:38" ht="14.1" customHeight="1" x14ac:dyDescent="0.2">
      <c r="A324" t="s">
        <v>890</v>
      </c>
      <c r="B324" s="193">
        <v>3985</v>
      </c>
      <c r="C324" s="194" t="s">
        <v>988</v>
      </c>
      <c r="D324" s="229" t="s">
        <v>1410</v>
      </c>
      <c r="E324" s="229" t="s">
        <v>477</v>
      </c>
      <c r="F324" s="236">
        <v>300</v>
      </c>
      <c r="G324" s="196">
        <v>1</v>
      </c>
      <c r="H324" s="195">
        <v>600</v>
      </c>
      <c r="I324" s="197">
        <v>41280</v>
      </c>
      <c r="J324" s="197" t="str">
        <f t="shared" si="15"/>
        <v>ok</v>
      </c>
      <c r="K324" s="413"/>
      <c r="L324" s="413"/>
      <c r="M324" s="413"/>
      <c r="N324" s="413"/>
      <c r="O324" s="413"/>
      <c r="P324" s="413"/>
      <c r="Q324" s="413"/>
      <c r="R324" s="413"/>
      <c r="S324" s="413"/>
      <c r="T324" s="413"/>
      <c r="U324" s="413">
        <v>300</v>
      </c>
      <c r="V324" s="413">
        <v>300</v>
      </c>
      <c r="W324" s="413">
        <f t="shared" si="13"/>
        <v>600</v>
      </c>
      <c r="X324" s="412"/>
      <c r="Y324" s="412"/>
      <c r="Z324" s="412"/>
      <c r="AA324" s="412"/>
      <c r="AB324" s="412"/>
      <c r="AC324" s="412"/>
      <c r="AD324" s="412"/>
      <c r="AE324" s="412"/>
      <c r="AF324" s="412"/>
      <c r="AG324" s="412"/>
      <c r="AH324" s="412"/>
      <c r="AI324" s="412"/>
      <c r="AJ324" s="412">
        <f t="shared" si="14"/>
        <v>0</v>
      </c>
      <c r="AK324" s="198" t="s">
        <v>1241</v>
      </c>
      <c r="AL324" s="250" t="s">
        <v>2067</v>
      </c>
    </row>
    <row r="325" spans="1:38" ht="14.1" customHeight="1" x14ac:dyDescent="0.2">
      <c r="A325" t="s">
        <v>894</v>
      </c>
      <c r="B325" s="193">
        <v>3986</v>
      </c>
      <c r="C325" s="194" t="s">
        <v>767</v>
      </c>
      <c r="D325" s="229" t="s">
        <v>1411</v>
      </c>
      <c r="E325" s="229" t="s">
        <v>607</v>
      </c>
      <c r="F325" s="236">
        <v>300</v>
      </c>
      <c r="G325" s="196">
        <v>1</v>
      </c>
      <c r="H325" s="195">
        <v>300</v>
      </c>
      <c r="I325" s="197">
        <v>41280</v>
      </c>
      <c r="J325" s="197" t="str">
        <f t="shared" si="15"/>
        <v>ok</v>
      </c>
      <c r="K325" s="413"/>
      <c r="L325" s="413"/>
      <c r="M325" s="413"/>
      <c r="N325" s="413"/>
      <c r="O325" s="413"/>
      <c r="P325" s="413"/>
      <c r="Q325" s="413"/>
      <c r="R325" s="413"/>
      <c r="S325" s="413"/>
      <c r="T325" s="413"/>
      <c r="U325" s="413"/>
      <c r="V325" s="413"/>
      <c r="W325" s="413">
        <f t="shared" si="13"/>
        <v>0</v>
      </c>
      <c r="X325" s="412">
        <v>300</v>
      </c>
      <c r="Y325" s="412"/>
      <c r="Z325" s="412"/>
      <c r="AA325" s="412"/>
      <c r="AB325" s="412"/>
      <c r="AC325" s="412"/>
      <c r="AD325" s="412"/>
      <c r="AE325" s="412"/>
      <c r="AF325" s="412"/>
      <c r="AG325" s="412"/>
      <c r="AH325" s="412"/>
      <c r="AI325" s="412"/>
      <c r="AJ325" s="412">
        <f t="shared" si="14"/>
        <v>300</v>
      </c>
      <c r="AK325" s="198"/>
      <c r="AL325" s="250" t="s">
        <v>2067</v>
      </c>
    </row>
    <row r="326" spans="1:38" ht="14.1" customHeight="1" x14ac:dyDescent="0.2">
      <c r="A326" t="s">
        <v>884</v>
      </c>
      <c r="B326" s="193">
        <v>3987</v>
      </c>
      <c r="C326" s="194" t="s">
        <v>802</v>
      </c>
      <c r="D326" s="229" t="s">
        <v>1412</v>
      </c>
      <c r="E326" s="229" t="s">
        <v>19</v>
      </c>
      <c r="F326" s="236">
        <v>300</v>
      </c>
      <c r="G326" s="196">
        <v>1</v>
      </c>
      <c r="H326" s="195">
        <v>300</v>
      </c>
      <c r="I326" s="197">
        <v>41280</v>
      </c>
      <c r="J326" s="197" t="str">
        <f t="shared" si="15"/>
        <v>ok</v>
      </c>
      <c r="K326" s="413"/>
      <c r="L326" s="413"/>
      <c r="M326" s="413"/>
      <c r="N326" s="413"/>
      <c r="O326" s="413"/>
      <c r="P326" s="413"/>
      <c r="Q326" s="413"/>
      <c r="R326" s="413"/>
      <c r="S326" s="413"/>
      <c r="T326" s="413"/>
      <c r="U326" s="413"/>
      <c r="V326" s="413"/>
      <c r="W326" s="413">
        <f t="shared" si="13"/>
        <v>0</v>
      </c>
      <c r="X326" s="412">
        <v>300</v>
      </c>
      <c r="Y326" s="412"/>
      <c r="Z326" s="412"/>
      <c r="AA326" s="412"/>
      <c r="AB326" s="412"/>
      <c r="AC326" s="412"/>
      <c r="AD326" s="412"/>
      <c r="AE326" s="412"/>
      <c r="AF326" s="412"/>
      <c r="AG326" s="412"/>
      <c r="AH326" s="412"/>
      <c r="AI326" s="412"/>
      <c r="AJ326" s="412">
        <f t="shared" si="14"/>
        <v>300</v>
      </c>
      <c r="AK326" s="198"/>
      <c r="AL326" s="250" t="s">
        <v>2067</v>
      </c>
    </row>
    <row r="327" spans="1:38" ht="14.1" customHeight="1" x14ac:dyDescent="0.2">
      <c r="A327" t="s">
        <v>892</v>
      </c>
      <c r="B327" s="193">
        <v>3988</v>
      </c>
      <c r="C327" s="194" t="s">
        <v>776</v>
      </c>
      <c r="D327" s="229" t="s">
        <v>1413</v>
      </c>
      <c r="E327" s="229" t="s">
        <v>736</v>
      </c>
      <c r="F327" s="236">
        <v>300</v>
      </c>
      <c r="G327" s="196">
        <v>1</v>
      </c>
      <c r="H327" s="195">
        <v>300</v>
      </c>
      <c r="I327" s="197">
        <v>41280</v>
      </c>
      <c r="J327" s="197" t="str">
        <f t="shared" si="15"/>
        <v>ok</v>
      </c>
      <c r="K327" s="413"/>
      <c r="L327" s="413"/>
      <c r="M327" s="413"/>
      <c r="N327" s="413"/>
      <c r="O327" s="413"/>
      <c r="P327" s="413"/>
      <c r="Q327" s="413"/>
      <c r="R327" s="413"/>
      <c r="S327" s="413"/>
      <c r="T327" s="413"/>
      <c r="U327" s="413"/>
      <c r="V327" s="413"/>
      <c r="W327" s="413">
        <f t="shared" ref="W327:W390" si="16">SUM(K327:V327)</f>
        <v>0</v>
      </c>
      <c r="X327" s="412">
        <v>300</v>
      </c>
      <c r="Y327" s="412"/>
      <c r="Z327" s="412"/>
      <c r="AA327" s="412"/>
      <c r="AB327" s="412"/>
      <c r="AC327" s="412"/>
      <c r="AD327" s="412"/>
      <c r="AE327" s="412"/>
      <c r="AF327" s="412"/>
      <c r="AG327" s="412"/>
      <c r="AH327" s="412"/>
      <c r="AI327" s="412"/>
      <c r="AJ327" s="412">
        <f t="shared" ref="AJ327:AJ390" si="17">SUM(X327:AI327)</f>
        <v>300</v>
      </c>
      <c r="AK327" s="198"/>
      <c r="AL327" s="250" t="s">
        <v>2067</v>
      </c>
    </row>
    <row r="328" spans="1:38" ht="14.1" customHeight="1" x14ac:dyDescent="0.2">
      <c r="A328" t="s">
        <v>894</v>
      </c>
      <c r="B328" s="193">
        <v>3989</v>
      </c>
      <c r="C328" s="194" t="s">
        <v>1176</v>
      </c>
      <c r="D328" s="229" t="s">
        <v>1414</v>
      </c>
      <c r="E328" s="229" t="s">
        <v>634</v>
      </c>
      <c r="F328" s="236">
        <v>300</v>
      </c>
      <c r="G328" s="196">
        <v>1</v>
      </c>
      <c r="H328" s="195">
        <v>300</v>
      </c>
      <c r="I328" s="197">
        <v>41280</v>
      </c>
      <c r="J328" s="197" t="str">
        <f t="shared" si="15"/>
        <v>ok</v>
      </c>
      <c r="K328" s="413"/>
      <c r="L328" s="413"/>
      <c r="M328" s="413"/>
      <c r="N328" s="413"/>
      <c r="O328" s="413"/>
      <c r="P328" s="413"/>
      <c r="Q328" s="413"/>
      <c r="R328" s="413"/>
      <c r="S328" s="413"/>
      <c r="T328" s="413"/>
      <c r="U328" s="413"/>
      <c r="V328" s="413"/>
      <c r="W328" s="413">
        <f t="shared" si="16"/>
        <v>0</v>
      </c>
      <c r="X328" s="412">
        <v>300</v>
      </c>
      <c r="Y328" s="412"/>
      <c r="Z328" s="412"/>
      <c r="AA328" s="412"/>
      <c r="AB328" s="412"/>
      <c r="AC328" s="412"/>
      <c r="AD328" s="412"/>
      <c r="AE328" s="412"/>
      <c r="AF328" s="412"/>
      <c r="AG328" s="412"/>
      <c r="AH328" s="412"/>
      <c r="AI328" s="412"/>
      <c r="AJ328" s="412">
        <f t="shared" si="17"/>
        <v>300</v>
      </c>
      <c r="AK328" s="198"/>
      <c r="AL328" s="250" t="s">
        <v>2067</v>
      </c>
    </row>
    <row r="329" spans="1:38" ht="14.1" customHeight="1" x14ac:dyDescent="0.2">
      <c r="A329" t="s">
        <v>888</v>
      </c>
      <c r="B329" s="193">
        <v>3990</v>
      </c>
      <c r="C329" s="194" t="s">
        <v>913</v>
      </c>
      <c r="D329" s="229" t="s">
        <v>1415</v>
      </c>
      <c r="E329" s="229" t="s">
        <v>348</v>
      </c>
      <c r="F329" s="236">
        <v>200</v>
      </c>
      <c r="G329" s="196">
        <v>1</v>
      </c>
      <c r="H329" s="195">
        <v>200</v>
      </c>
      <c r="I329" s="197">
        <v>41280</v>
      </c>
      <c r="J329" s="197" t="str">
        <f t="shared" si="15"/>
        <v>ok</v>
      </c>
      <c r="K329" s="413"/>
      <c r="L329" s="413"/>
      <c r="M329" s="413"/>
      <c r="N329" s="413"/>
      <c r="O329" s="413"/>
      <c r="P329" s="413"/>
      <c r="Q329" s="413"/>
      <c r="R329" s="413"/>
      <c r="S329" s="413"/>
      <c r="T329" s="413"/>
      <c r="U329" s="413"/>
      <c r="V329" s="413"/>
      <c r="W329" s="413">
        <f t="shared" si="16"/>
        <v>0</v>
      </c>
      <c r="X329" s="412">
        <v>200</v>
      </c>
      <c r="Y329" s="412"/>
      <c r="Z329" s="412"/>
      <c r="AA329" s="412"/>
      <c r="AB329" s="412"/>
      <c r="AC329" s="412"/>
      <c r="AD329" s="412"/>
      <c r="AE329" s="412"/>
      <c r="AF329" s="412"/>
      <c r="AG329" s="412"/>
      <c r="AH329" s="412"/>
      <c r="AI329" s="412"/>
      <c r="AJ329" s="412">
        <f t="shared" si="17"/>
        <v>200</v>
      </c>
      <c r="AK329" s="198"/>
      <c r="AL329" s="250" t="s">
        <v>2067</v>
      </c>
    </row>
    <row r="330" spans="1:38" ht="14.1" customHeight="1" x14ac:dyDescent="0.2">
      <c r="A330" t="s">
        <v>890</v>
      </c>
      <c r="B330" s="193">
        <v>3991</v>
      </c>
      <c r="C330" s="194" t="s">
        <v>993</v>
      </c>
      <c r="D330" s="229" t="s">
        <v>1416</v>
      </c>
      <c r="E330" s="229" t="s">
        <v>728</v>
      </c>
      <c r="F330" s="236">
        <v>200</v>
      </c>
      <c r="G330" s="196">
        <v>1</v>
      </c>
      <c r="H330" s="195">
        <v>600</v>
      </c>
      <c r="I330" s="197">
        <v>41280</v>
      </c>
      <c r="J330" s="197" t="str">
        <f t="shared" si="15"/>
        <v>ok</v>
      </c>
      <c r="K330" s="413"/>
      <c r="L330" s="413"/>
      <c r="M330" s="413"/>
      <c r="N330" s="413"/>
      <c r="O330" s="413"/>
      <c r="P330" s="413"/>
      <c r="Q330" s="413"/>
      <c r="R330" s="413"/>
      <c r="S330" s="413"/>
      <c r="T330" s="413">
        <v>200</v>
      </c>
      <c r="U330" s="413">
        <v>200</v>
      </c>
      <c r="V330" s="413">
        <v>200</v>
      </c>
      <c r="W330" s="413">
        <f t="shared" si="16"/>
        <v>600</v>
      </c>
      <c r="X330" s="412"/>
      <c r="Y330" s="412"/>
      <c r="Z330" s="412"/>
      <c r="AA330" s="412"/>
      <c r="AB330" s="412"/>
      <c r="AC330" s="412"/>
      <c r="AD330" s="412"/>
      <c r="AE330" s="412"/>
      <c r="AF330" s="412"/>
      <c r="AG330" s="412"/>
      <c r="AH330" s="412"/>
      <c r="AI330" s="412"/>
      <c r="AJ330" s="412">
        <f t="shared" si="17"/>
        <v>0</v>
      </c>
      <c r="AK330" s="198" t="s">
        <v>1243</v>
      </c>
      <c r="AL330" s="250" t="s">
        <v>2067</v>
      </c>
    </row>
    <row r="331" spans="1:38" ht="14.1" customHeight="1" x14ac:dyDescent="0.2">
      <c r="A331" t="s">
        <v>884</v>
      </c>
      <c r="B331" s="193">
        <v>3992</v>
      </c>
      <c r="C331" s="194" t="s">
        <v>800</v>
      </c>
      <c r="D331" s="229" t="s">
        <v>1417</v>
      </c>
      <c r="E331" s="229" t="s">
        <v>17</v>
      </c>
      <c r="F331" s="236">
        <v>300</v>
      </c>
      <c r="G331" s="196">
        <v>1</v>
      </c>
      <c r="H331" s="195">
        <v>900</v>
      </c>
      <c r="I331" s="197">
        <v>41280</v>
      </c>
      <c r="J331" s="197" t="str">
        <f t="shared" si="15"/>
        <v>ok</v>
      </c>
      <c r="K331" s="413"/>
      <c r="L331" s="413"/>
      <c r="M331" s="413"/>
      <c r="N331" s="413"/>
      <c r="O331" s="413"/>
      <c r="P331" s="413"/>
      <c r="Q331" s="413"/>
      <c r="R331" s="413"/>
      <c r="S331" s="413"/>
      <c r="T331" s="413">
        <v>300</v>
      </c>
      <c r="U331" s="413">
        <v>300</v>
      </c>
      <c r="V331" s="413">
        <v>300</v>
      </c>
      <c r="W331" s="413">
        <f t="shared" si="16"/>
        <v>900</v>
      </c>
      <c r="X331" s="412"/>
      <c r="Y331" s="412"/>
      <c r="Z331" s="412"/>
      <c r="AA331" s="412"/>
      <c r="AB331" s="412"/>
      <c r="AC331" s="412"/>
      <c r="AD331" s="412"/>
      <c r="AE331" s="412"/>
      <c r="AF331" s="412"/>
      <c r="AG331" s="412"/>
      <c r="AH331" s="412"/>
      <c r="AI331" s="412"/>
      <c r="AJ331" s="412">
        <f t="shared" si="17"/>
        <v>0</v>
      </c>
      <c r="AK331" s="198" t="s">
        <v>1243</v>
      </c>
      <c r="AL331" s="250" t="s">
        <v>2067</v>
      </c>
    </row>
    <row r="332" spans="1:38" ht="14.1" customHeight="1" x14ac:dyDescent="0.2">
      <c r="A332" t="s">
        <v>892</v>
      </c>
      <c r="B332" s="193">
        <v>3993</v>
      </c>
      <c r="C332" s="194" t="s">
        <v>782</v>
      </c>
      <c r="D332" s="229" t="s">
        <v>1418</v>
      </c>
      <c r="E332" s="229" t="s">
        <v>662</v>
      </c>
      <c r="F332" s="236">
        <v>300</v>
      </c>
      <c r="G332" s="196">
        <v>1</v>
      </c>
      <c r="H332" s="195">
        <v>300</v>
      </c>
      <c r="I332" s="197">
        <v>41280</v>
      </c>
      <c r="J332" s="197" t="str">
        <f t="shared" si="15"/>
        <v>ok</v>
      </c>
      <c r="K332" s="413"/>
      <c r="L332" s="413"/>
      <c r="M332" s="413"/>
      <c r="N332" s="413"/>
      <c r="O332" s="413"/>
      <c r="P332" s="413"/>
      <c r="Q332" s="413"/>
      <c r="R332" s="413"/>
      <c r="S332" s="413"/>
      <c r="T332" s="413"/>
      <c r="U332" s="413"/>
      <c r="V332" s="413"/>
      <c r="W332" s="413">
        <f t="shared" si="16"/>
        <v>0</v>
      </c>
      <c r="X332" s="412">
        <v>300</v>
      </c>
      <c r="Y332" s="412"/>
      <c r="Z332" s="412"/>
      <c r="AA332" s="412"/>
      <c r="AB332" s="412"/>
      <c r="AC332" s="412"/>
      <c r="AD332" s="412"/>
      <c r="AE332" s="412"/>
      <c r="AF332" s="412"/>
      <c r="AG332" s="412"/>
      <c r="AH332" s="412"/>
      <c r="AI332" s="412"/>
      <c r="AJ332" s="412">
        <f t="shared" si="17"/>
        <v>300</v>
      </c>
      <c r="AK332" s="198"/>
      <c r="AL332" s="250" t="s">
        <v>2067</v>
      </c>
    </row>
    <row r="333" spans="1:38" ht="14.1" customHeight="1" x14ac:dyDescent="0.2">
      <c r="A333" t="s">
        <v>888</v>
      </c>
      <c r="B333" s="193">
        <v>3994</v>
      </c>
      <c r="C333" s="194" t="s">
        <v>761</v>
      </c>
      <c r="D333" s="229" t="s">
        <v>1419</v>
      </c>
      <c r="E333" s="229" t="s">
        <v>443</v>
      </c>
      <c r="F333" s="236">
        <v>300</v>
      </c>
      <c r="G333" s="196">
        <v>1</v>
      </c>
      <c r="H333" s="195">
        <v>300</v>
      </c>
      <c r="I333" s="197">
        <v>41280</v>
      </c>
      <c r="J333" s="197" t="str">
        <f t="shared" si="15"/>
        <v>ok</v>
      </c>
      <c r="K333" s="413"/>
      <c r="L333" s="413"/>
      <c r="M333" s="413"/>
      <c r="N333" s="413"/>
      <c r="O333" s="413"/>
      <c r="P333" s="413"/>
      <c r="Q333" s="413"/>
      <c r="R333" s="413"/>
      <c r="S333" s="413"/>
      <c r="T333" s="413"/>
      <c r="U333" s="413"/>
      <c r="V333" s="413"/>
      <c r="W333" s="413">
        <f t="shared" si="16"/>
        <v>0</v>
      </c>
      <c r="X333" s="412">
        <v>300</v>
      </c>
      <c r="Y333" s="412"/>
      <c r="Z333" s="412"/>
      <c r="AA333" s="412"/>
      <c r="AB333" s="412"/>
      <c r="AC333" s="412"/>
      <c r="AD333" s="412"/>
      <c r="AE333" s="412"/>
      <c r="AF333" s="412"/>
      <c r="AG333" s="412"/>
      <c r="AH333" s="412"/>
      <c r="AI333" s="412"/>
      <c r="AJ333" s="412">
        <f t="shared" si="17"/>
        <v>300</v>
      </c>
      <c r="AK333" s="198"/>
      <c r="AL333" s="250" t="s">
        <v>2067</v>
      </c>
    </row>
    <row r="334" spans="1:38" ht="14.1" customHeight="1" x14ac:dyDescent="0.2">
      <c r="A334" t="s">
        <v>884</v>
      </c>
      <c r="B334" s="193">
        <v>3995</v>
      </c>
      <c r="C334" s="194" t="s">
        <v>812</v>
      </c>
      <c r="D334" s="229" t="s">
        <v>1420</v>
      </c>
      <c r="E334" s="229" t="s">
        <v>33</v>
      </c>
      <c r="F334" s="236">
        <v>300</v>
      </c>
      <c r="G334" s="196">
        <v>1</v>
      </c>
      <c r="H334" s="195">
        <v>300</v>
      </c>
      <c r="I334" s="197">
        <v>41280</v>
      </c>
      <c r="J334" s="197" t="str">
        <f t="shared" ref="J334:J397" si="18">IF(OR(G334&lt;&gt;1,SUM(W334,AJ334)=H334),"ok","error")</f>
        <v>ok</v>
      </c>
      <c r="K334" s="413"/>
      <c r="L334" s="413"/>
      <c r="M334" s="413"/>
      <c r="N334" s="413"/>
      <c r="O334" s="413"/>
      <c r="P334" s="413"/>
      <c r="Q334" s="413"/>
      <c r="R334" s="413"/>
      <c r="S334" s="413"/>
      <c r="T334" s="413"/>
      <c r="U334" s="413"/>
      <c r="V334" s="413"/>
      <c r="W334" s="413">
        <f t="shared" si="16"/>
        <v>0</v>
      </c>
      <c r="X334" s="412">
        <v>300</v>
      </c>
      <c r="Y334" s="412"/>
      <c r="Z334" s="412"/>
      <c r="AA334" s="412"/>
      <c r="AB334" s="412"/>
      <c r="AC334" s="412"/>
      <c r="AD334" s="412"/>
      <c r="AE334" s="412"/>
      <c r="AF334" s="412"/>
      <c r="AG334" s="412"/>
      <c r="AH334" s="412"/>
      <c r="AI334" s="412"/>
      <c r="AJ334" s="412">
        <f t="shared" si="17"/>
        <v>300</v>
      </c>
      <c r="AK334" s="198"/>
      <c r="AL334" s="250" t="s">
        <v>2067</v>
      </c>
    </row>
    <row r="335" spans="1:38" ht="14.1" customHeight="1" x14ac:dyDescent="0.2">
      <c r="A335" t="s">
        <v>890</v>
      </c>
      <c r="B335" s="193">
        <v>3996</v>
      </c>
      <c r="C335" s="194" t="s">
        <v>1030</v>
      </c>
      <c r="D335" s="229" t="s">
        <v>1421</v>
      </c>
      <c r="E335" s="229" t="s">
        <v>531</v>
      </c>
      <c r="F335" s="236">
        <v>300</v>
      </c>
      <c r="G335" s="196">
        <v>1</v>
      </c>
      <c r="H335" s="195">
        <v>600</v>
      </c>
      <c r="I335" s="197">
        <v>41280</v>
      </c>
      <c r="J335" s="197" t="str">
        <f t="shared" si="18"/>
        <v>ok</v>
      </c>
      <c r="K335" s="413"/>
      <c r="L335" s="413"/>
      <c r="M335" s="413"/>
      <c r="N335" s="413"/>
      <c r="O335" s="413"/>
      <c r="P335" s="413"/>
      <c r="Q335" s="413"/>
      <c r="R335" s="413"/>
      <c r="S335" s="413"/>
      <c r="T335" s="413"/>
      <c r="U335" s="413"/>
      <c r="V335" s="413">
        <v>300</v>
      </c>
      <c r="W335" s="413">
        <f t="shared" si="16"/>
        <v>300</v>
      </c>
      <c r="X335" s="412">
        <v>300</v>
      </c>
      <c r="Y335" s="412"/>
      <c r="Z335" s="412"/>
      <c r="AA335" s="412"/>
      <c r="AB335" s="412"/>
      <c r="AC335" s="412"/>
      <c r="AD335" s="412"/>
      <c r="AE335" s="412"/>
      <c r="AF335" s="412"/>
      <c r="AG335" s="412"/>
      <c r="AH335" s="412"/>
      <c r="AI335" s="412"/>
      <c r="AJ335" s="412">
        <f t="shared" si="17"/>
        <v>300</v>
      </c>
      <c r="AK335" s="198" t="s">
        <v>1236</v>
      </c>
      <c r="AL335" s="250" t="s">
        <v>2067</v>
      </c>
    </row>
    <row r="336" spans="1:38" ht="14.1" customHeight="1" x14ac:dyDescent="0.2">
      <c r="A336" t="s">
        <v>894</v>
      </c>
      <c r="B336" s="193">
        <v>3997</v>
      </c>
      <c r="C336" s="194" t="s">
        <v>784</v>
      </c>
      <c r="D336" s="229" t="s">
        <v>1422</v>
      </c>
      <c r="E336" s="229" t="s">
        <v>595</v>
      </c>
      <c r="F336" s="236">
        <v>300</v>
      </c>
      <c r="G336" s="196">
        <v>1</v>
      </c>
      <c r="H336" s="195">
        <v>300</v>
      </c>
      <c r="I336" s="197">
        <v>41280</v>
      </c>
      <c r="J336" s="197" t="str">
        <f t="shared" si="18"/>
        <v>ok</v>
      </c>
      <c r="K336" s="413"/>
      <c r="L336" s="413"/>
      <c r="M336" s="413"/>
      <c r="N336" s="413"/>
      <c r="O336" s="413"/>
      <c r="P336" s="413"/>
      <c r="Q336" s="413"/>
      <c r="R336" s="413"/>
      <c r="S336" s="413"/>
      <c r="T336" s="413"/>
      <c r="U336" s="413"/>
      <c r="V336" s="413">
        <v>300</v>
      </c>
      <c r="W336" s="413">
        <f t="shared" si="16"/>
        <v>300</v>
      </c>
      <c r="X336" s="412"/>
      <c r="Y336" s="412"/>
      <c r="Z336" s="412"/>
      <c r="AA336" s="412"/>
      <c r="AB336" s="412"/>
      <c r="AC336" s="412"/>
      <c r="AD336" s="412"/>
      <c r="AE336" s="412"/>
      <c r="AF336" s="412"/>
      <c r="AG336" s="412"/>
      <c r="AH336" s="412"/>
      <c r="AI336" s="412"/>
      <c r="AJ336" s="412">
        <f t="shared" si="17"/>
        <v>0</v>
      </c>
      <c r="AK336" s="198" t="s">
        <v>1240</v>
      </c>
      <c r="AL336" s="250" t="s">
        <v>2067</v>
      </c>
    </row>
    <row r="337" spans="1:38" ht="14.1" customHeight="1" x14ac:dyDescent="0.2">
      <c r="A337" t="s">
        <v>888</v>
      </c>
      <c r="B337" s="193">
        <v>3998</v>
      </c>
      <c r="C337" s="194" t="s">
        <v>949</v>
      </c>
      <c r="D337" s="229" t="s">
        <v>1423</v>
      </c>
      <c r="E337" s="229" t="s">
        <v>414</v>
      </c>
      <c r="F337" s="236">
        <v>200</v>
      </c>
      <c r="G337" s="196">
        <v>3</v>
      </c>
      <c r="H337" s="195">
        <v>150</v>
      </c>
      <c r="I337" s="197">
        <v>41280</v>
      </c>
      <c r="J337" s="197" t="str">
        <f t="shared" si="18"/>
        <v>ok</v>
      </c>
      <c r="K337" s="413"/>
      <c r="L337" s="413"/>
      <c r="M337" s="413"/>
      <c r="N337" s="413"/>
      <c r="O337" s="413"/>
      <c r="P337" s="413"/>
      <c r="Q337" s="413"/>
      <c r="R337" s="413"/>
      <c r="S337" s="413"/>
      <c r="T337" s="413"/>
      <c r="U337" s="413"/>
      <c r="V337" s="413"/>
      <c r="W337" s="413">
        <f t="shared" si="16"/>
        <v>0</v>
      </c>
      <c r="X337" s="412"/>
      <c r="Y337" s="412"/>
      <c r="Z337" s="412"/>
      <c r="AA337" s="412"/>
      <c r="AB337" s="412"/>
      <c r="AC337" s="412"/>
      <c r="AD337" s="412"/>
      <c r="AE337" s="412"/>
      <c r="AF337" s="412"/>
      <c r="AG337" s="412"/>
      <c r="AH337" s="412"/>
      <c r="AI337" s="412"/>
      <c r="AJ337" s="412">
        <f t="shared" si="17"/>
        <v>0</v>
      </c>
      <c r="AK337" s="198"/>
      <c r="AL337" s="250" t="s">
        <v>2068</v>
      </c>
    </row>
    <row r="338" spans="1:38" ht="14.1" customHeight="1" x14ac:dyDescent="0.2">
      <c r="A338" t="s">
        <v>888</v>
      </c>
      <c r="B338" s="193">
        <v>3999</v>
      </c>
      <c r="C338" s="194" t="s">
        <v>920</v>
      </c>
      <c r="D338" s="229" t="s">
        <v>1424</v>
      </c>
      <c r="E338" s="229" t="s">
        <v>361</v>
      </c>
      <c r="F338" s="236">
        <v>300</v>
      </c>
      <c r="G338" s="196">
        <v>1</v>
      </c>
      <c r="H338" s="195">
        <v>600</v>
      </c>
      <c r="I338" s="197">
        <v>41280</v>
      </c>
      <c r="J338" s="197" t="str">
        <f t="shared" si="18"/>
        <v>ok</v>
      </c>
      <c r="K338" s="413"/>
      <c r="L338" s="413"/>
      <c r="M338" s="413"/>
      <c r="N338" s="413"/>
      <c r="O338" s="413"/>
      <c r="P338" s="413"/>
      <c r="Q338" s="413"/>
      <c r="R338" s="413"/>
      <c r="S338" s="413"/>
      <c r="T338" s="413"/>
      <c r="U338" s="413"/>
      <c r="V338" s="413">
        <v>300</v>
      </c>
      <c r="W338" s="413">
        <f t="shared" si="16"/>
        <v>300</v>
      </c>
      <c r="X338" s="412">
        <v>300</v>
      </c>
      <c r="Y338" s="412"/>
      <c r="Z338" s="412"/>
      <c r="AA338" s="412"/>
      <c r="AB338" s="412"/>
      <c r="AC338" s="412"/>
      <c r="AD338" s="412"/>
      <c r="AE338" s="412"/>
      <c r="AF338" s="412"/>
      <c r="AG338" s="412"/>
      <c r="AH338" s="412"/>
      <c r="AI338" s="412"/>
      <c r="AJ338" s="412">
        <f t="shared" si="17"/>
        <v>300</v>
      </c>
      <c r="AK338" s="198" t="s">
        <v>1236</v>
      </c>
      <c r="AL338" s="250" t="s">
        <v>2067</v>
      </c>
    </row>
    <row r="339" spans="1:38" ht="14.1" customHeight="1" x14ac:dyDescent="0.2">
      <c r="A339" t="s">
        <v>892</v>
      </c>
      <c r="B339" s="193">
        <v>4000</v>
      </c>
      <c r="C339" s="194" t="s">
        <v>1181</v>
      </c>
      <c r="D339" s="229" t="s">
        <v>1425</v>
      </c>
      <c r="E339" s="229" t="s">
        <v>557</v>
      </c>
      <c r="F339" s="236">
        <v>300</v>
      </c>
      <c r="G339" s="196">
        <v>1</v>
      </c>
      <c r="H339" s="195">
        <v>300</v>
      </c>
      <c r="I339" s="197">
        <v>41280</v>
      </c>
      <c r="J339" s="197" t="str">
        <f t="shared" si="18"/>
        <v>ok</v>
      </c>
      <c r="K339" s="413"/>
      <c r="L339" s="413"/>
      <c r="M339" s="413"/>
      <c r="N339" s="413"/>
      <c r="O339" s="413"/>
      <c r="P339" s="413"/>
      <c r="Q339" s="413"/>
      <c r="R339" s="413"/>
      <c r="S339" s="413"/>
      <c r="T339" s="413"/>
      <c r="U339" s="413"/>
      <c r="V339" s="413"/>
      <c r="W339" s="413">
        <f t="shared" si="16"/>
        <v>0</v>
      </c>
      <c r="X339" s="412">
        <v>300</v>
      </c>
      <c r="Y339" s="412"/>
      <c r="Z339" s="412"/>
      <c r="AA339" s="412"/>
      <c r="AB339" s="412"/>
      <c r="AC339" s="412"/>
      <c r="AD339" s="412"/>
      <c r="AE339" s="412"/>
      <c r="AF339" s="412"/>
      <c r="AG339" s="412"/>
      <c r="AH339" s="412"/>
      <c r="AI339" s="412"/>
      <c r="AJ339" s="412">
        <f t="shared" si="17"/>
        <v>300</v>
      </c>
      <c r="AK339" s="198"/>
      <c r="AL339" s="250" t="s">
        <v>2067</v>
      </c>
    </row>
    <row r="340" spans="1:38" ht="14.1" customHeight="1" x14ac:dyDescent="0.2">
      <c r="A340" t="s">
        <v>892</v>
      </c>
      <c r="B340" s="193">
        <v>4001</v>
      </c>
      <c r="C340" s="194" t="s">
        <v>1059</v>
      </c>
      <c r="D340" s="229" t="s">
        <v>1426</v>
      </c>
      <c r="E340" s="229" t="s">
        <v>660</v>
      </c>
      <c r="F340" s="236">
        <v>150</v>
      </c>
      <c r="G340" s="196">
        <v>1</v>
      </c>
      <c r="H340" s="195">
        <v>150</v>
      </c>
      <c r="I340" s="197">
        <v>41280</v>
      </c>
      <c r="J340" s="197" t="str">
        <f t="shared" si="18"/>
        <v>ok</v>
      </c>
      <c r="K340" s="413"/>
      <c r="L340" s="413"/>
      <c r="M340" s="413"/>
      <c r="N340" s="413"/>
      <c r="O340" s="413"/>
      <c r="P340" s="413"/>
      <c r="Q340" s="413"/>
      <c r="R340" s="413"/>
      <c r="S340" s="413"/>
      <c r="T340" s="413"/>
      <c r="U340" s="413"/>
      <c r="V340" s="413"/>
      <c r="W340" s="413">
        <f t="shared" si="16"/>
        <v>0</v>
      </c>
      <c r="X340" s="412">
        <v>150</v>
      </c>
      <c r="Y340" s="412"/>
      <c r="Z340" s="412"/>
      <c r="AA340" s="412"/>
      <c r="AB340" s="412"/>
      <c r="AC340" s="412"/>
      <c r="AD340" s="412"/>
      <c r="AE340" s="412"/>
      <c r="AF340" s="412"/>
      <c r="AG340" s="412"/>
      <c r="AH340" s="412"/>
      <c r="AI340" s="412"/>
      <c r="AJ340" s="412">
        <f t="shared" si="17"/>
        <v>150</v>
      </c>
      <c r="AK340" s="198"/>
      <c r="AL340" s="250" t="s">
        <v>2067</v>
      </c>
    </row>
    <row r="341" spans="1:38" ht="14.1" customHeight="1" x14ac:dyDescent="0.2">
      <c r="A341" t="s">
        <v>888</v>
      </c>
      <c r="B341" s="193">
        <v>4002</v>
      </c>
      <c r="C341" s="194" t="s">
        <v>933</v>
      </c>
      <c r="D341" s="229" t="s">
        <v>1427</v>
      </c>
      <c r="E341" s="229" t="s">
        <v>1212</v>
      </c>
      <c r="F341" s="236">
        <v>300</v>
      </c>
      <c r="G341" s="196">
        <v>1</v>
      </c>
      <c r="H341" s="195">
        <v>300</v>
      </c>
      <c r="I341" s="197">
        <v>41280</v>
      </c>
      <c r="J341" s="197" t="str">
        <f t="shared" si="18"/>
        <v>ok</v>
      </c>
      <c r="K341" s="413"/>
      <c r="L341" s="413"/>
      <c r="M341" s="413"/>
      <c r="N341" s="413"/>
      <c r="O341" s="413"/>
      <c r="P341" s="413"/>
      <c r="Q341" s="413"/>
      <c r="R341" s="413"/>
      <c r="S341" s="413"/>
      <c r="T341" s="413"/>
      <c r="U341" s="413"/>
      <c r="V341" s="413"/>
      <c r="W341" s="413">
        <f t="shared" si="16"/>
        <v>0</v>
      </c>
      <c r="X341" s="412">
        <v>300</v>
      </c>
      <c r="Y341" s="412"/>
      <c r="Z341" s="412"/>
      <c r="AA341" s="412"/>
      <c r="AB341" s="412"/>
      <c r="AC341" s="412"/>
      <c r="AD341" s="412"/>
      <c r="AE341" s="412"/>
      <c r="AF341" s="412"/>
      <c r="AG341" s="412"/>
      <c r="AH341" s="412"/>
      <c r="AI341" s="412"/>
      <c r="AJ341" s="412">
        <f t="shared" si="17"/>
        <v>300</v>
      </c>
      <c r="AK341" s="198"/>
      <c r="AL341" s="250" t="s">
        <v>2067</v>
      </c>
    </row>
    <row r="342" spans="1:38" ht="14.1" customHeight="1" x14ac:dyDescent="0.2">
      <c r="A342" t="s">
        <v>884</v>
      </c>
      <c r="B342" s="193">
        <v>4003</v>
      </c>
      <c r="C342" s="194" t="s">
        <v>821</v>
      </c>
      <c r="D342" s="229" t="s">
        <v>1428</v>
      </c>
      <c r="E342" s="229" t="s">
        <v>48</v>
      </c>
      <c r="F342" s="236">
        <v>300</v>
      </c>
      <c r="G342" s="196">
        <v>1</v>
      </c>
      <c r="H342" s="195">
        <v>300</v>
      </c>
      <c r="I342" s="197">
        <v>41280</v>
      </c>
      <c r="J342" s="197" t="str">
        <f t="shared" si="18"/>
        <v>ok</v>
      </c>
      <c r="K342" s="413"/>
      <c r="L342" s="413"/>
      <c r="M342" s="413"/>
      <c r="N342" s="413"/>
      <c r="O342" s="413"/>
      <c r="P342" s="413"/>
      <c r="Q342" s="413"/>
      <c r="R342" s="413"/>
      <c r="S342" s="413"/>
      <c r="T342" s="413"/>
      <c r="U342" s="413"/>
      <c r="V342" s="413"/>
      <c r="W342" s="413">
        <f t="shared" si="16"/>
        <v>0</v>
      </c>
      <c r="X342" s="412">
        <v>300</v>
      </c>
      <c r="Y342" s="412"/>
      <c r="Z342" s="412"/>
      <c r="AA342" s="412"/>
      <c r="AB342" s="412"/>
      <c r="AC342" s="412"/>
      <c r="AD342" s="412"/>
      <c r="AE342" s="412"/>
      <c r="AF342" s="412"/>
      <c r="AG342" s="412"/>
      <c r="AH342" s="412"/>
      <c r="AI342" s="412"/>
      <c r="AJ342" s="412">
        <f t="shared" si="17"/>
        <v>300</v>
      </c>
      <c r="AK342" s="198"/>
      <c r="AL342" s="250" t="s">
        <v>2067</v>
      </c>
    </row>
    <row r="343" spans="1:38" ht="14.1" customHeight="1" x14ac:dyDescent="0.2">
      <c r="A343" t="s">
        <v>893</v>
      </c>
      <c r="B343" s="193">
        <v>4004</v>
      </c>
      <c r="C343" s="194" t="s">
        <v>1077</v>
      </c>
      <c r="D343" s="229" t="s">
        <v>1429</v>
      </c>
      <c r="E343" s="229" t="s">
        <v>195</v>
      </c>
      <c r="F343" s="236">
        <v>200</v>
      </c>
      <c r="G343" s="196">
        <v>1</v>
      </c>
      <c r="H343" s="195">
        <v>200</v>
      </c>
      <c r="I343" s="197">
        <v>41280</v>
      </c>
      <c r="J343" s="197" t="str">
        <f t="shared" si="18"/>
        <v>ok</v>
      </c>
      <c r="K343" s="413"/>
      <c r="L343" s="413"/>
      <c r="M343" s="413"/>
      <c r="N343" s="413"/>
      <c r="O343" s="413"/>
      <c r="P343" s="413"/>
      <c r="Q343" s="413"/>
      <c r="R343" s="413"/>
      <c r="S343" s="413"/>
      <c r="T343" s="413"/>
      <c r="U343" s="413"/>
      <c r="V343" s="413"/>
      <c r="W343" s="413">
        <f t="shared" si="16"/>
        <v>0</v>
      </c>
      <c r="X343" s="412">
        <v>200</v>
      </c>
      <c r="Y343" s="412"/>
      <c r="Z343" s="412"/>
      <c r="AA343" s="412"/>
      <c r="AB343" s="412"/>
      <c r="AC343" s="412"/>
      <c r="AD343" s="412"/>
      <c r="AE343" s="412"/>
      <c r="AF343" s="412"/>
      <c r="AG343" s="412"/>
      <c r="AH343" s="412"/>
      <c r="AI343" s="412"/>
      <c r="AJ343" s="412">
        <f t="shared" si="17"/>
        <v>200</v>
      </c>
      <c r="AK343" s="198"/>
      <c r="AL343" s="250" t="s">
        <v>2067</v>
      </c>
    </row>
    <row r="344" spans="1:38" ht="14.1" customHeight="1" x14ac:dyDescent="0.2">
      <c r="A344" t="s">
        <v>893</v>
      </c>
      <c r="B344" s="193">
        <v>4005</v>
      </c>
      <c r="C344" s="194" t="s">
        <v>1117</v>
      </c>
      <c r="D344" s="229" t="s">
        <v>1430</v>
      </c>
      <c r="E344" s="229" t="s">
        <v>271</v>
      </c>
      <c r="F344" s="236">
        <v>300</v>
      </c>
      <c r="G344" s="196">
        <v>1</v>
      </c>
      <c r="H344" s="195">
        <v>300</v>
      </c>
      <c r="I344" s="197">
        <v>41280</v>
      </c>
      <c r="J344" s="197" t="str">
        <f t="shared" si="18"/>
        <v>ok</v>
      </c>
      <c r="K344" s="413"/>
      <c r="L344" s="413"/>
      <c r="M344" s="413"/>
      <c r="N344" s="413"/>
      <c r="O344" s="413"/>
      <c r="P344" s="413"/>
      <c r="Q344" s="413"/>
      <c r="R344" s="413"/>
      <c r="S344" s="413"/>
      <c r="T344" s="413"/>
      <c r="U344" s="413"/>
      <c r="V344" s="413"/>
      <c r="W344" s="413">
        <f t="shared" si="16"/>
        <v>0</v>
      </c>
      <c r="X344" s="412">
        <v>300</v>
      </c>
      <c r="Y344" s="412"/>
      <c r="Z344" s="412"/>
      <c r="AA344" s="412"/>
      <c r="AB344" s="412"/>
      <c r="AC344" s="412"/>
      <c r="AD344" s="412"/>
      <c r="AE344" s="412"/>
      <c r="AF344" s="412"/>
      <c r="AG344" s="412"/>
      <c r="AH344" s="412"/>
      <c r="AI344" s="412"/>
      <c r="AJ344" s="412">
        <f t="shared" si="17"/>
        <v>300</v>
      </c>
      <c r="AK344" s="198"/>
      <c r="AL344" s="250" t="s">
        <v>2067</v>
      </c>
    </row>
    <row r="345" spans="1:38" ht="14.1" customHeight="1" x14ac:dyDescent="0.2">
      <c r="A345" t="s">
        <v>884</v>
      </c>
      <c r="B345" s="193">
        <v>4006</v>
      </c>
      <c r="C345" s="194" t="s">
        <v>827</v>
      </c>
      <c r="D345" s="229" t="s">
        <v>1431</v>
      </c>
      <c r="E345" s="229" t="s">
        <v>1271</v>
      </c>
      <c r="F345" s="236">
        <v>300</v>
      </c>
      <c r="G345" s="196">
        <v>1</v>
      </c>
      <c r="H345" s="195">
        <v>300</v>
      </c>
      <c r="I345" s="197">
        <v>41280</v>
      </c>
      <c r="J345" s="197" t="str">
        <f t="shared" si="18"/>
        <v>ok</v>
      </c>
      <c r="K345" s="413"/>
      <c r="L345" s="413"/>
      <c r="M345" s="413"/>
      <c r="N345" s="413"/>
      <c r="O345" s="413"/>
      <c r="P345" s="413"/>
      <c r="Q345" s="413"/>
      <c r="R345" s="413"/>
      <c r="S345" s="413"/>
      <c r="T345" s="413"/>
      <c r="U345" s="413"/>
      <c r="V345" s="413"/>
      <c r="W345" s="413">
        <f t="shared" si="16"/>
        <v>0</v>
      </c>
      <c r="X345" s="412">
        <v>300</v>
      </c>
      <c r="Y345" s="412"/>
      <c r="Z345" s="412"/>
      <c r="AA345" s="412"/>
      <c r="AB345" s="412"/>
      <c r="AC345" s="412"/>
      <c r="AD345" s="412"/>
      <c r="AE345" s="412"/>
      <c r="AF345" s="412"/>
      <c r="AG345" s="412"/>
      <c r="AH345" s="412"/>
      <c r="AI345" s="412"/>
      <c r="AJ345" s="412">
        <f t="shared" si="17"/>
        <v>300</v>
      </c>
      <c r="AK345" s="198"/>
      <c r="AL345" s="250" t="s">
        <v>2067</v>
      </c>
    </row>
    <row r="346" spans="1:38" ht="14.1" customHeight="1" x14ac:dyDescent="0.2">
      <c r="A346" t="s">
        <v>894</v>
      </c>
      <c r="B346" s="193">
        <v>4007</v>
      </c>
      <c r="C346" s="194" t="s">
        <v>1167</v>
      </c>
      <c r="D346" s="229" t="s">
        <v>1432</v>
      </c>
      <c r="E346" s="229" t="s">
        <v>617</v>
      </c>
      <c r="F346" s="236">
        <v>250</v>
      </c>
      <c r="G346" s="196">
        <v>1</v>
      </c>
      <c r="H346" s="195">
        <v>250</v>
      </c>
      <c r="I346" s="197">
        <v>41280</v>
      </c>
      <c r="J346" s="197" t="str">
        <f t="shared" si="18"/>
        <v>ok</v>
      </c>
      <c r="K346" s="413"/>
      <c r="L346" s="413"/>
      <c r="M346" s="413"/>
      <c r="N346" s="413"/>
      <c r="O346" s="413"/>
      <c r="P346" s="413"/>
      <c r="Q346" s="413"/>
      <c r="R346" s="413"/>
      <c r="S346" s="413"/>
      <c r="T346" s="413"/>
      <c r="U346" s="413"/>
      <c r="V346" s="413"/>
      <c r="W346" s="413">
        <f t="shared" si="16"/>
        <v>0</v>
      </c>
      <c r="X346" s="412">
        <v>250</v>
      </c>
      <c r="Y346" s="412"/>
      <c r="Z346" s="412"/>
      <c r="AA346" s="412"/>
      <c r="AB346" s="412"/>
      <c r="AC346" s="412"/>
      <c r="AD346" s="412"/>
      <c r="AE346" s="412"/>
      <c r="AF346" s="412"/>
      <c r="AG346" s="412"/>
      <c r="AH346" s="412"/>
      <c r="AI346" s="412"/>
      <c r="AJ346" s="412">
        <f t="shared" si="17"/>
        <v>250</v>
      </c>
      <c r="AK346" s="198"/>
      <c r="AL346" s="250" t="s">
        <v>2067</v>
      </c>
    </row>
    <row r="347" spans="1:38" ht="14.1" customHeight="1" x14ac:dyDescent="0.2">
      <c r="A347" t="s">
        <v>893</v>
      </c>
      <c r="B347" s="193">
        <v>4008</v>
      </c>
      <c r="C347" s="194" t="s">
        <v>1106</v>
      </c>
      <c r="D347" s="229" t="s">
        <v>1433</v>
      </c>
      <c r="E347" s="229" t="s">
        <v>1221</v>
      </c>
      <c r="F347" s="236">
        <v>300</v>
      </c>
      <c r="G347" s="196">
        <v>1</v>
      </c>
      <c r="H347" s="195">
        <v>300</v>
      </c>
      <c r="I347" s="197">
        <v>41280</v>
      </c>
      <c r="J347" s="197" t="str">
        <f t="shared" si="18"/>
        <v>ok</v>
      </c>
      <c r="K347" s="413"/>
      <c r="L347" s="413"/>
      <c r="M347" s="413"/>
      <c r="N347" s="413"/>
      <c r="O347" s="413"/>
      <c r="P347" s="413"/>
      <c r="Q347" s="413"/>
      <c r="R347" s="413"/>
      <c r="S347" s="413"/>
      <c r="T347" s="413"/>
      <c r="U347" s="413"/>
      <c r="V347" s="413"/>
      <c r="W347" s="413">
        <f t="shared" si="16"/>
        <v>0</v>
      </c>
      <c r="X347" s="412">
        <v>300</v>
      </c>
      <c r="Y347" s="412"/>
      <c r="Z347" s="412"/>
      <c r="AA347" s="412"/>
      <c r="AB347" s="412"/>
      <c r="AC347" s="412"/>
      <c r="AD347" s="412"/>
      <c r="AE347" s="412"/>
      <c r="AF347" s="412"/>
      <c r="AG347" s="412"/>
      <c r="AH347" s="412"/>
      <c r="AI347" s="412"/>
      <c r="AJ347" s="412">
        <f t="shared" si="17"/>
        <v>300</v>
      </c>
      <c r="AK347" s="198"/>
      <c r="AL347" s="250" t="s">
        <v>2067</v>
      </c>
    </row>
    <row r="348" spans="1:38" ht="14.1" customHeight="1" x14ac:dyDescent="0.2">
      <c r="A348" t="s">
        <v>884</v>
      </c>
      <c r="B348" s="193">
        <v>4009</v>
      </c>
      <c r="C348" s="194" t="s">
        <v>843</v>
      </c>
      <c r="D348" s="229" t="s">
        <v>1434</v>
      </c>
      <c r="E348" s="229" t="s">
        <v>1189</v>
      </c>
      <c r="F348" s="236">
        <v>300</v>
      </c>
      <c r="G348" s="196">
        <v>1</v>
      </c>
      <c r="H348" s="195">
        <v>300</v>
      </c>
      <c r="I348" s="197">
        <v>41280</v>
      </c>
      <c r="J348" s="197" t="str">
        <f t="shared" si="18"/>
        <v>ok</v>
      </c>
      <c r="K348" s="413"/>
      <c r="L348" s="413"/>
      <c r="M348" s="413"/>
      <c r="N348" s="413"/>
      <c r="O348" s="413"/>
      <c r="P348" s="413"/>
      <c r="Q348" s="413"/>
      <c r="R348" s="413"/>
      <c r="S348" s="413"/>
      <c r="T348" s="413"/>
      <c r="U348" s="413"/>
      <c r="V348" s="413"/>
      <c r="W348" s="413">
        <f t="shared" si="16"/>
        <v>0</v>
      </c>
      <c r="X348" s="412">
        <v>300</v>
      </c>
      <c r="Y348" s="412"/>
      <c r="Z348" s="412"/>
      <c r="AA348" s="412"/>
      <c r="AB348" s="412"/>
      <c r="AC348" s="412"/>
      <c r="AD348" s="412"/>
      <c r="AE348" s="412"/>
      <c r="AF348" s="412"/>
      <c r="AG348" s="412"/>
      <c r="AH348" s="412"/>
      <c r="AI348" s="412"/>
      <c r="AJ348" s="412">
        <f t="shared" si="17"/>
        <v>300</v>
      </c>
      <c r="AK348" s="198"/>
      <c r="AL348" s="250" t="s">
        <v>2067</v>
      </c>
    </row>
    <row r="349" spans="1:38" ht="14.1" customHeight="1" x14ac:dyDescent="0.2">
      <c r="A349" t="s">
        <v>890</v>
      </c>
      <c r="B349" s="193">
        <v>4010</v>
      </c>
      <c r="C349" s="194" t="s">
        <v>1045</v>
      </c>
      <c r="D349" s="229" t="s">
        <v>1435</v>
      </c>
      <c r="E349" s="229" t="s">
        <v>557</v>
      </c>
      <c r="F349" s="236">
        <v>300</v>
      </c>
      <c r="G349" s="196">
        <v>1</v>
      </c>
      <c r="H349" s="195">
        <v>300</v>
      </c>
      <c r="I349" s="197">
        <v>41280</v>
      </c>
      <c r="J349" s="197" t="str">
        <f t="shared" si="18"/>
        <v>ok</v>
      </c>
      <c r="K349" s="413"/>
      <c r="L349" s="413"/>
      <c r="M349" s="413"/>
      <c r="N349" s="413"/>
      <c r="O349" s="413"/>
      <c r="P349" s="413"/>
      <c r="Q349" s="413"/>
      <c r="R349" s="413"/>
      <c r="S349" s="413"/>
      <c r="T349" s="413"/>
      <c r="U349" s="413"/>
      <c r="V349" s="413"/>
      <c r="W349" s="413">
        <f t="shared" si="16"/>
        <v>0</v>
      </c>
      <c r="X349" s="412">
        <v>300</v>
      </c>
      <c r="Y349" s="412"/>
      <c r="Z349" s="412"/>
      <c r="AA349" s="412"/>
      <c r="AB349" s="412"/>
      <c r="AC349" s="412"/>
      <c r="AD349" s="412"/>
      <c r="AE349" s="412"/>
      <c r="AF349" s="412"/>
      <c r="AG349" s="412"/>
      <c r="AH349" s="412"/>
      <c r="AI349" s="412"/>
      <c r="AJ349" s="412">
        <f t="shared" si="17"/>
        <v>300</v>
      </c>
      <c r="AK349" s="198"/>
      <c r="AL349" s="250" t="s">
        <v>2067</v>
      </c>
    </row>
    <row r="350" spans="1:38" ht="14.1" customHeight="1" x14ac:dyDescent="0.2">
      <c r="A350" t="s">
        <v>894</v>
      </c>
      <c r="B350" s="193">
        <v>4011</v>
      </c>
      <c r="C350" s="194" t="s">
        <v>1153</v>
      </c>
      <c r="D350" s="229" t="s">
        <v>1436</v>
      </c>
      <c r="E350" s="229" t="s">
        <v>191</v>
      </c>
      <c r="F350" s="236">
        <v>400</v>
      </c>
      <c r="G350" s="196">
        <v>1</v>
      </c>
      <c r="H350" s="195">
        <v>800</v>
      </c>
      <c r="I350" s="197">
        <v>41281</v>
      </c>
      <c r="J350" s="197" t="str">
        <f t="shared" si="18"/>
        <v>ok</v>
      </c>
      <c r="K350" s="413"/>
      <c r="L350" s="413"/>
      <c r="M350" s="413"/>
      <c r="N350" s="413"/>
      <c r="O350" s="413"/>
      <c r="P350" s="413"/>
      <c r="Q350" s="413"/>
      <c r="R350" s="413"/>
      <c r="S350" s="413"/>
      <c r="T350" s="413"/>
      <c r="U350" s="413"/>
      <c r="V350" s="413">
        <v>400</v>
      </c>
      <c r="W350" s="413">
        <f t="shared" si="16"/>
        <v>400</v>
      </c>
      <c r="X350" s="412">
        <v>400</v>
      </c>
      <c r="Y350" s="412"/>
      <c r="Z350" s="412"/>
      <c r="AA350" s="412"/>
      <c r="AB350" s="412"/>
      <c r="AC350" s="412"/>
      <c r="AD350" s="412"/>
      <c r="AE350" s="412"/>
      <c r="AF350" s="412"/>
      <c r="AG350" s="412"/>
      <c r="AH350" s="412"/>
      <c r="AI350" s="412"/>
      <c r="AJ350" s="412">
        <f t="shared" si="17"/>
        <v>400</v>
      </c>
      <c r="AK350" s="198" t="s">
        <v>1236</v>
      </c>
      <c r="AL350" s="250" t="s">
        <v>2067</v>
      </c>
    </row>
    <row r="351" spans="1:38" ht="14.1" customHeight="1" x14ac:dyDescent="0.2">
      <c r="A351" t="s">
        <v>893</v>
      </c>
      <c r="B351" s="193">
        <v>4012</v>
      </c>
      <c r="C351" s="194" t="s">
        <v>1141</v>
      </c>
      <c r="D351" s="229" t="s">
        <v>1437</v>
      </c>
      <c r="E351" s="229" t="s">
        <v>716</v>
      </c>
      <c r="F351" s="236">
        <v>300</v>
      </c>
      <c r="G351" s="196">
        <v>1</v>
      </c>
      <c r="H351" s="195">
        <v>300</v>
      </c>
      <c r="I351" s="197">
        <v>41281</v>
      </c>
      <c r="J351" s="197" t="str">
        <f t="shared" si="18"/>
        <v>ok</v>
      </c>
      <c r="K351" s="413"/>
      <c r="L351" s="413"/>
      <c r="M351" s="413"/>
      <c r="N351" s="413"/>
      <c r="O351" s="413"/>
      <c r="P351" s="413"/>
      <c r="Q351" s="413"/>
      <c r="R351" s="413"/>
      <c r="S351" s="413"/>
      <c r="T351" s="413"/>
      <c r="U351" s="413"/>
      <c r="V351" s="413"/>
      <c r="W351" s="413">
        <f t="shared" si="16"/>
        <v>0</v>
      </c>
      <c r="X351" s="412">
        <v>300</v>
      </c>
      <c r="Y351" s="412"/>
      <c r="Z351" s="412"/>
      <c r="AA351" s="412"/>
      <c r="AB351" s="412"/>
      <c r="AC351" s="412"/>
      <c r="AD351" s="412"/>
      <c r="AE351" s="412"/>
      <c r="AF351" s="412"/>
      <c r="AG351" s="412"/>
      <c r="AH351" s="412"/>
      <c r="AI351" s="412"/>
      <c r="AJ351" s="412">
        <f t="shared" si="17"/>
        <v>300</v>
      </c>
      <c r="AK351" s="198"/>
      <c r="AL351" s="250" t="s">
        <v>2067</v>
      </c>
    </row>
    <row r="352" spans="1:38" ht="14.1" customHeight="1" x14ac:dyDescent="0.2">
      <c r="A352" t="s">
        <v>890</v>
      </c>
      <c r="B352" s="193">
        <v>4013</v>
      </c>
      <c r="C352" s="194" t="s">
        <v>770</v>
      </c>
      <c r="D352" s="229" t="s">
        <v>1438</v>
      </c>
      <c r="E352" s="229" t="s">
        <v>536</v>
      </c>
      <c r="F352" s="236">
        <v>300</v>
      </c>
      <c r="G352" s="196">
        <v>1</v>
      </c>
      <c r="H352" s="195">
        <v>300</v>
      </c>
      <c r="I352" s="197">
        <v>41280</v>
      </c>
      <c r="J352" s="197" t="str">
        <f t="shared" si="18"/>
        <v>ok</v>
      </c>
      <c r="K352" s="413"/>
      <c r="L352" s="413"/>
      <c r="M352" s="413"/>
      <c r="N352" s="413"/>
      <c r="O352" s="413"/>
      <c r="P352" s="413"/>
      <c r="Q352" s="413"/>
      <c r="R352" s="413"/>
      <c r="S352" s="413"/>
      <c r="T352" s="413"/>
      <c r="U352" s="413"/>
      <c r="V352" s="413"/>
      <c r="W352" s="413">
        <f t="shared" si="16"/>
        <v>0</v>
      </c>
      <c r="X352" s="412">
        <v>300</v>
      </c>
      <c r="Y352" s="412"/>
      <c r="Z352" s="412"/>
      <c r="AA352" s="412"/>
      <c r="AB352" s="412"/>
      <c r="AC352" s="412"/>
      <c r="AD352" s="412"/>
      <c r="AE352" s="412"/>
      <c r="AF352" s="412"/>
      <c r="AG352" s="412"/>
      <c r="AH352" s="412"/>
      <c r="AI352" s="412"/>
      <c r="AJ352" s="412">
        <f t="shared" si="17"/>
        <v>300</v>
      </c>
      <c r="AK352" s="198"/>
      <c r="AL352" s="250" t="s">
        <v>2067</v>
      </c>
    </row>
    <row r="353" spans="1:39" ht="14.1" customHeight="1" x14ac:dyDescent="0.2">
      <c r="A353" t="s">
        <v>888</v>
      </c>
      <c r="B353" s="193">
        <v>4014</v>
      </c>
      <c r="C353" s="194" t="s">
        <v>917</v>
      </c>
      <c r="D353" s="229" t="s">
        <v>1439</v>
      </c>
      <c r="E353" s="229" t="s">
        <v>355</v>
      </c>
      <c r="F353" s="236">
        <v>150</v>
      </c>
      <c r="G353" s="196">
        <v>1</v>
      </c>
      <c r="H353" s="195">
        <v>1650</v>
      </c>
      <c r="I353" s="197">
        <v>41281</v>
      </c>
      <c r="J353" s="197" t="str">
        <f t="shared" si="18"/>
        <v>ok</v>
      </c>
      <c r="K353" s="413"/>
      <c r="L353" s="413"/>
      <c r="M353" s="413"/>
      <c r="N353" s="413"/>
      <c r="O353" s="413"/>
      <c r="P353" s="413"/>
      <c r="Q353" s="413"/>
      <c r="R353" s="413"/>
      <c r="S353" s="413"/>
      <c r="T353" s="413"/>
      <c r="U353" s="413"/>
      <c r="V353" s="413"/>
      <c r="W353" s="413">
        <f t="shared" si="16"/>
        <v>0</v>
      </c>
      <c r="X353" s="412">
        <v>150</v>
      </c>
      <c r="Y353" s="412">
        <v>150</v>
      </c>
      <c r="Z353" s="412">
        <v>150</v>
      </c>
      <c r="AA353" s="412">
        <v>150</v>
      </c>
      <c r="AB353" s="412">
        <v>150</v>
      </c>
      <c r="AC353" s="412">
        <v>150</v>
      </c>
      <c r="AD353" s="412">
        <v>150</v>
      </c>
      <c r="AE353" s="412">
        <v>150</v>
      </c>
      <c r="AF353" s="412">
        <v>150</v>
      </c>
      <c r="AG353" s="412">
        <v>150</v>
      </c>
      <c r="AH353" s="412">
        <v>150</v>
      </c>
      <c r="AI353" s="412"/>
      <c r="AJ353" s="412">
        <f t="shared" si="17"/>
        <v>1650</v>
      </c>
      <c r="AK353" s="198" t="s">
        <v>1244</v>
      </c>
      <c r="AL353" s="250" t="s">
        <v>2067</v>
      </c>
      <c r="AM353" s="158"/>
    </row>
    <row r="354" spans="1:39" ht="14.1" customHeight="1" x14ac:dyDescent="0.2">
      <c r="A354" t="s">
        <v>893</v>
      </c>
      <c r="B354" s="193">
        <v>4015</v>
      </c>
      <c r="C354" s="194" t="s">
        <v>1149</v>
      </c>
      <c r="D354" s="229" t="s">
        <v>1440</v>
      </c>
      <c r="E354" s="229" t="s">
        <v>335</v>
      </c>
      <c r="F354" s="236">
        <v>300</v>
      </c>
      <c r="G354" s="196">
        <v>1</v>
      </c>
      <c r="H354" s="195">
        <v>300</v>
      </c>
      <c r="I354" s="197">
        <v>41282</v>
      </c>
      <c r="J354" s="197" t="str">
        <f t="shared" si="18"/>
        <v>ok</v>
      </c>
      <c r="K354" s="413"/>
      <c r="L354" s="413"/>
      <c r="M354" s="413"/>
      <c r="N354" s="413"/>
      <c r="O354" s="413"/>
      <c r="P354" s="413"/>
      <c r="Q354" s="413"/>
      <c r="R354" s="413"/>
      <c r="S354" s="413"/>
      <c r="T354" s="413"/>
      <c r="U354" s="413"/>
      <c r="V354" s="413">
        <v>300</v>
      </c>
      <c r="W354" s="413">
        <f t="shared" si="16"/>
        <v>300</v>
      </c>
      <c r="X354" s="412"/>
      <c r="Y354" s="412"/>
      <c r="Z354" s="412"/>
      <c r="AA354" s="412"/>
      <c r="AB354" s="412"/>
      <c r="AC354" s="412"/>
      <c r="AD354" s="412"/>
      <c r="AE354" s="412"/>
      <c r="AF354" s="412"/>
      <c r="AG354" s="412"/>
      <c r="AH354" s="412"/>
      <c r="AI354" s="412"/>
      <c r="AJ354" s="412">
        <f t="shared" si="17"/>
        <v>0</v>
      </c>
      <c r="AK354" s="198" t="s">
        <v>1240</v>
      </c>
      <c r="AL354" s="250" t="s">
        <v>2067</v>
      </c>
    </row>
    <row r="355" spans="1:39" ht="14.1" customHeight="1" x14ac:dyDescent="0.2">
      <c r="A355" t="s">
        <v>884</v>
      </c>
      <c r="B355" s="193">
        <v>4016</v>
      </c>
      <c r="C355" s="194" t="s">
        <v>804</v>
      </c>
      <c r="D355" s="229" t="s">
        <v>1441</v>
      </c>
      <c r="E355" s="229" t="s">
        <v>1245</v>
      </c>
      <c r="F355" s="236">
        <v>300</v>
      </c>
      <c r="G355" s="196">
        <v>1</v>
      </c>
      <c r="H355" s="195">
        <v>3300</v>
      </c>
      <c r="I355" s="197">
        <v>41282</v>
      </c>
      <c r="J355" s="197" t="str">
        <f t="shared" si="18"/>
        <v>ok</v>
      </c>
      <c r="K355" s="413"/>
      <c r="L355" s="413"/>
      <c r="M355" s="413"/>
      <c r="N355" s="413"/>
      <c r="O355" s="413"/>
      <c r="P355" s="413"/>
      <c r="Q355" s="413"/>
      <c r="R355" s="413"/>
      <c r="S355" s="413"/>
      <c r="T355" s="413"/>
      <c r="U355" s="413"/>
      <c r="V355" s="413"/>
      <c r="W355" s="413">
        <f t="shared" si="16"/>
        <v>0</v>
      </c>
      <c r="X355" s="412">
        <v>300</v>
      </c>
      <c r="Y355" s="412">
        <v>300</v>
      </c>
      <c r="Z355" s="412">
        <v>300</v>
      </c>
      <c r="AA355" s="412">
        <v>300</v>
      </c>
      <c r="AB355" s="412">
        <v>300</v>
      </c>
      <c r="AC355" s="412">
        <v>300</v>
      </c>
      <c r="AD355" s="412">
        <v>300</v>
      </c>
      <c r="AE355" s="412">
        <v>300</v>
      </c>
      <c r="AF355" s="412">
        <v>300</v>
      </c>
      <c r="AG355" s="412">
        <v>300</v>
      </c>
      <c r="AH355" s="412">
        <v>300</v>
      </c>
      <c r="AI355" s="412"/>
      <c r="AJ355" s="412">
        <f t="shared" si="17"/>
        <v>3300</v>
      </c>
      <c r="AK355" s="198" t="s">
        <v>1246</v>
      </c>
      <c r="AL355" s="250" t="s">
        <v>2067</v>
      </c>
      <c r="AM355" s="158"/>
    </row>
    <row r="356" spans="1:39" ht="14.1" customHeight="1" x14ac:dyDescent="0.2">
      <c r="A356" t="s">
        <v>891</v>
      </c>
      <c r="B356" s="193">
        <v>4017</v>
      </c>
      <c r="C356" s="194" t="s">
        <v>1051</v>
      </c>
      <c r="D356" s="229" t="s">
        <v>1442</v>
      </c>
      <c r="E356" s="229" t="s">
        <v>651</v>
      </c>
      <c r="F356" s="236">
        <v>300</v>
      </c>
      <c r="G356" s="196">
        <v>1</v>
      </c>
      <c r="H356" s="195">
        <v>600</v>
      </c>
      <c r="I356" s="197">
        <v>41282</v>
      </c>
      <c r="J356" s="197" t="str">
        <f t="shared" si="18"/>
        <v>ok</v>
      </c>
      <c r="K356" s="413"/>
      <c r="L356" s="413"/>
      <c r="M356" s="413"/>
      <c r="N356" s="413"/>
      <c r="O356" s="413"/>
      <c r="P356" s="413"/>
      <c r="Q356" s="413"/>
      <c r="R356" s="413"/>
      <c r="S356" s="413"/>
      <c r="T356" s="413"/>
      <c r="U356" s="413"/>
      <c r="V356" s="413">
        <v>300</v>
      </c>
      <c r="W356" s="413">
        <f t="shared" si="16"/>
        <v>300</v>
      </c>
      <c r="X356" s="412">
        <v>300</v>
      </c>
      <c r="Y356" s="412"/>
      <c r="Z356" s="412"/>
      <c r="AA356" s="412"/>
      <c r="AB356" s="412"/>
      <c r="AC356" s="412"/>
      <c r="AD356" s="412"/>
      <c r="AE356" s="412"/>
      <c r="AF356" s="412"/>
      <c r="AG356" s="412"/>
      <c r="AH356" s="412"/>
      <c r="AI356" s="412"/>
      <c r="AJ356" s="412">
        <f t="shared" si="17"/>
        <v>300</v>
      </c>
      <c r="AK356" s="198" t="s">
        <v>1236</v>
      </c>
      <c r="AL356" s="250" t="s">
        <v>2067</v>
      </c>
    </row>
    <row r="357" spans="1:39" ht="14.1" customHeight="1" x14ac:dyDescent="0.2">
      <c r="A357" t="s">
        <v>888</v>
      </c>
      <c r="B357" s="193">
        <v>4018</v>
      </c>
      <c r="C357" s="194" t="s">
        <v>932</v>
      </c>
      <c r="D357" s="229" t="s">
        <v>1443</v>
      </c>
      <c r="E357" s="229" t="s">
        <v>1211</v>
      </c>
      <c r="F357" s="236">
        <v>300</v>
      </c>
      <c r="G357" s="196">
        <v>1</v>
      </c>
      <c r="H357" s="195">
        <v>3300</v>
      </c>
      <c r="I357" s="197">
        <v>41283</v>
      </c>
      <c r="J357" s="197" t="str">
        <f t="shared" si="18"/>
        <v>ok</v>
      </c>
      <c r="K357" s="413"/>
      <c r="L357" s="413"/>
      <c r="M357" s="413"/>
      <c r="N357" s="413"/>
      <c r="O357" s="413"/>
      <c r="P357" s="413"/>
      <c r="Q357" s="413"/>
      <c r="R357" s="413"/>
      <c r="S357" s="413"/>
      <c r="T357" s="413"/>
      <c r="U357" s="413"/>
      <c r="V357" s="413"/>
      <c r="W357" s="413">
        <f t="shared" si="16"/>
        <v>0</v>
      </c>
      <c r="X357" s="412">
        <v>300</v>
      </c>
      <c r="Y357" s="412">
        <v>300</v>
      </c>
      <c r="Z357" s="412">
        <v>300</v>
      </c>
      <c r="AA357" s="412">
        <v>300</v>
      </c>
      <c r="AB357" s="412">
        <v>300</v>
      </c>
      <c r="AC357" s="412">
        <v>300</v>
      </c>
      <c r="AD357" s="412">
        <v>300</v>
      </c>
      <c r="AE357" s="412">
        <v>300</v>
      </c>
      <c r="AF357" s="412">
        <v>300</v>
      </c>
      <c r="AG357" s="412">
        <v>300</v>
      </c>
      <c r="AH357" s="412">
        <v>300</v>
      </c>
      <c r="AI357" s="412"/>
      <c r="AJ357" s="412">
        <f t="shared" si="17"/>
        <v>3300</v>
      </c>
      <c r="AK357" s="198" t="s">
        <v>1246</v>
      </c>
      <c r="AL357" s="250" t="s">
        <v>2067</v>
      </c>
      <c r="AM357" s="158"/>
    </row>
    <row r="358" spans="1:39" ht="14.1" customHeight="1" x14ac:dyDescent="0.2">
      <c r="A358" t="s">
        <v>889</v>
      </c>
      <c r="B358" s="193">
        <v>4019</v>
      </c>
      <c r="C358" s="194" t="s">
        <v>970</v>
      </c>
      <c r="D358" s="229" t="s">
        <v>1444</v>
      </c>
      <c r="E358" s="229" t="s">
        <v>1247</v>
      </c>
      <c r="F358" s="236">
        <v>300</v>
      </c>
      <c r="G358" s="196">
        <v>1</v>
      </c>
      <c r="H358" s="195">
        <v>300</v>
      </c>
      <c r="I358" s="197">
        <v>41284</v>
      </c>
      <c r="J358" s="197" t="str">
        <f t="shared" si="18"/>
        <v>ok</v>
      </c>
      <c r="K358" s="413"/>
      <c r="L358" s="413"/>
      <c r="M358" s="413"/>
      <c r="N358" s="413"/>
      <c r="O358" s="413"/>
      <c r="P358" s="413"/>
      <c r="Q358" s="413"/>
      <c r="R358" s="413"/>
      <c r="S358" s="413"/>
      <c r="T358" s="413"/>
      <c r="U358" s="413"/>
      <c r="V358" s="413"/>
      <c r="W358" s="413">
        <f t="shared" si="16"/>
        <v>0</v>
      </c>
      <c r="X358" s="412">
        <v>300</v>
      </c>
      <c r="Y358" s="412"/>
      <c r="Z358" s="412"/>
      <c r="AA358" s="412"/>
      <c r="AB358" s="412"/>
      <c r="AC358" s="412"/>
      <c r="AD358" s="412"/>
      <c r="AE358" s="412"/>
      <c r="AF358" s="412"/>
      <c r="AG358" s="412"/>
      <c r="AH358" s="412"/>
      <c r="AI358" s="412"/>
      <c r="AJ358" s="412">
        <f t="shared" si="17"/>
        <v>300</v>
      </c>
      <c r="AK358" s="198"/>
      <c r="AL358" s="250" t="s">
        <v>2067</v>
      </c>
    </row>
    <row r="359" spans="1:39" ht="14.1" customHeight="1" x14ac:dyDescent="0.2">
      <c r="A359" t="s">
        <v>888</v>
      </c>
      <c r="B359" s="193">
        <v>4020</v>
      </c>
      <c r="C359" s="194" t="s">
        <v>1333</v>
      </c>
      <c r="D359" s="229" t="s">
        <v>1445</v>
      </c>
      <c r="E359" s="229" t="s">
        <v>1304</v>
      </c>
      <c r="F359" s="236">
        <v>300</v>
      </c>
      <c r="G359" s="196">
        <v>1</v>
      </c>
      <c r="H359" s="195">
        <v>600</v>
      </c>
      <c r="I359" s="197">
        <v>41282</v>
      </c>
      <c r="J359" s="197" t="str">
        <f t="shared" si="18"/>
        <v>ok</v>
      </c>
      <c r="K359" s="413"/>
      <c r="L359" s="413"/>
      <c r="M359" s="413"/>
      <c r="N359" s="413"/>
      <c r="O359" s="413"/>
      <c r="P359" s="413"/>
      <c r="Q359" s="413"/>
      <c r="R359" s="413"/>
      <c r="S359" s="413"/>
      <c r="T359" s="413"/>
      <c r="U359" s="413">
        <v>300</v>
      </c>
      <c r="V359" s="413">
        <v>300</v>
      </c>
      <c r="W359" s="413">
        <f t="shared" si="16"/>
        <v>600</v>
      </c>
      <c r="X359" s="412"/>
      <c r="Y359" s="412"/>
      <c r="Z359" s="412"/>
      <c r="AA359" s="412"/>
      <c r="AB359" s="412"/>
      <c r="AC359" s="412"/>
      <c r="AD359" s="412"/>
      <c r="AE359" s="412"/>
      <c r="AF359" s="412"/>
      <c r="AG359" s="412"/>
      <c r="AH359" s="412"/>
      <c r="AI359" s="412"/>
      <c r="AJ359" s="412">
        <f t="shared" si="17"/>
        <v>0</v>
      </c>
      <c r="AK359" s="198" t="s">
        <v>1241</v>
      </c>
      <c r="AL359" s="250" t="s">
        <v>2067</v>
      </c>
    </row>
    <row r="360" spans="1:39" ht="14.1" customHeight="1" x14ac:dyDescent="0.2">
      <c r="A360" t="s">
        <v>884</v>
      </c>
      <c r="B360" s="193">
        <v>4021</v>
      </c>
      <c r="C360" s="194" t="s">
        <v>861</v>
      </c>
      <c r="D360" s="229" t="s">
        <v>1446</v>
      </c>
      <c r="E360" s="229" t="s">
        <v>1208</v>
      </c>
      <c r="F360" s="236">
        <v>150</v>
      </c>
      <c r="G360" s="196">
        <v>1</v>
      </c>
      <c r="H360" s="195">
        <v>150</v>
      </c>
      <c r="I360" s="197">
        <v>41284</v>
      </c>
      <c r="J360" s="197" t="str">
        <f t="shared" si="18"/>
        <v>ok</v>
      </c>
      <c r="K360" s="413"/>
      <c r="L360" s="413"/>
      <c r="M360" s="413"/>
      <c r="N360" s="413"/>
      <c r="O360" s="413"/>
      <c r="P360" s="413"/>
      <c r="Q360" s="413"/>
      <c r="R360" s="413"/>
      <c r="S360" s="413"/>
      <c r="T360" s="413"/>
      <c r="U360" s="413"/>
      <c r="V360" s="413"/>
      <c r="W360" s="413">
        <f t="shared" si="16"/>
        <v>0</v>
      </c>
      <c r="X360" s="412">
        <v>150</v>
      </c>
      <c r="Y360" s="412"/>
      <c r="Z360" s="412"/>
      <c r="AA360" s="412"/>
      <c r="AB360" s="412"/>
      <c r="AC360" s="412"/>
      <c r="AD360" s="412"/>
      <c r="AE360" s="412"/>
      <c r="AF360" s="412"/>
      <c r="AG360" s="412"/>
      <c r="AH360" s="412"/>
      <c r="AI360" s="412"/>
      <c r="AJ360" s="412">
        <f t="shared" si="17"/>
        <v>150</v>
      </c>
      <c r="AK360" s="198"/>
      <c r="AL360" s="250" t="s">
        <v>2067</v>
      </c>
    </row>
    <row r="361" spans="1:39" ht="14.1" customHeight="1" x14ac:dyDescent="0.2">
      <c r="A361" t="s">
        <v>893</v>
      </c>
      <c r="B361" s="193">
        <v>4022</v>
      </c>
      <c r="C361" s="194" t="s">
        <v>1068</v>
      </c>
      <c r="D361" s="229" t="s">
        <v>1447</v>
      </c>
      <c r="E361" s="229" t="s">
        <v>179</v>
      </c>
      <c r="F361" s="236">
        <v>300</v>
      </c>
      <c r="G361" s="196">
        <v>1</v>
      </c>
      <c r="H361" s="195">
        <v>3300</v>
      </c>
      <c r="I361" s="197">
        <v>41284</v>
      </c>
      <c r="J361" s="197" t="str">
        <f t="shared" si="18"/>
        <v>ok</v>
      </c>
      <c r="K361" s="413"/>
      <c r="L361" s="413"/>
      <c r="M361" s="413"/>
      <c r="N361" s="413"/>
      <c r="O361" s="413"/>
      <c r="P361" s="413"/>
      <c r="Q361" s="413"/>
      <c r="R361" s="413"/>
      <c r="S361" s="413"/>
      <c r="T361" s="413"/>
      <c r="U361" s="413"/>
      <c r="V361" s="413"/>
      <c r="W361" s="413">
        <f t="shared" si="16"/>
        <v>0</v>
      </c>
      <c r="X361" s="412">
        <v>300</v>
      </c>
      <c r="Y361" s="412">
        <v>300</v>
      </c>
      <c r="Z361" s="412">
        <v>300</v>
      </c>
      <c r="AA361" s="412">
        <v>300</v>
      </c>
      <c r="AB361" s="412">
        <v>300</v>
      </c>
      <c r="AC361" s="412">
        <v>300</v>
      </c>
      <c r="AD361" s="412">
        <v>300</v>
      </c>
      <c r="AE361" s="412">
        <v>300</v>
      </c>
      <c r="AF361" s="412">
        <v>300</v>
      </c>
      <c r="AG361" s="412">
        <v>300</v>
      </c>
      <c r="AH361" s="412">
        <v>300</v>
      </c>
      <c r="AI361" s="412"/>
      <c r="AJ361" s="412">
        <f t="shared" si="17"/>
        <v>3300</v>
      </c>
      <c r="AK361" s="198" t="s">
        <v>1246</v>
      </c>
      <c r="AL361" s="250" t="s">
        <v>2067</v>
      </c>
      <c r="AM361" s="158"/>
    </row>
    <row r="362" spans="1:39" ht="14.1" customHeight="1" x14ac:dyDescent="0.2">
      <c r="A362" t="s">
        <v>884</v>
      </c>
      <c r="B362" s="193">
        <v>4023</v>
      </c>
      <c r="C362" s="194" t="s">
        <v>878</v>
      </c>
      <c r="D362" s="229" t="s">
        <v>1448</v>
      </c>
      <c r="E362" s="229" t="s">
        <v>204</v>
      </c>
      <c r="F362" s="236">
        <v>300</v>
      </c>
      <c r="G362" s="196">
        <v>1</v>
      </c>
      <c r="H362" s="195">
        <v>3600</v>
      </c>
      <c r="I362" s="197">
        <v>41285</v>
      </c>
      <c r="J362" s="197" t="str">
        <f t="shared" si="18"/>
        <v>ok</v>
      </c>
      <c r="K362" s="413"/>
      <c r="L362" s="413"/>
      <c r="M362" s="413"/>
      <c r="N362" s="413"/>
      <c r="O362" s="413"/>
      <c r="P362" s="413"/>
      <c r="Q362" s="413"/>
      <c r="R362" s="413"/>
      <c r="S362" s="413"/>
      <c r="T362" s="413"/>
      <c r="U362" s="413"/>
      <c r="V362" s="413"/>
      <c r="W362" s="413">
        <f t="shared" si="16"/>
        <v>0</v>
      </c>
      <c r="X362" s="412">
        <v>300</v>
      </c>
      <c r="Y362" s="412">
        <v>300</v>
      </c>
      <c r="Z362" s="412">
        <v>300</v>
      </c>
      <c r="AA362" s="412">
        <v>300</v>
      </c>
      <c r="AB362" s="412">
        <v>300</v>
      </c>
      <c r="AC362" s="412">
        <v>300</v>
      </c>
      <c r="AD362" s="412">
        <v>300</v>
      </c>
      <c r="AE362" s="412">
        <v>300</v>
      </c>
      <c r="AF362" s="412">
        <v>300</v>
      </c>
      <c r="AG362" s="412">
        <v>300</v>
      </c>
      <c r="AH362" s="412">
        <v>300</v>
      </c>
      <c r="AI362" s="412">
        <v>300</v>
      </c>
      <c r="AJ362" s="412">
        <f t="shared" si="17"/>
        <v>3600</v>
      </c>
      <c r="AK362" s="198" t="s">
        <v>1246</v>
      </c>
      <c r="AL362" s="250" t="s">
        <v>2067</v>
      </c>
    </row>
    <row r="363" spans="1:39" ht="14.1" customHeight="1" x14ac:dyDescent="0.2">
      <c r="A363" t="s">
        <v>888</v>
      </c>
      <c r="B363" s="193">
        <v>4024</v>
      </c>
      <c r="C363" s="194" t="s">
        <v>954</v>
      </c>
      <c r="D363" s="229" t="s">
        <v>1449</v>
      </c>
      <c r="E363" s="229" t="s">
        <v>425</v>
      </c>
      <c r="F363" s="236">
        <v>200</v>
      </c>
      <c r="G363" s="196">
        <v>1</v>
      </c>
      <c r="H363" s="195">
        <v>400</v>
      </c>
      <c r="I363" s="197">
        <v>41285</v>
      </c>
      <c r="J363" s="197" t="str">
        <f t="shared" si="18"/>
        <v>ok</v>
      </c>
      <c r="K363" s="413"/>
      <c r="L363" s="413"/>
      <c r="M363" s="413"/>
      <c r="N363" s="413"/>
      <c r="O363" s="413"/>
      <c r="P363" s="413"/>
      <c r="Q363" s="413"/>
      <c r="R363" s="413"/>
      <c r="S363" s="413">
        <v>200</v>
      </c>
      <c r="T363" s="413">
        <v>200</v>
      </c>
      <c r="U363" s="413"/>
      <c r="V363" s="413"/>
      <c r="W363" s="413">
        <f t="shared" si="16"/>
        <v>400</v>
      </c>
      <c r="X363" s="412"/>
      <c r="Y363" s="412"/>
      <c r="Z363" s="412"/>
      <c r="AA363" s="412"/>
      <c r="AB363" s="412"/>
      <c r="AC363" s="412"/>
      <c r="AD363" s="412"/>
      <c r="AE363" s="412"/>
      <c r="AF363" s="412"/>
      <c r="AG363" s="412"/>
      <c r="AH363" s="412"/>
      <c r="AI363" s="412"/>
      <c r="AJ363" s="412">
        <f t="shared" si="17"/>
        <v>0</v>
      </c>
      <c r="AK363" s="198" t="s">
        <v>1248</v>
      </c>
      <c r="AL363" s="250" t="s">
        <v>2067</v>
      </c>
    </row>
    <row r="364" spans="1:39" ht="14.1" customHeight="1" x14ac:dyDescent="0.2">
      <c r="A364" t="s">
        <v>888</v>
      </c>
      <c r="B364" s="193">
        <v>4025</v>
      </c>
      <c r="C364" s="194" t="s">
        <v>1703</v>
      </c>
      <c r="D364" s="229" t="s">
        <v>1450</v>
      </c>
      <c r="E364" s="229" t="s">
        <v>428</v>
      </c>
      <c r="F364" s="236">
        <v>10000</v>
      </c>
      <c r="G364" s="196">
        <v>3</v>
      </c>
      <c r="H364" s="195">
        <v>160</v>
      </c>
      <c r="I364" s="197">
        <v>41285</v>
      </c>
      <c r="J364" s="197" t="str">
        <f t="shared" si="18"/>
        <v>ok</v>
      </c>
      <c r="K364" s="413"/>
      <c r="L364" s="413"/>
      <c r="M364" s="413"/>
      <c r="N364" s="413"/>
      <c r="O364" s="413"/>
      <c r="P364" s="413"/>
      <c r="Q364" s="413"/>
      <c r="R364" s="413"/>
      <c r="S364" s="413"/>
      <c r="T364" s="413"/>
      <c r="U364" s="413"/>
      <c r="V364" s="413"/>
      <c r="W364" s="413">
        <f t="shared" si="16"/>
        <v>0</v>
      </c>
      <c r="X364" s="412"/>
      <c r="Y364" s="412"/>
      <c r="Z364" s="412"/>
      <c r="AA364" s="412"/>
      <c r="AB364" s="412"/>
      <c r="AC364" s="412"/>
      <c r="AD364" s="412"/>
      <c r="AE364" s="412"/>
      <c r="AF364" s="412"/>
      <c r="AG364" s="412"/>
      <c r="AH364" s="412"/>
      <c r="AI364" s="412"/>
      <c r="AJ364" s="412">
        <f t="shared" si="17"/>
        <v>0</v>
      </c>
      <c r="AK364" s="198"/>
      <c r="AL364" s="250" t="s">
        <v>2068</v>
      </c>
    </row>
    <row r="365" spans="1:39" ht="14.1" customHeight="1" x14ac:dyDescent="0.2">
      <c r="A365" t="s">
        <v>890</v>
      </c>
      <c r="B365" s="193">
        <v>4026</v>
      </c>
      <c r="C365" s="194" t="s">
        <v>769</v>
      </c>
      <c r="D365" s="229" t="s">
        <v>1451</v>
      </c>
      <c r="E365" s="229" t="s">
        <v>546</v>
      </c>
      <c r="F365" s="236">
        <v>300</v>
      </c>
      <c r="G365" s="196">
        <v>1</v>
      </c>
      <c r="H365" s="195">
        <v>300</v>
      </c>
      <c r="I365" s="197">
        <v>41287</v>
      </c>
      <c r="J365" s="197" t="str">
        <f t="shared" si="18"/>
        <v>ok</v>
      </c>
      <c r="K365" s="413"/>
      <c r="L365" s="413"/>
      <c r="M365" s="413"/>
      <c r="N365" s="413"/>
      <c r="O365" s="413"/>
      <c r="P365" s="413"/>
      <c r="Q365" s="413"/>
      <c r="R365" s="413"/>
      <c r="S365" s="413"/>
      <c r="T365" s="413"/>
      <c r="U365" s="413"/>
      <c r="V365" s="413"/>
      <c r="W365" s="413">
        <f t="shared" si="16"/>
        <v>0</v>
      </c>
      <c r="X365" s="412">
        <v>300</v>
      </c>
      <c r="Y365" s="412"/>
      <c r="Z365" s="412"/>
      <c r="AA365" s="412"/>
      <c r="AB365" s="412"/>
      <c r="AC365" s="412"/>
      <c r="AD365" s="412"/>
      <c r="AE365" s="412"/>
      <c r="AF365" s="412"/>
      <c r="AG365" s="412"/>
      <c r="AH365" s="412"/>
      <c r="AI365" s="412"/>
      <c r="AJ365" s="412">
        <f t="shared" si="17"/>
        <v>300</v>
      </c>
      <c r="AK365" s="198"/>
      <c r="AL365" s="250" t="s">
        <v>2067</v>
      </c>
    </row>
    <row r="366" spans="1:39" ht="14.1" customHeight="1" x14ac:dyDescent="0.2">
      <c r="A366" t="s">
        <v>894</v>
      </c>
      <c r="B366" s="193">
        <v>4027</v>
      </c>
      <c r="C366" s="194" t="s">
        <v>1179</v>
      </c>
      <c r="D366" s="229" t="s">
        <v>1452</v>
      </c>
      <c r="E366" s="229" t="s">
        <v>639</v>
      </c>
      <c r="F366" s="236">
        <v>250</v>
      </c>
      <c r="G366" s="196">
        <v>1</v>
      </c>
      <c r="H366" s="195">
        <v>500</v>
      </c>
      <c r="I366" s="197">
        <v>41287</v>
      </c>
      <c r="J366" s="197" t="str">
        <f t="shared" si="18"/>
        <v>ok</v>
      </c>
      <c r="K366" s="413"/>
      <c r="L366" s="413"/>
      <c r="M366" s="413"/>
      <c r="N366" s="413"/>
      <c r="O366" s="413"/>
      <c r="P366" s="413"/>
      <c r="Q366" s="413"/>
      <c r="R366" s="413"/>
      <c r="S366" s="413"/>
      <c r="T366" s="413"/>
      <c r="U366" s="413">
        <v>250</v>
      </c>
      <c r="V366" s="413"/>
      <c r="W366" s="413">
        <f t="shared" si="16"/>
        <v>250</v>
      </c>
      <c r="X366" s="412">
        <v>250</v>
      </c>
      <c r="Y366" s="412"/>
      <c r="Z366" s="412"/>
      <c r="AA366" s="412"/>
      <c r="AB366" s="412"/>
      <c r="AC366" s="412"/>
      <c r="AD366" s="412"/>
      <c r="AE366" s="412"/>
      <c r="AF366" s="412"/>
      <c r="AG366" s="412"/>
      <c r="AH366" s="412"/>
      <c r="AI366" s="412"/>
      <c r="AJ366" s="412">
        <f t="shared" si="17"/>
        <v>250</v>
      </c>
      <c r="AK366" s="198" t="s">
        <v>1249</v>
      </c>
      <c r="AL366" s="250" t="s">
        <v>2067</v>
      </c>
    </row>
    <row r="367" spans="1:39" ht="14.1" customHeight="1" x14ac:dyDescent="0.2">
      <c r="A367" t="s">
        <v>893</v>
      </c>
      <c r="B367" s="193">
        <v>4028</v>
      </c>
      <c r="C367" s="194" t="s">
        <v>1107</v>
      </c>
      <c r="D367" s="229" t="s">
        <v>1453</v>
      </c>
      <c r="E367" s="229" t="s">
        <v>255</v>
      </c>
      <c r="F367" s="236">
        <v>300</v>
      </c>
      <c r="G367" s="196">
        <v>1</v>
      </c>
      <c r="H367" s="195">
        <v>300</v>
      </c>
      <c r="I367" s="197">
        <v>41287</v>
      </c>
      <c r="J367" s="197" t="str">
        <f t="shared" si="18"/>
        <v>ok</v>
      </c>
      <c r="K367" s="413"/>
      <c r="L367" s="413"/>
      <c r="M367" s="413"/>
      <c r="N367" s="413"/>
      <c r="O367" s="413"/>
      <c r="P367" s="413"/>
      <c r="Q367" s="413"/>
      <c r="R367" s="413"/>
      <c r="S367" s="413"/>
      <c r="T367" s="413"/>
      <c r="U367" s="413"/>
      <c r="V367" s="413"/>
      <c r="W367" s="413">
        <f t="shared" si="16"/>
        <v>0</v>
      </c>
      <c r="X367" s="412">
        <v>300</v>
      </c>
      <c r="Y367" s="412"/>
      <c r="Z367" s="412"/>
      <c r="AA367" s="412"/>
      <c r="AB367" s="412"/>
      <c r="AC367" s="412"/>
      <c r="AD367" s="412"/>
      <c r="AE367" s="412"/>
      <c r="AF367" s="412"/>
      <c r="AG367" s="412"/>
      <c r="AH367" s="412"/>
      <c r="AI367" s="412"/>
      <c r="AJ367" s="412">
        <f t="shared" si="17"/>
        <v>300</v>
      </c>
      <c r="AK367" s="198"/>
      <c r="AL367" s="250" t="s">
        <v>2067</v>
      </c>
    </row>
    <row r="368" spans="1:39" ht="14.1" customHeight="1" x14ac:dyDescent="0.2">
      <c r="A368" t="s">
        <v>890</v>
      </c>
      <c r="B368" s="193">
        <v>4029</v>
      </c>
      <c r="C368" s="194" t="s">
        <v>984</v>
      </c>
      <c r="D368" s="229" t="s">
        <v>1454</v>
      </c>
      <c r="E368" s="229" t="s">
        <v>1184</v>
      </c>
      <c r="F368" s="236">
        <v>300</v>
      </c>
      <c r="G368" s="196">
        <v>1</v>
      </c>
      <c r="H368" s="195">
        <v>3300</v>
      </c>
      <c r="I368" s="197">
        <v>41287</v>
      </c>
      <c r="J368" s="197" t="str">
        <f t="shared" si="18"/>
        <v>ok</v>
      </c>
      <c r="K368" s="413"/>
      <c r="L368" s="413"/>
      <c r="M368" s="413"/>
      <c r="N368" s="413"/>
      <c r="O368" s="413"/>
      <c r="P368" s="413"/>
      <c r="Q368" s="413"/>
      <c r="R368" s="413"/>
      <c r="S368" s="413"/>
      <c r="T368" s="413"/>
      <c r="U368" s="413"/>
      <c r="V368" s="413"/>
      <c r="W368" s="413">
        <f t="shared" si="16"/>
        <v>0</v>
      </c>
      <c r="X368" s="412">
        <v>300</v>
      </c>
      <c r="Y368" s="412">
        <v>300</v>
      </c>
      <c r="Z368" s="412">
        <v>300</v>
      </c>
      <c r="AA368" s="412">
        <v>300</v>
      </c>
      <c r="AB368" s="412">
        <v>300</v>
      </c>
      <c r="AC368" s="412">
        <v>300</v>
      </c>
      <c r="AD368" s="412">
        <v>300</v>
      </c>
      <c r="AE368" s="412">
        <v>300</v>
      </c>
      <c r="AF368" s="412">
        <v>300</v>
      </c>
      <c r="AG368" s="412">
        <v>300</v>
      </c>
      <c r="AH368" s="412">
        <v>300</v>
      </c>
      <c r="AI368" s="412"/>
      <c r="AJ368" s="412">
        <f t="shared" si="17"/>
        <v>3300</v>
      </c>
      <c r="AK368" s="198" t="s">
        <v>1246</v>
      </c>
      <c r="AL368" s="250" t="s">
        <v>2067</v>
      </c>
      <c r="AM368" s="158"/>
    </row>
    <row r="369" spans="1:38" ht="14.1" customHeight="1" x14ac:dyDescent="0.2">
      <c r="A369" t="s">
        <v>890</v>
      </c>
      <c r="B369" s="193">
        <v>4030</v>
      </c>
      <c r="C369" s="194" t="s">
        <v>976</v>
      </c>
      <c r="D369" s="229" t="s">
        <v>1455</v>
      </c>
      <c r="E369" s="229" t="s">
        <v>725</v>
      </c>
      <c r="F369" s="236">
        <v>150</v>
      </c>
      <c r="G369" s="196">
        <v>1</v>
      </c>
      <c r="H369" s="195">
        <v>1050</v>
      </c>
      <c r="I369" s="197">
        <v>41287</v>
      </c>
      <c r="J369" s="197" t="str">
        <f t="shared" si="18"/>
        <v>ok</v>
      </c>
      <c r="K369" s="413"/>
      <c r="L369" s="413"/>
      <c r="M369" s="413"/>
      <c r="N369" s="413"/>
      <c r="O369" s="413"/>
      <c r="P369" s="413"/>
      <c r="Q369" s="413">
        <v>150</v>
      </c>
      <c r="R369" s="413">
        <v>150</v>
      </c>
      <c r="S369" s="413">
        <v>150</v>
      </c>
      <c r="T369" s="413">
        <v>150</v>
      </c>
      <c r="U369" s="413">
        <v>150</v>
      </c>
      <c r="V369" s="413">
        <v>150</v>
      </c>
      <c r="W369" s="413">
        <f t="shared" si="16"/>
        <v>900</v>
      </c>
      <c r="X369" s="412">
        <v>150</v>
      </c>
      <c r="Y369" s="412"/>
      <c r="Z369" s="412"/>
      <c r="AA369" s="412"/>
      <c r="AB369" s="412"/>
      <c r="AC369" s="412"/>
      <c r="AD369" s="412"/>
      <c r="AE369" s="412"/>
      <c r="AF369" s="412"/>
      <c r="AG369" s="412"/>
      <c r="AH369" s="412"/>
      <c r="AI369" s="412"/>
      <c r="AJ369" s="412">
        <f t="shared" si="17"/>
        <v>150</v>
      </c>
      <c r="AK369" s="198" t="s">
        <v>1250</v>
      </c>
      <c r="AL369" s="250" t="s">
        <v>2067</v>
      </c>
    </row>
    <row r="370" spans="1:38" ht="14.1" customHeight="1" x14ac:dyDescent="0.2">
      <c r="A370" t="s">
        <v>890</v>
      </c>
      <c r="B370" s="193">
        <v>4031</v>
      </c>
      <c r="C370" s="194" t="s">
        <v>991</v>
      </c>
      <c r="D370" s="229" t="s">
        <v>1456</v>
      </c>
      <c r="E370" s="229" t="s">
        <v>480</v>
      </c>
      <c r="F370" s="236">
        <v>300</v>
      </c>
      <c r="G370" s="196">
        <v>1</v>
      </c>
      <c r="H370" s="195">
        <v>300</v>
      </c>
      <c r="I370" s="197">
        <v>41287</v>
      </c>
      <c r="J370" s="197" t="str">
        <f t="shared" si="18"/>
        <v>ok</v>
      </c>
      <c r="K370" s="413"/>
      <c r="L370" s="413"/>
      <c r="M370" s="413"/>
      <c r="N370" s="413"/>
      <c r="O370" s="413"/>
      <c r="P370" s="413"/>
      <c r="Q370" s="413"/>
      <c r="R370" s="413"/>
      <c r="S370" s="413"/>
      <c r="T370" s="413"/>
      <c r="U370" s="413"/>
      <c r="V370" s="413"/>
      <c r="W370" s="413">
        <f t="shared" si="16"/>
        <v>0</v>
      </c>
      <c r="X370" s="412">
        <v>300</v>
      </c>
      <c r="Y370" s="412"/>
      <c r="Z370" s="412"/>
      <c r="AA370" s="412"/>
      <c r="AB370" s="412"/>
      <c r="AC370" s="412"/>
      <c r="AD370" s="412"/>
      <c r="AE370" s="412"/>
      <c r="AF370" s="412"/>
      <c r="AG370" s="412"/>
      <c r="AH370" s="412"/>
      <c r="AI370" s="412"/>
      <c r="AJ370" s="412">
        <f t="shared" si="17"/>
        <v>300</v>
      </c>
      <c r="AK370" s="198"/>
      <c r="AL370" s="250" t="s">
        <v>2067</v>
      </c>
    </row>
    <row r="371" spans="1:38" ht="14.1" customHeight="1" x14ac:dyDescent="0.2">
      <c r="A371" t="s">
        <v>884</v>
      </c>
      <c r="B371" s="193">
        <v>4032</v>
      </c>
      <c r="C371" s="194" t="s">
        <v>850</v>
      </c>
      <c r="D371" s="229" t="s">
        <v>1457</v>
      </c>
      <c r="E371" s="229" t="s">
        <v>90</v>
      </c>
      <c r="F371" s="236">
        <v>300</v>
      </c>
      <c r="G371" s="196">
        <v>1</v>
      </c>
      <c r="H371" s="195">
        <v>300</v>
      </c>
      <c r="I371" s="197">
        <v>41287</v>
      </c>
      <c r="J371" s="197" t="str">
        <f t="shared" si="18"/>
        <v>ok</v>
      </c>
      <c r="K371" s="413"/>
      <c r="L371" s="413"/>
      <c r="M371" s="413"/>
      <c r="N371" s="413"/>
      <c r="O371" s="413"/>
      <c r="P371" s="413"/>
      <c r="Q371" s="413"/>
      <c r="R371" s="413"/>
      <c r="S371" s="413"/>
      <c r="T371" s="413"/>
      <c r="U371" s="413"/>
      <c r="V371" s="413"/>
      <c r="W371" s="413">
        <f t="shared" si="16"/>
        <v>0</v>
      </c>
      <c r="X371" s="412">
        <v>300</v>
      </c>
      <c r="Y371" s="412"/>
      <c r="Z371" s="412"/>
      <c r="AA371" s="412"/>
      <c r="AB371" s="412"/>
      <c r="AC371" s="412"/>
      <c r="AD371" s="412"/>
      <c r="AE371" s="412"/>
      <c r="AF371" s="412"/>
      <c r="AG371" s="412"/>
      <c r="AH371" s="412"/>
      <c r="AI371" s="412"/>
      <c r="AJ371" s="412">
        <f t="shared" si="17"/>
        <v>300</v>
      </c>
      <c r="AK371" s="198"/>
      <c r="AL371" s="250" t="s">
        <v>2067</v>
      </c>
    </row>
    <row r="372" spans="1:38" ht="14.1" customHeight="1" x14ac:dyDescent="0.2">
      <c r="A372" t="s">
        <v>888</v>
      </c>
      <c r="B372" s="193">
        <v>4033</v>
      </c>
      <c r="C372" s="194" t="s">
        <v>958</v>
      </c>
      <c r="D372" s="229" t="s">
        <v>1458</v>
      </c>
      <c r="E372" s="229" t="s">
        <v>441</v>
      </c>
      <c r="F372" s="236">
        <v>300</v>
      </c>
      <c r="G372" s="196">
        <v>1</v>
      </c>
      <c r="H372" s="195">
        <v>300</v>
      </c>
      <c r="I372" s="197">
        <v>41287</v>
      </c>
      <c r="J372" s="197" t="str">
        <f t="shared" si="18"/>
        <v>ok</v>
      </c>
      <c r="K372" s="413"/>
      <c r="L372" s="413"/>
      <c r="M372" s="413"/>
      <c r="N372" s="413"/>
      <c r="O372" s="413"/>
      <c r="P372" s="413"/>
      <c r="Q372" s="413"/>
      <c r="R372" s="413"/>
      <c r="S372" s="413"/>
      <c r="T372" s="413"/>
      <c r="U372" s="413"/>
      <c r="V372" s="413"/>
      <c r="W372" s="413">
        <f t="shared" si="16"/>
        <v>0</v>
      </c>
      <c r="X372" s="412">
        <v>300</v>
      </c>
      <c r="Y372" s="412"/>
      <c r="Z372" s="412"/>
      <c r="AA372" s="412"/>
      <c r="AB372" s="412"/>
      <c r="AC372" s="412"/>
      <c r="AD372" s="412"/>
      <c r="AE372" s="412"/>
      <c r="AF372" s="412"/>
      <c r="AG372" s="412"/>
      <c r="AH372" s="412"/>
      <c r="AI372" s="412"/>
      <c r="AJ372" s="412">
        <f t="shared" si="17"/>
        <v>300</v>
      </c>
      <c r="AK372" s="198"/>
      <c r="AL372" s="250" t="s">
        <v>2067</v>
      </c>
    </row>
    <row r="373" spans="1:38" ht="14.1" customHeight="1" x14ac:dyDescent="0.2">
      <c r="A373" t="s">
        <v>884</v>
      </c>
      <c r="B373" s="193">
        <v>4034</v>
      </c>
      <c r="C373" s="194" t="s">
        <v>874</v>
      </c>
      <c r="D373" s="229" t="s">
        <v>1459</v>
      </c>
      <c r="E373" s="229" t="s">
        <v>127</v>
      </c>
      <c r="F373" s="236">
        <v>300</v>
      </c>
      <c r="G373" s="196">
        <v>1</v>
      </c>
      <c r="H373" s="195">
        <v>300</v>
      </c>
      <c r="I373" s="197">
        <v>41287</v>
      </c>
      <c r="J373" s="197" t="str">
        <f t="shared" si="18"/>
        <v>ok</v>
      </c>
      <c r="K373" s="413"/>
      <c r="L373" s="413"/>
      <c r="M373" s="413"/>
      <c r="N373" s="413"/>
      <c r="O373" s="413"/>
      <c r="P373" s="413"/>
      <c r="Q373" s="413"/>
      <c r="R373" s="413"/>
      <c r="S373" s="413"/>
      <c r="T373" s="413"/>
      <c r="U373" s="413"/>
      <c r="V373" s="413"/>
      <c r="W373" s="413">
        <f t="shared" si="16"/>
        <v>0</v>
      </c>
      <c r="X373" s="412">
        <v>300</v>
      </c>
      <c r="Y373" s="412"/>
      <c r="Z373" s="412"/>
      <c r="AA373" s="412"/>
      <c r="AB373" s="412"/>
      <c r="AC373" s="412"/>
      <c r="AD373" s="412"/>
      <c r="AE373" s="412"/>
      <c r="AF373" s="412"/>
      <c r="AG373" s="412"/>
      <c r="AH373" s="412"/>
      <c r="AI373" s="412"/>
      <c r="AJ373" s="412">
        <f t="shared" si="17"/>
        <v>300</v>
      </c>
      <c r="AK373" s="198"/>
      <c r="AL373" s="250" t="s">
        <v>2067</v>
      </c>
    </row>
    <row r="374" spans="1:38" ht="14.1" customHeight="1" x14ac:dyDescent="0.2">
      <c r="A374" t="s">
        <v>892</v>
      </c>
      <c r="B374" s="193">
        <v>4035</v>
      </c>
      <c r="C374" s="194" t="s">
        <v>1060</v>
      </c>
      <c r="D374" s="229" t="s">
        <v>1460</v>
      </c>
      <c r="E374" s="229" t="s">
        <v>737</v>
      </c>
      <c r="F374" s="236">
        <v>300</v>
      </c>
      <c r="G374" s="196">
        <v>1</v>
      </c>
      <c r="H374" s="195">
        <v>300</v>
      </c>
      <c r="I374" s="197">
        <v>41287</v>
      </c>
      <c r="J374" s="197" t="str">
        <f t="shared" si="18"/>
        <v>ok</v>
      </c>
      <c r="K374" s="413"/>
      <c r="L374" s="413"/>
      <c r="M374" s="413"/>
      <c r="N374" s="413"/>
      <c r="O374" s="413"/>
      <c r="P374" s="413"/>
      <c r="Q374" s="413"/>
      <c r="R374" s="413"/>
      <c r="S374" s="413"/>
      <c r="T374" s="413"/>
      <c r="U374" s="413"/>
      <c r="V374" s="413"/>
      <c r="W374" s="413">
        <f t="shared" si="16"/>
        <v>0</v>
      </c>
      <c r="X374" s="412">
        <v>300</v>
      </c>
      <c r="Y374" s="412"/>
      <c r="Z374" s="412"/>
      <c r="AA374" s="412"/>
      <c r="AB374" s="412"/>
      <c r="AC374" s="412"/>
      <c r="AD374" s="412"/>
      <c r="AE374" s="412"/>
      <c r="AF374" s="412"/>
      <c r="AG374" s="412"/>
      <c r="AH374" s="412"/>
      <c r="AI374" s="412"/>
      <c r="AJ374" s="412">
        <f t="shared" si="17"/>
        <v>300</v>
      </c>
      <c r="AK374" s="198"/>
      <c r="AL374" s="250" t="s">
        <v>2067</v>
      </c>
    </row>
    <row r="375" spans="1:38" ht="14.1" customHeight="1" x14ac:dyDescent="0.2">
      <c r="A375" t="s">
        <v>893</v>
      </c>
      <c r="B375" s="193">
        <v>4036</v>
      </c>
      <c r="C375" s="194" t="s">
        <v>1078</v>
      </c>
      <c r="D375" s="229" t="s">
        <v>1461</v>
      </c>
      <c r="E375" s="229" t="s">
        <v>712</v>
      </c>
      <c r="F375" s="236">
        <v>150</v>
      </c>
      <c r="G375" s="196">
        <v>1</v>
      </c>
      <c r="H375" s="195">
        <v>450</v>
      </c>
      <c r="I375" s="197">
        <v>41287</v>
      </c>
      <c r="J375" s="197" t="str">
        <f t="shared" si="18"/>
        <v>ok</v>
      </c>
      <c r="K375" s="413"/>
      <c r="L375" s="413"/>
      <c r="M375" s="413"/>
      <c r="N375" s="413"/>
      <c r="O375" s="413"/>
      <c r="P375" s="413"/>
      <c r="Q375" s="413"/>
      <c r="R375" s="413"/>
      <c r="S375" s="413"/>
      <c r="T375" s="413"/>
      <c r="U375" s="413">
        <v>150</v>
      </c>
      <c r="V375" s="413">
        <v>150</v>
      </c>
      <c r="W375" s="413">
        <f t="shared" si="16"/>
        <v>300</v>
      </c>
      <c r="X375" s="412">
        <v>150</v>
      </c>
      <c r="Y375" s="412"/>
      <c r="Z375" s="412"/>
      <c r="AA375" s="412"/>
      <c r="AB375" s="412"/>
      <c r="AC375" s="412"/>
      <c r="AD375" s="412"/>
      <c r="AE375" s="412"/>
      <c r="AF375" s="412"/>
      <c r="AG375" s="412"/>
      <c r="AH375" s="412"/>
      <c r="AI375" s="412"/>
      <c r="AJ375" s="412">
        <f t="shared" si="17"/>
        <v>150</v>
      </c>
      <c r="AK375" s="198" t="s">
        <v>1251</v>
      </c>
      <c r="AL375" s="250" t="s">
        <v>2067</v>
      </c>
    </row>
    <row r="376" spans="1:38" ht="14.1" customHeight="1" x14ac:dyDescent="0.2">
      <c r="A376" t="s">
        <v>894</v>
      </c>
      <c r="B376" s="193">
        <v>4037</v>
      </c>
      <c r="C376" s="194" t="s">
        <v>1174</v>
      </c>
      <c r="D376" s="229" t="s">
        <v>1462</v>
      </c>
      <c r="E376" s="229" t="s">
        <v>630</v>
      </c>
      <c r="F376" s="236">
        <v>300</v>
      </c>
      <c r="G376" s="196">
        <v>1</v>
      </c>
      <c r="H376" s="195">
        <v>300</v>
      </c>
      <c r="I376" s="197">
        <v>41287</v>
      </c>
      <c r="J376" s="197" t="str">
        <f t="shared" si="18"/>
        <v>ok</v>
      </c>
      <c r="K376" s="413"/>
      <c r="L376" s="413"/>
      <c r="M376" s="413"/>
      <c r="N376" s="413"/>
      <c r="O376" s="413"/>
      <c r="P376" s="413"/>
      <c r="Q376" s="413"/>
      <c r="R376" s="413"/>
      <c r="S376" s="413"/>
      <c r="T376" s="413"/>
      <c r="U376" s="413"/>
      <c r="V376" s="413">
        <v>300</v>
      </c>
      <c r="W376" s="413">
        <f t="shared" si="16"/>
        <v>300</v>
      </c>
      <c r="X376" s="412"/>
      <c r="Y376" s="412"/>
      <c r="Z376" s="412"/>
      <c r="AA376" s="412"/>
      <c r="AB376" s="412"/>
      <c r="AC376" s="412"/>
      <c r="AD376" s="412"/>
      <c r="AE376" s="412"/>
      <c r="AF376" s="412"/>
      <c r="AG376" s="412"/>
      <c r="AH376" s="412"/>
      <c r="AI376" s="412"/>
      <c r="AJ376" s="412">
        <f t="shared" si="17"/>
        <v>0</v>
      </c>
      <c r="AK376" s="198" t="s">
        <v>1240</v>
      </c>
      <c r="AL376" s="250" t="s">
        <v>2067</v>
      </c>
    </row>
    <row r="377" spans="1:38" ht="14.1" customHeight="1" x14ac:dyDescent="0.2">
      <c r="A377" t="s">
        <v>893</v>
      </c>
      <c r="B377" s="193">
        <v>4038</v>
      </c>
      <c r="C377" s="194" t="s">
        <v>1078</v>
      </c>
      <c r="D377" s="229" t="s">
        <v>1461</v>
      </c>
      <c r="E377" s="229" t="s">
        <v>712</v>
      </c>
      <c r="F377" s="236">
        <v>150</v>
      </c>
      <c r="G377" s="196">
        <v>3</v>
      </c>
      <c r="H377" s="195">
        <v>150</v>
      </c>
      <c r="I377" s="197">
        <v>41287</v>
      </c>
      <c r="J377" s="197" t="str">
        <f t="shared" si="18"/>
        <v>ok</v>
      </c>
      <c r="K377" s="413"/>
      <c r="L377" s="413"/>
      <c r="M377" s="413"/>
      <c r="N377" s="413"/>
      <c r="O377" s="413"/>
      <c r="P377" s="413"/>
      <c r="Q377" s="413"/>
      <c r="R377" s="413"/>
      <c r="S377" s="413"/>
      <c r="T377" s="413"/>
      <c r="U377" s="413"/>
      <c r="V377" s="413"/>
      <c r="W377" s="413">
        <f t="shared" si="16"/>
        <v>0</v>
      </c>
      <c r="X377" s="412"/>
      <c r="Y377" s="412"/>
      <c r="Z377" s="412"/>
      <c r="AA377" s="412"/>
      <c r="AB377" s="412"/>
      <c r="AC377" s="412"/>
      <c r="AD377" s="412"/>
      <c r="AE377" s="412"/>
      <c r="AF377" s="412"/>
      <c r="AG377" s="412"/>
      <c r="AH377" s="412"/>
      <c r="AI377" s="412"/>
      <c r="AJ377" s="412">
        <f t="shared" si="17"/>
        <v>0</v>
      </c>
      <c r="AK377" s="198"/>
      <c r="AL377" s="250" t="s">
        <v>2068</v>
      </c>
    </row>
    <row r="378" spans="1:38" ht="14.1" customHeight="1" x14ac:dyDescent="0.2">
      <c r="A378" t="s">
        <v>893</v>
      </c>
      <c r="B378" s="193">
        <v>4039</v>
      </c>
      <c r="C378" s="194" t="s">
        <v>1137</v>
      </c>
      <c r="D378" s="229" t="s">
        <v>1463</v>
      </c>
      <c r="E378" s="229" t="s">
        <v>310</v>
      </c>
      <c r="F378" s="236">
        <v>300</v>
      </c>
      <c r="G378" s="196">
        <v>1</v>
      </c>
      <c r="H378" s="195">
        <v>300</v>
      </c>
      <c r="I378" s="197">
        <v>41287</v>
      </c>
      <c r="J378" s="197" t="str">
        <f t="shared" si="18"/>
        <v>ok</v>
      </c>
      <c r="K378" s="413"/>
      <c r="L378" s="413"/>
      <c r="M378" s="413"/>
      <c r="N378" s="413"/>
      <c r="O378" s="413"/>
      <c r="P378" s="413"/>
      <c r="Q378" s="413"/>
      <c r="R378" s="413"/>
      <c r="S378" s="413"/>
      <c r="T378" s="413"/>
      <c r="U378" s="413"/>
      <c r="V378" s="413"/>
      <c r="W378" s="413">
        <f t="shared" si="16"/>
        <v>0</v>
      </c>
      <c r="X378" s="412">
        <v>300</v>
      </c>
      <c r="Y378" s="412"/>
      <c r="Z378" s="412"/>
      <c r="AA378" s="412"/>
      <c r="AB378" s="412"/>
      <c r="AC378" s="412"/>
      <c r="AD378" s="412"/>
      <c r="AE378" s="412"/>
      <c r="AF378" s="412"/>
      <c r="AG378" s="412"/>
      <c r="AH378" s="412"/>
      <c r="AI378" s="412"/>
      <c r="AJ378" s="412">
        <f t="shared" si="17"/>
        <v>300</v>
      </c>
      <c r="AK378" s="198"/>
      <c r="AL378" s="250" t="s">
        <v>2067</v>
      </c>
    </row>
    <row r="379" spans="1:38" ht="14.1" customHeight="1" x14ac:dyDescent="0.2">
      <c r="A379" t="s">
        <v>893</v>
      </c>
      <c r="B379" s="193">
        <v>4040</v>
      </c>
      <c r="C379" s="194" t="s">
        <v>771</v>
      </c>
      <c r="D379" s="229" t="s">
        <v>1464</v>
      </c>
      <c r="E379" s="229" t="s">
        <v>61</v>
      </c>
      <c r="F379" s="236">
        <v>300</v>
      </c>
      <c r="G379" s="196">
        <v>1</v>
      </c>
      <c r="H379" s="195">
        <v>900</v>
      </c>
      <c r="I379" s="197">
        <v>41287</v>
      </c>
      <c r="J379" s="197" t="str">
        <f t="shared" si="18"/>
        <v>ok</v>
      </c>
      <c r="K379" s="413"/>
      <c r="L379" s="413"/>
      <c r="M379" s="413"/>
      <c r="N379" s="413"/>
      <c r="O379" s="413"/>
      <c r="P379" s="413"/>
      <c r="Q379" s="413"/>
      <c r="R379" s="413"/>
      <c r="S379" s="413"/>
      <c r="T379" s="413"/>
      <c r="U379" s="413"/>
      <c r="V379" s="413"/>
      <c r="W379" s="413">
        <f t="shared" si="16"/>
        <v>0</v>
      </c>
      <c r="X379" s="412">
        <v>300</v>
      </c>
      <c r="Y379" s="412">
        <v>300</v>
      </c>
      <c r="Z379" s="412">
        <v>300</v>
      </c>
      <c r="AA379" s="412"/>
      <c r="AB379" s="412"/>
      <c r="AC379" s="412"/>
      <c r="AD379" s="412"/>
      <c r="AE379" s="412"/>
      <c r="AF379" s="412"/>
      <c r="AG379" s="412"/>
      <c r="AH379" s="412"/>
      <c r="AI379" s="412"/>
      <c r="AJ379" s="412">
        <f t="shared" si="17"/>
        <v>900</v>
      </c>
      <c r="AK379" s="198"/>
      <c r="AL379" s="250" t="s">
        <v>2067</v>
      </c>
    </row>
    <row r="380" spans="1:38" ht="14.1" customHeight="1" x14ac:dyDescent="0.2">
      <c r="A380" t="s">
        <v>884</v>
      </c>
      <c r="B380" s="193">
        <v>4041</v>
      </c>
      <c r="C380" s="194" t="s">
        <v>851</v>
      </c>
      <c r="D380" s="229" t="s">
        <v>1465</v>
      </c>
      <c r="E380" s="229" t="s">
        <v>91</v>
      </c>
      <c r="F380" s="236">
        <v>300</v>
      </c>
      <c r="G380" s="196">
        <v>1</v>
      </c>
      <c r="H380" s="195">
        <v>300</v>
      </c>
      <c r="I380" s="197">
        <v>41287</v>
      </c>
      <c r="J380" s="197" t="str">
        <f t="shared" si="18"/>
        <v>ok</v>
      </c>
      <c r="K380" s="413"/>
      <c r="L380" s="413"/>
      <c r="M380" s="413"/>
      <c r="N380" s="413"/>
      <c r="O380" s="413"/>
      <c r="P380" s="413"/>
      <c r="Q380" s="413"/>
      <c r="R380" s="413"/>
      <c r="S380" s="413"/>
      <c r="T380" s="413"/>
      <c r="U380" s="413"/>
      <c r="V380" s="413"/>
      <c r="W380" s="413">
        <f t="shared" si="16"/>
        <v>0</v>
      </c>
      <c r="X380" s="412">
        <v>300</v>
      </c>
      <c r="Y380" s="412"/>
      <c r="Z380" s="412"/>
      <c r="AA380" s="412"/>
      <c r="AB380" s="412"/>
      <c r="AC380" s="412"/>
      <c r="AD380" s="412"/>
      <c r="AE380" s="412"/>
      <c r="AF380" s="412"/>
      <c r="AG380" s="412"/>
      <c r="AH380" s="412"/>
      <c r="AI380" s="412"/>
      <c r="AJ380" s="412">
        <f t="shared" si="17"/>
        <v>300</v>
      </c>
      <c r="AK380" s="198"/>
      <c r="AL380" s="250" t="s">
        <v>2067</v>
      </c>
    </row>
    <row r="381" spans="1:38" ht="14.1" customHeight="1" x14ac:dyDescent="0.2">
      <c r="A381" t="s">
        <v>893</v>
      </c>
      <c r="B381" s="193">
        <v>4042</v>
      </c>
      <c r="C381" s="194" t="s">
        <v>1108</v>
      </c>
      <c r="D381" s="229" t="s">
        <v>1466</v>
      </c>
      <c r="E381" s="229" t="s">
        <v>257</v>
      </c>
      <c r="F381" s="236">
        <v>300</v>
      </c>
      <c r="G381" s="196">
        <v>1</v>
      </c>
      <c r="H381" s="195">
        <v>300</v>
      </c>
      <c r="I381" s="197">
        <v>41287</v>
      </c>
      <c r="J381" s="197" t="str">
        <f t="shared" si="18"/>
        <v>ok</v>
      </c>
      <c r="K381" s="413"/>
      <c r="L381" s="413"/>
      <c r="M381" s="413"/>
      <c r="N381" s="413"/>
      <c r="O381" s="413"/>
      <c r="P381" s="413"/>
      <c r="Q381" s="413"/>
      <c r="R381" s="413"/>
      <c r="S381" s="413"/>
      <c r="T381" s="413"/>
      <c r="U381" s="413"/>
      <c r="V381" s="413"/>
      <c r="W381" s="413">
        <f t="shared" si="16"/>
        <v>0</v>
      </c>
      <c r="X381" s="412">
        <v>300</v>
      </c>
      <c r="Y381" s="412"/>
      <c r="Z381" s="412"/>
      <c r="AA381" s="412"/>
      <c r="AB381" s="412"/>
      <c r="AC381" s="412"/>
      <c r="AD381" s="412"/>
      <c r="AE381" s="412"/>
      <c r="AF381" s="412"/>
      <c r="AG381" s="412"/>
      <c r="AH381" s="412"/>
      <c r="AI381" s="412"/>
      <c r="AJ381" s="412">
        <f t="shared" si="17"/>
        <v>300</v>
      </c>
      <c r="AK381" s="198"/>
      <c r="AL381" s="250" t="s">
        <v>2067</v>
      </c>
    </row>
    <row r="382" spans="1:38" ht="14.1" customHeight="1" x14ac:dyDescent="0.2">
      <c r="A382" t="s">
        <v>888</v>
      </c>
      <c r="B382" s="193">
        <v>4043</v>
      </c>
      <c r="C382" s="194" t="s">
        <v>949</v>
      </c>
      <c r="D382" s="229" t="s">
        <v>1423</v>
      </c>
      <c r="E382" s="229" t="s">
        <v>414</v>
      </c>
      <c r="F382" s="236">
        <v>200</v>
      </c>
      <c r="G382" s="196">
        <v>1</v>
      </c>
      <c r="H382" s="195">
        <v>200</v>
      </c>
      <c r="I382" s="197">
        <v>41287</v>
      </c>
      <c r="J382" s="197" t="str">
        <f t="shared" si="18"/>
        <v>ok</v>
      </c>
      <c r="K382" s="413"/>
      <c r="L382" s="413"/>
      <c r="M382" s="413"/>
      <c r="N382" s="413"/>
      <c r="O382" s="413"/>
      <c r="P382" s="413"/>
      <c r="Q382" s="413"/>
      <c r="R382" s="413"/>
      <c r="S382" s="413"/>
      <c r="T382" s="413"/>
      <c r="U382" s="413"/>
      <c r="V382" s="413"/>
      <c r="W382" s="413">
        <f t="shared" si="16"/>
        <v>0</v>
      </c>
      <c r="X382" s="412">
        <v>200</v>
      </c>
      <c r="Y382" s="412"/>
      <c r="Z382" s="412"/>
      <c r="AA382" s="412"/>
      <c r="AB382" s="412"/>
      <c r="AC382" s="412"/>
      <c r="AD382" s="412"/>
      <c r="AE382" s="412"/>
      <c r="AF382" s="412"/>
      <c r="AG382" s="412"/>
      <c r="AH382" s="412"/>
      <c r="AI382" s="412"/>
      <c r="AJ382" s="412">
        <f t="shared" si="17"/>
        <v>200</v>
      </c>
      <c r="AK382" s="198"/>
      <c r="AL382" s="250" t="s">
        <v>2067</v>
      </c>
    </row>
    <row r="383" spans="1:38" ht="14.1" customHeight="1" x14ac:dyDescent="0.2">
      <c r="A383" t="s">
        <v>892</v>
      </c>
      <c r="B383" s="193">
        <v>4044</v>
      </c>
      <c r="C383" s="194" t="s">
        <v>1055</v>
      </c>
      <c r="D383" s="229" t="s">
        <v>1467</v>
      </c>
      <c r="E383" s="229" t="s">
        <v>371</v>
      </c>
      <c r="F383" s="236">
        <v>300</v>
      </c>
      <c r="G383" s="196">
        <v>1</v>
      </c>
      <c r="H383" s="195">
        <v>600</v>
      </c>
      <c r="I383" s="197">
        <v>41287</v>
      </c>
      <c r="J383" s="197" t="str">
        <f t="shared" si="18"/>
        <v>ok</v>
      </c>
      <c r="K383" s="413"/>
      <c r="L383" s="413"/>
      <c r="M383" s="413"/>
      <c r="N383" s="413"/>
      <c r="O383" s="413"/>
      <c r="P383" s="413"/>
      <c r="Q383" s="413"/>
      <c r="R383" s="413"/>
      <c r="S383" s="413"/>
      <c r="T383" s="413"/>
      <c r="U383" s="413"/>
      <c r="V383" s="413">
        <v>300</v>
      </c>
      <c r="W383" s="413">
        <f t="shared" si="16"/>
        <v>300</v>
      </c>
      <c r="X383" s="412">
        <v>300</v>
      </c>
      <c r="Y383" s="412"/>
      <c r="Z383" s="412"/>
      <c r="AA383" s="412"/>
      <c r="AB383" s="412"/>
      <c r="AC383" s="412"/>
      <c r="AD383" s="412"/>
      <c r="AE383" s="412"/>
      <c r="AF383" s="412"/>
      <c r="AG383" s="412"/>
      <c r="AH383" s="412"/>
      <c r="AI383" s="412"/>
      <c r="AJ383" s="412">
        <f t="shared" si="17"/>
        <v>300</v>
      </c>
      <c r="AK383" s="198" t="s">
        <v>1236</v>
      </c>
      <c r="AL383" s="250" t="s">
        <v>2067</v>
      </c>
    </row>
    <row r="384" spans="1:38" ht="14.1" customHeight="1" x14ac:dyDescent="0.2">
      <c r="A384" t="s">
        <v>884</v>
      </c>
      <c r="B384" s="193">
        <v>4045</v>
      </c>
      <c r="C384" s="194" t="s">
        <v>788</v>
      </c>
      <c r="D384" s="229" t="s">
        <v>1468</v>
      </c>
      <c r="E384" s="229" t="s">
        <v>1269</v>
      </c>
      <c r="F384" s="236">
        <v>300</v>
      </c>
      <c r="G384" s="196">
        <v>1</v>
      </c>
      <c r="H384" s="195">
        <v>300</v>
      </c>
      <c r="I384" s="197">
        <v>41287</v>
      </c>
      <c r="J384" s="197" t="str">
        <f t="shared" si="18"/>
        <v>ok</v>
      </c>
      <c r="K384" s="413"/>
      <c r="L384" s="413"/>
      <c r="M384" s="413"/>
      <c r="N384" s="413"/>
      <c r="O384" s="413"/>
      <c r="P384" s="413"/>
      <c r="Q384" s="413"/>
      <c r="R384" s="413"/>
      <c r="S384" s="413"/>
      <c r="T384" s="413"/>
      <c r="U384" s="413"/>
      <c r="V384" s="413"/>
      <c r="W384" s="413">
        <f t="shared" si="16"/>
        <v>0</v>
      </c>
      <c r="X384" s="412">
        <v>300</v>
      </c>
      <c r="Y384" s="412"/>
      <c r="Z384" s="412"/>
      <c r="AA384" s="412"/>
      <c r="AB384" s="412"/>
      <c r="AC384" s="412"/>
      <c r="AD384" s="412"/>
      <c r="AE384" s="412"/>
      <c r="AF384" s="412"/>
      <c r="AG384" s="412"/>
      <c r="AH384" s="412"/>
      <c r="AI384" s="412"/>
      <c r="AJ384" s="412">
        <f t="shared" si="17"/>
        <v>300</v>
      </c>
      <c r="AK384" s="198"/>
      <c r="AL384" s="250" t="s">
        <v>2067</v>
      </c>
    </row>
    <row r="385" spans="1:38" ht="14.1" customHeight="1" x14ac:dyDescent="0.2">
      <c r="A385" t="s">
        <v>893</v>
      </c>
      <c r="B385" s="193">
        <v>4046</v>
      </c>
      <c r="C385" s="194" t="s">
        <v>1095</v>
      </c>
      <c r="D385" s="229" t="s">
        <v>1469</v>
      </c>
      <c r="E385" s="229" t="s">
        <v>232</v>
      </c>
      <c r="F385" s="236">
        <v>200</v>
      </c>
      <c r="G385" s="196">
        <v>1</v>
      </c>
      <c r="H385" s="195">
        <v>400</v>
      </c>
      <c r="I385" s="197">
        <v>41287</v>
      </c>
      <c r="J385" s="197" t="str">
        <f t="shared" si="18"/>
        <v>ok</v>
      </c>
      <c r="K385" s="413"/>
      <c r="L385" s="413"/>
      <c r="M385" s="413"/>
      <c r="N385" s="413"/>
      <c r="O385" s="413"/>
      <c r="P385" s="413"/>
      <c r="Q385" s="413"/>
      <c r="R385" s="413"/>
      <c r="S385" s="413"/>
      <c r="T385" s="413"/>
      <c r="U385" s="413"/>
      <c r="V385" s="413">
        <v>200</v>
      </c>
      <c r="W385" s="413">
        <f t="shared" si="16"/>
        <v>200</v>
      </c>
      <c r="X385" s="412">
        <v>200</v>
      </c>
      <c r="Y385" s="412"/>
      <c r="Z385" s="412"/>
      <c r="AA385" s="412"/>
      <c r="AB385" s="412"/>
      <c r="AC385" s="412"/>
      <c r="AD385" s="412"/>
      <c r="AE385" s="412"/>
      <c r="AF385" s="412"/>
      <c r="AG385" s="412"/>
      <c r="AH385" s="412"/>
      <c r="AI385" s="412"/>
      <c r="AJ385" s="412">
        <f t="shared" si="17"/>
        <v>200</v>
      </c>
      <c r="AK385" s="198" t="s">
        <v>1236</v>
      </c>
      <c r="AL385" s="250" t="s">
        <v>2067</v>
      </c>
    </row>
    <row r="386" spans="1:38" ht="14.1" customHeight="1" x14ac:dyDescent="0.2">
      <c r="A386" t="s">
        <v>893</v>
      </c>
      <c r="B386" s="193">
        <v>4047</v>
      </c>
      <c r="C386" s="194" t="s">
        <v>1148</v>
      </c>
      <c r="D386" s="229" t="s">
        <v>1470</v>
      </c>
      <c r="E386" s="229" t="s">
        <v>333</v>
      </c>
      <c r="F386" s="236">
        <v>300</v>
      </c>
      <c r="G386" s="196">
        <v>1</v>
      </c>
      <c r="H386" s="195">
        <v>300</v>
      </c>
      <c r="I386" s="197">
        <v>41287</v>
      </c>
      <c r="J386" s="197" t="str">
        <f t="shared" si="18"/>
        <v>ok</v>
      </c>
      <c r="K386" s="413"/>
      <c r="L386" s="413"/>
      <c r="M386" s="413"/>
      <c r="N386" s="413"/>
      <c r="O386" s="413"/>
      <c r="P386" s="413"/>
      <c r="Q386" s="413"/>
      <c r="R386" s="413"/>
      <c r="S386" s="413"/>
      <c r="T386" s="413"/>
      <c r="U386" s="413"/>
      <c r="V386" s="413"/>
      <c r="W386" s="413">
        <f t="shared" si="16"/>
        <v>0</v>
      </c>
      <c r="X386" s="412">
        <v>300</v>
      </c>
      <c r="Y386" s="412"/>
      <c r="Z386" s="412"/>
      <c r="AA386" s="412"/>
      <c r="AB386" s="412"/>
      <c r="AC386" s="412"/>
      <c r="AD386" s="412"/>
      <c r="AE386" s="412"/>
      <c r="AF386" s="412"/>
      <c r="AG386" s="412"/>
      <c r="AH386" s="412"/>
      <c r="AI386" s="412"/>
      <c r="AJ386" s="412">
        <f t="shared" si="17"/>
        <v>300</v>
      </c>
      <c r="AK386" s="198"/>
      <c r="AL386" s="250" t="s">
        <v>2067</v>
      </c>
    </row>
    <row r="387" spans="1:38" ht="14.1" customHeight="1" x14ac:dyDescent="0.2">
      <c r="A387" t="s">
        <v>891</v>
      </c>
      <c r="B387" s="193">
        <v>4048</v>
      </c>
      <c r="C387" s="194" t="s">
        <v>1054</v>
      </c>
      <c r="D387" s="229" t="s">
        <v>1471</v>
      </c>
      <c r="E387" s="229" t="s">
        <v>659</v>
      </c>
      <c r="F387" s="236">
        <v>300</v>
      </c>
      <c r="G387" s="196">
        <v>1</v>
      </c>
      <c r="H387" s="195">
        <v>600</v>
      </c>
      <c r="I387" s="197">
        <v>41287</v>
      </c>
      <c r="J387" s="197" t="str">
        <f t="shared" si="18"/>
        <v>ok</v>
      </c>
      <c r="K387" s="413"/>
      <c r="L387" s="413"/>
      <c r="M387" s="413"/>
      <c r="N387" s="413"/>
      <c r="O387" s="413"/>
      <c r="P387" s="413"/>
      <c r="Q387" s="413"/>
      <c r="R387" s="413"/>
      <c r="S387" s="413"/>
      <c r="T387" s="413"/>
      <c r="U387" s="413">
        <v>300</v>
      </c>
      <c r="V387" s="413">
        <v>300</v>
      </c>
      <c r="W387" s="413">
        <f t="shared" si="16"/>
        <v>600</v>
      </c>
      <c r="X387" s="412"/>
      <c r="Y387" s="412"/>
      <c r="Z387" s="412"/>
      <c r="AA387" s="412"/>
      <c r="AB387" s="412"/>
      <c r="AC387" s="412"/>
      <c r="AD387" s="412"/>
      <c r="AE387" s="412"/>
      <c r="AF387" s="412"/>
      <c r="AG387" s="412"/>
      <c r="AH387" s="412"/>
      <c r="AI387" s="412"/>
      <c r="AJ387" s="412">
        <f t="shared" si="17"/>
        <v>0</v>
      </c>
      <c r="AK387" s="198" t="s">
        <v>1241</v>
      </c>
      <c r="AL387" s="250" t="s">
        <v>2067</v>
      </c>
    </row>
    <row r="388" spans="1:38" ht="14.1" customHeight="1" x14ac:dyDescent="0.2">
      <c r="A388" t="s">
        <v>884</v>
      </c>
      <c r="B388" s="193">
        <v>4049</v>
      </c>
      <c r="C388" s="194" t="s">
        <v>864</v>
      </c>
      <c r="D388" s="229" t="s">
        <v>1472</v>
      </c>
      <c r="E388" s="229" t="s">
        <v>113</v>
      </c>
      <c r="F388" s="236">
        <v>300</v>
      </c>
      <c r="G388" s="196">
        <v>1</v>
      </c>
      <c r="H388" s="195">
        <v>1200</v>
      </c>
      <c r="I388" s="197">
        <v>41287</v>
      </c>
      <c r="J388" s="197" t="str">
        <f t="shared" si="18"/>
        <v>ok</v>
      </c>
      <c r="K388" s="413"/>
      <c r="L388" s="413"/>
      <c r="M388" s="413"/>
      <c r="N388" s="413"/>
      <c r="O388" s="413"/>
      <c r="P388" s="413"/>
      <c r="Q388" s="413"/>
      <c r="R388" s="413"/>
      <c r="S388" s="413"/>
      <c r="T388" s="413"/>
      <c r="U388" s="413"/>
      <c r="V388" s="413"/>
      <c r="W388" s="413">
        <f t="shared" si="16"/>
        <v>0</v>
      </c>
      <c r="X388" s="412">
        <v>300</v>
      </c>
      <c r="Y388" s="412">
        <v>300</v>
      </c>
      <c r="Z388" s="412">
        <v>300</v>
      </c>
      <c r="AA388" s="412">
        <v>300</v>
      </c>
      <c r="AB388" s="412"/>
      <c r="AC388" s="412"/>
      <c r="AD388" s="412"/>
      <c r="AE388" s="412"/>
      <c r="AF388" s="412"/>
      <c r="AG388" s="412"/>
      <c r="AH388" s="412"/>
      <c r="AI388" s="412"/>
      <c r="AJ388" s="412">
        <f t="shared" si="17"/>
        <v>1200</v>
      </c>
      <c r="AK388" s="198"/>
      <c r="AL388" s="250" t="s">
        <v>2067</v>
      </c>
    </row>
    <row r="389" spans="1:38" ht="14.1" customHeight="1" x14ac:dyDescent="0.2">
      <c r="A389" t="s">
        <v>888</v>
      </c>
      <c r="B389" s="193">
        <v>4050</v>
      </c>
      <c r="C389" s="194" t="s">
        <v>942</v>
      </c>
      <c r="D389" s="229" t="s">
        <v>1473</v>
      </c>
      <c r="E389" s="229" t="s">
        <v>401</v>
      </c>
      <c r="F389" s="236">
        <v>300</v>
      </c>
      <c r="G389" s="196">
        <v>1</v>
      </c>
      <c r="H389" s="195">
        <v>300</v>
      </c>
      <c r="I389" s="197">
        <v>41287</v>
      </c>
      <c r="J389" s="197" t="str">
        <f t="shared" si="18"/>
        <v>ok</v>
      </c>
      <c r="K389" s="413"/>
      <c r="L389" s="413"/>
      <c r="M389" s="413"/>
      <c r="N389" s="413"/>
      <c r="O389" s="413"/>
      <c r="P389" s="413"/>
      <c r="Q389" s="413"/>
      <c r="R389" s="413"/>
      <c r="S389" s="413"/>
      <c r="T389" s="413"/>
      <c r="U389" s="413"/>
      <c r="V389" s="413"/>
      <c r="W389" s="413">
        <f t="shared" si="16"/>
        <v>0</v>
      </c>
      <c r="X389" s="412">
        <v>300</v>
      </c>
      <c r="Y389" s="412"/>
      <c r="Z389" s="412"/>
      <c r="AA389" s="412"/>
      <c r="AB389" s="412"/>
      <c r="AC389" s="412"/>
      <c r="AD389" s="412"/>
      <c r="AE389" s="412"/>
      <c r="AF389" s="412"/>
      <c r="AG389" s="412"/>
      <c r="AH389" s="412"/>
      <c r="AI389" s="412"/>
      <c r="AJ389" s="412">
        <f t="shared" si="17"/>
        <v>300</v>
      </c>
      <c r="AK389" s="198"/>
      <c r="AL389" s="250" t="s">
        <v>2067</v>
      </c>
    </row>
    <row r="390" spans="1:38" ht="14.1" customHeight="1" x14ac:dyDescent="0.2">
      <c r="A390" t="s">
        <v>890</v>
      </c>
      <c r="B390" s="193">
        <v>4051</v>
      </c>
      <c r="C390" s="194" t="s">
        <v>1012</v>
      </c>
      <c r="D390" s="229" t="s">
        <v>1474</v>
      </c>
      <c r="E390" s="229" t="s">
        <v>729</v>
      </c>
      <c r="F390" s="236">
        <v>300</v>
      </c>
      <c r="G390" s="196">
        <v>1</v>
      </c>
      <c r="H390" s="195">
        <v>300</v>
      </c>
      <c r="I390" s="197">
        <v>41287</v>
      </c>
      <c r="J390" s="197" t="str">
        <f t="shared" si="18"/>
        <v>ok</v>
      </c>
      <c r="K390" s="413"/>
      <c r="L390" s="413"/>
      <c r="M390" s="413"/>
      <c r="N390" s="413"/>
      <c r="O390" s="413"/>
      <c r="P390" s="413"/>
      <c r="Q390" s="413"/>
      <c r="R390" s="413"/>
      <c r="S390" s="413"/>
      <c r="T390" s="413"/>
      <c r="U390" s="413"/>
      <c r="V390" s="413"/>
      <c r="W390" s="413">
        <f t="shared" si="16"/>
        <v>0</v>
      </c>
      <c r="X390" s="412">
        <v>300</v>
      </c>
      <c r="Y390" s="412"/>
      <c r="Z390" s="412"/>
      <c r="AA390" s="412"/>
      <c r="AB390" s="412"/>
      <c r="AC390" s="412"/>
      <c r="AD390" s="412"/>
      <c r="AE390" s="412"/>
      <c r="AF390" s="412"/>
      <c r="AG390" s="412"/>
      <c r="AH390" s="412"/>
      <c r="AI390" s="412"/>
      <c r="AJ390" s="412">
        <f t="shared" si="17"/>
        <v>300</v>
      </c>
      <c r="AK390" s="198"/>
      <c r="AL390" s="250" t="s">
        <v>2067</v>
      </c>
    </row>
    <row r="391" spans="1:38" ht="14.1" customHeight="1" x14ac:dyDescent="0.2">
      <c r="A391" t="s">
        <v>893</v>
      </c>
      <c r="B391" s="193">
        <v>4052</v>
      </c>
      <c r="C391" s="194" t="s">
        <v>1143</v>
      </c>
      <c r="D391" s="229" t="s">
        <v>1475</v>
      </c>
      <c r="E391" s="229" t="s">
        <v>322</v>
      </c>
      <c r="F391" s="236">
        <v>150</v>
      </c>
      <c r="G391" s="196">
        <v>1</v>
      </c>
      <c r="H391" s="195">
        <v>150</v>
      </c>
      <c r="I391" s="197">
        <v>41287</v>
      </c>
      <c r="J391" s="197" t="str">
        <f t="shared" si="18"/>
        <v>ok</v>
      </c>
      <c r="K391" s="413"/>
      <c r="L391" s="413"/>
      <c r="M391" s="413"/>
      <c r="N391" s="413"/>
      <c r="O391" s="413"/>
      <c r="P391" s="413"/>
      <c r="Q391" s="413"/>
      <c r="R391" s="413"/>
      <c r="S391" s="413"/>
      <c r="T391" s="413"/>
      <c r="U391" s="413"/>
      <c r="V391" s="413"/>
      <c r="W391" s="413">
        <f t="shared" ref="W391:W454" si="19">SUM(K391:V391)</f>
        <v>0</v>
      </c>
      <c r="X391" s="412">
        <v>150</v>
      </c>
      <c r="Y391" s="412"/>
      <c r="Z391" s="412"/>
      <c r="AA391" s="412"/>
      <c r="AB391" s="412"/>
      <c r="AC391" s="412"/>
      <c r="AD391" s="412"/>
      <c r="AE391" s="412"/>
      <c r="AF391" s="412"/>
      <c r="AG391" s="412"/>
      <c r="AH391" s="412"/>
      <c r="AI391" s="412"/>
      <c r="AJ391" s="412">
        <f t="shared" ref="AJ391:AJ454" si="20">SUM(X391:AI391)</f>
        <v>150</v>
      </c>
      <c r="AK391" s="198"/>
      <c r="AL391" s="250" t="s">
        <v>2067</v>
      </c>
    </row>
    <row r="392" spans="1:38" ht="14.1" customHeight="1" x14ac:dyDescent="0.2">
      <c r="A392" t="s">
        <v>893</v>
      </c>
      <c r="B392" s="193">
        <v>4052</v>
      </c>
      <c r="C392" s="194" t="s">
        <v>1143</v>
      </c>
      <c r="D392" s="229" t="s">
        <v>1475</v>
      </c>
      <c r="E392" s="229" t="s">
        <v>322</v>
      </c>
      <c r="F392" s="236">
        <v>150</v>
      </c>
      <c r="G392" s="196">
        <v>3</v>
      </c>
      <c r="H392" s="195">
        <v>450</v>
      </c>
      <c r="I392" s="197">
        <v>41287</v>
      </c>
      <c r="J392" s="197" t="str">
        <f t="shared" si="18"/>
        <v>ok</v>
      </c>
      <c r="K392" s="413"/>
      <c r="L392" s="413"/>
      <c r="M392" s="413"/>
      <c r="N392" s="413"/>
      <c r="O392" s="413"/>
      <c r="P392" s="413"/>
      <c r="Q392" s="413"/>
      <c r="R392" s="413"/>
      <c r="S392" s="413"/>
      <c r="T392" s="413"/>
      <c r="U392" s="413"/>
      <c r="V392" s="413"/>
      <c r="W392" s="413">
        <f t="shared" si="19"/>
        <v>0</v>
      </c>
      <c r="X392" s="412"/>
      <c r="Y392" s="412"/>
      <c r="Z392" s="412"/>
      <c r="AA392" s="412"/>
      <c r="AB392" s="412"/>
      <c r="AC392" s="412"/>
      <c r="AD392" s="412"/>
      <c r="AE392" s="412"/>
      <c r="AF392" s="412"/>
      <c r="AG392" s="412"/>
      <c r="AH392" s="412"/>
      <c r="AI392" s="412"/>
      <c r="AJ392" s="412">
        <f t="shared" si="20"/>
        <v>0</v>
      </c>
      <c r="AK392" s="198"/>
      <c r="AL392" s="250" t="s">
        <v>2068</v>
      </c>
    </row>
    <row r="393" spans="1:38" ht="14.1" customHeight="1" x14ac:dyDescent="0.2">
      <c r="A393" t="s">
        <v>890</v>
      </c>
      <c r="B393" s="193">
        <v>4053</v>
      </c>
      <c r="C393" s="194" t="s">
        <v>1032</v>
      </c>
      <c r="D393" s="229" t="s">
        <v>1476</v>
      </c>
      <c r="E393" s="229" t="s">
        <v>537</v>
      </c>
      <c r="F393" s="236">
        <v>300</v>
      </c>
      <c r="G393" s="196">
        <v>1</v>
      </c>
      <c r="H393" s="195">
        <v>300</v>
      </c>
      <c r="I393" s="197">
        <v>41287</v>
      </c>
      <c r="J393" s="197" t="str">
        <f t="shared" si="18"/>
        <v>ok</v>
      </c>
      <c r="K393" s="413"/>
      <c r="L393" s="413"/>
      <c r="M393" s="413"/>
      <c r="N393" s="413"/>
      <c r="O393" s="413"/>
      <c r="P393" s="413"/>
      <c r="Q393" s="413"/>
      <c r="R393" s="413"/>
      <c r="S393" s="413"/>
      <c r="T393" s="413"/>
      <c r="U393" s="413"/>
      <c r="V393" s="413"/>
      <c r="W393" s="413">
        <f t="shared" si="19"/>
        <v>0</v>
      </c>
      <c r="X393" s="412">
        <v>300</v>
      </c>
      <c r="Y393" s="412"/>
      <c r="Z393" s="412"/>
      <c r="AA393" s="412"/>
      <c r="AB393" s="412"/>
      <c r="AC393" s="412"/>
      <c r="AD393" s="412"/>
      <c r="AE393" s="412"/>
      <c r="AF393" s="412"/>
      <c r="AG393" s="412"/>
      <c r="AH393" s="412"/>
      <c r="AI393" s="412"/>
      <c r="AJ393" s="412">
        <f t="shared" si="20"/>
        <v>300</v>
      </c>
      <c r="AK393" s="198"/>
      <c r="AL393" s="250" t="s">
        <v>2067</v>
      </c>
    </row>
    <row r="394" spans="1:38" ht="14.1" customHeight="1" x14ac:dyDescent="0.2">
      <c r="A394" t="s">
        <v>884</v>
      </c>
      <c r="B394" s="193">
        <v>4054</v>
      </c>
      <c r="C394" s="194" t="s">
        <v>852</v>
      </c>
      <c r="D394" s="229" t="s">
        <v>1477</v>
      </c>
      <c r="E394" s="229" t="s">
        <v>92</v>
      </c>
      <c r="F394" s="236">
        <v>300</v>
      </c>
      <c r="G394" s="196">
        <v>1</v>
      </c>
      <c r="H394" s="195">
        <v>300</v>
      </c>
      <c r="I394" s="197">
        <v>41287</v>
      </c>
      <c r="J394" s="197" t="str">
        <f t="shared" si="18"/>
        <v>ok</v>
      </c>
      <c r="K394" s="413"/>
      <c r="L394" s="413"/>
      <c r="M394" s="413"/>
      <c r="N394" s="413"/>
      <c r="O394" s="413"/>
      <c r="P394" s="413"/>
      <c r="Q394" s="413"/>
      <c r="R394" s="413"/>
      <c r="S394" s="413"/>
      <c r="T394" s="413"/>
      <c r="U394" s="413"/>
      <c r="V394" s="413"/>
      <c r="W394" s="413">
        <f t="shared" si="19"/>
        <v>0</v>
      </c>
      <c r="X394" s="412">
        <v>300</v>
      </c>
      <c r="Y394" s="412"/>
      <c r="Z394" s="412"/>
      <c r="AA394" s="412"/>
      <c r="AB394" s="412"/>
      <c r="AC394" s="412"/>
      <c r="AD394" s="412"/>
      <c r="AE394" s="412"/>
      <c r="AF394" s="412"/>
      <c r="AG394" s="412"/>
      <c r="AH394" s="412"/>
      <c r="AI394" s="412"/>
      <c r="AJ394" s="412">
        <f t="shared" si="20"/>
        <v>300</v>
      </c>
      <c r="AK394" s="198"/>
      <c r="AL394" s="250" t="s">
        <v>2067</v>
      </c>
    </row>
    <row r="395" spans="1:38" ht="14.1" customHeight="1" x14ac:dyDescent="0.2">
      <c r="A395" t="s">
        <v>884</v>
      </c>
      <c r="B395" s="193">
        <v>4055</v>
      </c>
      <c r="C395" s="194" t="s">
        <v>854</v>
      </c>
      <c r="D395" s="229" t="s">
        <v>1478</v>
      </c>
      <c r="E395" s="229" t="s">
        <v>95</v>
      </c>
      <c r="F395" s="236">
        <v>300</v>
      </c>
      <c r="G395" s="196">
        <v>1</v>
      </c>
      <c r="H395" s="195">
        <v>600</v>
      </c>
      <c r="I395" s="197">
        <v>41287</v>
      </c>
      <c r="J395" s="197" t="str">
        <f t="shared" si="18"/>
        <v>ok</v>
      </c>
      <c r="K395" s="413"/>
      <c r="L395" s="413"/>
      <c r="M395" s="413"/>
      <c r="N395" s="413"/>
      <c r="O395" s="413"/>
      <c r="P395" s="413"/>
      <c r="Q395" s="413"/>
      <c r="R395" s="413"/>
      <c r="S395" s="413"/>
      <c r="T395" s="413"/>
      <c r="U395" s="413"/>
      <c r="V395" s="413"/>
      <c r="W395" s="413">
        <f t="shared" si="19"/>
        <v>0</v>
      </c>
      <c r="X395" s="412">
        <v>300</v>
      </c>
      <c r="Y395" s="412">
        <v>300</v>
      </c>
      <c r="Z395" s="412"/>
      <c r="AA395" s="412"/>
      <c r="AB395" s="412"/>
      <c r="AC395" s="412"/>
      <c r="AD395" s="412"/>
      <c r="AE395" s="412"/>
      <c r="AF395" s="412"/>
      <c r="AG395" s="412"/>
      <c r="AH395" s="412"/>
      <c r="AI395" s="412"/>
      <c r="AJ395" s="412">
        <f t="shared" si="20"/>
        <v>600</v>
      </c>
      <c r="AK395" s="198"/>
      <c r="AL395" s="250" t="s">
        <v>2067</v>
      </c>
    </row>
    <row r="396" spans="1:38" ht="14.1" customHeight="1" x14ac:dyDescent="0.2">
      <c r="A396" t="s">
        <v>884</v>
      </c>
      <c r="B396" s="193">
        <v>4056</v>
      </c>
      <c r="C396" s="194" t="s">
        <v>871</v>
      </c>
      <c r="D396" s="229" t="s">
        <v>1479</v>
      </c>
      <c r="E396" s="229" t="s">
        <v>1252</v>
      </c>
      <c r="F396" s="236">
        <v>200</v>
      </c>
      <c r="G396" s="196">
        <v>1</v>
      </c>
      <c r="H396" s="195">
        <v>200</v>
      </c>
      <c r="I396" s="197">
        <v>41287</v>
      </c>
      <c r="J396" s="197" t="str">
        <f t="shared" si="18"/>
        <v>ok</v>
      </c>
      <c r="K396" s="413"/>
      <c r="L396" s="413"/>
      <c r="M396" s="413"/>
      <c r="N396" s="413"/>
      <c r="O396" s="413"/>
      <c r="P396" s="413"/>
      <c r="Q396" s="413"/>
      <c r="R396" s="413"/>
      <c r="S396" s="413"/>
      <c r="T396" s="413"/>
      <c r="U396" s="413"/>
      <c r="V396" s="413"/>
      <c r="W396" s="413">
        <f t="shared" si="19"/>
        <v>0</v>
      </c>
      <c r="X396" s="412">
        <v>200</v>
      </c>
      <c r="Y396" s="412"/>
      <c r="Z396" s="412"/>
      <c r="AA396" s="412"/>
      <c r="AB396" s="412"/>
      <c r="AC396" s="412"/>
      <c r="AD396" s="412"/>
      <c r="AE396" s="412"/>
      <c r="AF396" s="412"/>
      <c r="AG396" s="412"/>
      <c r="AH396" s="412"/>
      <c r="AI396" s="412"/>
      <c r="AJ396" s="412">
        <f t="shared" si="20"/>
        <v>200</v>
      </c>
      <c r="AK396" s="198"/>
      <c r="AL396" s="250" t="s">
        <v>2067</v>
      </c>
    </row>
    <row r="397" spans="1:38" ht="14.1" customHeight="1" x14ac:dyDescent="0.2">
      <c r="A397" t="s">
        <v>890</v>
      </c>
      <c r="B397" s="193">
        <v>4057</v>
      </c>
      <c r="C397" s="194" t="s">
        <v>1046</v>
      </c>
      <c r="D397" s="229" t="s">
        <v>1480</v>
      </c>
      <c r="E397" s="229" t="s">
        <v>458</v>
      </c>
      <c r="F397" s="236">
        <v>150</v>
      </c>
      <c r="G397" s="196">
        <v>3</v>
      </c>
      <c r="H397" s="195">
        <v>150</v>
      </c>
      <c r="I397" s="197">
        <v>41287</v>
      </c>
      <c r="J397" s="197" t="str">
        <f t="shared" si="18"/>
        <v>ok</v>
      </c>
      <c r="K397" s="413"/>
      <c r="L397" s="413"/>
      <c r="M397" s="413"/>
      <c r="N397" s="413"/>
      <c r="O397" s="413"/>
      <c r="P397" s="413"/>
      <c r="Q397" s="413"/>
      <c r="R397" s="413"/>
      <c r="S397" s="413"/>
      <c r="T397" s="413"/>
      <c r="U397" s="413"/>
      <c r="V397" s="413"/>
      <c r="W397" s="413">
        <f t="shared" si="19"/>
        <v>0</v>
      </c>
      <c r="X397" s="412"/>
      <c r="Y397" s="412"/>
      <c r="Z397" s="412"/>
      <c r="AA397" s="412"/>
      <c r="AB397" s="412"/>
      <c r="AC397" s="412"/>
      <c r="AD397" s="412"/>
      <c r="AE397" s="412"/>
      <c r="AF397" s="412"/>
      <c r="AG397" s="412"/>
      <c r="AH397" s="412"/>
      <c r="AI397" s="412"/>
      <c r="AJ397" s="412">
        <f t="shared" si="20"/>
        <v>0</v>
      </c>
      <c r="AK397" s="198"/>
      <c r="AL397" s="250" t="s">
        <v>2068</v>
      </c>
    </row>
    <row r="398" spans="1:38" ht="14.1" customHeight="1" x14ac:dyDescent="0.2">
      <c r="A398" t="s">
        <v>888</v>
      </c>
      <c r="B398" s="193">
        <v>4058</v>
      </c>
      <c r="C398" s="194" t="s">
        <v>961</v>
      </c>
      <c r="D398" s="229" t="s">
        <v>1481</v>
      </c>
      <c r="E398" s="229" t="s">
        <v>449</v>
      </c>
      <c r="F398" s="236">
        <v>250</v>
      </c>
      <c r="G398" s="196">
        <v>1</v>
      </c>
      <c r="H398" s="195">
        <v>500</v>
      </c>
      <c r="I398" s="197">
        <v>41287</v>
      </c>
      <c r="J398" s="197" t="str">
        <f t="shared" ref="J398:J461" si="21">IF(OR(G398&lt;&gt;1,SUM(W398,AJ398)=H398),"ok","error")</f>
        <v>ok</v>
      </c>
      <c r="K398" s="413"/>
      <c r="L398" s="413"/>
      <c r="M398" s="413"/>
      <c r="N398" s="413"/>
      <c r="O398" s="413"/>
      <c r="P398" s="413"/>
      <c r="Q398" s="413"/>
      <c r="R398" s="413"/>
      <c r="S398" s="413"/>
      <c r="T398" s="413"/>
      <c r="U398" s="413"/>
      <c r="V398" s="413">
        <v>250</v>
      </c>
      <c r="W398" s="413">
        <f t="shared" si="19"/>
        <v>250</v>
      </c>
      <c r="X398" s="412">
        <v>250</v>
      </c>
      <c r="Y398" s="412"/>
      <c r="Z398" s="412"/>
      <c r="AA398" s="412"/>
      <c r="AB398" s="412"/>
      <c r="AC398" s="412"/>
      <c r="AD398" s="412"/>
      <c r="AE398" s="412"/>
      <c r="AF398" s="412"/>
      <c r="AG398" s="412"/>
      <c r="AH398" s="412"/>
      <c r="AI398" s="412"/>
      <c r="AJ398" s="412">
        <f t="shared" si="20"/>
        <v>250</v>
      </c>
      <c r="AK398" s="198" t="s">
        <v>1236</v>
      </c>
      <c r="AL398" s="250" t="s">
        <v>2067</v>
      </c>
    </row>
    <row r="399" spans="1:38" ht="14.1" customHeight="1" x14ac:dyDescent="0.2">
      <c r="A399" t="s">
        <v>890</v>
      </c>
      <c r="B399" s="193">
        <v>4059</v>
      </c>
      <c r="C399" s="194" t="s">
        <v>1029</v>
      </c>
      <c r="D399" s="229" t="s">
        <v>1482</v>
      </c>
      <c r="E399" s="229" t="s">
        <v>529</v>
      </c>
      <c r="F399" s="236">
        <v>300</v>
      </c>
      <c r="G399" s="196">
        <v>1</v>
      </c>
      <c r="H399" s="195">
        <v>300</v>
      </c>
      <c r="I399" s="197">
        <v>41287</v>
      </c>
      <c r="J399" s="197" t="str">
        <f t="shared" si="21"/>
        <v>ok</v>
      </c>
      <c r="K399" s="413"/>
      <c r="L399" s="413"/>
      <c r="M399" s="413"/>
      <c r="N399" s="413"/>
      <c r="O399" s="413"/>
      <c r="P399" s="413"/>
      <c r="Q399" s="413"/>
      <c r="R399" s="413"/>
      <c r="S399" s="413"/>
      <c r="T399" s="413"/>
      <c r="U399" s="413"/>
      <c r="V399" s="413"/>
      <c r="W399" s="413">
        <f t="shared" si="19"/>
        <v>0</v>
      </c>
      <c r="X399" s="412">
        <v>300</v>
      </c>
      <c r="Y399" s="412"/>
      <c r="Z399" s="412"/>
      <c r="AA399" s="412"/>
      <c r="AB399" s="412"/>
      <c r="AC399" s="412"/>
      <c r="AD399" s="412"/>
      <c r="AE399" s="412"/>
      <c r="AF399" s="412"/>
      <c r="AG399" s="412"/>
      <c r="AH399" s="412"/>
      <c r="AI399" s="412"/>
      <c r="AJ399" s="412">
        <f t="shared" si="20"/>
        <v>300</v>
      </c>
      <c r="AK399" s="198"/>
      <c r="AL399" s="250" t="s">
        <v>2067</v>
      </c>
    </row>
    <row r="400" spans="1:38" ht="14.1" customHeight="1" x14ac:dyDescent="0.2">
      <c r="A400" t="s">
        <v>890</v>
      </c>
      <c r="B400" s="193">
        <v>4060</v>
      </c>
      <c r="C400" s="194" t="s">
        <v>986</v>
      </c>
      <c r="D400" s="229" t="s">
        <v>1483</v>
      </c>
      <c r="E400" s="229" t="s">
        <v>473</v>
      </c>
      <c r="F400" s="236">
        <v>250</v>
      </c>
      <c r="G400" s="196">
        <v>1</v>
      </c>
      <c r="H400" s="195">
        <v>250</v>
      </c>
      <c r="I400" s="197">
        <v>41287</v>
      </c>
      <c r="J400" s="197" t="str">
        <f t="shared" si="21"/>
        <v>ok</v>
      </c>
      <c r="K400" s="413"/>
      <c r="L400" s="413"/>
      <c r="M400" s="413"/>
      <c r="N400" s="413"/>
      <c r="O400" s="413"/>
      <c r="P400" s="413"/>
      <c r="Q400" s="413"/>
      <c r="R400" s="413"/>
      <c r="S400" s="413"/>
      <c r="T400" s="413"/>
      <c r="U400" s="413"/>
      <c r="V400" s="413"/>
      <c r="W400" s="413">
        <f t="shared" si="19"/>
        <v>0</v>
      </c>
      <c r="X400" s="412">
        <v>250</v>
      </c>
      <c r="Y400" s="412"/>
      <c r="Z400" s="412"/>
      <c r="AA400" s="412"/>
      <c r="AB400" s="412"/>
      <c r="AC400" s="412"/>
      <c r="AD400" s="412"/>
      <c r="AE400" s="412"/>
      <c r="AF400" s="412"/>
      <c r="AG400" s="412"/>
      <c r="AH400" s="412"/>
      <c r="AI400" s="412"/>
      <c r="AJ400" s="412">
        <f t="shared" si="20"/>
        <v>250</v>
      </c>
      <c r="AK400" s="198"/>
      <c r="AL400" s="250" t="s">
        <v>2067</v>
      </c>
    </row>
    <row r="401" spans="1:39" ht="14.1" customHeight="1" x14ac:dyDescent="0.2">
      <c r="A401" t="s">
        <v>884</v>
      </c>
      <c r="B401" s="193">
        <v>4061</v>
      </c>
      <c r="C401" s="194" t="s">
        <v>838</v>
      </c>
      <c r="D401" s="229" t="s">
        <v>1484</v>
      </c>
      <c r="E401" s="229" t="s">
        <v>77</v>
      </c>
      <c r="F401" s="236">
        <v>300</v>
      </c>
      <c r="G401" s="196">
        <v>1</v>
      </c>
      <c r="H401" s="195">
        <v>300</v>
      </c>
      <c r="I401" s="197">
        <v>41287</v>
      </c>
      <c r="J401" s="197" t="str">
        <f t="shared" si="21"/>
        <v>ok</v>
      </c>
      <c r="K401" s="413"/>
      <c r="L401" s="413"/>
      <c r="M401" s="413"/>
      <c r="N401" s="413"/>
      <c r="O401" s="413"/>
      <c r="P401" s="413"/>
      <c r="Q401" s="413"/>
      <c r="R401" s="413"/>
      <c r="S401" s="413"/>
      <c r="T401" s="413"/>
      <c r="U401" s="413"/>
      <c r="V401" s="413"/>
      <c r="W401" s="413">
        <f t="shared" si="19"/>
        <v>0</v>
      </c>
      <c r="X401" s="412">
        <v>300</v>
      </c>
      <c r="Y401" s="412"/>
      <c r="Z401" s="412"/>
      <c r="AA401" s="412"/>
      <c r="AB401" s="412"/>
      <c r="AC401" s="412"/>
      <c r="AD401" s="412"/>
      <c r="AE401" s="412"/>
      <c r="AF401" s="412"/>
      <c r="AG401" s="412"/>
      <c r="AH401" s="412"/>
      <c r="AI401" s="412"/>
      <c r="AJ401" s="412">
        <f t="shared" si="20"/>
        <v>300</v>
      </c>
      <c r="AK401" s="198"/>
      <c r="AL401" s="250" t="s">
        <v>2067</v>
      </c>
    </row>
    <row r="402" spans="1:39" ht="14.1" customHeight="1" x14ac:dyDescent="0.2">
      <c r="A402" t="s">
        <v>884</v>
      </c>
      <c r="B402" s="193">
        <v>4062</v>
      </c>
      <c r="C402" s="194" t="s">
        <v>789</v>
      </c>
      <c r="D402" s="229" t="s">
        <v>1485</v>
      </c>
      <c r="E402" s="229" t="s">
        <v>104</v>
      </c>
      <c r="F402" s="236">
        <v>300</v>
      </c>
      <c r="G402" s="196">
        <v>1</v>
      </c>
      <c r="H402" s="195">
        <v>300</v>
      </c>
      <c r="I402" s="197">
        <v>41287</v>
      </c>
      <c r="J402" s="197" t="str">
        <f t="shared" si="21"/>
        <v>ok</v>
      </c>
      <c r="K402" s="413"/>
      <c r="L402" s="413"/>
      <c r="M402" s="413"/>
      <c r="N402" s="413"/>
      <c r="O402" s="413"/>
      <c r="P402" s="413"/>
      <c r="Q402" s="413"/>
      <c r="R402" s="413"/>
      <c r="S402" s="413"/>
      <c r="T402" s="413"/>
      <c r="U402" s="413"/>
      <c r="V402" s="413"/>
      <c r="W402" s="413">
        <f t="shared" si="19"/>
        <v>0</v>
      </c>
      <c r="X402" s="412">
        <v>300</v>
      </c>
      <c r="Y402" s="412"/>
      <c r="Z402" s="412"/>
      <c r="AA402" s="412"/>
      <c r="AB402" s="412"/>
      <c r="AC402" s="412"/>
      <c r="AD402" s="412"/>
      <c r="AE402" s="412"/>
      <c r="AF402" s="412"/>
      <c r="AG402" s="412"/>
      <c r="AH402" s="412"/>
      <c r="AI402" s="412"/>
      <c r="AJ402" s="412">
        <f t="shared" si="20"/>
        <v>300</v>
      </c>
      <c r="AK402" s="198"/>
      <c r="AL402" s="250" t="s">
        <v>2067</v>
      </c>
    </row>
    <row r="403" spans="1:39" ht="14.1" customHeight="1" x14ac:dyDescent="0.2">
      <c r="A403" t="s">
        <v>884</v>
      </c>
      <c r="B403" s="193">
        <v>4063</v>
      </c>
      <c r="C403" s="194" t="s">
        <v>853</v>
      </c>
      <c r="D403" s="229" t="s">
        <v>1486</v>
      </c>
      <c r="E403" s="229" t="s">
        <v>93</v>
      </c>
      <c r="F403" s="236">
        <v>300</v>
      </c>
      <c r="G403" s="196">
        <v>1</v>
      </c>
      <c r="H403" s="195">
        <v>300</v>
      </c>
      <c r="I403" s="197">
        <v>41287</v>
      </c>
      <c r="J403" s="197" t="str">
        <f t="shared" si="21"/>
        <v>ok</v>
      </c>
      <c r="K403" s="413"/>
      <c r="L403" s="413"/>
      <c r="M403" s="413"/>
      <c r="N403" s="413"/>
      <c r="O403" s="413"/>
      <c r="P403" s="413"/>
      <c r="Q403" s="413"/>
      <c r="R403" s="413"/>
      <c r="S403" s="413"/>
      <c r="T403" s="413"/>
      <c r="U403" s="413"/>
      <c r="V403" s="413"/>
      <c r="W403" s="413">
        <f t="shared" si="19"/>
        <v>0</v>
      </c>
      <c r="X403" s="412">
        <v>300</v>
      </c>
      <c r="Y403" s="412"/>
      <c r="Z403" s="412"/>
      <c r="AA403" s="412"/>
      <c r="AB403" s="412"/>
      <c r="AC403" s="412"/>
      <c r="AD403" s="412"/>
      <c r="AE403" s="412"/>
      <c r="AF403" s="412"/>
      <c r="AG403" s="412"/>
      <c r="AH403" s="412"/>
      <c r="AI403" s="412"/>
      <c r="AJ403" s="412">
        <f t="shared" si="20"/>
        <v>300</v>
      </c>
      <c r="AK403" s="198"/>
      <c r="AL403" s="250" t="s">
        <v>2067</v>
      </c>
    </row>
    <row r="404" spans="1:39" ht="14.1" customHeight="1" x14ac:dyDescent="0.2">
      <c r="A404" t="s">
        <v>894</v>
      </c>
      <c r="B404" s="193">
        <v>4064</v>
      </c>
      <c r="C404" s="194" t="s">
        <v>1157</v>
      </c>
      <c r="D404" s="229" t="s">
        <v>1487</v>
      </c>
      <c r="E404" s="229" t="s">
        <v>1224</v>
      </c>
      <c r="F404" s="236">
        <v>300</v>
      </c>
      <c r="G404" s="196">
        <v>1</v>
      </c>
      <c r="H404" s="195">
        <v>300</v>
      </c>
      <c r="I404" s="197">
        <v>41287</v>
      </c>
      <c r="J404" s="197" t="str">
        <f t="shared" si="21"/>
        <v>ok</v>
      </c>
      <c r="K404" s="413"/>
      <c r="L404" s="413"/>
      <c r="M404" s="413"/>
      <c r="N404" s="413"/>
      <c r="O404" s="413"/>
      <c r="P404" s="413"/>
      <c r="Q404" s="413"/>
      <c r="R404" s="413"/>
      <c r="S404" s="413"/>
      <c r="T404" s="413"/>
      <c r="U404" s="413"/>
      <c r="V404" s="413"/>
      <c r="W404" s="413">
        <f t="shared" si="19"/>
        <v>0</v>
      </c>
      <c r="X404" s="412">
        <v>300</v>
      </c>
      <c r="Y404" s="412"/>
      <c r="Z404" s="412"/>
      <c r="AA404" s="412"/>
      <c r="AB404" s="412"/>
      <c r="AC404" s="412"/>
      <c r="AD404" s="412"/>
      <c r="AE404" s="412"/>
      <c r="AF404" s="412"/>
      <c r="AG404" s="412"/>
      <c r="AH404" s="412"/>
      <c r="AI404" s="412"/>
      <c r="AJ404" s="412">
        <f t="shared" si="20"/>
        <v>300</v>
      </c>
      <c r="AK404" s="198"/>
      <c r="AL404" s="250" t="s">
        <v>2067</v>
      </c>
    </row>
    <row r="405" spans="1:39" ht="14.1" customHeight="1" x14ac:dyDescent="0.2">
      <c r="A405" t="s">
        <v>893</v>
      </c>
      <c r="B405" s="193">
        <v>4065</v>
      </c>
      <c r="C405" s="194" t="s">
        <v>1119</v>
      </c>
      <c r="D405" s="229" t="s">
        <v>1488</v>
      </c>
      <c r="E405" s="229" t="s">
        <v>1222</v>
      </c>
      <c r="F405" s="236">
        <v>300</v>
      </c>
      <c r="G405" s="196">
        <v>1</v>
      </c>
      <c r="H405" s="195">
        <v>3300</v>
      </c>
      <c r="I405" s="197">
        <v>41287</v>
      </c>
      <c r="J405" s="197" t="str">
        <f t="shared" si="21"/>
        <v>ok</v>
      </c>
      <c r="K405" s="413"/>
      <c r="L405" s="413"/>
      <c r="M405" s="413"/>
      <c r="N405" s="413"/>
      <c r="O405" s="413"/>
      <c r="P405" s="413"/>
      <c r="Q405" s="413"/>
      <c r="R405" s="413"/>
      <c r="S405" s="413"/>
      <c r="T405" s="413"/>
      <c r="U405" s="413"/>
      <c r="V405" s="413"/>
      <c r="W405" s="413">
        <f t="shared" si="19"/>
        <v>0</v>
      </c>
      <c r="X405" s="412">
        <v>300</v>
      </c>
      <c r="Y405" s="412">
        <v>300</v>
      </c>
      <c r="Z405" s="412">
        <v>300</v>
      </c>
      <c r="AA405" s="412">
        <v>300</v>
      </c>
      <c r="AB405" s="412">
        <v>300</v>
      </c>
      <c r="AC405" s="412">
        <v>300</v>
      </c>
      <c r="AD405" s="412">
        <v>300</v>
      </c>
      <c r="AE405" s="412">
        <v>300</v>
      </c>
      <c r="AF405" s="412">
        <v>300</v>
      </c>
      <c r="AG405" s="412">
        <v>300</v>
      </c>
      <c r="AH405" s="412">
        <v>300</v>
      </c>
      <c r="AI405" s="412"/>
      <c r="AJ405" s="412">
        <f t="shared" si="20"/>
        <v>3300</v>
      </c>
      <c r="AK405" s="198" t="s">
        <v>1246</v>
      </c>
      <c r="AL405" s="250" t="s">
        <v>2067</v>
      </c>
      <c r="AM405" s="158"/>
    </row>
    <row r="406" spans="1:39" ht="14.1" customHeight="1" x14ac:dyDescent="0.2">
      <c r="A406" t="s">
        <v>893</v>
      </c>
      <c r="B406" s="193">
        <v>4066</v>
      </c>
      <c r="C406" s="194" t="s">
        <v>1145</v>
      </c>
      <c r="D406" s="229" t="s">
        <v>1489</v>
      </c>
      <c r="E406" s="229" t="s">
        <v>325</v>
      </c>
      <c r="F406" s="236">
        <v>300</v>
      </c>
      <c r="G406" s="196">
        <v>1</v>
      </c>
      <c r="H406" s="195">
        <v>1200</v>
      </c>
      <c r="I406" s="197">
        <v>41297</v>
      </c>
      <c r="J406" s="197" t="str">
        <f t="shared" si="21"/>
        <v>ok</v>
      </c>
      <c r="K406" s="413"/>
      <c r="L406" s="413"/>
      <c r="M406" s="413"/>
      <c r="N406" s="413"/>
      <c r="O406" s="413"/>
      <c r="P406" s="413"/>
      <c r="Q406" s="413"/>
      <c r="R406" s="413"/>
      <c r="S406" s="413"/>
      <c r="T406" s="413">
        <v>300</v>
      </c>
      <c r="U406" s="413">
        <v>300</v>
      </c>
      <c r="V406" s="413">
        <v>300</v>
      </c>
      <c r="W406" s="413">
        <f t="shared" si="19"/>
        <v>900</v>
      </c>
      <c r="X406" s="412">
        <v>300</v>
      </c>
      <c r="Y406" s="412"/>
      <c r="Z406" s="412"/>
      <c r="AA406" s="412"/>
      <c r="AB406" s="412"/>
      <c r="AC406" s="412"/>
      <c r="AD406" s="412"/>
      <c r="AE406" s="412"/>
      <c r="AF406" s="412"/>
      <c r="AG406" s="412"/>
      <c r="AH406" s="412"/>
      <c r="AI406" s="412"/>
      <c r="AJ406" s="412">
        <f t="shared" si="20"/>
        <v>300</v>
      </c>
      <c r="AK406" s="198" t="s">
        <v>1253</v>
      </c>
      <c r="AL406" s="250" t="s">
        <v>2067</v>
      </c>
    </row>
    <row r="407" spans="1:39" ht="14.1" customHeight="1" x14ac:dyDescent="0.2">
      <c r="A407" t="s">
        <v>893</v>
      </c>
      <c r="B407" s="193">
        <v>4067</v>
      </c>
      <c r="C407" s="194" t="s">
        <v>1133</v>
      </c>
      <c r="D407" s="229" t="s">
        <v>1490</v>
      </c>
      <c r="E407" s="229" t="s">
        <v>110</v>
      </c>
      <c r="F407" s="236">
        <v>300</v>
      </c>
      <c r="G407" s="196">
        <v>1</v>
      </c>
      <c r="H407" s="195">
        <v>3300</v>
      </c>
      <c r="I407" s="197">
        <v>41287</v>
      </c>
      <c r="J407" s="197" t="str">
        <f t="shared" si="21"/>
        <v>ok</v>
      </c>
      <c r="K407" s="413"/>
      <c r="L407" s="413"/>
      <c r="M407" s="413"/>
      <c r="N407" s="413"/>
      <c r="O407" s="413"/>
      <c r="P407" s="413"/>
      <c r="Q407" s="413"/>
      <c r="R407" s="413"/>
      <c r="S407" s="413"/>
      <c r="T407" s="413"/>
      <c r="U407" s="413"/>
      <c r="V407" s="413"/>
      <c r="W407" s="413">
        <f t="shared" si="19"/>
        <v>0</v>
      </c>
      <c r="X407" s="412">
        <v>300</v>
      </c>
      <c r="Y407" s="412">
        <v>300</v>
      </c>
      <c r="Z407" s="412">
        <v>300</v>
      </c>
      <c r="AA407" s="412">
        <v>300</v>
      </c>
      <c r="AB407" s="412">
        <v>300</v>
      </c>
      <c r="AC407" s="412">
        <v>300</v>
      </c>
      <c r="AD407" s="412">
        <v>300</v>
      </c>
      <c r="AE407" s="412">
        <v>300</v>
      </c>
      <c r="AF407" s="412">
        <v>300</v>
      </c>
      <c r="AG407" s="412">
        <v>300</v>
      </c>
      <c r="AH407" s="412">
        <v>300</v>
      </c>
      <c r="AI407" s="412"/>
      <c r="AJ407" s="412">
        <f t="shared" si="20"/>
        <v>3300</v>
      </c>
      <c r="AK407" s="198" t="s">
        <v>1246</v>
      </c>
      <c r="AL407" s="250" t="s">
        <v>2067</v>
      </c>
      <c r="AM407" s="158"/>
    </row>
    <row r="408" spans="1:39" ht="14.1" customHeight="1" x14ac:dyDescent="0.2">
      <c r="A408" t="s">
        <v>884</v>
      </c>
      <c r="B408" s="193">
        <v>4068</v>
      </c>
      <c r="C408" s="194" t="s">
        <v>842</v>
      </c>
      <c r="D408" s="229" t="s">
        <v>1491</v>
      </c>
      <c r="E408" s="229" t="s">
        <v>1205</v>
      </c>
      <c r="F408" s="236">
        <v>300</v>
      </c>
      <c r="G408" s="196">
        <v>2</v>
      </c>
      <c r="H408" s="195">
        <v>300</v>
      </c>
      <c r="I408" s="197">
        <v>41287</v>
      </c>
      <c r="J408" s="197" t="str">
        <f t="shared" si="21"/>
        <v>ok</v>
      </c>
      <c r="K408" s="413"/>
      <c r="L408" s="413"/>
      <c r="M408" s="413"/>
      <c r="N408" s="413"/>
      <c r="O408" s="413"/>
      <c r="P408" s="413"/>
      <c r="Q408" s="413"/>
      <c r="R408" s="413"/>
      <c r="S408" s="413"/>
      <c r="T408" s="413"/>
      <c r="U408" s="413"/>
      <c r="V408" s="413"/>
      <c r="W408" s="413">
        <f t="shared" si="19"/>
        <v>0</v>
      </c>
      <c r="X408" s="412"/>
      <c r="Y408" s="412"/>
      <c r="Z408" s="412"/>
      <c r="AA408" s="412"/>
      <c r="AB408" s="412"/>
      <c r="AC408" s="412"/>
      <c r="AD408" s="412"/>
      <c r="AE408" s="412"/>
      <c r="AF408" s="412"/>
      <c r="AG408" s="412"/>
      <c r="AH408" s="412"/>
      <c r="AI408" s="412"/>
      <c r="AJ408" s="412">
        <f t="shared" si="20"/>
        <v>0</v>
      </c>
      <c r="AK408" s="198"/>
      <c r="AL408" s="250" t="s">
        <v>2068</v>
      </c>
    </row>
    <row r="409" spans="1:39" ht="14.1" customHeight="1" x14ac:dyDescent="0.2">
      <c r="B409" s="193">
        <v>4069</v>
      </c>
      <c r="C409" s="194"/>
      <c r="D409" s="229" t="s">
        <v>1362</v>
      </c>
      <c r="E409" s="229" t="s">
        <v>1362</v>
      </c>
      <c r="F409" s="236">
        <v>0</v>
      </c>
      <c r="G409" s="196">
        <v>8</v>
      </c>
      <c r="H409" s="195"/>
      <c r="I409" s="197"/>
      <c r="J409" s="197" t="str">
        <f t="shared" si="21"/>
        <v>ok</v>
      </c>
      <c r="K409" s="413"/>
      <c r="L409" s="413"/>
      <c r="M409" s="413"/>
      <c r="N409" s="413"/>
      <c r="O409" s="413"/>
      <c r="P409" s="413"/>
      <c r="Q409" s="413"/>
      <c r="R409" s="413"/>
      <c r="S409" s="413"/>
      <c r="T409" s="413"/>
      <c r="U409" s="413"/>
      <c r="V409" s="413"/>
      <c r="W409" s="413">
        <f t="shared" si="19"/>
        <v>0</v>
      </c>
      <c r="X409" s="412"/>
      <c r="Y409" s="412"/>
      <c r="Z409" s="412"/>
      <c r="AA409" s="412"/>
      <c r="AB409" s="412"/>
      <c r="AC409" s="412"/>
      <c r="AD409" s="412"/>
      <c r="AE409" s="412"/>
      <c r="AF409" s="412"/>
      <c r="AG409" s="412"/>
      <c r="AH409" s="412"/>
      <c r="AI409" s="412"/>
      <c r="AJ409" s="412">
        <f t="shared" si="20"/>
        <v>0</v>
      </c>
      <c r="AK409" s="198" t="s">
        <v>755</v>
      </c>
      <c r="AL409" s="250" t="s">
        <v>2067</v>
      </c>
    </row>
    <row r="410" spans="1:39" ht="14.1" customHeight="1" x14ac:dyDescent="0.2">
      <c r="A410" t="s">
        <v>894</v>
      </c>
      <c r="B410" s="193">
        <v>4070</v>
      </c>
      <c r="C410" s="194" t="s">
        <v>1163</v>
      </c>
      <c r="D410" s="229" t="s">
        <v>1492</v>
      </c>
      <c r="E410" s="229" t="s">
        <v>1225</v>
      </c>
      <c r="F410" s="236">
        <v>250</v>
      </c>
      <c r="G410" s="196">
        <v>1</v>
      </c>
      <c r="H410" s="195">
        <v>500</v>
      </c>
      <c r="I410" s="197">
        <v>41287</v>
      </c>
      <c r="J410" s="197" t="str">
        <f t="shared" si="21"/>
        <v>ok</v>
      </c>
      <c r="K410" s="413"/>
      <c r="L410" s="413"/>
      <c r="M410" s="413"/>
      <c r="N410" s="413"/>
      <c r="O410" s="413"/>
      <c r="P410" s="413"/>
      <c r="Q410" s="413"/>
      <c r="R410" s="413"/>
      <c r="S410" s="413"/>
      <c r="T410" s="413"/>
      <c r="U410" s="413"/>
      <c r="V410" s="413">
        <v>250</v>
      </c>
      <c r="W410" s="413">
        <f t="shared" si="19"/>
        <v>250</v>
      </c>
      <c r="X410" s="412">
        <v>250</v>
      </c>
      <c r="Y410" s="412"/>
      <c r="Z410" s="412"/>
      <c r="AA410" s="412"/>
      <c r="AB410" s="412"/>
      <c r="AC410" s="412"/>
      <c r="AD410" s="412"/>
      <c r="AE410" s="412"/>
      <c r="AF410" s="412"/>
      <c r="AG410" s="412"/>
      <c r="AH410" s="412"/>
      <c r="AI410" s="412"/>
      <c r="AJ410" s="412">
        <f t="shared" si="20"/>
        <v>250</v>
      </c>
      <c r="AK410" s="198" t="s">
        <v>1236</v>
      </c>
      <c r="AL410" s="250" t="s">
        <v>2067</v>
      </c>
    </row>
    <row r="411" spans="1:39" ht="14.1" customHeight="1" x14ac:dyDescent="0.2">
      <c r="A411" t="s">
        <v>893</v>
      </c>
      <c r="B411" s="193">
        <v>4071</v>
      </c>
      <c r="C411" s="194" t="s">
        <v>1138</v>
      </c>
      <c r="D411" s="229" t="s">
        <v>1493</v>
      </c>
      <c r="E411" s="229" t="s">
        <v>1274</v>
      </c>
      <c r="F411" s="236">
        <v>300</v>
      </c>
      <c r="G411" s="196">
        <v>1</v>
      </c>
      <c r="H411" s="195">
        <v>300</v>
      </c>
      <c r="I411" s="197">
        <v>41287</v>
      </c>
      <c r="J411" s="197" t="str">
        <f t="shared" si="21"/>
        <v>ok</v>
      </c>
      <c r="K411" s="413"/>
      <c r="L411" s="413"/>
      <c r="M411" s="413"/>
      <c r="N411" s="413"/>
      <c r="O411" s="413"/>
      <c r="P411" s="413"/>
      <c r="Q411" s="413"/>
      <c r="R411" s="413"/>
      <c r="S411" s="413"/>
      <c r="T411" s="413"/>
      <c r="U411" s="413"/>
      <c r="V411" s="413"/>
      <c r="W411" s="413">
        <f t="shared" si="19"/>
        <v>0</v>
      </c>
      <c r="X411" s="412">
        <v>300</v>
      </c>
      <c r="Y411" s="412"/>
      <c r="Z411" s="412"/>
      <c r="AA411" s="412"/>
      <c r="AB411" s="412"/>
      <c r="AC411" s="412"/>
      <c r="AD411" s="412"/>
      <c r="AE411" s="412"/>
      <c r="AF411" s="412"/>
      <c r="AG411" s="412"/>
      <c r="AH411" s="412"/>
      <c r="AI411" s="412"/>
      <c r="AJ411" s="412">
        <f t="shared" si="20"/>
        <v>300</v>
      </c>
      <c r="AK411" s="198"/>
      <c r="AL411" s="250" t="s">
        <v>2067</v>
      </c>
    </row>
    <row r="412" spans="1:39" ht="14.1" customHeight="1" x14ac:dyDescent="0.2">
      <c r="A412" t="s">
        <v>890</v>
      </c>
      <c r="B412" s="193">
        <v>4072</v>
      </c>
      <c r="C412" s="194" t="s">
        <v>977</v>
      </c>
      <c r="D412" s="229" t="s">
        <v>1494</v>
      </c>
      <c r="E412" s="229" t="s">
        <v>359</v>
      </c>
      <c r="F412" s="236">
        <v>150</v>
      </c>
      <c r="G412" s="196">
        <v>1</v>
      </c>
      <c r="H412" s="195">
        <v>150</v>
      </c>
      <c r="I412" s="197">
        <v>41287</v>
      </c>
      <c r="J412" s="197" t="str">
        <f t="shared" si="21"/>
        <v>ok</v>
      </c>
      <c r="K412" s="413"/>
      <c r="L412" s="413"/>
      <c r="M412" s="413"/>
      <c r="N412" s="413"/>
      <c r="O412" s="413"/>
      <c r="P412" s="413"/>
      <c r="Q412" s="413"/>
      <c r="R412" s="413"/>
      <c r="S412" s="413"/>
      <c r="T412" s="413"/>
      <c r="U412" s="413"/>
      <c r="V412" s="413"/>
      <c r="W412" s="413">
        <f t="shared" si="19"/>
        <v>0</v>
      </c>
      <c r="X412" s="412">
        <v>150</v>
      </c>
      <c r="Y412" s="412"/>
      <c r="Z412" s="412"/>
      <c r="AA412" s="412"/>
      <c r="AB412" s="412"/>
      <c r="AC412" s="412"/>
      <c r="AD412" s="412"/>
      <c r="AE412" s="412"/>
      <c r="AF412" s="412"/>
      <c r="AG412" s="412"/>
      <c r="AH412" s="412"/>
      <c r="AI412" s="412"/>
      <c r="AJ412" s="412">
        <f t="shared" si="20"/>
        <v>150</v>
      </c>
      <c r="AK412" s="198"/>
      <c r="AL412" s="250" t="s">
        <v>2067</v>
      </c>
    </row>
    <row r="413" spans="1:39" ht="14.1" customHeight="1" x14ac:dyDescent="0.2">
      <c r="A413" t="s">
        <v>893</v>
      </c>
      <c r="B413" s="193">
        <v>4073</v>
      </c>
      <c r="C413" s="194" t="s">
        <v>1117</v>
      </c>
      <c r="D413" s="229" t="s">
        <v>1430</v>
      </c>
      <c r="E413" s="229" t="s">
        <v>271</v>
      </c>
      <c r="F413" s="236">
        <v>300</v>
      </c>
      <c r="G413" s="196">
        <v>3</v>
      </c>
      <c r="H413" s="195">
        <v>150</v>
      </c>
      <c r="I413" s="197">
        <v>41287</v>
      </c>
      <c r="J413" s="197" t="str">
        <f t="shared" si="21"/>
        <v>ok</v>
      </c>
      <c r="K413" s="413"/>
      <c r="L413" s="413"/>
      <c r="M413" s="413"/>
      <c r="N413" s="413"/>
      <c r="O413" s="413"/>
      <c r="P413" s="413"/>
      <c r="Q413" s="413"/>
      <c r="R413" s="413"/>
      <c r="S413" s="413"/>
      <c r="T413" s="413"/>
      <c r="U413" s="413"/>
      <c r="V413" s="413"/>
      <c r="W413" s="413">
        <f t="shared" si="19"/>
        <v>0</v>
      </c>
      <c r="X413" s="412"/>
      <c r="Y413" s="412"/>
      <c r="Z413" s="412"/>
      <c r="AA413" s="412"/>
      <c r="AB413" s="412"/>
      <c r="AC413" s="412"/>
      <c r="AD413" s="412"/>
      <c r="AE413" s="412"/>
      <c r="AF413" s="412"/>
      <c r="AG413" s="412"/>
      <c r="AH413" s="412"/>
      <c r="AI413" s="412"/>
      <c r="AJ413" s="412">
        <f t="shared" si="20"/>
        <v>0</v>
      </c>
      <c r="AK413" s="198"/>
      <c r="AL413" s="250" t="s">
        <v>2068</v>
      </c>
    </row>
    <row r="414" spans="1:39" ht="14.1" customHeight="1" x14ac:dyDescent="0.2">
      <c r="A414" t="s">
        <v>890</v>
      </c>
      <c r="B414" s="193">
        <v>4074</v>
      </c>
      <c r="C414" s="194" t="s">
        <v>765</v>
      </c>
      <c r="D414" s="229" t="s">
        <v>1495</v>
      </c>
      <c r="E414" s="229" t="s">
        <v>552</v>
      </c>
      <c r="F414" s="236">
        <v>300</v>
      </c>
      <c r="G414" s="196">
        <v>1</v>
      </c>
      <c r="H414" s="195">
        <v>600</v>
      </c>
      <c r="I414" s="197">
        <v>41287</v>
      </c>
      <c r="J414" s="197" t="str">
        <f t="shared" si="21"/>
        <v>ok</v>
      </c>
      <c r="K414" s="413"/>
      <c r="L414" s="413"/>
      <c r="M414" s="413"/>
      <c r="N414" s="413"/>
      <c r="O414" s="413"/>
      <c r="P414" s="413"/>
      <c r="Q414" s="413"/>
      <c r="R414" s="413"/>
      <c r="S414" s="413"/>
      <c r="T414" s="413"/>
      <c r="U414" s="413"/>
      <c r="V414" s="413">
        <v>300</v>
      </c>
      <c r="W414" s="413">
        <f t="shared" si="19"/>
        <v>300</v>
      </c>
      <c r="X414" s="412">
        <v>300</v>
      </c>
      <c r="Y414" s="412"/>
      <c r="Z414" s="412"/>
      <c r="AA414" s="412"/>
      <c r="AB414" s="412"/>
      <c r="AC414" s="412"/>
      <c r="AD414" s="412"/>
      <c r="AE414" s="412"/>
      <c r="AF414" s="412"/>
      <c r="AG414" s="412"/>
      <c r="AH414" s="412"/>
      <c r="AI414" s="412"/>
      <c r="AJ414" s="412">
        <f t="shared" si="20"/>
        <v>300</v>
      </c>
      <c r="AK414" s="198" t="s">
        <v>1236</v>
      </c>
      <c r="AL414" s="250" t="s">
        <v>2067</v>
      </c>
    </row>
    <row r="415" spans="1:39" ht="14.1" customHeight="1" x14ac:dyDescent="0.2">
      <c r="A415" t="s">
        <v>890</v>
      </c>
      <c r="B415" s="193">
        <v>4075</v>
      </c>
      <c r="C415" s="194" t="s">
        <v>1016</v>
      </c>
      <c r="D415" s="229" t="s">
        <v>1496</v>
      </c>
      <c r="E415" s="229" t="s">
        <v>510</v>
      </c>
      <c r="F415" s="236">
        <v>300</v>
      </c>
      <c r="G415" s="196">
        <v>1</v>
      </c>
      <c r="H415" s="195">
        <v>600</v>
      </c>
      <c r="I415" s="197">
        <v>41287</v>
      </c>
      <c r="J415" s="197" t="str">
        <f t="shared" si="21"/>
        <v>ok</v>
      </c>
      <c r="K415" s="413"/>
      <c r="L415" s="413"/>
      <c r="M415" s="413"/>
      <c r="N415" s="413"/>
      <c r="O415" s="413"/>
      <c r="P415" s="413"/>
      <c r="Q415" s="413"/>
      <c r="R415" s="413"/>
      <c r="S415" s="413"/>
      <c r="T415" s="413"/>
      <c r="U415" s="413"/>
      <c r="V415" s="413">
        <v>300</v>
      </c>
      <c r="W415" s="413">
        <f t="shared" si="19"/>
        <v>300</v>
      </c>
      <c r="X415" s="412">
        <v>300</v>
      </c>
      <c r="Y415" s="412"/>
      <c r="Z415" s="412"/>
      <c r="AA415" s="412"/>
      <c r="AB415" s="412"/>
      <c r="AC415" s="412"/>
      <c r="AD415" s="412"/>
      <c r="AE415" s="412"/>
      <c r="AF415" s="412"/>
      <c r="AG415" s="412"/>
      <c r="AH415" s="412"/>
      <c r="AI415" s="412"/>
      <c r="AJ415" s="412">
        <f t="shared" si="20"/>
        <v>300</v>
      </c>
      <c r="AK415" s="198" t="s">
        <v>1236</v>
      </c>
      <c r="AL415" s="250" t="s">
        <v>2067</v>
      </c>
    </row>
    <row r="416" spans="1:39" ht="14.1" customHeight="1" x14ac:dyDescent="0.2">
      <c r="A416" t="s">
        <v>884</v>
      </c>
      <c r="B416" s="193">
        <v>4076</v>
      </c>
      <c r="C416" s="194" t="s">
        <v>795</v>
      </c>
      <c r="D416" s="229" t="s">
        <v>1497</v>
      </c>
      <c r="E416" s="229" t="s">
        <v>8</v>
      </c>
      <c r="F416" s="236">
        <v>300</v>
      </c>
      <c r="G416" s="196">
        <v>1</v>
      </c>
      <c r="H416" s="195">
        <v>900</v>
      </c>
      <c r="I416" s="197">
        <v>41287</v>
      </c>
      <c r="J416" s="197" t="str">
        <f t="shared" si="21"/>
        <v>ok</v>
      </c>
      <c r="K416" s="413"/>
      <c r="L416" s="413"/>
      <c r="M416" s="413"/>
      <c r="N416" s="413"/>
      <c r="O416" s="413"/>
      <c r="P416" s="413"/>
      <c r="Q416" s="413"/>
      <c r="R416" s="413"/>
      <c r="S416" s="413"/>
      <c r="T416" s="413"/>
      <c r="U416" s="413">
        <v>300</v>
      </c>
      <c r="V416" s="413">
        <v>300</v>
      </c>
      <c r="W416" s="413">
        <f t="shared" si="19"/>
        <v>600</v>
      </c>
      <c r="X416" s="412">
        <v>300</v>
      </c>
      <c r="Y416" s="412"/>
      <c r="Z416" s="412"/>
      <c r="AA416" s="412"/>
      <c r="AB416" s="412"/>
      <c r="AC416" s="412"/>
      <c r="AD416" s="412"/>
      <c r="AE416" s="412"/>
      <c r="AF416" s="412"/>
      <c r="AG416" s="412"/>
      <c r="AH416" s="412"/>
      <c r="AI416" s="412"/>
      <c r="AJ416" s="412">
        <f t="shared" si="20"/>
        <v>300</v>
      </c>
      <c r="AK416" s="198" t="s">
        <v>1254</v>
      </c>
      <c r="AL416" s="250" t="s">
        <v>2067</v>
      </c>
    </row>
    <row r="417" spans="1:39" ht="14.1" customHeight="1" x14ac:dyDescent="0.2">
      <c r="A417" t="s">
        <v>894</v>
      </c>
      <c r="B417" s="193">
        <v>4077</v>
      </c>
      <c r="C417" s="194" t="s">
        <v>1166</v>
      </c>
      <c r="D417" s="229" t="s">
        <v>1498</v>
      </c>
      <c r="E417" s="229" t="s">
        <v>615</v>
      </c>
      <c r="F417" s="236">
        <v>300</v>
      </c>
      <c r="G417" s="196">
        <v>1</v>
      </c>
      <c r="H417" s="195">
        <v>300</v>
      </c>
      <c r="I417" s="197">
        <v>41287</v>
      </c>
      <c r="J417" s="197" t="str">
        <f t="shared" si="21"/>
        <v>ok</v>
      </c>
      <c r="K417" s="413"/>
      <c r="L417" s="413"/>
      <c r="M417" s="413"/>
      <c r="N417" s="413"/>
      <c r="O417" s="413"/>
      <c r="P417" s="413"/>
      <c r="Q417" s="413"/>
      <c r="R417" s="413"/>
      <c r="S417" s="413"/>
      <c r="T417" s="413"/>
      <c r="U417" s="413"/>
      <c r="V417" s="413"/>
      <c r="W417" s="413">
        <f t="shared" si="19"/>
        <v>0</v>
      </c>
      <c r="X417" s="412">
        <v>300</v>
      </c>
      <c r="Y417" s="412"/>
      <c r="Z417" s="412"/>
      <c r="AA417" s="412"/>
      <c r="AB417" s="412"/>
      <c r="AC417" s="412"/>
      <c r="AD417" s="412"/>
      <c r="AE417" s="412"/>
      <c r="AF417" s="412"/>
      <c r="AG417" s="412"/>
      <c r="AH417" s="412"/>
      <c r="AI417" s="412"/>
      <c r="AJ417" s="412">
        <f t="shared" si="20"/>
        <v>300</v>
      </c>
      <c r="AK417" s="198"/>
      <c r="AL417" s="250" t="s">
        <v>2067</v>
      </c>
    </row>
    <row r="418" spans="1:39" ht="14.1" customHeight="1" x14ac:dyDescent="0.2">
      <c r="A418" t="s">
        <v>884</v>
      </c>
      <c r="B418" s="193">
        <v>4078</v>
      </c>
      <c r="C418" s="194" t="s">
        <v>876</v>
      </c>
      <c r="D418" s="229" t="s">
        <v>1499</v>
      </c>
      <c r="E418" s="229" t="s">
        <v>129</v>
      </c>
      <c r="F418" s="236">
        <v>300</v>
      </c>
      <c r="G418" s="196">
        <v>1</v>
      </c>
      <c r="H418" s="195">
        <v>1200</v>
      </c>
      <c r="I418" s="197">
        <v>41287</v>
      </c>
      <c r="J418" s="197" t="str">
        <f t="shared" si="21"/>
        <v>ok</v>
      </c>
      <c r="K418" s="413"/>
      <c r="L418" s="413"/>
      <c r="M418" s="413"/>
      <c r="N418" s="413"/>
      <c r="O418" s="413"/>
      <c r="P418" s="413"/>
      <c r="Q418" s="413"/>
      <c r="R418" s="413"/>
      <c r="S418" s="413"/>
      <c r="T418" s="413">
        <v>300</v>
      </c>
      <c r="U418" s="413">
        <v>300</v>
      </c>
      <c r="V418" s="413">
        <v>300</v>
      </c>
      <c r="W418" s="413">
        <f t="shared" si="19"/>
        <v>900</v>
      </c>
      <c r="X418" s="412">
        <v>300</v>
      </c>
      <c r="Y418" s="412"/>
      <c r="Z418" s="412"/>
      <c r="AA418" s="412"/>
      <c r="AB418" s="412"/>
      <c r="AC418" s="412"/>
      <c r="AD418" s="412"/>
      <c r="AE418" s="412"/>
      <c r="AF418" s="412"/>
      <c r="AG418" s="412"/>
      <c r="AH418" s="412"/>
      <c r="AI418" s="412"/>
      <c r="AJ418" s="412">
        <f t="shared" si="20"/>
        <v>300</v>
      </c>
      <c r="AK418" s="198" t="s">
        <v>1253</v>
      </c>
      <c r="AL418" s="250" t="s">
        <v>2067</v>
      </c>
    </row>
    <row r="419" spans="1:39" ht="14.1" customHeight="1" x14ac:dyDescent="0.2">
      <c r="A419" t="s">
        <v>884</v>
      </c>
      <c r="B419" s="193">
        <v>4079</v>
      </c>
      <c r="C419" s="194" t="s">
        <v>876</v>
      </c>
      <c r="D419" s="229" t="s">
        <v>1499</v>
      </c>
      <c r="E419" s="229" t="s">
        <v>129</v>
      </c>
      <c r="F419" s="236">
        <v>300</v>
      </c>
      <c r="G419" s="196">
        <v>2</v>
      </c>
      <c r="H419" s="195">
        <v>300</v>
      </c>
      <c r="I419" s="197">
        <v>41287</v>
      </c>
      <c r="J419" s="197" t="str">
        <f t="shared" si="21"/>
        <v>ok</v>
      </c>
      <c r="K419" s="413"/>
      <c r="L419" s="413"/>
      <c r="M419" s="413"/>
      <c r="N419" s="413"/>
      <c r="O419" s="413"/>
      <c r="P419" s="413"/>
      <c r="Q419" s="413"/>
      <c r="R419" s="413"/>
      <c r="S419" s="413"/>
      <c r="T419" s="413"/>
      <c r="U419" s="413"/>
      <c r="V419" s="413"/>
      <c r="W419" s="413">
        <f t="shared" si="19"/>
        <v>0</v>
      </c>
      <c r="X419" s="412"/>
      <c r="Y419" s="412"/>
      <c r="Z419" s="412"/>
      <c r="AA419" s="412"/>
      <c r="AB419" s="412"/>
      <c r="AC419" s="412"/>
      <c r="AD419" s="412"/>
      <c r="AE419" s="412"/>
      <c r="AF419" s="412"/>
      <c r="AG419" s="412"/>
      <c r="AH419" s="412"/>
      <c r="AI419" s="412"/>
      <c r="AJ419" s="412">
        <f t="shared" si="20"/>
        <v>0</v>
      </c>
      <c r="AK419" s="198"/>
      <c r="AL419" s="250" t="s">
        <v>2068</v>
      </c>
    </row>
    <row r="420" spans="1:39" ht="14.1" customHeight="1" x14ac:dyDescent="0.2">
      <c r="A420" t="s">
        <v>884</v>
      </c>
      <c r="B420" s="193">
        <v>4080</v>
      </c>
      <c r="C420" s="194" t="s">
        <v>882</v>
      </c>
      <c r="D420" s="229" t="s">
        <v>1500</v>
      </c>
      <c r="E420" s="229" t="s">
        <v>1210</v>
      </c>
      <c r="F420" s="236">
        <v>300</v>
      </c>
      <c r="G420" s="196">
        <v>1</v>
      </c>
      <c r="H420" s="195">
        <v>1800</v>
      </c>
      <c r="I420" s="197">
        <v>41288</v>
      </c>
      <c r="J420" s="197" t="str">
        <f t="shared" si="21"/>
        <v>ok</v>
      </c>
      <c r="K420" s="413"/>
      <c r="L420" s="413"/>
      <c r="M420" s="413"/>
      <c r="N420" s="413"/>
      <c r="O420" s="413"/>
      <c r="P420" s="413"/>
      <c r="Q420" s="413"/>
      <c r="R420" s="413"/>
      <c r="S420" s="413"/>
      <c r="T420" s="413"/>
      <c r="U420" s="413"/>
      <c r="V420" s="413"/>
      <c r="W420" s="413">
        <f t="shared" si="19"/>
        <v>0</v>
      </c>
      <c r="X420" s="412">
        <v>300</v>
      </c>
      <c r="Y420" s="412">
        <v>300</v>
      </c>
      <c r="Z420" s="412">
        <v>300</v>
      </c>
      <c r="AA420" s="412">
        <v>300</v>
      </c>
      <c r="AB420" s="412">
        <v>300</v>
      </c>
      <c r="AC420" s="412">
        <v>300</v>
      </c>
      <c r="AD420" s="412"/>
      <c r="AE420" s="412"/>
      <c r="AF420" s="412"/>
      <c r="AG420" s="412"/>
      <c r="AH420" s="412"/>
      <c r="AI420" s="412"/>
      <c r="AJ420" s="412">
        <f t="shared" si="20"/>
        <v>1800</v>
      </c>
      <c r="AK420" s="198"/>
      <c r="AL420" s="250" t="s">
        <v>2067</v>
      </c>
    </row>
    <row r="421" spans="1:39" ht="14.1" customHeight="1" x14ac:dyDescent="0.2">
      <c r="A421" t="s">
        <v>884</v>
      </c>
      <c r="B421" s="193">
        <v>4081</v>
      </c>
      <c r="C421" s="194" t="s">
        <v>842</v>
      </c>
      <c r="D421" s="229" t="s">
        <v>1491</v>
      </c>
      <c r="E421" s="229" t="s">
        <v>1205</v>
      </c>
      <c r="F421" s="236">
        <v>300</v>
      </c>
      <c r="G421" s="196">
        <v>1</v>
      </c>
      <c r="H421" s="195">
        <v>3300</v>
      </c>
      <c r="I421" s="197">
        <v>41289</v>
      </c>
      <c r="J421" s="197" t="str">
        <f t="shared" si="21"/>
        <v>ok</v>
      </c>
      <c r="K421" s="413"/>
      <c r="L421" s="413"/>
      <c r="M421" s="413"/>
      <c r="N421" s="413"/>
      <c r="O421" s="413"/>
      <c r="P421" s="413"/>
      <c r="Q421" s="413"/>
      <c r="R421" s="413"/>
      <c r="S421" s="413"/>
      <c r="T421" s="413"/>
      <c r="U421" s="413"/>
      <c r="V421" s="413"/>
      <c r="W421" s="413">
        <f t="shared" si="19"/>
        <v>0</v>
      </c>
      <c r="X421" s="412">
        <v>300</v>
      </c>
      <c r="Y421" s="412">
        <v>300</v>
      </c>
      <c r="Z421" s="412">
        <v>300</v>
      </c>
      <c r="AA421" s="412">
        <v>300</v>
      </c>
      <c r="AB421" s="412">
        <v>300</v>
      </c>
      <c r="AC421" s="412">
        <v>300</v>
      </c>
      <c r="AD421" s="412">
        <v>300</v>
      </c>
      <c r="AE421" s="412">
        <v>300</v>
      </c>
      <c r="AF421" s="412">
        <v>300</v>
      </c>
      <c r="AG421" s="412">
        <v>300</v>
      </c>
      <c r="AH421" s="412">
        <v>300</v>
      </c>
      <c r="AI421" s="412"/>
      <c r="AJ421" s="412">
        <f t="shared" si="20"/>
        <v>3300</v>
      </c>
      <c r="AK421" s="198" t="s">
        <v>1246</v>
      </c>
      <c r="AL421" s="250" t="s">
        <v>2067</v>
      </c>
      <c r="AM421" s="158"/>
    </row>
    <row r="422" spans="1:39" ht="14.1" customHeight="1" x14ac:dyDescent="0.2">
      <c r="A422" t="s">
        <v>884</v>
      </c>
      <c r="B422" s="193">
        <v>4082</v>
      </c>
      <c r="C422" s="194" t="s">
        <v>872</v>
      </c>
      <c r="D422" s="229" t="s">
        <v>1501</v>
      </c>
      <c r="E422" s="229" t="s">
        <v>125</v>
      </c>
      <c r="F422" s="236">
        <v>300</v>
      </c>
      <c r="G422" s="196">
        <v>1</v>
      </c>
      <c r="H422" s="195">
        <v>300</v>
      </c>
      <c r="I422" s="197">
        <v>41290</v>
      </c>
      <c r="J422" s="197" t="str">
        <f t="shared" si="21"/>
        <v>ok</v>
      </c>
      <c r="K422" s="413"/>
      <c r="L422" s="413"/>
      <c r="M422" s="413"/>
      <c r="N422" s="413"/>
      <c r="O422" s="413"/>
      <c r="P422" s="413"/>
      <c r="Q422" s="413"/>
      <c r="R422" s="413"/>
      <c r="S422" s="413"/>
      <c r="T422" s="413"/>
      <c r="U422" s="413"/>
      <c r="V422" s="413"/>
      <c r="W422" s="413">
        <f t="shared" si="19"/>
        <v>0</v>
      </c>
      <c r="X422" s="412">
        <v>300</v>
      </c>
      <c r="Y422" s="412"/>
      <c r="Z422" s="412"/>
      <c r="AA422" s="412"/>
      <c r="AB422" s="412"/>
      <c r="AC422" s="412"/>
      <c r="AD422" s="412"/>
      <c r="AE422" s="412"/>
      <c r="AF422" s="412"/>
      <c r="AG422" s="412"/>
      <c r="AH422" s="412"/>
      <c r="AI422" s="412"/>
      <c r="AJ422" s="412">
        <f t="shared" si="20"/>
        <v>300</v>
      </c>
      <c r="AK422" s="198"/>
      <c r="AL422" s="250" t="s">
        <v>2067</v>
      </c>
    </row>
    <row r="423" spans="1:39" ht="14.1" customHeight="1" x14ac:dyDescent="0.2">
      <c r="A423" t="s">
        <v>893</v>
      </c>
      <c r="B423" s="193">
        <v>4083</v>
      </c>
      <c r="C423" s="194" t="s">
        <v>1136</v>
      </c>
      <c r="D423" s="229" t="s">
        <v>1502</v>
      </c>
      <c r="E423" s="229" t="s">
        <v>308</v>
      </c>
      <c r="F423" s="236">
        <v>300</v>
      </c>
      <c r="G423" s="196">
        <v>1</v>
      </c>
      <c r="H423" s="195">
        <v>300</v>
      </c>
      <c r="I423" s="197">
        <v>41290</v>
      </c>
      <c r="J423" s="197" t="str">
        <f t="shared" si="21"/>
        <v>ok</v>
      </c>
      <c r="K423" s="413"/>
      <c r="L423" s="413"/>
      <c r="M423" s="413"/>
      <c r="N423" s="413"/>
      <c r="O423" s="413"/>
      <c r="P423" s="413"/>
      <c r="Q423" s="413"/>
      <c r="R423" s="413"/>
      <c r="S423" s="413"/>
      <c r="T423" s="413"/>
      <c r="U423" s="413"/>
      <c r="V423" s="413"/>
      <c r="W423" s="413">
        <f t="shared" si="19"/>
        <v>0</v>
      </c>
      <c r="X423" s="412">
        <v>300</v>
      </c>
      <c r="Y423" s="412"/>
      <c r="Z423" s="412"/>
      <c r="AA423" s="412"/>
      <c r="AB423" s="412"/>
      <c r="AC423" s="412"/>
      <c r="AD423" s="412"/>
      <c r="AE423" s="412"/>
      <c r="AF423" s="412"/>
      <c r="AG423" s="412"/>
      <c r="AH423" s="412"/>
      <c r="AI423" s="412"/>
      <c r="AJ423" s="412">
        <f t="shared" si="20"/>
        <v>300</v>
      </c>
      <c r="AK423" s="198"/>
      <c r="AL423" s="250" t="s">
        <v>2067</v>
      </c>
    </row>
    <row r="424" spans="1:39" ht="14.1" customHeight="1" x14ac:dyDescent="0.2">
      <c r="A424" t="s">
        <v>888</v>
      </c>
      <c r="B424" s="193">
        <v>4084</v>
      </c>
      <c r="C424" s="194" t="s">
        <v>1703</v>
      </c>
      <c r="D424" s="229" t="s">
        <v>1450</v>
      </c>
      <c r="E424" s="229" t="s">
        <v>428</v>
      </c>
      <c r="F424" s="236">
        <v>10000</v>
      </c>
      <c r="G424" s="196">
        <v>3</v>
      </c>
      <c r="H424" s="195">
        <v>160</v>
      </c>
      <c r="I424" s="197">
        <v>41291</v>
      </c>
      <c r="J424" s="197" t="str">
        <f t="shared" si="21"/>
        <v>ok</v>
      </c>
      <c r="K424" s="413"/>
      <c r="L424" s="413"/>
      <c r="M424" s="413"/>
      <c r="N424" s="413"/>
      <c r="O424" s="413"/>
      <c r="P424" s="413"/>
      <c r="Q424" s="413"/>
      <c r="R424" s="413"/>
      <c r="S424" s="413"/>
      <c r="T424" s="413"/>
      <c r="U424" s="413"/>
      <c r="V424" s="413"/>
      <c r="W424" s="413">
        <f t="shared" si="19"/>
        <v>0</v>
      </c>
      <c r="X424" s="412"/>
      <c r="Y424" s="412"/>
      <c r="Z424" s="412"/>
      <c r="AA424" s="412"/>
      <c r="AB424" s="412"/>
      <c r="AC424" s="412"/>
      <c r="AD424" s="412"/>
      <c r="AE424" s="412"/>
      <c r="AF424" s="412"/>
      <c r="AG424" s="412"/>
      <c r="AH424" s="412"/>
      <c r="AI424" s="412"/>
      <c r="AJ424" s="412">
        <f t="shared" si="20"/>
        <v>0</v>
      </c>
      <c r="AK424" s="198"/>
      <c r="AL424" s="250" t="s">
        <v>2068</v>
      </c>
    </row>
    <row r="425" spans="1:39" ht="14.1" customHeight="1" x14ac:dyDescent="0.2">
      <c r="A425" t="s">
        <v>892</v>
      </c>
      <c r="B425" s="193">
        <v>4085</v>
      </c>
      <c r="C425" s="194" t="s">
        <v>1062</v>
      </c>
      <c r="D425" s="229" t="s">
        <v>1503</v>
      </c>
      <c r="E425" s="229" t="s">
        <v>739</v>
      </c>
      <c r="F425" s="236">
        <v>300</v>
      </c>
      <c r="G425" s="196">
        <v>1</v>
      </c>
      <c r="H425" s="195">
        <v>3300</v>
      </c>
      <c r="I425" s="197">
        <v>41291</v>
      </c>
      <c r="J425" s="197" t="str">
        <f t="shared" si="21"/>
        <v>ok</v>
      </c>
      <c r="K425" s="413"/>
      <c r="L425" s="413"/>
      <c r="M425" s="413"/>
      <c r="N425" s="413"/>
      <c r="O425" s="413"/>
      <c r="P425" s="413"/>
      <c r="Q425" s="413"/>
      <c r="R425" s="413"/>
      <c r="S425" s="413"/>
      <c r="T425" s="413"/>
      <c r="U425" s="413"/>
      <c r="V425" s="413"/>
      <c r="W425" s="413">
        <f t="shared" si="19"/>
        <v>0</v>
      </c>
      <c r="X425" s="412">
        <v>300</v>
      </c>
      <c r="Y425" s="412">
        <v>300</v>
      </c>
      <c r="Z425" s="412">
        <v>300</v>
      </c>
      <c r="AA425" s="412">
        <v>300</v>
      </c>
      <c r="AB425" s="412">
        <v>300</v>
      </c>
      <c r="AC425" s="412">
        <v>300</v>
      </c>
      <c r="AD425" s="412">
        <v>300</v>
      </c>
      <c r="AE425" s="412">
        <v>300</v>
      </c>
      <c r="AF425" s="412">
        <v>300</v>
      </c>
      <c r="AG425" s="412">
        <v>300</v>
      </c>
      <c r="AH425" s="412">
        <v>300</v>
      </c>
      <c r="AI425" s="412"/>
      <c r="AJ425" s="412">
        <f t="shared" si="20"/>
        <v>3300</v>
      </c>
      <c r="AK425" s="198" t="s">
        <v>1246</v>
      </c>
      <c r="AL425" s="250" t="s">
        <v>2067</v>
      </c>
      <c r="AM425" s="158"/>
    </row>
    <row r="426" spans="1:39" ht="14.1" customHeight="1" x14ac:dyDescent="0.2">
      <c r="A426" t="s">
        <v>888</v>
      </c>
      <c r="B426" s="193">
        <v>4086</v>
      </c>
      <c r="C426" s="194" t="s">
        <v>948</v>
      </c>
      <c r="D426" s="229" t="s">
        <v>1504</v>
      </c>
      <c r="E426" s="229" t="s">
        <v>325</v>
      </c>
      <c r="F426" s="236">
        <v>300</v>
      </c>
      <c r="G426" s="196">
        <v>1</v>
      </c>
      <c r="H426" s="195">
        <v>300</v>
      </c>
      <c r="I426" s="197">
        <v>41291</v>
      </c>
      <c r="J426" s="197" t="str">
        <f t="shared" si="21"/>
        <v>ok</v>
      </c>
      <c r="K426" s="413"/>
      <c r="L426" s="413"/>
      <c r="M426" s="413"/>
      <c r="N426" s="413"/>
      <c r="O426" s="413"/>
      <c r="P426" s="413"/>
      <c r="Q426" s="413"/>
      <c r="R426" s="413"/>
      <c r="S426" s="413"/>
      <c r="T426" s="413"/>
      <c r="U426" s="413"/>
      <c r="V426" s="413"/>
      <c r="W426" s="413">
        <f t="shared" si="19"/>
        <v>0</v>
      </c>
      <c r="X426" s="412">
        <v>300</v>
      </c>
      <c r="Y426" s="412"/>
      <c r="Z426" s="412"/>
      <c r="AA426" s="412"/>
      <c r="AB426" s="412"/>
      <c r="AC426" s="412"/>
      <c r="AD426" s="412"/>
      <c r="AE426" s="412"/>
      <c r="AF426" s="412"/>
      <c r="AG426" s="412"/>
      <c r="AH426" s="412"/>
      <c r="AI426" s="412"/>
      <c r="AJ426" s="412">
        <f t="shared" si="20"/>
        <v>300</v>
      </c>
      <c r="AK426" s="198"/>
      <c r="AL426" s="250" t="s">
        <v>2067</v>
      </c>
    </row>
    <row r="427" spans="1:39" ht="14.1" customHeight="1" x14ac:dyDescent="0.2">
      <c r="A427" t="s">
        <v>884</v>
      </c>
      <c r="B427" s="193">
        <v>4087</v>
      </c>
      <c r="C427" s="194" t="s">
        <v>814</v>
      </c>
      <c r="D427" s="229" t="s">
        <v>1505</v>
      </c>
      <c r="E427" s="229" t="s">
        <v>1201</v>
      </c>
      <c r="F427" s="236">
        <v>300</v>
      </c>
      <c r="G427" s="196">
        <v>1</v>
      </c>
      <c r="H427" s="195">
        <v>300</v>
      </c>
      <c r="I427" s="197">
        <v>41293</v>
      </c>
      <c r="J427" s="197" t="str">
        <f t="shared" si="21"/>
        <v>ok</v>
      </c>
      <c r="K427" s="413"/>
      <c r="L427" s="413"/>
      <c r="M427" s="413"/>
      <c r="N427" s="413"/>
      <c r="O427" s="413"/>
      <c r="P427" s="413"/>
      <c r="Q427" s="413"/>
      <c r="R427" s="413"/>
      <c r="S427" s="413"/>
      <c r="T427" s="413"/>
      <c r="U427" s="413"/>
      <c r="V427" s="413"/>
      <c r="W427" s="413">
        <f t="shared" si="19"/>
        <v>0</v>
      </c>
      <c r="X427" s="412">
        <v>300</v>
      </c>
      <c r="Y427" s="412"/>
      <c r="Z427" s="412"/>
      <c r="AA427" s="412"/>
      <c r="AB427" s="412"/>
      <c r="AC427" s="412"/>
      <c r="AD427" s="412"/>
      <c r="AE427" s="412"/>
      <c r="AF427" s="412"/>
      <c r="AG427" s="412"/>
      <c r="AH427" s="412"/>
      <c r="AI427" s="412"/>
      <c r="AJ427" s="412">
        <f t="shared" si="20"/>
        <v>300</v>
      </c>
      <c r="AK427" s="198"/>
      <c r="AL427" s="250" t="s">
        <v>2067</v>
      </c>
    </row>
    <row r="428" spans="1:39" ht="14.1" customHeight="1" x14ac:dyDescent="0.2">
      <c r="A428" t="s">
        <v>884</v>
      </c>
      <c r="B428" s="193">
        <v>4088</v>
      </c>
      <c r="C428" s="194" t="s">
        <v>824</v>
      </c>
      <c r="D428" s="229" t="s">
        <v>1506</v>
      </c>
      <c r="E428" s="229" t="s">
        <v>1203</v>
      </c>
      <c r="F428" s="236">
        <v>300</v>
      </c>
      <c r="G428" s="196">
        <v>1</v>
      </c>
      <c r="H428" s="195">
        <v>300</v>
      </c>
      <c r="I428" s="197">
        <v>41294</v>
      </c>
      <c r="J428" s="197" t="str">
        <f t="shared" si="21"/>
        <v>ok</v>
      </c>
      <c r="K428" s="413"/>
      <c r="L428" s="413"/>
      <c r="M428" s="413"/>
      <c r="N428" s="413"/>
      <c r="O428" s="413"/>
      <c r="P428" s="413"/>
      <c r="Q428" s="413"/>
      <c r="R428" s="413"/>
      <c r="S428" s="413"/>
      <c r="T428" s="413"/>
      <c r="U428" s="413"/>
      <c r="V428" s="413"/>
      <c r="W428" s="413">
        <f t="shared" si="19"/>
        <v>0</v>
      </c>
      <c r="X428" s="412">
        <v>300</v>
      </c>
      <c r="Y428" s="412"/>
      <c r="Z428" s="412"/>
      <c r="AA428" s="412"/>
      <c r="AB428" s="412"/>
      <c r="AC428" s="412"/>
      <c r="AD428" s="412"/>
      <c r="AE428" s="412"/>
      <c r="AF428" s="412"/>
      <c r="AG428" s="412"/>
      <c r="AH428" s="412"/>
      <c r="AI428" s="412"/>
      <c r="AJ428" s="412">
        <f t="shared" si="20"/>
        <v>300</v>
      </c>
      <c r="AK428" s="198"/>
      <c r="AL428" s="250" t="s">
        <v>2067</v>
      </c>
    </row>
    <row r="429" spans="1:39" ht="14.1" customHeight="1" x14ac:dyDescent="0.2">
      <c r="A429" t="s">
        <v>888</v>
      </c>
      <c r="B429" s="193">
        <v>4089</v>
      </c>
      <c r="C429" s="194" t="s">
        <v>939</v>
      </c>
      <c r="D429" s="229" t="s">
        <v>1507</v>
      </c>
      <c r="E429" s="229" t="s">
        <v>395</v>
      </c>
      <c r="F429" s="236">
        <v>300</v>
      </c>
      <c r="G429" s="196">
        <v>1</v>
      </c>
      <c r="H429" s="195">
        <v>300</v>
      </c>
      <c r="I429" s="197">
        <v>41294</v>
      </c>
      <c r="J429" s="197" t="str">
        <f t="shared" si="21"/>
        <v>ok</v>
      </c>
      <c r="K429" s="413"/>
      <c r="L429" s="413"/>
      <c r="M429" s="413"/>
      <c r="N429" s="413"/>
      <c r="O429" s="413"/>
      <c r="P429" s="413"/>
      <c r="Q429" s="413"/>
      <c r="R429" s="413"/>
      <c r="S429" s="413"/>
      <c r="T429" s="413"/>
      <c r="U429" s="413"/>
      <c r="V429" s="413"/>
      <c r="W429" s="413">
        <f t="shared" si="19"/>
        <v>0</v>
      </c>
      <c r="X429" s="412">
        <v>300</v>
      </c>
      <c r="Y429" s="412"/>
      <c r="Z429" s="412"/>
      <c r="AA429" s="412"/>
      <c r="AB429" s="412"/>
      <c r="AC429" s="412"/>
      <c r="AD429" s="412"/>
      <c r="AE429" s="412"/>
      <c r="AF429" s="412"/>
      <c r="AG429" s="412"/>
      <c r="AH429" s="412"/>
      <c r="AI429" s="412"/>
      <c r="AJ429" s="412">
        <f t="shared" si="20"/>
        <v>300</v>
      </c>
      <c r="AK429" s="198"/>
      <c r="AL429" s="250" t="s">
        <v>2067</v>
      </c>
    </row>
    <row r="430" spans="1:39" ht="14.1" customHeight="1" x14ac:dyDescent="0.2">
      <c r="A430" t="s">
        <v>891</v>
      </c>
      <c r="B430" s="193">
        <v>4090</v>
      </c>
      <c r="C430" s="194" t="s">
        <v>1053</v>
      </c>
      <c r="D430" s="229" t="s">
        <v>1508</v>
      </c>
      <c r="E430" s="229" t="s">
        <v>657</v>
      </c>
      <c r="F430" s="236">
        <v>200</v>
      </c>
      <c r="G430" s="196">
        <v>1</v>
      </c>
      <c r="H430" s="195">
        <v>200</v>
      </c>
      <c r="I430" s="197">
        <v>41294</v>
      </c>
      <c r="J430" s="197" t="str">
        <f t="shared" si="21"/>
        <v>ok</v>
      </c>
      <c r="K430" s="413"/>
      <c r="L430" s="413"/>
      <c r="M430" s="413"/>
      <c r="N430" s="413"/>
      <c r="O430" s="413"/>
      <c r="P430" s="413"/>
      <c r="Q430" s="413"/>
      <c r="R430" s="413"/>
      <c r="S430" s="413"/>
      <c r="T430" s="413"/>
      <c r="U430" s="413"/>
      <c r="V430" s="413">
        <v>200</v>
      </c>
      <c r="W430" s="413">
        <f t="shared" si="19"/>
        <v>200</v>
      </c>
      <c r="X430" s="412"/>
      <c r="Y430" s="412"/>
      <c r="Z430" s="412"/>
      <c r="AA430" s="412"/>
      <c r="AB430" s="412"/>
      <c r="AC430" s="412"/>
      <c r="AD430" s="412"/>
      <c r="AE430" s="412"/>
      <c r="AF430" s="412"/>
      <c r="AG430" s="412"/>
      <c r="AH430" s="412"/>
      <c r="AI430" s="412"/>
      <c r="AJ430" s="412">
        <f t="shared" si="20"/>
        <v>0</v>
      </c>
      <c r="AK430" s="198" t="s">
        <v>1240</v>
      </c>
      <c r="AL430" s="250" t="s">
        <v>2067</v>
      </c>
    </row>
    <row r="431" spans="1:39" ht="14.1" customHeight="1" x14ac:dyDescent="0.2">
      <c r="A431" t="s">
        <v>893</v>
      </c>
      <c r="B431" s="193">
        <v>4091</v>
      </c>
      <c r="C431" s="194" t="s">
        <v>1069</v>
      </c>
      <c r="D431" s="229" t="s">
        <v>1509</v>
      </c>
      <c r="E431" s="229" t="s">
        <v>181</v>
      </c>
      <c r="F431" s="236">
        <v>250</v>
      </c>
      <c r="G431" s="196">
        <v>1</v>
      </c>
      <c r="H431" s="195">
        <v>2750</v>
      </c>
      <c r="I431" s="197">
        <v>41294</v>
      </c>
      <c r="J431" s="197" t="str">
        <f t="shared" si="21"/>
        <v>ok</v>
      </c>
      <c r="K431" s="413"/>
      <c r="L431" s="413"/>
      <c r="M431" s="413"/>
      <c r="N431" s="413"/>
      <c r="O431" s="413"/>
      <c r="P431" s="413"/>
      <c r="Q431" s="413"/>
      <c r="R431" s="413"/>
      <c r="S431" s="413"/>
      <c r="T431" s="413"/>
      <c r="U431" s="413"/>
      <c r="V431" s="413"/>
      <c r="W431" s="413">
        <f t="shared" si="19"/>
        <v>0</v>
      </c>
      <c r="X431" s="412">
        <v>250</v>
      </c>
      <c r="Y431" s="412">
        <v>250</v>
      </c>
      <c r="Z431" s="412">
        <v>250</v>
      </c>
      <c r="AA431" s="412">
        <v>250</v>
      </c>
      <c r="AB431" s="412">
        <v>250</v>
      </c>
      <c r="AC431" s="412">
        <v>250</v>
      </c>
      <c r="AD431" s="412">
        <v>250</v>
      </c>
      <c r="AE431" s="412">
        <v>250</v>
      </c>
      <c r="AF431" s="412">
        <v>250</v>
      </c>
      <c r="AG431" s="412">
        <v>250</v>
      </c>
      <c r="AH431" s="412">
        <v>250</v>
      </c>
      <c r="AI431" s="412"/>
      <c r="AJ431" s="412">
        <f t="shared" si="20"/>
        <v>2750</v>
      </c>
      <c r="AK431" s="198" t="s">
        <v>1246</v>
      </c>
      <c r="AL431" s="250" t="s">
        <v>2067</v>
      </c>
      <c r="AM431" s="158"/>
    </row>
    <row r="432" spans="1:39" ht="14.1" customHeight="1" x14ac:dyDescent="0.2">
      <c r="A432" t="s">
        <v>888</v>
      </c>
      <c r="B432" s="193">
        <v>4092</v>
      </c>
      <c r="C432" s="194" t="s">
        <v>919</v>
      </c>
      <c r="D432" s="229" t="s">
        <v>1510</v>
      </c>
      <c r="E432" s="229" t="s">
        <v>359</v>
      </c>
      <c r="F432" s="236">
        <v>300</v>
      </c>
      <c r="G432" s="196">
        <v>1</v>
      </c>
      <c r="H432" s="195">
        <v>300</v>
      </c>
      <c r="I432" s="197">
        <v>41294</v>
      </c>
      <c r="J432" s="197" t="str">
        <f t="shared" si="21"/>
        <v>ok</v>
      </c>
      <c r="K432" s="413"/>
      <c r="L432" s="413"/>
      <c r="M432" s="413"/>
      <c r="N432" s="413"/>
      <c r="O432" s="413"/>
      <c r="P432" s="413"/>
      <c r="Q432" s="413"/>
      <c r="R432" s="413"/>
      <c r="S432" s="413"/>
      <c r="T432" s="413"/>
      <c r="U432" s="413"/>
      <c r="V432" s="413"/>
      <c r="W432" s="413">
        <f t="shared" si="19"/>
        <v>0</v>
      </c>
      <c r="X432" s="412">
        <v>300</v>
      </c>
      <c r="Y432" s="412"/>
      <c r="Z432" s="412"/>
      <c r="AA432" s="412"/>
      <c r="AB432" s="412"/>
      <c r="AC432" s="412"/>
      <c r="AD432" s="412"/>
      <c r="AE432" s="412"/>
      <c r="AF432" s="412"/>
      <c r="AG432" s="412"/>
      <c r="AH432" s="412"/>
      <c r="AI432" s="412"/>
      <c r="AJ432" s="412">
        <f t="shared" si="20"/>
        <v>300</v>
      </c>
      <c r="AK432" s="198"/>
      <c r="AL432" s="250" t="s">
        <v>2067</v>
      </c>
    </row>
    <row r="433" spans="1:39" ht="14.1" customHeight="1" x14ac:dyDescent="0.2">
      <c r="A433" t="s">
        <v>888</v>
      </c>
      <c r="B433" s="193">
        <v>4093</v>
      </c>
      <c r="C433" s="194" t="s">
        <v>919</v>
      </c>
      <c r="D433" s="229" t="s">
        <v>1510</v>
      </c>
      <c r="E433" s="229" t="s">
        <v>359</v>
      </c>
      <c r="F433" s="236">
        <v>300</v>
      </c>
      <c r="G433" s="196">
        <v>3</v>
      </c>
      <c r="H433" s="195">
        <v>150</v>
      </c>
      <c r="I433" s="197">
        <v>41294</v>
      </c>
      <c r="J433" s="197" t="str">
        <f t="shared" si="21"/>
        <v>ok</v>
      </c>
      <c r="K433" s="413"/>
      <c r="L433" s="413"/>
      <c r="M433" s="413"/>
      <c r="N433" s="413"/>
      <c r="O433" s="413"/>
      <c r="P433" s="413"/>
      <c r="Q433" s="413"/>
      <c r="R433" s="413"/>
      <c r="S433" s="413"/>
      <c r="T433" s="413"/>
      <c r="U433" s="413"/>
      <c r="V433" s="413"/>
      <c r="W433" s="413">
        <f t="shared" si="19"/>
        <v>0</v>
      </c>
      <c r="X433" s="412"/>
      <c r="Y433" s="412"/>
      <c r="Z433" s="412"/>
      <c r="AA433" s="412"/>
      <c r="AB433" s="412"/>
      <c r="AC433" s="412"/>
      <c r="AD433" s="412"/>
      <c r="AE433" s="412"/>
      <c r="AF433" s="412"/>
      <c r="AG433" s="412"/>
      <c r="AH433" s="412"/>
      <c r="AI433" s="412"/>
      <c r="AJ433" s="412">
        <f t="shared" si="20"/>
        <v>0</v>
      </c>
      <c r="AK433" s="198"/>
      <c r="AL433" s="250" t="s">
        <v>2068</v>
      </c>
    </row>
    <row r="434" spans="1:39" ht="14.1" customHeight="1" x14ac:dyDescent="0.2">
      <c r="A434" t="s">
        <v>890</v>
      </c>
      <c r="B434" s="193">
        <v>4094</v>
      </c>
      <c r="C434" s="194" t="s">
        <v>1040</v>
      </c>
      <c r="D434" s="229" t="s">
        <v>1511</v>
      </c>
      <c r="E434" s="229" t="s">
        <v>548</v>
      </c>
      <c r="F434" s="236">
        <v>300</v>
      </c>
      <c r="G434" s="196">
        <v>1</v>
      </c>
      <c r="H434" s="195">
        <v>300</v>
      </c>
      <c r="I434" s="197">
        <v>41294</v>
      </c>
      <c r="J434" s="197" t="str">
        <f t="shared" si="21"/>
        <v>ok</v>
      </c>
      <c r="K434" s="413"/>
      <c r="L434" s="413"/>
      <c r="M434" s="413"/>
      <c r="N434" s="413"/>
      <c r="O434" s="413"/>
      <c r="P434" s="413"/>
      <c r="Q434" s="413"/>
      <c r="R434" s="413"/>
      <c r="S434" s="413"/>
      <c r="T434" s="413"/>
      <c r="U434" s="413"/>
      <c r="V434" s="413"/>
      <c r="W434" s="413">
        <f t="shared" si="19"/>
        <v>0</v>
      </c>
      <c r="X434" s="412">
        <v>300</v>
      </c>
      <c r="Y434" s="412"/>
      <c r="Z434" s="412"/>
      <c r="AA434" s="412"/>
      <c r="AB434" s="412"/>
      <c r="AC434" s="412"/>
      <c r="AD434" s="412"/>
      <c r="AE434" s="412"/>
      <c r="AF434" s="412"/>
      <c r="AG434" s="412"/>
      <c r="AH434" s="412"/>
      <c r="AI434" s="412"/>
      <c r="AJ434" s="412">
        <f t="shared" si="20"/>
        <v>300</v>
      </c>
      <c r="AK434" s="198"/>
      <c r="AL434" s="250" t="s">
        <v>2067</v>
      </c>
    </row>
    <row r="435" spans="1:39" ht="14.1" customHeight="1" x14ac:dyDescent="0.2">
      <c r="A435" t="s">
        <v>890</v>
      </c>
      <c r="B435" s="193">
        <v>4095</v>
      </c>
      <c r="C435" s="194" t="s">
        <v>1019</v>
      </c>
      <c r="D435" s="229" t="s">
        <v>1512</v>
      </c>
      <c r="E435" s="229" t="s">
        <v>731</v>
      </c>
      <c r="F435" s="236">
        <v>300</v>
      </c>
      <c r="G435" s="196">
        <v>1</v>
      </c>
      <c r="H435" s="195">
        <v>300</v>
      </c>
      <c r="I435" s="197">
        <v>41294</v>
      </c>
      <c r="J435" s="197" t="str">
        <f t="shared" si="21"/>
        <v>ok</v>
      </c>
      <c r="K435" s="413"/>
      <c r="L435" s="413"/>
      <c r="M435" s="413"/>
      <c r="N435" s="413"/>
      <c r="O435" s="413"/>
      <c r="P435" s="413"/>
      <c r="Q435" s="413"/>
      <c r="R435" s="413"/>
      <c r="S435" s="413"/>
      <c r="T435" s="413"/>
      <c r="U435" s="413"/>
      <c r="V435" s="413"/>
      <c r="W435" s="413">
        <f t="shared" si="19"/>
        <v>0</v>
      </c>
      <c r="X435" s="412">
        <v>300</v>
      </c>
      <c r="Y435" s="412"/>
      <c r="Z435" s="412"/>
      <c r="AA435" s="412"/>
      <c r="AB435" s="412"/>
      <c r="AC435" s="412"/>
      <c r="AD435" s="412"/>
      <c r="AE435" s="412"/>
      <c r="AF435" s="412"/>
      <c r="AG435" s="412"/>
      <c r="AH435" s="412"/>
      <c r="AI435" s="412"/>
      <c r="AJ435" s="412">
        <f t="shared" si="20"/>
        <v>300</v>
      </c>
      <c r="AK435" s="198"/>
      <c r="AL435" s="250" t="s">
        <v>2067</v>
      </c>
    </row>
    <row r="436" spans="1:39" ht="14.1" customHeight="1" x14ac:dyDescent="0.2">
      <c r="A436" t="s">
        <v>890</v>
      </c>
      <c r="B436" s="193">
        <v>4095</v>
      </c>
      <c r="C436" s="194" t="s">
        <v>1019</v>
      </c>
      <c r="D436" s="229" t="s">
        <v>1512</v>
      </c>
      <c r="E436" s="229" t="s">
        <v>731</v>
      </c>
      <c r="F436" s="236">
        <v>300</v>
      </c>
      <c r="G436" s="196">
        <v>4</v>
      </c>
      <c r="H436" s="195">
        <v>160</v>
      </c>
      <c r="I436" s="197">
        <v>41294</v>
      </c>
      <c r="J436" s="197" t="str">
        <f t="shared" si="21"/>
        <v>ok</v>
      </c>
      <c r="K436" s="413"/>
      <c r="L436" s="413"/>
      <c r="M436" s="413"/>
      <c r="N436" s="413"/>
      <c r="O436" s="413"/>
      <c r="P436" s="413"/>
      <c r="Q436" s="413"/>
      <c r="R436" s="413"/>
      <c r="S436" s="413"/>
      <c r="T436" s="413"/>
      <c r="U436" s="413"/>
      <c r="V436" s="413"/>
      <c r="W436" s="413">
        <f t="shared" si="19"/>
        <v>0</v>
      </c>
      <c r="X436" s="412"/>
      <c r="Y436" s="412"/>
      <c r="Z436" s="412"/>
      <c r="AA436" s="412"/>
      <c r="AB436" s="412"/>
      <c r="AC436" s="412"/>
      <c r="AD436" s="412"/>
      <c r="AE436" s="412"/>
      <c r="AF436" s="412"/>
      <c r="AG436" s="412"/>
      <c r="AH436" s="412"/>
      <c r="AI436" s="412"/>
      <c r="AJ436" s="412">
        <f t="shared" si="20"/>
        <v>0</v>
      </c>
      <c r="AK436" s="198"/>
      <c r="AL436" s="250" t="s">
        <v>2068</v>
      </c>
    </row>
    <row r="437" spans="1:39" ht="14.1" customHeight="1" x14ac:dyDescent="0.2">
      <c r="A437" t="s">
        <v>884</v>
      </c>
      <c r="B437" s="193">
        <v>4096</v>
      </c>
      <c r="C437" s="194" t="s">
        <v>867</v>
      </c>
      <c r="D437" s="229" t="s">
        <v>1513</v>
      </c>
      <c r="E437" s="229" t="s">
        <v>118</v>
      </c>
      <c r="F437" s="236">
        <v>300</v>
      </c>
      <c r="G437" s="196">
        <v>1</v>
      </c>
      <c r="H437" s="195">
        <v>300</v>
      </c>
      <c r="I437" s="197">
        <v>41294</v>
      </c>
      <c r="J437" s="197" t="str">
        <f t="shared" si="21"/>
        <v>ok</v>
      </c>
      <c r="K437" s="413"/>
      <c r="L437" s="413"/>
      <c r="M437" s="413"/>
      <c r="N437" s="413"/>
      <c r="O437" s="413"/>
      <c r="P437" s="413"/>
      <c r="Q437" s="413"/>
      <c r="R437" s="413"/>
      <c r="S437" s="413"/>
      <c r="T437" s="413"/>
      <c r="U437" s="413"/>
      <c r="V437" s="413"/>
      <c r="W437" s="413">
        <f t="shared" si="19"/>
        <v>0</v>
      </c>
      <c r="X437" s="412">
        <v>300</v>
      </c>
      <c r="Y437" s="412"/>
      <c r="Z437" s="412"/>
      <c r="AA437" s="412"/>
      <c r="AB437" s="412"/>
      <c r="AC437" s="412"/>
      <c r="AD437" s="412"/>
      <c r="AE437" s="412"/>
      <c r="AF437" s="412"/>
      <c r="AG437" s="412"/>
      <c r="AH437" s="412"/>
      <c r="AI437" s="412"/>
      <c r="AJ437" s="412">
        <f t="shared" si="20"/>
        <v>300</v>
      </c>
      <c r="AK437" s="198"/>
      <c r="AL437" s="250" t="s">
        <v>2067</v>
      </c>
    </row>
    <row r="438" spans="1:39" ht="14.1" customHeight="1" x14ac:dyDescent="0.2">
      <c r="A438" t="s">
        <v>888</v>
      </c>
      <c r="B438" s="193">
        <v>4097</v>
      </c>
      <c r="C438" s="194" t="s">
        <v>910</v>
      </c>
      <c r="D438" s="229" t="s">
        <v>1514</v>
      </c>
      <c r="E438" s="229" t="s">
        <v>1262</v>
      </c>
      <c r="F438" s="236">
        <v>150</v>
      </c>
      <c r="G438" s="196">
        <v>1</v>
      </c>
      <c r="H438" s="195">
        <v>150</v>
      </c>
      <c r="I438" s="197">
        <v>41294</v>
      </c>
      <c r="J438" s="197" t="str">
        <f t="shared" si="21"/>
        <v>ok</v>
      </c>
      <c r="K438" s="413"/>
      <c r="L438" s="413"/>
      <c r="M438" s="413"/>
      <c r="N438" s="413"/>
      <c r="O438" s="413"/>
      <c r="P438" s="413"/>
      <c r="Q438" s="413"/>
      <c r="R438" s="413"/>
      <c r="S438" s="413"/>
      <c r="T438" s="413"/>
      <c r="U438" s="413"/>
      <c r="V438" s="413"/>
      <c r="W438" s="413">
        <f t="shared" si="19"/>
        <v>0</v>
      </c>
      <c r="X438" s="412">
        <v>150</v>
      </c>
      <c r="Y438" s="412"/>
      <c r="Z438" s="412"/>
      <c r="AA438" s="412"/>
      <c r="AB438" s="412"/>
      <c r="AC438" s="412"/>
      <c r="AD438" s="412"/>
      <c r="AE438" s="412"/>
      <c r="AF438" s="412"/>
      <c r="AG438" s="412"/>
      <c r="AH438" s="412"/>
      <c r="AI438" s="412"/>
      <c r="AJ438" s="412">
        <f t="shared" si="20"/>
        <v>150</v>
      </c>
      <c r="AK438" s="198"/>
      <c r="AL438" s="250" t="s">
        <v>2067</v>
      </c>
    </row>
    <row r="439" spans="1:39" ht="14.1" customHeight="1" x14ac:dyDescent="0.2">
      <c r="A439" t="s">
        <v>884</v>
      </c>
      <c r="B439" s="193">
        <v>4098</v>
      </c>
      <c r="C439" s="194" t="s">
        <v>856</v>
      </c>
      <c r="D439" s="229" t="s">
        <v>1515</v>
      </c>
      <c r="E439" s="229" t="s">
        <v>99</v>
      </c>
      <c r="F439" s="236">
        <v>300</v>
      </c>
      <c r="G439" s="196">
        <v>1</v>
      </c>
      <c r="H439" s="195">
        <v>300</v>
      </c>
      <c r="I439" s="197">
        <v>41294</v>
      </c>
      <c r="J439" s="197" t="str">
        <f t="shared" si="21"/>
        <v>ok</v>
      </c>
      <c r="K439" s="413"/>
      <c r="L439" s="413"/>
      <c r="M439" s="413"/>
      <c r="N439" s="413"/>
      <c r="O439" s="413"/>
      <c r="P439" s="413"/>
      <c r="Q439" s="413"/>
      <c r="R439" s="413"/>
      <c r="S439" s="413"/>
      <c r="T439" s="413"/>
      <c r="U439" s="413"/>
      <c r="V439" s="413"/>
      <c r="W439" s="413">
        <f t="shared" si="19"/>
        <v>0</v>
      </c>
      <c r="X439" s="412">
        <v>300</v>
      </c>
      <c r="Y439" s="412"/>
      <c r="Z439" s="412"/>
      <c r="AA439" s="412"/>
      <c r="AB439" s="412"/>
      <c r="AC439" s="412"/>
      <c r="AD439" s="412"/>
      <c r="AE439" s="412"/>
      <c r="AF439" s="412"/>
      <c r="AG439" s="412"/>
      <c r="AH439" s="412"/>
      <c r="AI439" s="412"/>
      <c r="AJ439" s="412">
        <f t="shared" si="20"/>
        <v>300</v>
      </c>
      <c r="AK439" s="198"/>
      <c r="AL439" s="250" t="s">
        <v>2067</v>
      </c>
    </row>
    <row r="440" spans="1:39" ht="14.1" customHeight="1" x14ac:dyDescent="0.2">
      <c r="A440" t="s">
        <v>884</v>
      </c>
      <c r="B440" s="193">
        <v>4099</v>
      </c>
      <c r="C440" s="194" t="s">
        <v>836</v>
      </c>
      <c r="D440" s="229" t="s">
        <v>1383</v>
      </c>
      <c r="E440" s="229" t="s">
        <v>73</v>
      </c>
      <c r="F440" s="236">
        <v>300</v>
      </c>
      <c r="G440" s="196">
        <v>4</v>
      </c>
      <c r="H440" s="195">
        <v>160</v>
      </c>
      <c r="I440" s="197">
        <v>41294</v>
      </c>
      <c r="J440" s="197" t="str">
        <f t="shared" si="21"/>
        <v>ok</v>
      </c>
      <c r="K440" s="413"/>
      <c r="L440" s="413"/>
      <c r="M440" s="413"/>
      <c r="N440" s="413"/>
      <c r="O440" s="413"/>
      <c r="P440" s="413"/>
      <c r="Q440" s="413"/>
      <c r="R440" s="413"/>
      <c r="S440" s="413"/>
      <c r="T440" s="413"/>
      <c r="U440" s="413"/>
      <c r="V440" s="413"/>
      <c r="W440" s="413">
        <f t="shared" si="19"/>
        <v>0</v>
      </c>
      <c r="X440" s="412"/>
      <c r="Y440" s="412"/>
      <c r="Z440" s="412"/>
      <c r="AA440" s="412"/>
      <c r="AB440" s="412"/>
      <c r="AC440" s="412"/>
      <c r="AD440" s="412"/>
      <c r="AE440" s="412"/>
      <c r="AF440" s="412"/>
      <c r="AG440" s="412"/>
      <c r="AH440" s="412"/>
      <c r="AI440" s="412"/>
      <c r="AJ440" s="412">
        <f t="shared" si="20"/>
        <v>0</v>
      </c>
      <c r="AK440" s="198"/>
      <c r="AL440" s="250" t="s">
        <v>2068</v>
      </c>
    </row>
    <row r="441" spans="1:39" ht="14.1" customHeight="1" x14ac:dyDescent="0.2">
      <c r="A441" t="s">
        <v>888</v>
      </c>
      <c r="B441" s="193">
        <v>4100</v>
      </c>
      <c r="C441" s="194" t="s">
        <v>936</v>
      </c>
      <c r="D441" s="229" t="s">
        <v>1516</v>
      </c>
      <c r="E441" s="229" t="s">
        <v>390</v>
      </c>
      <c r="F441" s="236">
        <v>300</v>
      </c>
      <c r="G441" s="196">
        <v>3</v>
      </c>
      <c r="H441" s="195">
        <v>150</v>
      </c>
      <c r="I441" s="197">
        <v>41294</v>
      </c>
      <c r="J441" s="197" t="str">
        <f t="shared" si="21"/>
        <v>ok</v>
      </c>
      <c r="K441" s="413"/>
      <c r="L441" s="413"/>
      <c r="M441" s="413"/>
      <c r="N441" s="413"/>
      <c r="O441" s="413"/>
      <c r="P441" s="413"/>
      <c r="Q441" s="413"/>
      <c r="R441" s="413"/>
      <c r="S441" s="413"/>
      <c r="T441" s="413"/>
      <c r="U441" s="413"/>
      <c r="V441" s="413"/>
      <c r="W441" s="413">
        <f t="shared" si="19"/>
        <v>0</v>
      </c>
      <c r="X441" s="412"/>
      <c r="Y441" s="412"/>
      <c r="Z441" s="412"/>
      <c r="AA441" s="412"/>
      <c r="AB441" s="412"/>
      <c r="AC441" s="412"/>
      <c r="AD441" s="412"/>
      <c r="AE441" s="412"/>
      <c r="AF441" s="412"/>
      <c r="AG441" s="412"/>
      <c r="AH441" s="412"/>
      <c r="AI441" s="412"/>
      <c r="AJ441" s="412">
        <f t="shared" si="20"/>
        <v>0</v>
      </c>
      <c r="AK441" s="198"/>
      <c r="AL441" s="250" t="s">
        <v>2068</v>
      </c>
    </row>
    <row r="442" spans="1:39" ht="14.1" customHeight="1" x14ac:dyDescent="0.2">
      <c r="A442" t="s">
        <v>884</v>
      </c>
      <c r="B442" s="193">
        <v>4101</v>
      </c>
      <c r="C442" s="194" t="s">
        <v>792</v>
      </c>
      <c r="D442" s="229" t="s">
        <v>1517</v>
      </c>
      <c r="E442" s="229" t="s">
        <v>3</v>
      </c>
      <c r="F442" s="236">
        <v>100</v>
      </c>
      <c r="G442" s="196">
        <v>1</v>
      </c>
      <c r="H442" s="195">
        <v>400</v>
      </c>
      <c r="I442" s="197">
        <v>41294</v>
      </c>
      <c r="J442" s="197" t="str">
        <f t="shared" si="21"/>
        <v>ok</v>
      </c>
      <c r="K442" s="413"/>
      <c r="L442" s="413"/>
      <c r="M442" s="413"/>
      <c r="N442" s="413"/>
      <c r="O442" s="413"/>
      <c r="P442" s="413"/>
      <c r="Q442" s="413"/>
      <c r="R442" s="413"/>
      <c r="S442" s="413"/>
      <c r="T442" s="413">
        <v>100</v>
      </c>
      <c r="U442" s="413">
        <v>100</v>
      </c>
      <c r="V442" s="413">
        <v>100</v>
      </c>
      <c r="W442" s="413">
        <f t="shared" si="19"/>
        <v>300</v>
      </c>
      <c r="X442" s="412">
        <v>100</v>
      </c>
      <c r="Y442" s="412"/>
      <c r="Z442" s="412"/>
      <c r="AA442" s="412"/>
      <c r="AB442" s="412"/>
      <c r="AC442" s="412"/>
      <c r="AD442" s="412"/>
      <c r="AE442" s="412"/>
      <c r="AF442" s="412"/>
      <c r="AG442" s="412"/>
      <c r="AH442" s="412"/>
      <c r="AI442" s="412"/>
      <c r="AJ442" s="412">
        <f t="shared" si="20"/>
        <v>100</v>
      </c>
      <c r="AK442" s="198" t="s">
        <v>1253</v>
      </c>
      <c r="AL442" s="250" t="s">
        <v>2067</v>
      </c>
    </row>
    <row r="443" spans="1:39" ht="14.1" customHeight="1" x14ac:dyDescent="0.2">
      <c r="A443" t="s">
        <v>884</v>
      </c>
      <c r="B443" s="193">
        <v>4102</v>
      </c>
      <c r="C443" s="194" t="s">
        <v>794</v>
      </c>
      <c r="D443" s="229" t="s">
        <v>1518</v>
      </c>
      <c r="E443" s="229" t="s">
        <v>6</v>
      </c>
      <c r="F443" s="236">
        <v>100</v>
      </c>
      <c r="G443" s="196">
        <v>1</v>
      </c>
      <c r="H443" s="195">
        <v>100</v>
      </c>
      <c r="I443" s="197">
        <v>41294</v>
      </c>
      <c r="J443" s="197" t="str">
        <f t="shared" si="21"/>
        <v>ok</v>
      </c>
      <c r="K443" s="413"/>
      <c r="L443" s="413"/>
      <c r="M443" s="413"/>
      <c r="N443" s="413"/>
      <c r="O443" s="413"/>
      <c r="P443" s="413"/>
      <c r="Q443" s="413"/>
      <c r="R443" s="413"/>
      <c r="S443" s="413"/>
      <c r="T443" s="413"/>
      <c r="U443" s="413"/>
      <c r="V443" s="413"/>
      <c r="W443" s="413">
        <f t="shared" si="19"/>
        <v>0</v>
      </c>
      <c r="X443" s="412">
        <v>100</v>
      </c>
      <c r="Y443" s="412"/>
      <c r="Z443" s="412"/>
      <c r="AA443" s="412"/>
      <c r="AB443" s="412"/>
      <c r="AC443" s="412"/>
      <c r="AD443" s="412"/>
      <c r="AE443" s="412"/>
      <c r="AF443" s="412"/>
      <c r="AG443" s="412"/>
      <c r="AH443" s="412"/>
      <c r="AI443" s="412"/>
      <c r="AJ443" s="412">
        <f t="shared" si="20"/>
        <v>100</v>
      </c>
      <c r="AK443" s="198"/>
      <c r="AL443" s="250" t="s">
        <v>2067</v>
      </c>
    </row>
    <row r="444" spans="1:39" ht="14.1" customHeight="1" x14ac:dyDescent="0.2">
      <c r="A444" t="s">
        <v>894</v>
      </c>
      <c r="B444" s="193">
        <v>4103</v>
      </c>
      <c r="C444" s="194" t="s">
        <v>1177</v>
      </c>
      <c r="D444" s="229" t="s">
        <v>1519</v>
      </c>
      <c r="E444" s="229" t="s">
        <v>1227</v>
      </c>
      <c r="F444" s="236">
        <v>150</v>
      </c>
      <c r="G444" s="196">
        <v>1</v>
      </c>
      <c r="H444" s="195">
        <v>450</v>
      </c>
      <c r="I444" s="197">
        <v>41294</v>
      </c>
      <c r="J444" s="197" t="str">
        <f t="shared" si="21"/>
        <v>ok</v>
      </c>
      <c r="K444" s="413"/>
      <c r="L444" s="413"/>
      <c r="M444" s="413"/>
      <c r="N444" s="413"/>
      <c r="O444" s="413"/>
      <c r="P444" s="413"/>
      <c r="Q444" s="413"/>
      <c r="R444" s="413"/>
      <c r="S444" s="413"/>
      <c r="T444" s="413">
        <v>150</v>
      </c>
      <c r="U444" s="413">
        <v>150</v>
      </c>
      <c r="V444" s="413">
        <v>150</v>
      </c>
      <c r="W444" s="413">
        <f t="shared" si="19"/>
        <v>450</v>
      </c>
      <c r="X444" s="412"/>
      <c r="Y444" s="412"/>
      <c r="Z444" s="412"/>
      <c r="AA444" s="412"/>
      <c r="AB444" s="412"/>
      <c r="AC444" s="412"/>
      <c r="AD444" s="412"/>
      <c r="AE444" s="412"/>
      <c r="AF444" s="412"/>
      <c r="AG444" s="412"/>
      <c r="AH444" s="412"/>
      <c r="AI444" s="412"/>
      <c r="AJ444" s="412">
        <f t="shared" si="20"/>
        <v>0</v>
      </c>
      <c r="AK444" s="198" t="s">
        <v>1243</v>
      </c>
      <c r="AL444" s="250" t="s">
        <v>2067</v>
      </c>
    </row>
    <row r="445" spans="1:39" ht="14.1" customHeight="1" x14ac:dyDescent="0.2">
      <c r="A445" t="s">
        <v>890</v>
      </c>
      <c r="B445" s="193">
        <v>4104</v>
      </c>
      <c r="C445" s="194" t="s">
        <v>995</v>
      </c>
      <c r="D445" s="229" t="s">
        <v>1520</v>
      </c>
      <c r="E445" s="229" t="s">
        <v>484</v>
      </c>
      <c r="F445" s="236">
        <v>150</v>
      </c>
      <c r="G445" s="196">
        <v>1</v>
      </c>
      <c r="H445" s="195">
        <v>150</v>
      </c>
      <c r="I445" s="197">
        <v>41294</v>
      </c>
      <c r="J445" s="197" t="str">
        <f t="shared" si="21"/>
        <v>ok</v>
      </c>
      <c r="K445" s="413"/>
      <c r="L445" s="413"/>
      <c r="M445" s="413"/>
      <c r="N445" s="413"/>
      <c r="O445" s="413"/>
      <c r="P445" s="413"/>
      <c r="Q445" s="413"/>
      <c r="R445" s="413"/>
      <c r="S445" s="413"/>
      <c r="T445" s="413"/>
      <c r="U445" s="413"/>
      <c r="V445" s="413"/>
      <c r="W445" s="413">
        <f t="shared" si="19"/>
        <v>0</v>
      </c>
      <c r="X445" s="412">
        <v>150</v>
      </c>
      <c r="Y445" s="412"/>
      <c r="Z445" s="412"/>
      <c r="AA445" s="412"/>
      <c r="AB445" s="412"/>
      <c r="AC445" s="412"/>
      <c r="AD445" s="412"/>
      <c r="AE445" s="412"/>
      <c r="AF445" s="412"/>
      <c r="AG445" s="412"/>
      <c r="AH445" s="412"/>
      <c r="AI445" s="412"/>
      <c r="AJ445" s="412">
        <f t="shared" si="20"/>
        <v>150</v>
      </c>
      <c r="AK445" s="198"/>
      <c r="AL445" s="250" t="s">
        <v>2067</v>
      </c>
    </row>
    <row r="446" spans="1:39" ht="14.1" customHeight="1" x14ac:dyDescent="0.2">
      <c r="A446" t="s">
        <v>890</v>
      </c>
      <c r="B446" s="193">
        <v>4105</v>
      </c>
      <c r="C446" s="194" t="s">
        <v>1035</v>
      </c>
      <c r="D446" s="229" t="s">
        <v>1521</v>
      </c>
      <c r="E446" s="229" t="s">
        <v>540</v>
      </c>
      <c r="F446" s="236">
        <v>300</v>
      </c>
      <c r="G446" s="196">
        <v>1</v>
      </c>
      <c r="H446" s="195">
        <v>300</v>
      </c>
      <c r="I446" s="197">
        <v>41294</v>
      </c>
      <c r="J446" s="197" t="str">
        <f t="shared" si="21"/>
        <v>ok</v>
      </c>
      <c r="K446" s="413"/>
      <c r="L446" s="413"/>
      <c r="M446" s="413"/>
      <c r="N446" s="413"/>
      <c r="O446" s="413"/>
      <c r="P446" s="413"/>
      <c r="Q446" s="413"/>
      <c r="R446" s="413"/>
      <c r="S446" s="413"/>
      <c r="T446" s="413"/>
      <c r="U446" s="413"/>
      <c r="V446" s="413"/>
      <c r="W446" s="413">
        <f t="shared" si="19"/>
        <v>0</v>
      </c>
      <c r="X446" s="412">
        <v>300</v>
      </c>
      <c r="Y446" s="412"/>
      <c r="Z446" s="412"/>
      <c r="AA446" s="412"/>
      <c r="AB446" s="412"/>
      <c r="AC446" s="412"/>
      <c r="AD446" s="412"/>
      <c r="AE446" s="412"/>
      <c r="AF446" s="412"/>
      <c r="AG446" s="412"/>
      <c r="AH446" s="412"/>
      <c r="AI446" s="412"/>
      <c r="AJ446" s="412">
        <f t="shared" si="20"/>
        <v>300</v>
      </c>
      <c r="AK446" s="198"/>
      <c r="AL446" s="250" t="s">
        <v>2067</v>
      </c>
    </row>
    <row r="447" spans="1:39" ht="14.1" customHeight="1" x14ac:dyDescent="0.2">
      <c r="A447" t="s">
        <v>888</v>
      </c>
      <c r="B447" s="193">
        <v>4106</v>
      </c>
      <c r="C447" s="194" t="s">
        <v>790</v>
      </c>
      <c r="D447" s="229" t="s">
        <v>1522</v>
      </c>
      <c r="E447" s="229" t="s">
        <v>384</v>
      </c>
      <c r="F447" s="236">
        <v>300</v>
      </c>
      <c r="G447" s="196">
        <v>1</v>
      </c>
      <c r="H447" s="195">
        <v>600</v>
      </c>
      <c r="I447" s="197">
        <v>41294</v>
      </c>
      <c r="J447" s="197" t="str">
        <f t="shared" si="21"/>
        <v>ok</v>
      </c>
      <c r="K447" s="413"/>
      <c r="L447" s="413"/>
      <c r="M447" s="413"/>
      <c r="N447" s="413"/>
      <c r="O447" s="413"/>
      <c r="P447" s="413"/>
      <c r="Q447" s="413"/>
      <c r="R447" s="413"/>
      <c r="S447" s="413"/>
      <c r="T447" s="413"/>
      <c r="U447" s="413"/>
      <c r="V447" s="413"/>
      <c r="W447" s="413">
        <f t="shared" si="19"/>
        <v>0</v>
      </c>
      <c r="X447" s="412">
        <v>300</v>
      </c>
      <c r="Y447" s="412">
        <v>300</v>
      </c>
      <c r="Z447" s="412"/>
      <c r="AA447" s="412"/>
      <c r="AB447" s="412"/>
      <c r="AC447" s="412"/>
      <c r="AD447" s="412"/>
      <c r="AE447" s="412"/>
      <c r="AF447" s="412"/>
      <c r="AG447" s="412"/>
      <c r="AH447" s="412"/>
      <c r="AI447" s="412"/>
      <c r="AJ447" s="412">
        <f t="shared" si="20"/>
        <v>600</v>
      </c>
      <c r="AK447" s="198"/>
      <c r="AL447" s="250" t="s">
        <v>2067</v>
      </c>
    </row>
    <row r="448" spans="1:39" ht="14.1" customHeight="1" x14ac:dyDescent="0.2">
      <c r="A448" t="s">
        <v>888</v>
      </c>
      <c r="B448" s="193">
        <v>4107</v>
      </c>
      <c r="C448" s="194" t="s">
        <v>947</v>
      </c>
      <c r="D448" s="229" t="s">
        <v>1523</v>
      </c>
      <c r="E448" s="229" t="s">
        <v>411</v>
      </c>
      <c r="F448" s="236">
        <v>300</v>
      </c>
      <c r="G448" s="196">
        <v>1</v>
      </c>
      <c r="H448" s="195">
        <v>3300</v>
      </c>
      <c r="I448" s="197">
        <v>41294</v>
      </c>
      <c r="J448" s="197" t="str">
        <f t="shared" si="21"/>
        <v>ok</v>
      </c>
      <c r="K448" s="413"/>
      <c r="L448" s="413"/>
      <c r="M448" s="413"/>
      <c r="N448" s="413"/>
      <c r="O448" s="413"/>
      <c r="P448" s="413"/>
      <c r="Q448" s="413"/>
      <c r="R448" s="413"/>
      <c r="S448" s="413"/>
      <c r="T448" s="413"/>
      <c r="U448" s="413"/>
      <c r="V448" s="413"/>
      <c r="W448" s="413">
        <f t="shared" si="19"/>
        <v>0</v>
      </c>
      <c r="X448" s="412">
        <v>300</v>
      </c>
      <c r="Y448" s="412">
        <v>300</v>
      </c>
      <c r="Z448" s="412">
        <v>300</v>
      </c>
      <c r="AA448" s="412">
        <v>300</v>
      </c>
      <c r="AB448" s="412">
        <v>300</v>
      </c>
      <c r="AC448" s="412">
        <v>300</v>
      </c>
      <c r="AD448" s="412">
        <v>300</v>
      </c>
      <c r="AE448" s="412">
        <v>300</v>
      </c>
      <c r="AF448" s="412">
        <v>300</v>
      </c>
      <c r="AG448" s="412">
        <v>300</v>
      </c>
      <c r="AH448" s="412">
        <v>300</v>
      </c>
      <c r="AI448" s="412"/>
      <c r="AJ448" s="412">
        <f t="shared" si="20"/>
        <v>3300</v>
      </c>
      <c r="AK448" s="198" t="s">
        <v>1246</v>
      </c>
      <c r="AL448" s="250" t="s">
        <v>2067</v>
      </c>
      <c r="AM448" s="158"/>
    </row>
    <row r="449" spans="1:38" ht="14.1" customHeight="1" x14ac:dyDescent="0.2">
      <c r="A449" t="s">
        <v>887</v>
      </c>
      <c r="B449" s="193">
        <v>4108</v>
      </c>
      <c r="C449" s="194" t="s">
        <v>905</v>
      </c>
      <c r="D449" s="229" t="s">
        <v>1524</v>
      </c>
      <c r="E449" s="229" t="s">
        <v>669</v>
      </c>
      <c r="F449" s="236">
        <v>150</v>
      </c>
      <c r="G449" s="196">
        <v>1</v>
      </c>
      <c r="H449" s="195">
        <v>150</v>
      </c>
      <c r="I449" s="197">
        <v>41294</v>
      </c>
      <c r="J449" s="197" t="str">
        <f t="shared" si="21"/>
        <v>ok</v>
      </c>
      <c r="K449" s="413"/>
      <c r="L449" s="413"/>
      <c r="M449" s="413"/>
      <c r="N449" s="413"/>
      <c r="O449" s="413"/>
      <c r="P449" s="413"/>
      <c r="Q449" s="413"/>
      <c r="R449" s="413"/>
      <c r="S449" s="413"/>
      <c r="T449" s="413"/>
      <c r="U449" s="413"/>
      <c r="V449" s="413"/>
      <c r="W449" s="413">
        <f t="shared" si="19"/>
        <v>0</v>
      </c>
      <c r="X449" s="412">
        <v>150</v>
      </c>
      <c r="Y449" s="412"/>
      <c r="Z449" s="412"/>
      <c r="AA449" s="412"/>
      <c r="AB449" s="412"/>
      <c r="AC449" s="412"/>
      <c r="AD449" s="412"/>
      <c r="AE449" s="412"/>
      <c r="AF449" s="412"/>
      <c r="AG449" s="412"/>
      <c r="AH449" s="412"/>
      <c r="AI449" s="412"/>
      <c r="AJ449" s="412">
        <f t="shared" si="20"/>
        <v>150</v>
      </c>
      <c r="AK449" s="198"/>
      <c r="AL449" s="250" t="s">
        <v>2067</v>
      </c>
    </row>
    <row r="450" spans="1:38" ht="14.1" customHeight="1" x14ac:dyDescent="0.2">
      <c r="A450" t="s">
        <v>888</v>
      </c>
      <c r="B450" s="193">
        <v>4109</v>
      </c>
      <c r="C450" s="194" t="s">
        <v>944</v>
      </c>
      <c r="D450" s="229" t="s">
        <v>1525</v>
      </c>
      <c r="E450" s="229" t="s">
        <v>405</v>
      </c>
      <c r="F450" s="236">
        <v>300</v>
      </c>
      <c r="G450" s="196">
        <v>1</v>
      </c>
      <c r="H450" s="195">
        <v>300</v>
      </c>
      <c r="I450" s="197">
        <v>41294</v>
      </c>
      <c r="J450" s="197" t="str">
        <f t="shared" si="21"/>
        <v>ok</v>
      </c>
      <c r="K450" s="413"/>
      <c r="L450" s="413"/>
      <c r="M450" s="413"/>
      <c r="N450" s="413"/>
      <c r="O450" s="413"/>
      <c r="P450" s="413"/>
      <c r="Q450" s="413"/>
      <c r="R450" s="413"/>
      <c r="S450" s="413"/>
      <c r="T450" s="413"/>
      <c r="U450" s="413"/>
      <c r="V450" s="413"/>
      <c r="W450" s="413">
        <f t="shared" si="19"/>
        <v>0</v>
      </c>
      <c r="X450" s="412">
        <v>300</v>
      </c>
      <c r="Y450" s="412"/>
      <c r="Z450" s="412"/>
      <c r="AA450" s="412"/>
      <c r="AB450" s="412"/>
      <c r="AC450" s="412"/>
      <c r="AD450" s="412"/>
      <c r="AE450" s="412"/>
      <c r="AF450" s="412"/>
      <c r="AG450" s="412"/>
      <c r="AH450" s="412"/>
      <c r="AI450" s="412"/>
      <c r="AJ450" s="412">
        <f t="shared" si="20"/>
        <v>300</v>
      </c>
      <c r="AK450" s="198"/>
      <c r="AL450" s="250" t="s">
        <v>2067</v>
      </c>
    </row>
    <row r="451" spans="1:38" ht="14.1" customHeight="1" x14ac:dyDescent="0.2">
      <c r="A451" t="s">
        <v>888</v>
      </c>
      <c r="B451" s="193">
        <v>4110</v>
      </c>
      <c r="C451" s="194" t="s">
        <v>966</v>
      </c>
      <c r="D451" s="229" t="s">
        <v>1526</v>
      </c>
      <c r="E451" s="229" t="s">
        <v>432</v>
      </c>
      <c r="F451" s="236">
        <v>250</v>
      </c>
      <c r="G451" s="196">
        <v>1</v>
      </c>
      <c r="H451" s="195">
        <v>500</v>
      </c>
      <c r="I451" s="197">
        <v>41294</v>
      </c>
      <c r="J451" s="197" t="str">
        <f t="shared" si="21"/>
        <v>ok</v>
      </c>
      <c r="K451" s="413"/>
      <c r="L451" s="413"/>
      <c r="M451" s="413"/>
      <c r="N451" s="413"/>
      <c r="O451" s="413"/>
      <c r="P451" s="413"/>
      <c r="Q451" s="413"/>
      <c r="R451" s="413"/>
      <c r="S451" s="413"/>
      <c r="T451" s="413"/>
      <c r="U451" s="413"/>
      <c r="V451" s="413">
        <v>250</v>
      </c>
      <c r="W451" s="413">
        <f t="shared" si="19"/>
        <v>250</v>
      </c>
      <c r="X451" s="412">
        <v>250</v>
      </c>
      <c r="Y451" s="412"/>
      <c r="Z451" s="412"/>
      <c r="AA451" s="412"/>
      <c r="AB451" s="412"/>
      <c r="AC451" s="412"/>
      <c r="AD451" s="412"/>
      <c r="AE451" s="412"/>
      <c r="AF451" s="412"/>
      <c r="AG451" s="412"/>
      <c r="AH451" s="412"/>
      <c r="AI451" s="412"/>
      <c r="AJ451" s="412">
        <f t="shared" si="20"/>
        <v>250</v>
      </c>
      <c r="AK451" s="198" t="s">
        <v>1236</v>
      </c>
      <c r="AL451" s="250" t="s">
        <v>2067</v>
      </c>
    </row>
    <row r="452" spans="1:38" ht="14.1" customHeight="1" x14ac:dyDescent="0.2">
      <c r="A452" t="s">
        <v>884</v>
      </c>
      <c r="B452" s="193">
        <v>4111</v>
      </c>
      <c r="C452" s="194" t="s">
        <v>858</v>
      </c>
      <c r="D452" s="229" t="s">
        <v>1527</v>
      </c>
      <c r="E452" s="229" t="s">
        <v>103</v>
      </c>
      <c r="F452" s="236">
        <v>300</v>
      </c>
      <c r="G452" s="196">
        <v>1</v>
      </c>
      <c r="H452" s="195">
        <v>300</v>
      </c>
      <c r="I452" s="197">
        <v>41294</v>
      </c>
      <c r="J452" s="197" t="str">
        <f t="shared" si="21"/>
        <v>ok</v>
      </c>
      <c r="K452" s="413"/>
      <c r="L452" s="413"/>
      <c r="M452" s="413"/>
      <c r="N452" s="413"/>
      <c r="O452" s="413"/>
      <c r="P452" s="413"/>
      <c r="Q452" s="413"/>
      <c r="R452" s="413"/>
      <c r="S452" s="413"/>
      <c r="T452" s="413"/>
      <c r="U452" s="413"/>
      <c r="V452" s="413"/>
      <c r="W452" s="413">
        <f t="shared" si="19"/>
        <v>0</v>
      </c>
      <c r="X452" s="412">
        <v>300</v>
      </c>
      <c r="Y452" s="412"/>
      <c r="Z452" s="412"/>
      <c r="AA452" s="412"/>
      <c r="AB452" s="412"/>
      <c r="AC452" s="412"/>
      <c r="AD452" s="412"/>
      <c r="AE452" s="412"/>
      <c r="AF452" s="412"/>
      <c r="AG452" s="412"/>
      <c r="AH452" s="412"/>
      <c r="AI452" s="412"/>
      <c r="AJ452" s="412">
        <f t="shared" si="20"/>
        <v>300</v>
      </c>
      <c r="AK452" s="198"/>
      <c r="AL452" s="250" t="s">
        <v>2067</v>
      </c>
    </row>
    <row r="453" spans="1:38" ht="14.1" customHeight="1" x14ac:dyDescent="0.2">
      <c r="A453" t="s">
        <v>893</v>
      </c>
      <c r="B453" s="193">
        <v>4112</v>
      </c>
      <c r="C453" s="194" t="s">
        <v>1139</v>
      </c>
      <c r="D453" s="229" t="s">
        <v>1528</v>
      </c>
      <c r="E453" s="229" t="s">
        <v>313</v>
      </c>
      <c r="F453" s="236">
        <v>300</v>
      </c>
      <c r="G453" s="196">
        <v>1</v>
      </c>
      <c r="H453" s="195">
        <v>300</v>
      </c>
      <c r="I453" s="197">
        <v>41294</v>
      </c>
      <c r="J453" s="197" t="str">
        <f t="shared" si="21"/>
        <v>ok</v>
      </c>
      <c r="K453" s="413"/>
      <c r="L453" s="413"/>
      <c r="M453" s="413"/>
      <c r="N453" s="413"/>
      <c r="O453" s="413"/>
      <c r="P453" s="413"/>
      <c r="Q453" s="413"/>
      <c r="R453" s="413"/>
      <c r="S453" s="413"/>
      <c r="T453" s="413"/>
      <c r="U453" s="413"/>
      <c r="V453" s="413"/>
      <c r="W453" s="413">
        <f t="shared" si="19"/>
        <v>0</v>
      </c>
      <c r="X453" s="412">
        <v>300</v>
      </c>
      <c r="Y453" s="412"/>
      <c r="Z453" s="412"/>
      <c r="AA453" s="412"/>
      <c r="AB453" s="412"/>
      <c r="AC453" s="412"/>
      <c r="AD453" s="412"/>
      <c r="AE453" s="412"/>
      <c r="AF453" s="412"/>
      <c r="AG453" s="412"/>
      <c r="AH453" s="412"/>
      <c r="AI453" s="412"/>
      <c r="AJ453" s="412">
        <f t="shared" si="20"/>
        <v>300</v>
      </c>
      <c r="AK453" s="198"/>
      <c r="AL453" s="250" t="s">
        <v>2067</v>
      </c>
    </row>
    <row r="454" spans="1:38" ht="14.1" customHeight="1" x14ac:dyDescent="0.2">
      <c r="A454" t="s">
        <v>884</v>
      </c>
      <c r="B454" s="193">
        <v>4113</v>
      </c>
      <c r="C454" s="194" t="s">
        <v>801</v>
      </c>
      <c r="D454" s="229" t="s">
        <v>1529</v>
      </c>
      <c r="E454" s="229" t="s">
        <v>704</v>
      </c>
      <c r="F454" s="236">
        <v>300</v>
      </c>
      <c r="G454" s="196">
        <v>1</v>
      </c>
      <c r="H454" s="195">
        <v>600</v>
      </c>
      <c r="I454" s="197">
        <v>41294</v>
      </c>
      <c r="J454" s="197" t="str">
        <f t="shared" si="21"/>
        <v>ok</v>
      </c>
      <c r="K454" s="413"/>
      <c r="L454" s="413"/>
      <c r="M454" s="413"/>
      <c r="N454" s="413"/>
      <c r="O454" s="413"/>
      <c r="P454" s="413"/>
      <c r="Q454" s="413"/>
      <c r="R454" s="413"/>
      <c r="S454" s="413"/>
      <c r="T454" s="413"/>
      <c r="U454" s="413"/>
      <c r="V454" s="413">
        <v>300</v>
      </c>
      <c r="W454" s="413">
        <f t="shared" si="19"/>
        <v>300</v>
      </c>
      <c r="X454" s="412">
        <v>300</v>
      </c>
      <c r="Y454" s="412"/>
      <c r="Z454" s="412"/>
      <c r="AA454" s="412"/>
      <c r="AB454" s="412"/>
      <c r="AC454" s="412"/>
      <c r="AD454" s="412"/>
      <c r="AE454" s="412"/>
      <c r="AF454" s="412"/>
      <c r="AG454" s="412"/>
      <c r="AH454" s="412"/>
      <c r="AI454" s="412"/>
      <c r="AJ454" s="412">
        <f t="shared" si="20"/>
        <v>300</v>
      </c>
      <c r="AK454" s="198" t="s">
        <v>1236</v>
      </c>
      <c r="AL454" s="250" t="s">
        <v>2067</v>
      </c>
    </row>
    <row r="455" spans="1:38" ht="14.1" customHeight="1" x14ac:dyDescent="0.2">
      <c r="A455" t="s">
        <v>884</v>
      </c>
      <c r="B455" s="193">
        <v>4114</v>
      </c>
      <c r="C455" s="194" t="s">
        <v>819</v>
      </c>
      <c r="D455" s="229" t="s">
        <v>1530</v>
      </c>
      <c r="E455" s="229" t="s">
        <v>1183</v>
      </c>
      <c r="F455" s="236">
        <v>200</v>
      </c>
      <c r="G455" s="196">
        <v>1</v>
      </c>
      <c r="H455" s="195">
        <v>200</v>
      </c>
      <c r="I455" s="197">
        <v>41294</v>
      </c>
      <c r="J455" s="197" t="str">
        <f t="shared" si="21"/>
        <v>ok</v>
      </c>
      <c r="K455" s="413"/>
      <c r="L455" s="413"/>
      <c r="M455" s="413"/>
      <c r="N455" s="413"/>
      <c r="O455" s="413"/>
      <c r="P455" s="413"/>
      <c r="Q455" s="413"/>
      <c r="R455" s="413"/>
      <c r="S455" s="413"/>
      <c r="T455" s="413"/>
      <c r="U455" s="413"/>
      <c r="V455" s="413"/>
      <c r="W455" s="413">
        <f t="shared" ref="W455:W518" si="22">SUM(K455:V455)</f>
        <v>0</v>
      </c>
      <c r="X455" s="412">
        <v>200</v>
      </c>
      <c r="Y455" s="412"/>
      <c r="Z455" s="412"/>
      <c r="AA455" s="412"/>
      <c r="AB455" s="412"/>
      <c r="AC455" s="412"/>
      <c r="AD455" s="412"/>
      <c r="AE455" s="412"/>
      <c r="AF455" s="412"/>
      <c r="AG455" s="412"/>
      <c r="AH455" s="412"/>
      <c r="AI455" s="412"/>
      <c r="AJ455" s="412">
        <f t="shared" ref="AJ455:AJ518" si="23">SUM(X455:AI455)</f>
        <v>200</v>
      </c>
      <c r="AK455" s="198"/>
      <c r="AL455" s="250" t="s">
        <v>2067</v>
      </c>
    </row>
    <row r="456" spans="1:38" ht="14.1" customHeight="1" x14ac:dyDescent="0.2">
      <c r="A456" t="s">
        <v>893</v>
      </c>
      <c r="B456" s="193">
        <v>4115</v>
      </c>
      <c r="C456" s="194" t="s">
        <v>1129</v>
      </c>
      <c r="D456" s="229" t="s">
        <v>1369</v>
      </c>
      <c r="E456" s="229" t="s">
        <v>296</v>
      </c>
      <c r="F456" s="236">
        <v>300</v>
      </c>
      <c r="G456" s="196">
        <v>1</v>
      </c>
      <c r="H456" s="195">
        <v>300</v>
      </c>
      <c r="I456" s="197">
        <v>41294</v>
      </c>
      <c r="J456" s="197" t="str">
        <f t="shared" si="21"/>
        <v>ok</v>
      </c>
      <c r="K456" s="413"/>
      <c r="L456" s="413"/>
      <c r="M456" s="413"/>
      <c r="N456" s="413"/>
      <c r="O456" s="413"/>
      <c r="P456" s="413"/>
      <c r="Q456" s="413"/>
      <c r="R456" s="413"/>
      <c r="S456" s="413"/>
      <c r="T456" s="413"/>
      <c r="U456" s="413"/>
      <c r="V456" s="413"/>
      <c r="W456" s="413">
        <f t="shared" si="22"/>
        <v>0</v>
      </c>
      <c r="X456" s="412">
        <v>300</v>
      </c>
      <c r="Y456" s="412"/>
      <c r="Z456" s="412"/>
      <c r="AA456" s="412"/>
      <c r="AB456" s="412"/>
      <c r="AC456" s="412"/>
      <c r="AD456" s="412"/>
      <c r="AE456" s="412"/>
      <c r="AF456" s="412"/>
      <c r="AG456" s="412"/>
      <c r="AH456" s="412"/>
      <c r="AI456" s="412"/>
      <c r="AJ456" s="412">
        <f t="shared" si="23"/>
        <v>300</v>
      </c>
      <c r="AK456" s="198"/>
      <c r="AL456" s="250" t="s">
        <v>2067</v>
      </c>
    </row>
    <row r="457" spans="1:38" ht="14.1" customHeight="1" x14ac:dyDescent="0.2">
      <c r="A457" t="s">
        <v>893</v>
      </c>
      <c r="B457" s="193">
        <v>4116</v>
      </c>
      <c r="C457" s="194" t="s">
        <v>1113</v>
      </c>
      <c r="D457" s="229" t="s">
        <v>1531</v>
      </c>
      <c r="E457" s="229" t="s">
        <v>57</v>
      </c>
      <c r="F457" s="236">
        <v>150</v>
      </c>
      <c r="G457" s="196">
        <v>1</v>
      </c>
      <c r="H457" s="195">
        <v>150</v>
      </c>
      <c r="I457" s="197">
        <v>41294</v>
      </c>
      <c r="J457" s="197" t="str">
        <f t="shared" si="21"/>
        <v>ok</v>
      </c>
      <c r="K457" s="413"/>
      <c r="L457" s="413"/>
      <c r="M457" s="413"/>
      <c r="N457" s="413"/>
      <c r="O457" s="413"/>
      <c r="P457" s="413"/>
      <c r="Q457" s="413"/>
      <c r="R457" s="413"/>
      <c r="S457" s="413"/>
      <c r="T457" s="413"/>
      <c r="U457" s="413"/>
      <c r="V457" s="413"/>
      <c r="W457" s="413">
        <f t="shared" si="22"/>
        <v>0</v>
      </c>
      <c r="X457" s="412">
        <v>150</v>
      </c>
      <c r="Y457" s="412"/>
      <c r="Z457" s="412"/>
      <c r="AA457" s="412"/>
      <c r="AB457" s="412"/>
      <c r="AC457" s="412"/>
      <c r="AD457" s="412"/>
      <c r="AE457" s="412"/>
      <c r="AF457" s="412"/>
      <c r="AG457" s="412"/>
      <c r="AH457" s="412"/>
      <c r="AI457" s="412"/>
      <c r="AJ457" s="412">
        <f t="shared" si="23"/>
        <v>150</v>
      </c>
      <c r="AK457" s="198"/>
      <c r="AL457" s="250" t="s">
        <v>2067</v>
      </c>
    </row>
    <row r="458" spans="1:38" ht="14.1" customHeight="1" x14ac:dyDescent="0.2">
      <c r="A458" t="s">
        <v>890</v>
      </c>
      <c r="B458" s="193">
        <v>4117</v>
      </c>
      <c r="C458" s="194" t="s">
        <v>1034</v>
      </c>
      <c r="D458" s="229" t="s">
        <v>1532</v>
      </c>
      <c r="E458" s="229" t="s">
        <v>539</v>
      </c>
      <c r="F458" s="236">
        <v>300</v>
      </c>
      <c r="G458" s="196">
        <v>1</v>
      </c>
      <c r="H458" s="195">
        <v>300</v>
      </c>
      <c r="I458" s="197">
        <v>41294</v>
      </c>
      <c r="J458" s="197" t="str">
        <f t="shared" si="21"/>
        <v>ok</v>
      </c>
      <c r="K458" s="413"/>
      <c r="L458" s="413"/>
      <c r="M458" s="413"/>
      <c r="N458" s="413"/>
      <c r="O458" s="413"/>
      <c r="P458" s="413"/>
      <c r="Q458" s="413"/>
      <c r="R458" s="413"/>
      <c r="S458" s="413"/>
      <c r="T458" s="413"/>
      <c r="U458" s="413"/>
      <c r="V458" s="413"/>
      <c r="W458" s="413">
        <f t="shared" si="22"/>
        <v>0</v>
      </c>
      <c r="X458" s="412">
        <v>300</v>
      </c>
      <c r="Y458" s="412"/>
      <c r="Z458" s="412"/>
      <c r="AA458" s="412"/>
      <c r="AB458" s="412"/>
      <c r="AC458" s="412"/>
      <c r="AD458" s="412"/>
      <c r="AE458" s="412"/>
      <c r="AF458" s="412"/>
      <c r="AG458" s="412"/>
      <c r="AH458" s="412"/>
      <c r="AI458" s="412"/>
      <c r="AJ458" s="412">
        <f t="shared" si="23"/>
        <v>300</v>
      </c>
      <c r="AK458" s="198"/>
      <c r="AL458" s="250" t="s">
        <v>2067</v>
      </c>
    </row>
    <row r="459" spans="1:38" ht="14.1" customHeight="1" x14ac:dyDescent="0.2">
      <c r="A459" t="s">
        <v>893</v>
      </c>
      <c r="B459" s="193">
        <v>4118</v>
      </c>
      <c r="C459" s="194" t="s">
        <v>1109</v>
      </c>
      <c r="D459" s="229" t="s">
        <v>1533</v>
      </c>
      <c r="E459" s="229" t="s">
        <v>1358</v>
      </c>
      <c r="F459" s="236">
        <v>300</v>
      </c>
      <c r="G459" s="196">
        <v>1</v>
      </c>
      <c r="H459" s="195">
        <v>300</v>
      </c>
      <c r="I459" s="197">
        <v>41294</v>
      </c>
      <c r="J459" s="197" t="str">
        <f t="shared" si="21"/>
        <v>ok</v>
      </c>
      <c r="K459" s="413"/>
      <c r="L459" s="413"/>
      <c r="M459" s="413"/>
      <c r="N459" s="413"/>
      <c r="O459" s="413"/>
      <c r="P459" s="413"/>
      <c r="Q459" s="413"/>
      <c r="R459" s="413"/>
      <c r="S459" s="413"/>
      <c r="T459" s="413"/>
      <c r="U459" s="413"/>
      <c r="V459" s="413"/>
      <c r="W459" s="413">
        <f t="shared" si="22"/>
        <v>0</v>
      </c>
      <c r="X459" s="412">
        <v>300</v>
      </c>
      <c r="Y459" s="412"/>
      <c r="Z459" s="412"/>
      <c r="AA459" s="412"/>
      <c r="AB459" s="412"/>
      <c r="AC459" s="412"/>
      <c r="AD459" s="412"/>
      <c r="AE459" s="412"/>
      <c r="AF459" s="412"/>
      <c r="AG459" s="412"/>
      <c r="AH459" s="412"/>
      <c r="AI459" s="412"/>
      <c r="AJ459" s="412">
        <f t="shared" si="23"/>
        <v>300</v>
      </c>
      <c r="AK459" s="198"/>
      <c r="AL459" s="250" t="s">
        <v>2067</v>
      </c>
    </row>
    <row r="460" spans="1:38" ht="14.1" customHeight="1" x14ac:dyDescent="0.2">
      <c r="A460" t="s">
        <v>890</v>
      </c>
      <c r="B460" s="193">
        <v>4119</v>
      </c>
      <c r="C460" s="194" t="s">
        <v>1025</v>
      </c>
      <c r="D460" s="229" t="s">
        <v>1378</v>
      </c>
      <c r="E460" s="229" t="s">
        <v>525</v>
      </c>
      <c r="F460" s="236">
        <v>300</v>
      </c>
      <c r="G460" s="196">
        <v>1</v>
      </c>
      <c r="H460" s="195">
        <v>300</v>
      </c>
      <c r="I460" s="197">
        <v>41294</v>
      </c>
      <c r="J460" s="197" t="str">
        <f t="shared" si="21"/>
        <v>ok</v>
      </c>
      <c r="K460" s="413"/>
      <c r="L460" s="413"/>
      <c r="M460" s="413"/>
      <c r="N460" s="413"/>
      <c r="O460" s="413"/>
      <c r="P460" s="413"/>
      <c r="Q460" s="413"/>
      <c r="R460" s="413"/>
      <c r="S460" s="413"/>
      <c r="T460" s="413"/>
      <c r="U460" s="413"/>
      <c r="V460" s="413"/>
      <c r="W460" s="413">
        <f t="shared" si="22"/>
        <v>0</v>
      </c>
      <c r="X460" s="412">
        <v>300</v>
      </c>
      <c r="Y460" s="412"/>
      <c r="Z460" s="412"/>
      <c r="AA460" s="412"/>
      <c r="AB460" s="412"/>
      <c r="AC460" s="412"/>
      <c r="AD460" s="412"/>
      <c r="AE460" s="412"/>
      <c r="AF460" s="412"/>
      <c r="AG460" s="412"/>
      <c r="AH460" s="412"/>
      <c r="AI460" s="412"/>
      <c r="AJ460" s="412">
        <f t="shared" si="23"/>
        <v>300</v>
      </c>
      <c r="AK460" s="198"/>
      <c r="AL460" s="250" t="s">
        <v>2067</v>
      </c>
    </row>
    <row r="461" spans="1:38" ht="14.1" customHeight="1" x14ac:dyDescent="0.2">
      <c r="A461" t="s">
        <v>894</v>
      </c>
      <c r="B461" s="193">
        <v>4120</v>
      </c>
      <c r="C461" s="194" t="s">
        <v>784</v>
      </c>
      <c r="D461" s="229" t="s">
        <v>1422</v>
      </c>
      <c r="E461" s="229" t="s">
        <v>595</v>
      </c>
      <c r="F461" s="236">
        <v>300</v>
      </c>
      <c r="G461" s="196">
        <v>1</v>
      </c>
      <c r="H461" s="195">
        <v>300</v>
      </c>
      <c r="I461" s="197">
        <v>41294</v>
      </c>
      <c r="J461" s="197" t="str">
        <f t="shared" si="21"/>
        <v>ok</v>
      </c>
      <c r="K461" s="413"/>
      <c r="L461" s="413"/>
      <c r="M461" s="413"/>
      <c r="N461" s="413"/>
      <c r="O461" s="413"/>
      <c r="P461" s="413"/>
      <c r="Q461" s="413"/>
      <c r="R461" s="413"/>
      <c r="S461" s="413"/>
      <c r="T461" s="413"/>
      <c r="U461" s="413"/>
      <c r="V461" s="413"/>
      <c r="W461" s="413">
        <f t="shared" si="22"/>
        <v>0</v>
      </c>
      <c r="X461" s="412">
        <v>300</v>
      </c>
      <c r="Y461" s="412"/>
      <c r="Z461" s="412"/>
      <c r="AA461" s="412"/>
      <c r="AB461" s="412"/>
      <c r="AC461" s="412"/>
      <c r="AD461" s="412"/>
      <c r="AE461" s="412"/>
      <c r="AF461" s="412"/>
      <c r="AG461" s="412"/>
      <c r="AH461" s="412"/>
      <c r="AI461" s="412"/>
      <c r="AJ461" s="412">
        <f t="shared" si="23"/>
        <v>300</v>
      </c>
      <c r="AK461" s="198"/>
      <c r="AL461" s="250" t="s">
        <v>2067</v>
      </c>
    </row>
    <row r="462" spans="1:38" ht="14.1" customHeight="1" x14ac:dyDescent="0.2">
      <c r="A462" t="s">
        <v>892</v>
      </c>
      <c r="B462" s="193">
        <v>4121</v>
      </c>
      <c r="C462" s="194" t="s">
        <v>1181</v>
      </c>
      <c r="D462" s="229" t="s">
        <v>1425</v>
      </c>
      <c r="E462" s="229" t="s">
        <v>557</v>
      </c>
      <c r="F462" s="236">
        <v>300</v>
      </c>
      <c r="G462" s="196">
        <v>3</v>
      </c>
      <c r="H462" s="195">
        <v>150</v>
      </c>
      <c r="I462" s="197">
        <v>41294</v>
      </c>
      <c r="J462" s="197" t="str">
        <f t="shared" ref="J462:J525" si="24">IF(OR(G462&lt;&gt;1,SUM(W462,AJ462)=H462),"ok","error")</f>
        <v>ok</v>
      </c>
      <c r="K462" s="413"/>
      <c r="L462" s="413"/>
      <c r="M462" s="413"/>
      <c r="N462" s="413"/>
      <c r="O462" s="413"/>
      <c r="P462" s="413"/>
      <c r="Q462" s="413"/>
      <c r="R462" s="413"/>
      <c r="S462" s="413"/>
      <c r="T462" s="413"/>
      <c r="U462" s="413"/>
      <c r="V462" s="413"/>
      <c r="W462" s="413">
        <f t="shared" si="22"/>
        <v>0</v>
      </c>
      <c r="X462" s="412"/>
      <c r="Y462" s="412"/>
      <c r="Z462" s="412"/>
      <c r="AA462" s="412"/>
      <c r="AB462" s="412"/>
      <c r="AC462" s="412"/>
      <c r="AD462" s="412"/>
      <c r="AE462" s="412"/>
      <c r="AF462" s="412"/>
      <c r="AG462" s="412"/>
      <c r="AH462" s="412"/>
      <c r="AI462" s="412"/>
      <c r="AJ462" s="412">
        <f t="shared" si="23"/>
        <v>0</v>
      </c>
      <c r="AK462" s="198"/>
      <c r="AL462" s="250" t="s">
        <v>2068</v>
      </c>
    </row>
    <row r="463" spans="1:38" ht="14.1" customHeight="1" x14ac:dyDescent="0.2">
      <c r="A463" t="s">
        <v>888</v>
      </c>
      <c r="B463" s="193">
        <v>4122</v>
      </c>
      <c r="C463" s="194" t="s">
        <v>1180</v>
      </c>
      <c r="D463" s="229" t="s">
        <v>1400</v>
      </c>
      <c r="E463" s="229" t="s">
        <v>418</v>
      </c>
      <c r="F463" s="236">
        <v>300</v>
      </c>
      <c r="G463" s="196">
        <v>3</v>
      </c>
      <c r="H463" s="195">
        <v>150</v>
      </c>
      <c r="I463" s="197">
        <v>41294</v>
      </c>
      <c r="J463" s="197" t="str">
        <f t="shared" si="24"/>
        <v>ok</v>
      </c>
      <c r="K463" s="413"/>
      <c r="L463" s="413"/>
      <c r="M463" s="413"/>
      <c r="N463" s="413"/>
      <c r="O463" s="413"/>
      <c r="P463" s="413"/>
      <c r="Q463" s="413"/>
      <c r="R463" s="413"/>
      <c r="S463" s="413"/>
      <c r="T463" s="413"/>
      <c r="U463" s="413"/>
      <c r="V463" s="413"/>
      <c r="W463" s="413">
        <f t="shared" si="22"/>
        <v>0</v>
      </c>
      <c r="X463" s="412"/>
      <c r="Y463" s="412"/>
      <c r="Z463" s="412"/>
      <c r="AA463" s="412"/>
      <c r="AB463" s="412"/>
      <c r="AC463" s="412"/>
      <c r="AD463" s="412"/>
      <c r="AE463" s="412"/>
      <c r="AF463" s="412"/>
      <c r="AG463" s="412"/>
      <c r="AH463" s="412"/>
      <c r="AI463" s="412"/>
      <c r="AJ463" s="412">
        <f t="shared" si="23"/>
        <v>0</v>
      </c>
      <c r="AK463" s="198"/>
      <c r="AL463" s="250" t="s">
        <v>2068</v>
      </c>
    </row>
    <row r="464" spans="1:38" ht="14.1" customHeight="1" x14ac:dyDescent="0.2">
      <c r="A464" t="s">
        <v>884</v>
      </c>
      <c r="B464" s="193">
        <v>4123</v>
      </c>
      <c r="C464" s="194" t="s">
        <v>831</v>
      </c>
      <c r="D464" s="229" t="s">
        <v>1534</v>
      </c>
      <c r="E464" s="229" t="s">
        <v>64</v>
      </c>
      <c r="F464" s="236">
        <v>300</v>
      </c>
      <c r="G464" s="196">
        <v>1</v>
      </c>
      <c r="H464" s="195">
        <v>300</v>
      </c>
      <c r="I464" s="197">
        <v>41294</v>
      </c>
      <c r="J464" s="197" t="str">
        <f t="shared" si="24"/>
        <v>ok</v>
      </c>
      <c r="K464" s="413"/>
      <c r="L464" s="413"/>
      <c r="M464" s="413"/>
      <c r="N464" s="413"/>
      <c r="O464" s="413"/>
      <c r="P464" s="413"/>
      <c r="Q464" s="413"/>
      <c r="R464" s="413"/>
      <c r="S464" s="413"/>
      <c r="T464" s="413"/>
      <c r="U464" s="413"/>
      <c r="V464" s="413"/>
      <c r="W464" s="413">
        <f t="shared" si="22"/>
        <v>0</v>
      </c>
      <c r="X464" s="412">
        <v>300</v>
      </c>
      <c r="Y464" s="412"/>
      <c r="Z464" s="412"/>
      <c r="AA464" s="412"/>
      <c r="AB464" s="412"/>
      <c r="AC464" s="412"/>
      <c r="AD464" s="412"/>
      <c r="AE464" s="412"/>
      <c r="AF464" s="412"/>
      <c r="AG464" s="412"/>
      <c r="AH464" s="412"/>
      <c r="AI464" s="412"/>
      <c r="AJ464" s="412">
        <f t="shared" si="23"/>
        <v>300</v>
      </c>
      <c r="AK464" s="198"/>
      <c r="AL464" s="250" t="s">
        <v>2067</v>
      </c>
    </row>
    <row r="465" spans="1:38" ht="14.1" customHeight="1" x14ac:dyDescent="0.2">
      <c r="A465" t="s">
        <v>888</v>
      </c>
      <c r="B465" s="193">
        <v>4124</v>
      </c>
      <c r="C465" s="194" t="s">
        <v>937</v>
      </c>
      <c r="D465" s="229" t="s">
        <v>1535</v>
      </c>
      <c r="E465" s="229" t="s">
        <v>392</v>
      </c>
      <c r="F465" s="236">
        <v>300</v>
      </c>
      <c r="G465" s="196">
        <v>1</v>
      </c>
      <c r="H465" s="195">
        <v>600</v>
      </c>
      <c r="I465" s="197">
        <v>41294</v>
      </c>
      <c r="J465" s="197" t="str">
        <f t="shared" si="24"/>
        <v>ok</v>
      </c>
      <c r="K465" s="413"/>
      <c r="L465" s="413"/>
      <c r="M465" s="413"/>
      <c r="N465" s="413"/>
      <c r="O465" s="413"/>
      <c r="P465" s="413"/>
      <c r="Q465" s="413"/>
      <c r="R465" s="413"/>
      <c r="S465" s="413">
        <v>300</v>
      </c>
      <c r="T465" s="413">
        <v>300</v>
      </c>
      <c r="U465" s="413"/>
      <c r="V465" s="413"/>
      <c r="W465" s="413">
        <f t="shared" si="22"/>
        <v>600</v>
      </c>
      <c r="X465" s="412"/>
      <c r="Y465" s="412"/>
      <c r="Z465" s="412"/>
      <c r="AA465" s="412"/>
      <c r="AB465" s="412"/>
      <c r="AC465" s="412"/>
      <c r="AD465" s="412"/>
      <c r="AE465" s="412"/>
      <c r="AF465" s="412"/>
      <c r="AG465" s="412"/>
      <c r="AH465" s="412"/>
      <c r="AI465" s="412"/>
      <c r="AJ465" s="412">
        <f t="shared" si="23"/>
        <v>0</v>
      </c>
      <c r="AK465" s="198" t="s">
        <v>1248</v>
      </c>
      <c r="AL465" s="250" t="s">
        <v>2067</v>
      </c>
    </row>
    <row r="466" spans="1:38" ht="14.1" customHeight="1" x14ac:dyDescent="0.2">
      <c r="A466" t="s">
        <v>890</v>
      </c>
      <c r="B466" s="193">
        <v>4125</v>
      </c>
      <c r="C466" s="194" t="s">
        <v>1036</v>
      </c>
      <c r="D466" s="229" t="s">
        <v>1536</v>
      </c>
      <c r="E466" s="229" t="s">
        <v>733</v>
      </c>
      <c r="F466" s="236">
        <v>300</v>
      </c>
      <c r="G466" s="196">
        <v>3</v>
      </c>
      <c r="H466" s="195">
        <v>150</v>
      </c>
      <c r="I466" s="197">
        <v>41294</v>
      </c>
      <c r="J466" s="197" t="str">
        <f t="shared" si="24"/>
        <v>ok</v>
      </c>
      <c r="K466" s="413"/>
      <c r="L466" s="413"/>
      <c r="M466" s="413"/>
      <c r="N466" s="413"/>
      <c r="O466" s="413"/>
      <c r="P466" s="413"/>
      <c r="Q466" s="413"/>
      <c r="R466" s="413"/>
      <c r="S466" s="413"/>
      <c r="T466" s="413"/>
      <c r="U466" s="413"/>
      <c r="V466" s="413"/>
      <c r="W466" s="413">
        <f t="shared" si="22"/>
        <v>0</v>
      </c>
      <c r="X466" s="412"/>
      <c r="Y466" s="412"/>
      <c r="Z466" s="412"/>
      <c r="AA466" s="412"/>
      <c r="AB466" s="412"/>
      <c r="AC466" s="412"/>
      <c r="AD466" s="412"/>
      <c r="AE466" s="412"/>
      <c r="AF466" s="412"/>
      <c r="AG466" s="412"/>
      <c r="AH466" s="412"/>
      <c r="AI466" s="412"/>
      <c r="AJ466" s="412">
        <f t="shared" si="23"/>
        <v>0</v>
      </c>
      <c r="AK466" s="198"/>
      <c r="AL466" s="250" t="s">
        <v>2068</v>
      </c>
    </row>
    <row r="467" spans="1:38" ht="14.1" customHeight="1" x14ac:dyDescent="0.2">
      <c r="A467" t="s">
        <v>890</v>
      </c>
      <c r="B467" s="193">
        <v>4125</v>
      </c>
      <c r="C467" s="194" t="s">
        <v>1036</v>
      </c>
      <c r="D467" s="229" t="s">
        <v>1536</v>
      </c>
      <c r="E467" s="229" t="s">
        <v>733</v>
      </c>
      <c r="F467" s="236">
        <v>300</v>
      </c>
      <c r="G467" s="196">
        <v>4</v>
      </c>
      <c r="H467" s="195">
        <v>160</v>
      </c>
      <c r="I467" s="197">
        <v>41294</v>
      </c>
      <c r="J467" s="197" t="str">
        <f t="shared" si="24"/>
        <v>ok</v>
      </c>
      <c r="K467" s="413"/>
      <c r="L467" s="413"/>
      <c r="M467" s="413"/>
      <c r="N467" s="413"/>
      <c r="O467" s="413"/>
      <c r="P467" s="413"/>
      <c r="Q467" s="413"/>
      <c r="R467" s="413"/>
      <c r="S467" s="413"/>
      <c r="T467" s="413"/>
      <c r="U467" s="413"/>
      <c r="V467" s="413"/>
      <c r="W467" s="413">
        <f t="shared" si="22"/>
        <v>0</v>
      </c>
      <c r="X467" s="412"/>
      <c r="Y467" s="412"/>
      <c r="Z467" s="412"/>
      <c r="AA467" s="412"/>
      <c r="AB467" s="412"/>
      <c r="AC467" s="412"/>
      <c r="AD467" s="412"/>
      <c r="AE467" s="412"/>
      <c r="AF467" s="412"/>
      <c r="AG467" s="412"/>
      <c r="AH467" s="412"/>
      <c r="AI467" s="412"/>
      <c r="AJ467" s="412">
        <f t="shared" si="23"/>
        <v>0</v>
      </c>
      <c r="AK467" s="198"/>
      <c r="AL467" s="250" t="s">
        <v>2068</v>
      </c>
    </row>
    <row r="468" spans="1:38" ht="14.1" customHeight="1" x14ac:dyDescent="0.2">
      <c r="A468" t="s">
        <v>893</v>
      </c>
      <c r="B468" s="193">
        <v>4126</v>
      </c>
      <c r="C468" s="194" t="s">
        <v>773</v>
      </c>
      <c r="D468" s="229" t="s">
        <v>1537</v>
      </c>
      <c r="E468" s="229" t="s">
        <v>317</v>
      </c>
      <c r="F468" s="236">
        <v>300</v>
      </c>
      <c r="G468" s="196">
        <v>1</v>
      </c>
      <c r="H468" s="195">
        <v>300</v>
      </c>
      <c r="I468" s="197">
        <v>41294</v>
      </c>
      <c r="J468" s="197" t="str">
        <f t="shared" si="24"/>
        <v>ok</v>
      </c>
      <c r="K468" s="413"/>
      <c r="L468" s="413"/>
      <c r="M468" s="413"/>
      <c r="N468" s="413"/>
      <c r="O468" s="413"/>
      <c r="P468" s="413"/>
      <c r="Q468" s="413"/>
      <c r="R468" s="413"/>
      <c r="S468" s="413"/>
      <c r="T468" s="413"/>
      <c r="U468" s="413"/>
      <c r="V468" s="413"/>
      <c r="W468" s="413">
        <f t="shared" si="22"/>
        <v>0</v>
      </c>
      <c r="X468" s="412">
        <v>300</v>
      </c>
      <c r="Y468" s="412"/>
      <c r="Z468" s="412"/>
      <c r="AA468" s="412"/>
      <c r="AB468" s="412"/>
      <c r="AC468" s="412"/>
      <c r="AD468" s="412"/>
      <c r="AE468" s="412"/>
      <c r="AF468" s="412"/>
      <c r="AG468" s="412"/>
      <c r="AH468" s="412"/>
      <c r="AI468" s="412"/>
      <c r="AJ468" s="412">
        <f t="shared" si="23"/>
        <v>300</v>
      </c>
      <c r="AK468" s="198"/>
      <c r="AL468" s="250" t="s">
        <v>2067</v>
      </c>
    </row>
    <row r="469" spans="1:38" ht="14.1" customHeight="1" x14ac:dyDescent="0.2">
      <c r="A469" t="s">
        <v>884</v>
      </c>
      <c r="B469" s="193">
        <v>4127</v>
      </c>
      <c r="C469" s="194" t="s">
        <v>840</v>
      </c>
      <c r="D469" s="229" t="s">
        <v>1538</v>
      </c>
      <c r="E469" s="229" t="s">
        <v>79</v>
      </c>
      <c r="F469" s="236">
        <v>300</v>
      </c>
      <c r="G469" s="196">
        <v>1</v>
      </c>
      <c r="H469" s="195">
        <v>300</v>
      </c>
      <c r="I469" s="197">
        <v>41294</v>
      </c>
      <c r="J469" s="197" t="str">
        <f t="shared" si="24"/>
        <v>ok</v>
      </c>
      <c r="K469" s="413"/>
      <c r="L469" s="413"/>
      <c r="M469" s="413"/>
      <c r="N469" s="413"/>
      <c r="O469" s="413"/>
      <c r="P469" s="413"/>
      <c r="Q469" s="413"/>
      <c r="R469" s="413"/>
      <c r="S469" s="413"/>
      <c r="T469" s="413"/>
      <c r="U469" s="413"/>
      <c r="V469" s="413"/>
      <c r="W469" s="413">
        <f t="shared" si="22"/>
        <v>0</v>
      </c>
      <c r="X469" s="412">
        <v>300</v>
      </c>
      <c r="Y469" s="412"/>
      <c r="Z469" s="412"/>
      <c r="AA469" s="412"/>
      <c r="AB469" s="412"/>
      <c r="AC469" s="412"/>
      <c r="AD469" s="412"/>
      <c r="AE469" s="412"/>
      <c r="AF469" s="412"/>
      <c r="AG469" s="412"/>
      <c r="AH469" s="412"/>
      <c r="AI469" s="412"/>
      <c r="AJ469" s="412">
        <f t="shared" si="23"/>
        <v>300</v>
      </c>
      <c r="AK469" s="198"/>
      <c r="AL469" s="250" t="s">
        <v>2067</v>
      </c>
    </row>
    <row r="470" spans="1:38" ht="14.1" customHeight="1" x14ac:dyDescent="0.2">
      <c r="A470" t="s">
        <v>890</v>
      </c>
      <c r="B470" s="193">
        <v>4128</v>
      </c>
      <c r="C470" s="194" t="s">
        <v>1000</v>
      </c>
      <c r="D470" s="229" t="s">
        <v>1384</v>
      </c>
      <c r="E470" s="229" t="s">
        <v>79</v>
      </c>
      <c r="F470" s="236">
        <v>300</v>
      </c>
      <c r="G470" s="196">
        <v>5</v>
      </c>
      <c r="H470" s="195">
        <v>20</v>
      </c>
      <c r="I470" s="197">
        <v>41294</v>
      </c>
      <c r="J470" s="197" t="str">
        <f t="shared" si="24"/>
        <v>ok</v>
      </c>
      <c r="K470" s="413"/>
      <c r="L470" s="413"/>
      <c r="M470" s="413"/>
      <c r="N470" s="413"/>
      <c r="O470" s="413"/>
      <c r="P470" s="413"/>
      <c r="Q470" s="413"/>
      <c r="R470" s="413"/>
      <c r="S470" s="413"/>
      <c r="T470" s="413"/>
      <c r="U470" s="413"/>
      <c r="V470" s="413"/>
      <c r="W470" s="413">
        <f t="shared" si="22"/>
        <v>0</v>
      </c>
      <c r="X470" s="412"/>
      <c r="Y470" s="412"/>
      <c r="Z470" s="412"/>
      <c r="AA470" s="412"/>
      <c r="AB470" s="412"/>
      <c r="AC470" s="412"/>
      <c r="AD470" s="412"/>
      <c r="AE470" s="412"/>
      <c r="AF470" s="412"/>
      <c r="AG470" s="412"/>
      <c r="AH470" s="412"/>
      <c r="AI470" s="412"/>
      <c r="AJ470" s="412">
        <f t="shared" si="23"/>
        <v>0</v>
      </c>
      <c r="AK470" s="198"/>
      <c r="AL470" s="250" t="s">
        <v>2068</v>
      </c>
    </row>
    <row r="471" spans="1:38" ht="14.1" customHeight="1" x14ac:dyDescent="0.2">
      <c r="A471" t="s">
        <v>888</v>
      </c>
      <c r="B471" s="193">
        <v>4129</v>
      </c>
      <c r="C471" s="194" t="s">
        <v>930</v>
      </c>
      <c r="D471" s="229" t="s">
        <v>1539</v>
      </c>
      <c r="E471" s="229" t="s">
        <v>1273</v>
      </c>
      <c r="F471" s="236">
        <v>300</v>
      </c>
      <c r="G471" s="196">
        <v>1</v>
      </c>
      <c r="H471" s="195">
        <v>300</v>
      </c>
      <c r="I471" s="197">
        <v>41294</v>
      </c>
      <c r="J471" s="197" t="str">
        <f t="shared" si="24"/>
        <v>ok</v>
      </c>
      <c r="K471" s="413"/>
      <c r="L471" s="413"/>
      <c r="M471" s="413"/>
      <c r="N471" s="413"/>
      <c r="O471" s="413"/>
      <c r="P471" s="413"/>
      <c r="Q471" s="413"/>
      <c r="R471" s="413"/>
      <c r="S471" s="413"/>
      <c r="T471" s="413"/>
      <c r="U471" s="413"/>
      <c r="V471" s="413"/>
      <c r="W471" s="413">
        <f t="shared" si="22"/>
        <v>0</v>
      </c>
      <c r="X471" s="412">
        <v>300</v>
      </c>
      <c r="Y471" s="412"/>
      <c r="Z471" s="412"/>
      <c r="AA471" s="412"/>
      <c r="AB471" s="412"/>
      <c r="AC471" s="412"/>
      <c r="AD471" s="412"/>
      <c r="AE471" s="412"/>
      <c r="AF471" s="412"/>
      <c r="AG471" s="412"/>
      <c r="AH471" s="412"/>
      <c r="AI471" s="412"/>
      <c r="AJ471" s="412">
        <f t="shared" si="23"/>
        <v>300</v>
      </c>
      <c r="AK471" s="198"/>
      <c r="AL471" s="250" t="s">
        <v>2067</v>
      </c>
    </row>
    <row r="472" spans="1:38" ht="14.1" customHeight="1" x14ac:dyDescent="0.2">
      <c r="A472" t="s">
        <v>888</v>
      </c>
      <c r="B472" s="193">
        <v>4130</v>
      </c>
      <c r="C472" s="194" t="s">
        <v>931</v>
      </c>
      <c r="D472" s="229" t="s">
        <v>1540</v>
      </c>
      <c r="E472" s="229" t="s">
        <v>720</v>
      </c>
      <c r="F472" s="236">
        <v>200</v>
      </c>
      <c r="G472" s="196">
        <v>1</v>
      </c>
      <c r="H472" s="195">
        <v>1200</v>
      </c>
      <c r="I472" s="197">
        <v>41294</v>
      </c>
      <c r="J472" s="197" t="str">
        <f t="shared" si="24"/>
        <v>ok</v>
      </c>
      <c r="K472" s="413"/>
      <c r="L472" s="413"/>
      <c r="M472" s="413"/>
      <c r="N472" s="413"/>
      <c r="O472" s="413"/>
      <c r="P472" s="413"/>
      <c r="Q472" s="413"/>
      <c r="R472" s="413"/>
      <c r="S472" s="413"/>
      <c r="T472" s="413"/>
      <c r="U472" s="413"/>
      <c r="V472" s="413"/>
      <c r="W472" s="413">
        <f t="shared" si="22"/>
        <v>0</v>
      </c>
      <c r="X472" s="412">
        <v>200</v>
      </c>
      <c r="Y472" s="412">
        <v>200</v>
      </c>
      <c r="Z472" s="412">
        <v>200</v>
      </c>
      <c r="AA472" s="412">
        <v>200</v>
      </c>
      <c r="AB472" s="412">
        <v>200</v>
      </c>
      <c r="AC472" s="412">
        <v>200</v>
      </c>
      <c r="AD472" s="412"/>
      <c r="AE472" s="412"/>
      <c r="AF472" s="412"/>
      <c r="AG472" s="412"/>
      <c r="AH472" s="412"/>
      <c r="AI472" s="412"/>
      <c r="AJ472" s="412">
        <f t="shared" si="23"/>
        <v>1200</v>
      </c>
      <c r="AK472" s="198"/>
      <c r="AL472" s="250" t="s">
        <v>2067</v>
      </c>
    </row>
    <row r="473" spans="1:38" ht="14.1" customHeight="1" x14ac:dyDescent="0.2">
      <c r="A473" t="s">
        <v>888</v>
      </c>
      <c r="B473" s="193">
        <v>4131</v>
      </c>
      <c r="C473" s="194" t="s">
        <v>931</v>
      </c>
      <c r="D473" s="229" t="s">
        <v>1540</v>
      </c>
      <c r="E473" s="229" t="s">
        <v>720</v>
      </c>
      <c r="F473" s="236">
        <v>200</v>
      </c>
      <c r="G473" s="196">
        <v>4</v>
      </c>
      <c r="H473" s="195">
        <v>160</v>
      </c>
      <c r="I473" s="197">
        <v>41294</v>
      </c>
      <c r="J473" s="197" t="str">
        <f t="shared" si="24"/>
        <v>ok</v>
      </c>
      <c r="K473" s="413"/>
      <c r="L473" s="413"/>
      <c r="M473" s="413"/>
      <c r="N473" s="413"/>
      <c r="O473" s="413"/>
      <c r="P473" s="413"/>
      <c r="Q473" s="413"/>
      <c r="R473" s="413"/>
      <c r="S473" s="413"/>
      <c r="T473" s="413"/>
      <c r="U473" s="413"/>
      <c r="V473" s="413"/>
      <c r="W473" s="413">
        <f t="shared" si="22"/>
        <v>0</v>
      </c>
      <c r="X473" s="412"/>
      <c r="Y473" s="412"/>
      <c r="Z473" s="412"/>
      <c r="AA473" s="412"/>
      <c r="AB473" s="412"/>
      <c r="AC473" s="412"/>
      <c r="AD473" s="412"/>
      <c r="AE473" s="412"/>
      <c r="AF473" s="412"/>
      <c r="AG473" s="412"/>
      <c r="AH473" s="412"/>
      <c r="AI473" s="412"/>
      <c r="AJ473" s="412">
        <f t="shared" si="23"/>
        <v>0</v>
      </c>
      <c r="AK473" s="198"/>
      <c r="AL473" s="250" t="s">
        <v>2068</v>
      </c>
    </row>
    <row r="474" spans="1:38" ht="14.1" customHeight="1" x14ac:dyDescent="0.2">
      <c r="A474" t="s">
        <v>890</v>
      </c>
      <c r="B474" s="193">
        <v>4132</v>
      </c>
      <c r="C474" s="194" t="s">
        <v>1023</v>
      </c>
      <c r="D474" s="229" t="s">
        <v>1541</v>
      </c>
      <c r="E474" s="229" t="s">
        <v>522</v>
      </c>
      <c r="F474" s="236">
        <v>300</v>
      </c>
      <c r="G474" s="196">
        <v>1</v>
      </c>
      <c r="H474" s="195">
        <v>300</v>
      </c>
      <c r="I474" s="197">
        <v>41294</v>
      </c>
      <c r="J474" s="197" t="str">
        <f t="shared" si="24"/>
        <v>ok</v>
      </c>
      <c r="K474" s="413"/>
      <c r="L474" s="413"/>
      <c r="M474" s="413"/>
      <c r="N474" s="413"/>
      <c r="O474" s="413"/>
      <c r="P474" s="413"/>
      <c r="Q474" s="413"/>
      <c r="R474" s="413"/>
      <c r="S474" s="413"/>
      <c r="T474" s="413"/>
      <c r="U474" s="413"/>
      <c r="V474" s="413"/>
      <c r="W474" s="413">
        <f t="shared" si="22"/>
        <v>0</v>
      </c>
      <c r="X474" s="412">
        <v>300</v>
      </c>
      <c r="Y474" s="412"/>
      <c r="Z474" s="412"/>
      <c r="AA474" s="412"/>
      <c r="AB474" s="412"/>
      <c r="AC474" s="412"/>
      <c r="AD474" s="412"/>
      <c r="AE474" s="412"/>
      <c r="AF474" s="412"/>
      <c r="AG474" s="412"/>
      <c r="AH474" s="412"/>
      <c r="AI474" s="412"/>
      <c r="AJ474" s="412">
        <f t="shared" si="23"/>
        <v>300</v>
      </c>
      <c r="AK474" s="198"/>
      <c r="AL474" s="250" t="s">
        <v>2067</v>
      </c>
    </row>
    <row r="475" spans="1:38" ht="14.1" customHeight="1" x14ac:dyDescent="0.2">
      <c r="A475" t="s">
        <v>890</v>
      </c>
      <c r="B475" s="193">
        <v>4133</v>
      </c>
      <c r="C475" s="194" t="s">
        <v>990</v>
      </c>
      <c r="D475" s="229" t="s">
        <v>1542</v>
      </c>
      <c r="E475" s="229" t="s">
        <v>449</v>
      </c>
      <c r="F475" s="236">
        <v>150</v>
      </c>
      <c r="G475" s="196">
        <v>1</v>
      </c>
      <c r="H475" s="195">
        <v>150</v>
      </c>
      <c r="I475" s="197">
        <v>41294</v>
      </c>
      <c r="J475" s="197" t="str">
        <f t="shared" si="24"/>
        <v>ok</v>
      </c>
      <c r="K475" s="413"/>
      <c r="L475" s="413"/>
      <c r="M475" s="413"/>
      <c r="N475" s="413"/>
      <c r="O475" s="413"/>
      <c r="P475" s="413"/>
      <c r="Q475" s="413"/>
      <c r="R475" s="413"/>
      <c r="S475" s="413"/>
      <c r="T475" s="413"/>
      <c r="U475" s="413"/>
      <c r="V475" s="413"/>
      <c r="W475" s="413">
        <f t="shared" si="22"/>
        <v>0</v>
      </c>
      <c r="X475" s="412">
        <v>150</v>
      </c>
      <c r="Y475" s="412"/>
      <c r="Z475" s="412"/>
      <c r="AA475" s="412"/>
      <c r="AB475" s="412"/>
      <c r="AC475" s="412"/>
      <c r="AD475" s="412"/>
      <c r="AE475" s="412"/>
      <c r="AF475" s="412"/>
      <c r="AG475" s="412"/>
      <c r="AH475" s="412"/>
      <c r="AI475" s="412"/>
      <c r="AJ475" s="412">
        <f t="shared" si="23"/>
        <v>150</v>
      </c>
      <c r="AK475" s="198"/>
      <c r="AL475" s="250" t="s">
        <v>2067</v>
      </c>
    </row>
    <row r="476" spans="1:38" ht="14.1" customHeight="1" x14ac:dyDescent="0.2">
      <c r="A476" t="s">
        <v>893</v>
      </c>
      <c r="B476" s="193">
        <v>4134</v>
      </c>
      <c r="C476" s="194" t="s">
        <v>1125</v>
      </c>
      <c r="D476" s="229" t="s">
        <v>1543</v>
      </c>
      <c r="E476" s="229" t="s">
        <v>286</v>
      </c>
      <c r="F476" s="236">
        <v>300</v>
      </c>
      <c r="G476" s="196">
        <v>1</v>
      </c>
      <c r="H476" s="195">
        <v>300</v>
      </c>
      <c r="I476" s="197">
        <v>41294</v>
      </c>
      <c r="J476" s="197" t="str">
        <f t="shared" si="24"/>
        <v>ok</v>
      </c>
      <c r="K476" s="413"/>
      <c r="L476" s="413"/>
      <c r="M476" s="413"/>
      <c r="N476" s="413"/>
      <c r="O476" s="413"/>
      <c r="P476" s="413"/>
      <c r="Q476" s="413"/>
      <c r="R476" s="413"/>
      <c r="S476" s="413"/>
      <c r="T476" s="413"/>
      <c r="U476" s="413"/>
      <c r="V476" s="413"/>
      <c r="W476" s="413">
        <f t="shared" si="22"/>
        <v>0</v>
      </c>
      <c r="X476" s="412">
        <v>300</v>
      </c>
      <c r="Y476" s="412"/>
      <c r="Z476" s="412"/>
      <c r="AA476" s="412"/>
      <c r="AB476" s="412"/>
      <c r="AC476" s="412"/>
      <c r="AD476" s="412"/>
      <c r="AE476" s="412"/>
      <c r="AF476" s="412"/>
      <c r="AG476" s="412"/>
      <c r="AH476" s="412"/>
      <c r="AI476" s="412"/>
      <c r="AJ476" s="412">
        <f t="shared" si="23"/>
        <v>300</v>
      </c>
      <c r="AK476" s="198"/>
      <c r="AL476" s="250" t="s">
        <v>2067</v>
      </c>
    </row>
    <row r="477" spans="1:38" ht="14.1" customHeight="1" x14ac:dyDescent="0.2">
      <c r="A477" t="s">
        <v>893</v>
      </c>
      <c r="B477" s="193">
        <v>4135</v>
      </c>
      <c r="C477" s="194" t="s">
        <v>1082</v>
      </c>
      <c r="D477" s="229" t="s">
        <v>1544</v>
      </c>
      <c r="E477" s="229" t="s">
        <v>204</v>
      </c>
      <c r="F477" s="236">
        <v>300</v>
      </c>
      <c r="G477" s="196">
        <v>1</v>
      </c>
      <c r="H477" s="195">
        <v>300</v>
      </c>
      <c r="I477" s="197">
        <v>41294</v>
      </c>
      <c r="J477" s="197" t="str">
        <f t="shared" si="24"/>
        <v>ok</v>
      </c>
      <c r="K477" s="413"/>
      <c r="L477" s="413"/>
      <c r="M477" s="413"/>
      <c r="N477" s="413"/>
      <c r="O477" s="413"/>
      <c r="P477" s="413"/>
      <c r="Q477" s="413"/>
      <c r="R477" s="413"/>
      <c r="S477" s="413"/>
      <c r="T477" s="413"/>
      <c r="U477" s="413"/>
      <c r="V477" s="413"/>
      <c r="W477" s="413">
        <f t="shared" si="22"/>
        <v>0</v>
      </c>
      <c r="X477" s="412">
        <v>300</v>
      </c>
      <c r="Y477" s="412"/>
      <c r="Z477" s="412"/>
      <c r="AA477" s="412"/>
      <c r="AB477" s="412"/>
      <c r="AC477" s="412"/>
      <c r="AD477" s="412"/>
      <c r="AE477" s="412"/>
      <c r="AF477" s="412"/>
      <c r="AG477" s="412"/>
      <c r="AH477" s="412"/>
      <c r="AI477" s="412"/>
      <c r="AJ477" s="412">
        <f t="shared" si="23"/>
        <v>300</v>
      </c>
      <c r="AK477" s="198"/>
      <c r="AL477" s="250" t="s">
        <v>2067</v>
      </c>
    </row>
    <row r="478" spans="1:38" ht="14.1" customHeight="1" x14ac:dyDescent="0.2">
      <c r="A478" t="s">
        <v>884</v>
      </c>
      <c r="B478" s="193">
        <v>4136</v>
      </c>
      <c r="C478" s="194" t="s">
        <v>848</v>
      </c>
      <c r="D478" s="229" t="s">
        <v>1545</v>
      </c>
      <c r="E478" s="229" t="s">
        <v>1206</v>
      </c>
      <c r="F478" s="236">
        <v>300</v>
      </c>
      <c r="G478" s="196">
        <v>1</v>
      </c>
      <c r="H478" s="195">
        <v>300</v>
      </c>
      <c r="I478" s="197">
        <v>41294</v>
      </c>
      <c r="J478" s="197" t="str">
        <f t="shared" si="24"/>
        <v>ok</v>
      </c>
      <c r="K478" s="413"/>
      <c r="L478" s="413"/>
      <c r="M478" s="413"/>
      <c r="N478" s="413"/>
      <c r="O478" s="413"/>
      <c r="P478" s="413"/>
      <c r="Q478" s="413"/>
      <c r="R478" s="413"/>
      <c r="S478" s="413"/>
      <c r="T478" s="413"/>
      <c r="U478" s="413"/>
      <c r="V478" s="413"/>
      <c r="W478" s="413">
        <f t="shared" si="22"/>
        <v>0</v>
      </c>
      <c r="X478" s="412">
        <v>300</v>
      </c>
      <c r="Y478" s="412"/>
      <c r="Z478" s="412"/>
      <c r="AA478" s="412"/>
      <c r="AB478" s="412"/>
      <c r="AC478" s="412"/>
      <c r="AD478" s="412"/>
      <c r="AE478" s="412"/>
      <c r="AF478" s="412"/>
      <c r="AG478" s="412"/>
      <c r="AH478" s="412"/>
      <c r="AI478" s="412"/>
      <c r="AJ478" s="412">
        <f t="shared" si="23"/>
        <v>300</v>
      </c>
      <c r="AK478" s="198"/>
      <c r="AL478" s="250" t="s">
        <v>2067</v>
      </c>
    </row>
    <row r="479" spans="1:38" ht="14.1" customHeight="1" x14ac:dyDescent="0.2">
      <c r="A479" t="s">
        <v>888</v>
      </c>
      <c r="B479" s="193">
        <v>4137</v>
      </c>
      <c r="C479" s="194" t="s">
        <v>921</v>
      </c>
      <c r="D479" s="229" t="s">
        <v>1546</v>
      </c>
      <c r="E479" s="229" t="s">
        <v>363</v>
      </c>
      <c r="F479" s="236">
        <v>300</v>
      </c>
      <c r="G479" s="196">
        <v>1</v>
      </c>
      <c r="H479" s="195">
        <v>300</v>
      </c>
      <c r="I479" s="197">
        <v>41294</v>
      </c>
      <c r="J479" s="197" t="str">
        <f t="shared" si="24"/>
        <v>ok</v>
      </c>
      <c r="K479" s="413"/>
      <c r="L479" s="413"/>
      <c r="M479" s="413"/>
      <c r="N479" s="413"/>
      <c r="O479" s="413"/>
      <c r="P479" s="413"/>
      <c r="Q479" s="413"/>
      <c r="R479" s="413"/>
      <c r="S479" s="413"/>
      <c r="T479" s="413"/>
      <c r="U479" s="413"/>
      <c r="V479" s="413"/>
      <c r="W479" s="413">
        <f t="shared" si="22"/>
        <v>0</v>
      </c>
      <c r="X479" s="412">
        <v>300</v>
      </c>
      <c r="Y479" s="412"/>
      <c r="Z479" s="412"/>
      <c r="AA479" s="412"/>
      <c r="AB479" s="412"/>
      <c r="AC479" s="412"/>
      <c r="AD479" s="412"/>
      <c r="AE479" s="412"/>
      <c r="AF479" s="412"/>
      <c r="AG479" s="412"/>
      <c r="AH479" s="412"/>
      <c r="AI479" s="412"/>
      <c r="AJ479" s="412">
        <f t="shared" si="23"/>
        <v>300</v>
      </c>
      <c r="AK479" s="198"/>
      <c r="AL479" s="250" t="s">
        <v>2067</v>
      </c>
    </row>
    <row r="480" spans="1:38" ht="14.1" customHeight="1" x14ac:dyDescent="0.2">
      <c r="A480" t="s">
        <v>893</v>
      </c>
      <c r="B480" s="193">
        <v>4138</v>
      </c>
      <c r="C480" s="194" t="s">
        <v>1071</v>
      </c>
      <c r="D480" s="229" t="s">
        <v>1547</v>
      </c>
      <c r="E480" s="229" t="s">
        <v>1255</v>
      </c>
      <c r="F480" s="236">
        <v>300</v>
      </c>
      <c r="G480" s="196">
        <v>1</v>
      </c>
      <c r="H480" s="195">
        <v>300</v>
      </c>
      <c r="I480" s="197">
        <v>41295</v>
      </c>
      <c r="J480" s="197" t="str">
        <f t="shared" si="24"/>
        <v>ok</v>
      </c>
      <c r="K480" s="413"/>
      <c r="L480" s="413"/>
      <c r="M480" s="413"/>
      <c r="N480" s="413"/>
      <c r="O480" s="413"/>
      <c r="P480" s="413"/>
      <c r="Q480" s="413"/>
      <c r="R480" s="413"/>
      <c r="S480" s="413"/>
      <c r="T480" s="413"/>
      <c r="U480" s="413"/>
      <c r="V480" s="413"/>
      <c r="W480" s="413">
        <f t="shared" si="22"/>
        <v>0</v>
      </c>
      <c r="X480" s="412">
        <v>300</v>
      </c>
      <c r="Y480" s="412"/>
      <c r="Z480" s="412"/>
      <c r="AA480" s="412"/>
      <c r="AB480" s="412"/>
      <c r="AC480" s="412"/>
      <c r="AD480" s="412"/>
      <c r="AE480" s="412"/>
      <c r="AF480" s="412"/>
      <c r="AG480" s="412"/>
      <c r="AH480" s="412"/>
      <c r="AI480" s="412"/>
      <c r="AJ480" s="412">
        <f t="shared" si="23"/>
        <v>300</v>
      </c>
      <c r="AK480" s="198"/>
      <c r="AL480" s="250" t="s">
        <v>2067</v>
      </c>
    </row>
    <row r="481" spans="1:39" ht="14.1" customHeight="1" x14ac:dyDescent="0.2">
      <c r="A481" t="s">
        <v>888</v>
      </c>
      <c r="B481" s="193">
        <v>4139</v>
      </c>
      <c r="C481" s="194" t="s">
        <v>964</v>
      </c>
      <c r="D481" s="229" t="s">
        <v>1397</v>
      </c>
      <c r="E481" s="229" t="s">
        <v>722</v>
      </c>
      <c r="F481" s="236">
        <v>300</v>
      </c>
      <c r="G481" s="196">
        <v>1</v>
      </c>
      <c r="H481" s="195">
        <v>300</v>
      </c>
      <c r="I481" s="197">
        <v>41296</v>
      </c>
      <c r="J481" s="197" t="str">
        <f t="shared" si="24"/>
        <v>ok</v>
      </c>
      <c r="K481" s="413"/>
      <c r="L481" s="413"/>
      <c r="M481" s="413"/>
      <c r="N481" s="413"/>
      <c r="O481" s="413"/>
      <c r="P481" s="413"/>
      <c r="Q481" s="413"/>
      <c r="R481" s="413"/>
      <c r="S481" s="413"/>
      <c r="T481" s="413"/>
      <c r="U481" s="413"/>
      <c r="V481" s="413">
        <v>300</v>
      </c>
      <c r="W481" s="413">
        <f t="shared" si="22"/>
        <v>300</v>
      </c>
      <c r="X481" s="412"/>
      <c r="Y481" s="412"/>
      <c r="Z481" s="412"/>
      <c r="AA481" s="412"/>
      <c r="AB481" s="412"/>
      <c r="AC481" s="412"/>
      <c r="AD481" s="412"/>
      <c r="AE481" s="412"/>
      <c r="AF481" s="412"/>
      <c r="AG481" s="412"/>
      <c r="AH481" s="412"/>
      <c r="AI481" s="412"/>
      <c r="AJ481" s="412">
        <f t="shared" si="23"/>
        <v>0</v>
      </c>
      <c r="AK481" s="198" t="s">
        <v>1240</v>
      </c>
      <c r="AL481" s="250" t="s">
        <v>2067</v>
      </c>
    </row>
    <row r="482" spans="1:39" ht="14.1" customHeight="1" x14ac:dyDescent="0.2">
      <c r="A482" t="s">
        <v>892</v>
      </c>
      <c r="B482" s="193">
        <v>4140</v>
      </c>
      <c r="C482" s="194" t="s">
        <v>1057</v>
      </c>
      <c r="D482" s="229" t="s">
        <v>1548</v>
      </c>
      <c r="E482" s="229" t="s">
        <v>46</v>
      </c>
      <c r="F482" s="236">
        <v>300</v>
      </c>
      <c r="G482" s="196">
        <v>1</v>
      </c>
      <c r="H482" s="195">
        <v>300</v>
      </c>
      <c r="I482" s="197">
        <v>41297</v>
      </c>
      <c r="J482" s="197" t="str">
        <f t="shared" si="24"/>
        <v>ok</v>
      </c>
      <c r="K482" s="413"/>
      <c r="L482" s="413"/>
      <c r="M482" s="413"/>
      <c r="N482" s="413"/>
      <c r="O482" s="413"/>
      <c r="P482" s="413"/>
      <c r="Q482" s="413"/>
      <c r="R482" s="413"/>
      <c r="S482" s="413"/>
      <c r="T482" s="413"/>
      <c r="U482" s="413"/>
      <c r="V482" s="413"/>
      <c r="W482" s="413">
        <f t="shared" si="22"/>
        <v>0</v>
      </c>
      <c r="X482" s="412">
        <v>300</v>
      </c>
      <c r="Y482" s="412"/>
      <c r="Z482" s="412"/>
      <c r="AA482" s="412"/>
      <c r="AB482" s="412"/>
      <c r="AC482" s="412"/>
      <c r="AD482" s="412"/>
      <c r="AE482" s="412"/>
      <c r="AF482" s="412"/>
      <c r="AG482" s="412"/>
      <c r="AH482" s="412"/>
      <c r="AI482" s="412"/>
      <c r="AJ482" s="412">
        <f t="shared" si="23"/>
        <v>300</v>
      </c>
      <c r="AK482" s="198"/>
      <c r="AL482" s="250" t="s">
        <v>2067</v>
      </c>
    </row>
    <row r="483" spans="1:39" ht="14.1" customHeight="1" x14ac:dyDescent="0.2">
      <c r="A483" t="s">
        <v>890</v>
      </c>
      <c r="B483" s="193">
        <v>4141</v>
      </c>
      <c r="C483" s="194" t="s">
        <v>976</v>
      </c>
      <c r="D483" s="229" t="s">
        <v>1455</v>
      </c>
      <c r="E483" s="229" t="s">
        <v>725</v>
      </c>
      <c r="F483" s="236">
        <v>150</v>
      </c>
      <c r="G483" s="196">
        <v>4</v>
      </c>
      <c r="H483" s="195">
        <v>160</v>
      </c>
      <c r="I483" s="197">
        <v>41298</v>
      </c>
      <c r="J483" s="197" t="str">
        <f t="shared" si="24"/>
        <v>ok</v>
      </c>
      <c r="K483" s="413"/>
      <c r="L483" s="413"/>
      <c r="M483" s="413"/>
      <c r="N483" s="413"/>
      <c r="O483" s="413"/>
      <c r="P483" s="413"/>
      <c r="Q483" s="413"/>
      <c r="R483" s="413"/>
      <c r="S483" s="413"/>
      <c r="T483" s="413"/>
      <c r="U483" s="413"/>
      <c r="V483" s="413"/>
      <c r="W483" s="413">
        <f t="shared" si="22"/>
        <v>0</v>
      </c>
      <c r="X483" s="412"/>
      <c r="Y483" s="412"/>
      <c r="Z483" s="412"/>
      <c r="AA483" s="412"/>
      <c r="AB483" s="412"/>
      <c r="AC483" s="412"/>
      <c r="AD483" s="412"/>
      <c r="AE483" s="412"/>
      <c r="AF483" s="412"/>
      <c r="AG483" s="412"/>
      <c r="AH483" s="412"/>
      <c r="AI483" s="412"/>
      <c r="AJ483" s="412">
        <f t="shared" si="23"/>
        <v>0</v>
      </c>
      <c r="AK483" s="198"/>
      <c r="AL483" s="250" t="s">
        <v>2068</v>
      </c>
    </row>
    <row r="484" spans="1:39" ht="14.1" customHeight="1" x14ac:dyDescent="0.2">
      <c r="A484" t="s">
        <v>884</v>
      </c>
      <c r="B484" s="193">
        <v>4142</v>
      </c>
      <c r="C484" s="194" t="s">
        <v>879</v>
      </c>
      <c r="D484" s="229" t="s">
        <v>1549</v>
      </c>
      <c r="E484" s="229" t="s">
        <v>1209</v>
      </c>
      <c r="F484" s="236">
        <v>300</v>
      </c>
      <c r="G484" s="196">
        <v>1</v>
      </c>
      <c r="H484" s="195">
        <v>3300</v>
      </c>
      <c r="I484" s="197">
        <v>41299</v>
      </c>
      <c r="J484" s="197" t="str">
        <f t="shared" si="24"/>
        <v>ok</v>
      </c>
      <c r="K484" s="413"/>
      <c r="L484" s="413"/>
      <c r="M484" s="413"/>
      <c r="N484" s="413"/>
      <c r="O484" s="413"/>
      <c r="P484" s="413"/>
      <c r="Q484" s="413"/>
      <c r="R484" s="413"/>
      <c r="S484" s="413"/>
      <c r="T484" s="413"/>
      <c r="U484" s="413"/>
      <c r="V484" s="413"/>
      <c r="W484" s="413">
        <f t="shared" si="22"/>
        <v>0</v>
      </c>
      <c r="X484" s="412">
        <v>300</v>
      </c>
      <c r="Y484" s="412">
        <v>300</v>
      </c>
      <c r="Z484" s="412">
        <v>300</v>
      </c>
      <c r="AA484" s="412">
        <v>300</v>
      </c>
      <c r="AB484" s="412">
        <v>300</v>
      </c>
      <c r="AC484" s="412">
        <v>300</v>
      </c>
      <c r="AD484" s="412">
        <v>300</v>
      </c>
      <c r="AE484" s="412">
        <v>300</v>
      </c>
      <c r="AF484" s="412">
        <v>300</v>
      </c>
      <c r="AG484" s="412">
        <v>300</v>
      </c>
      <c r="AH484" s="412">
        <v>300</v>
      </c>
      <c r="AI484" s="412"/>
      <c r="AJ484" s="412">
        <f t="shared" si="23"/>
        <v>3300</v>
      </c>
      <c r="AK484" s="198" t="s">
        <v>1246</v>
      </c>
      <c r="AL484" s="250" t="s">
        <v>2067</v>
      </c>
      <c r="AM484" s="158"/>
    </row>
    <row r="485" spans="1:39" ht="14.1" customHeight="1" x14ac:dyDescent="0.2">
      <c r="A485" t="s">
        <v>891</v>
      </c>
      <c r="B485" s="193">
        <v>4143</v>
      </c>
      <c r="C485" s="194" t="s">
        <v>1049</v>
      </c>
      <c r="D485" s="229" t="s">
        <v>1550</v>
      </c>
      <c r="E485" s="229" t="s">
        <v>649</v>
      </c>
      <c r="F485" s="236">
        <v>100</v>
      </c>
      <c r="G485" s="196">
        <v>1</v>
      </c>
      <c r="H485" s="195">
        <v>100</v>
      </c>
      <c r="I485" s="197">
        <v>41299</v>
      </c>
      <c r="J485" s="197" t="str">
        <f t="shared" si="24"/>
        <v>ok</v>
      </c>
      <c r="K485" s="413"/>
      <c r="L485" s="413"/>
      <c r="M485" s="413"/>
      <c r="N485" s="413"/>
      <c r="O485" s="413"/>
      <c r="P485" s="413"/>
      <c r="Q485" s="413"/>
      <c r="R485" s="413"/>
      <c r="S485" s="413"/>
      <c r="T485" s="413"/>
      <c r="U485" s="413"/>
      <c r="V485" s="413"/>
      <c r="W485" s="413">
        <f t="shared" si="22"/>
        <v>0</v>
      </c>
      <c r="X485" s="412">
        <v>100</v>
      </c>
      <c r="Y485" s="412"/>
      <c r="Z485" s="412"/>
      <c r="AA485" s="412"/>
      <c r="AB485" s="412"/>
      <c r="AC485" s="412"/>
      <c r="AD485" s="412"/>
      <c r="AE485" s="412"/>
      <c r="AF485" s="412"/>
      <c r="AG485" s="412"/>
      <c r="AH485" s="412"/>
      <c r="AI485" s="412"/>
      <c r="AJ485" s="412">
        <f t="shared" si="23"/>
        <v>100</v>
      </c>
      <c r="AK485" s="198"/>
      <c r="AL485" s="250" t="s">
        <v>2067</v>
      </c>
    </row>
    <row r="486" spans="1:39" ht="14.1" customHeight="1" x14ac:dyDescent="0.2">
      <c r="A486" t="s">
        <v>893</v>
      </c>
      <c r="B486" s="193">
        <v>4144</v>
      </c>
      <c r="C486" s="194" t="s">
        <v>1147</v>
      </c>
      <c r="D486" s="229" t="s">
        <v>1551</v>
      </c>
      <c r="E486" s="229" t="s">
        <v>329</v>
      </c>
      <c r="F486" s="236">
        <v>300</v>
      </c>
      <c r="G486" s="196">
        <v>1</v>
      </c>
      <c r="H486" s="195">
        <v>600</v>
      </c>
      <c r="I486" s="197">
        <v>41300</v>
      </c>
      <c r="J486" s="197" t="str">
        <f t="shared" si="24"/>
        <v>ok</v>
      </c>
      <c r="K486" s="413"/>
      <c r="L486" s="413"/>
      <c r="M486" s="413"/>
      <c r="N486" s="413"/>
      <c r="O486" s="413"/>
      <c r="P486" s="413"/>
      <c r="Q486" s="413"/>
      <c r="R486" s="413"/>
      <c r="S486" s="413"/>
      <c r="T486" s="413"/>
      <c r="U486" s="413"/>
      <c r="V486" s="413"/>
      <c r="W486" s="413">
        <f t="shared" si="22"/>
        <v>0</v>
      </c>
      <c r="X486" s="412">
        <v>300</v>
      </c>
      <c r="Y486" s="412">
        <v>300</v>
      </c>
      <c r="Z486" s="412"/>
      <c r="AA486" s="412"/>
      <c r="AB486" s="412"/>
      <c r="AC486" s="412"/>
      <c r="AD486" s="412"/>
      <c r="AE486" s="412"/>
      <c r="AF486" s="412"/>
      <c r="AG486" s="412"/>
      <c r="AH486" s="412"/>
      <c r="AI486" s="412"/>
      <c r="AJ486" s="412">
        <f t="shared" si="23"/>
        <v>600</v>
      </c>
      <c r="AK486" s="198"/>
      <c r="AL486" s="250" t="s">
        <v>2067</v>
      </c>
    </row>
    <row r="487" spans="1:39" ht="14.1" customHeight="1" x14ac:dyDescent="0.2">
      <c r="A487" t="s">
        <v>893</v>
      </c>
      <c r="B487" s="193">
        <v>4145</v>
      </c>
      <c r="C487" s="194" t="s">
        <v>1079</v>
      </c>
      <c r="D487" s="229" t="s">
        <v>1552</v>
      </c>
      <c r="E487" s="229" t="s">
        <v>198</v>
      </c>
      <c r="F487" s="236">
        <v>150</v>
      </c>
      <c r="G487" s="196">
        <v>1</v>
      </c>
      <c r="H487" s="195">
        <v>150</v>
      </c>
      <c r="I487" s="197">
        <v>41301</v>
      </c>
      <c r="J487" s="197" t="str">
        <f t="shared" si="24"/>
        <v>ok</v>
      </c>
      <c r="K487" s="413"/>
      <c r="L487" s="413"/>
      <c r="M487" s="413"/>
      <c r="N487" s="413"/>
      <c r="O487" s="413"/>
      <c r="P487" s="413"/>
      <c r="Q487" s="413"/>
      <c r="R487" s="413"/>
      <c r="S487" s="413"/>
      <c r="T487" s="413"/>
      <c r="U487" s="413"/>
      <c r="V487" s="413"/>
      <c r="W487" s="413">
        <f t="shared" si="22"/>
        <v>0</v>
      </c>
      <c r="X487" s="412">
        <v>150</v>
      </c>
      <c r="Y487" s="412"/>
      <c r="Z487" s="412"/>
      <c r="AA487" s="412"/>
      <c r="AB487" s="412"/>
      <c r="AC487" s="412"/>
      <c r="AD487" s="412"/>
      <c r="AE487" s="412"/>
      <c r="AF487" s="412"/>
      <c r="AG487" s="412"/>
      <c r="AH487" s="412"/>
      <c r="AI487" s="412"/>
      <c r="AJ487" s="412">
        <f t="shared" si="23"/>
        <v>150</v>
      </c>
      <c r="AK487" s="198"/>
      <c r="AL487" s="250" t="s">
        <v>2067</v>
      </c>
    </row>
    <row r="488" spans="1:39" ht="14.1" customHeight="1" x14ac:dyDescent="0.2">
      <c r="A488" t="s">
        <v>891</v>
      </c>
      <c r="B488" s="193">
        <v>4146</v>
      </c>
      <c r="C488" s="194" t="s">
        <v>1050</v>
      </c>
      <c r="D488" s="229" t="s">
        <v>1380</v>
      </c>
      <c r="E488" s="229" t="s">
        <v>1220</v>
      </c>
      <c r="F488" s="236">
        <v>150</v>
      </c>
      <c r="G488" s="196">
        <v>1</v>
      </c>
      <c r="H488" s="195">
        <v>150</v>
      </c>
      <c r="I488" s="197">
        <v>41301</v>
      </c>
      <c r="J488" s="197" t="str">
        <f t="shared" si="24"/>
        <v>ok</v>
      </c>
      <c r="K488" s="413"/>
      <c r="L488" s="413"/>
      <c r="M488" s="413"/>
      <c r="N488" s="413"/>
      <c r="O488" s="413"/>
      <c r="P488" s="413"/>
      <c r="Q488" s="413"/>
      <c r="R488" s="413"/>
      <c r="S488" s="413"/>
      <c r="T488" s="413"/>
      <c r="U488" s="413"/>
      <c r="V488" s="413"/>
      <c r="W488" s="413">
        <f t="shared" si="22"/>
        <v>0</v>
      </c>
      <c r="X488" s="412"/>
      <c r="Y488" s="412">
        <v>150</v>
      </c>
      <c r="Z488" s="412"/>
      <c r="AA488" s="412"/>
      <c r="AB488" s="412"/>
      <c r="AC488" s="412"/>
      <c r="AD488" s="412"/>
      <c r="AE488" s="412"/>
      <c r="AF488" s="412"/>
      <c r="AG488" s="412"/>
      <c r="AH488" s="412"/>
      <c r="AI488" s="412"/>
      <c r="AJ488" s="412">
        <f t="shared" si="23"/>
        <v>150</v>
      </c>
      <c r="AK488" s="198"/>
      <c r="AL488" s="250" t="s">
        <v>2067</v>
      </c>
    </row>
    <row r="489" spans="1:39" ht="14.1" customHeight="1" x14ac:dyDescent="0.2">
      <c r="A489" t="s">
        <v>893</v>
      </c>
      <c r="B489" s="193">
        <v>4147</v>
      </c>
      <c r="C489" s="194" t="s">
        <v>1132</v>
      </c>
      <c r="D489" s="229" t="s">
        <v>1363</v>
      </c>
      <c r="E489" s="229" t="s">
        <v>1270</v>
      </c>
      <c r="F489" s="236">
        <v>300</v>
      </c>
      <c r="G489" s="196">
        <v>1</v>
      </c>
      <c r="H489" s="195">
        <v>300</v>
      </c>
      <c r="I489" s="197">
        <v>41301</v>
      </c>
      <c r="J489" s="197" t="str">
        <f t="shared" si="24"/>
        <v>ok</v>
      </c>
      <c r="K489" s="413"/>
      <c r="L489" s="413"/>
      <c r="M489" s="413"/>
      <c r="N489" s="413"/>
      <c r="O489" s="413"/>
      <c r="P489" s="413"/>
      <c r="Q489" s="413"/>
      <c r="R489" s="413"/>
      <c r="S489" s="413"/>
      <c r="T489" s="413"/>
      <c r="U489" s="413"/>
      <c r="V489" s="413"/>
      <c r="W489" s="413">
        <f t="shared" si="22"/>
        <v>0</v>
      </c>
      <c r="X489" s="412"/>
      <c r="Y489" s="412">
        <v>300</v>
      </c>
      <c r="Z489" s="412"/>
      <c r="AA489" s="412"/>
      <c r="AB489" s="412"/>
      <c r="AC489" s="412"/>
      <c r="AD489" s="412"/>
      <c r="AE489" s="412"/>
      <c r="AF489" s="412"/>
      <c r="AG489" s="412"/>
      <c r="AH489" s="412"/>
      <c r="AI489" s="412"/>
      <c r="AJ489" s="412">
        <f t="shared" si="23"/>
        <v>300</v>
      </c>
      <c r="AK489" s="198"/>
      <c r="AL489" s="250" t="s">
        <v>2067</v>
      </c>
    </row>
    <row r="490" spans="1:39" ht="14.1" customHeight="1" x14ac:dyDescent="0.2">
      <c r="A490" t="s">
        <v>893</v>
      </c>
      <c r="B490" s="193">
        <v>4147</v>
      </c>
      <c r="C490" s="194" t="s">
        <v>1132</v>
      </c>
      <c r="D490" s="229" t="s">
        <v>1363</v>
      </c>
      <c r="E490" s="229" t="s">
        <v>1270</v>
      </c>
      <c r="F490" s="236">
        <v>300</v>
      </c>
      <c r="G490" s="196">
        <v>3</v>
      </c>
      <c r="H490" s="195">
        <v>300</v>
      </c>
      <c r="I490" s="197">
        <v>41301</v>
      </c>
      <c r="J490" s="197" t="str">
        <f t="shared" si="24"/>
        <v>ok</v>
      </c>
      <c r="K490" s="413"/>
      <c r="L490" s="413"/>
      <c r="M490" s="413"/>
      <c r="N490" s="413"/>
      <c r="O490" s="413"/>
      <c r="P490" s="413"/>
      <c r="Q490" s="413"/>
      <c r="R490" s="413"/>
      <c r="S490" s="413"/>
      <c r="T490" s="413"/>
      <c r="U490" s="413"/>
      <c r="V490" s="413"/>
      <c r="W490" s="413">
        <f t="shared" si="22"/>
        <v>0</v>
      </c>
      <c r="X490" s="412"/>
      <c r="Y490" s="412"/>
      <c r="Z490" s="412"/>
      <c r="AA490" s="412"/>
      <c r="AB490" s="412"/>
      <c r="AC490" s="412"/>
      <c r="AD490" s="412"/>
      <c r="AE490" s="412"/>
      <c r="AF490" s="412"/>
      <c r="AG490" s="412"/>
      <c r="AH490" s="412"/>
      <c r="AI490" s="412"/>
      <c r="AJ490" s="412">
        <f t="shared" si="23"/>
        <v>0</v>
      </c>
      <c r="AK490" s="198"/>
      <c r="AL490" s="250" t="s">
        <v>2068</v>
      </c>
    </row>
    <row r="491" spans="1:39" ht="14.1" customHeight="1" x14ac:dyDescent="0.2">
      <c r="A491" t="s">
        <v>893</v>
      </c>
      <c r="B491" s="193">
        <v>4147</v>
      </c>
      <c r="C491" s="194" t="s">
        <v>1132</v>
      </c>
      <c r="D491" s="229" t="s">
        <v>1363</v>
      </c>
      <c r="E491" s="229" t="s">
        <v>1270</v>
      </c>
      <c r="F491" s="236">
        <v>300</v>
      </c>
      <c r="G491" s="196">
        <v>4</v>
      </c>
      <c r="H491" s="195">
        <v>320</v>
      </c>
      <c r="I491" s="197">
        <v>41301</v>
      </c>
      <c r="J491" s="197" t="str">
        <f t="shared" si="24"/>
        <v>ok</v>
      </c>
      <c r="K491" s="413"/>
      <c r="L491" s="413"/>
      <c r="M491" s="413"/>
      <c r="N491" s="413"/>
      <c r="O491" s="413"/>
      <c r="P491" s="413"/>
      <c r="Q491" s="413"/>
      <c r="R491" s="413"/>
      <c r="S491" s="413"/>
      <c r="T491" s="413"/>
      <c r="U491" s="413"/>
      <c r="V491" s="413"/>
      <c r="W491" s="413">
        <f t="shared" si="22"/>
        <v>0</v>
      </c>
      <c r="X491" s="412"/>
      <c r="Y491" s="412"/>
      <c r="Z491" s="412"/>
      <c r="AA491" s="412"/>
      <c r="AB491" s="412"/>
      <c r="AC491" s="412"/>
      <c r="AD491" s="412"/>
      <c r="AE491" s="412"/>
      <c r="AF491" s="412"/>
      <c r="AG491" s="412"/>
      <c r="AH491" s="412"/>
      <c r="AI491" s="412"/>
      <c r="AJ491" s="412">
        <f t="shared" si="23"/>
        <v>0</v>
      </c>
      <c r="AK491" s="198"/>
      <c r="AL491" s="250" t="s">
        <v>2068</v>
      </c>
    </row>
    <row r="492" spans="1:39" ht="14.1" customHeight="1" x14ac:dyDescent="0.2">
      <c r="A492" t="s">
        <v>890</v>
      </c>
      <c r="B492" s="193">
        <v>4148</v>
      </c>
      <c r="C492" s="194" t="s">
        <v>1006</v>
      </c>
      <c r="D492" s="229" t="s">
        <v>1370</v>
      </c>
      <c r="E492" s="229" t="s">
        <v>1217</v>
      </c>
      <c r="F492" s="236">
        <v>300</v>
      </c>
      <c r="G492" s="196">
        <v>7</v>
      </c>
      <c r="H492" s="195">
        <v>200</v>
      </c>
      <c r="I492" s="197">
        <v>41301</v>
      </c>
      <c r="J492" s="197" t="str">
        <f t="shared" si="24"/>
        <v>ok</v>
      </c>
      <c r="K492" s="413"/>
      <c r="L492" s="413"/>
      <c r="M492" s="413"/>
      <c r="N492" s="413"/>
      <c r="O492" s="413"/>
      <c r="P492" s="413"/>
      <c r="Q492" s="413"/>
      <c r="R492" s="413"/>
      <c r="S492" s="413"/>
      <c r="T492" s="413"/>
      <c r="U492" s="413"/>
      <c r="V492" s="413"/>
      <c r="W492" s="413">
        <f t="shared" si="22"/>
        <v>0</v>
      </c>
      <c r="X492" s="412"/>
      <c r="Y492" s="412"/>
      <c r="Z492" s="412"/>
      <c r="AA492" s="412"/>
      <c r="AB492" s="412"/>
      <c r="AC492" s="412"/>
      <c r="AD492" s="412"/>
      <c r="AE492" s="412"/>
      <c r="AF492" s="412"/>
      <c r="AG492" s="412"/>
      <c r="AH492" s="412"/>
      <c r="AI492" s="412"/>
      <c r="AJ492" s="412">
        <f t="shared" si="23"/>
        <v>0</v>
      </c>
      <c r="AK492" s="198" t="s">
        <v>1256</v>
      </c>
      <c r="AL492" s="250" t="s">
        <v>2068</v>
      </c>
    </row>
    <row r="493" spans="1:39" ht="14.1" customHeight="1" x14ac:dyDescent="0.2">
      <c r="A493" t="s">
        <v>890</v>
      </c>
      <c r="B493" s="193">
        <v>4149</v>
      </c>
      <c r="C493" s="194" t="s">
        <v>1014</v>
      </c>
      <c r="D493" s="229" t="s">
        <v>1553</v>
      </c>
      <c r="E493" s="229" t="s">
        <v>508</v>
      </c>
      <c r="F493" s="236">
        <v>300</v>
      </c>
      <c r="G493" s="196">
        <v>1</v>
      </c>
      <c r="H493" s="195">
        <v>600</v>
      </c>
      <c r="I493" s="197">
        <v>41301</v>
      </c>
      <c r="J493" s="197" t="str">
        <f t="shared" si="24"/>
        <v>ok</v>
      </c>
      <c r="K493" s="413"/>
      <c r="L493" s="413"/>
      <c r="M493" s="413"/>
      <c r="N493" s="413"/>
      <c r="O493" s="413"/>
      <c r="P493" s="413"/>
      <c r="Q493" s="413"/>
      <c r="R493" s="413"/>
      <c r="S493" s="413"/>
      <c r="T493" s="413"/>
      <c r="U493" s="413"/>
      <c r="V493" s="413">
        <v>300</v>
      </c>
      <c r="W493" s="413">
        <f t="shared" si="22"/>
        <v>300</v>
      </c>
      <c r="X493" s="412">
        <v>300</v>
      </c>
      <c r="Y493" s="412"/>
      <c r="Z493" s="412"/>
      <c r="AA493" s="412"/>
      <c r="AB493" s="412"/>
      <c r="AC493" s="412"/>
      <c r="AD493" s="412"/>
      <c r="AE493" s="412"/>
      <c r="AF493" s="412"/>
      <c r="AG493" s="412"/>
      <c r="AH493" s="412"/>
      <c r="AI493" s="412"/>
      <c r="AJ493" s="412">
        <f t="shared" si="23"/>
        <v>300</v>
      </c>
      <c r="AK493" s="198" t="s">
        <v>1236</v>
      </c>
      <c r="AL493" s="250" t="s">
        <v>2067</v>
      </c>
    </row>
    <row r="494" spans="1:39" ht="14.1" customHeight="1" x14ac:dyDescent="0.2">
      <c r="A494" t="s">
        <v>888</v>
      </c>
      <c r="B494" s="193">
        <v>4150</v>
      </c>
      <c r="C494" s="194" t="s">
        <v>934</v>
      </c>
      <c r="D494" s="229" t="s">
        <v>1554</v>
      </c>
      <c r="E494" s="229" t="s">
        <v>1213</v>
      </c>
      <c r="F494" s="236">
        <v>300</v>
      </c>
      <c r="G494" s="196">
        <v>1</v>
      </c>
      <c r="H494" s="195">
        <v>3300</v>
      </c>
      <c r="I494" s="197">
        <v>41301</v>
      </c>
      <c r="J494" s="197" t="str">
        <f t="shared" si="24"/>
        <v>ok</v>
      </c>
      <c r="K494" s="413"/>
      <c r="L494" s="413"/>
      <c r="M494" s="413"/>
      <c r="N494" s="413"/>
      <c r="O494" s="413"/>
      <c r="P494" s="413"/>
      <c r="Q494" s="413"/>
      <c r="R494" s="413"/>
      <c r="S494" s="413"/>
      <c r="T494" s="413"/>
      <c r="U494" s="413"/>
      <c r="V494" s="413"/>
      <c r="W494" s="413">
        <f t="shared" si="22"/>
        <v>0</v>
      </c>
      <c r="X494" s="412">
        <v>300</v>
      </c>
      <c r="Y494" s="412">
        <v>300</v>
      </c>
      <c r="Z494" s="412">
        <v>300</v>
      </c>
      <c r="AA494" s="412">
        <v>300</v>
      </c>
      <c r="AB494" s="412">
        <v>300</v>
      </c>
      <c r="AC494" s="412">
        <v>300</v>
      </c>
      <c r="AD494" s="412">
        <v>300</v>
      </c>
      <c r="AE494" s="412">
        <v>300</v>
      </c>
      <c r="AF494" s="412">
        <v>300</v>
      </c>
      <c r="AG494" s="412">
        <v>300</v>
      </c>
      <c r="AH494" s="412">
        <v>300</v>
      </c>
      <c r="AI494" s="412"/>
      <c r="AJ494" s="412">
        <f t="shared" si="23"/>
        <v>3300</v>
      </c>
      <c r="AK494" s="198" t="s">
        <v>1246</v>
      </c>
      <c r="AL494" s="250" t="s">
        <v>2067</v>
      </c>
      <c r="AM494" s="158"/>
    </row>
    <row r="495" spans="1:39" ht="14.1" customHeight="1" x14ac:dyDescent="0.2">
      <c r="A495" t="s">
        <v>884</v>
      </c>
      <c r="B495" s="193">
        <v>4151</v>
      </c>
      <c r="C495" s="194" t="s">
        <v>791</v>
      </c>
      <c r="D495" s="229" t="s">
        <v>1555</v>
      </c>
      <c r="E495" s="229" t="s">
        <v>380</v>
      </c>
      <c r="F495" s="236">
        <v>100</v>
      </c>
      <c r="G495" s="196">
        <v>1</v>
      </c>
      <c r="H495" s="195">
        <v>100</v>
      </c>
      <c r="I495" s="197">
        <v>41301</v>
      </c>
      <c r="J495" s="197" t="str">
        <f t="shared" si="24"/>
        <v>ok</v>
      </c>
      <c r="K495" s="413"/>
      <c r="L495" s="413"/>
      <c r="M495" s="413"/>
      <c r="N495" s="413"/>
      <c r="O495" s="413"/>
      <c r="P495" s="413"/>
      <c r="Q495" s="413"/>
      <c r="R495" s="413"/>
      <c r="S495" s="413"/>
      <c r="T495" s="413"/>
      <c r="U495" s="413"/>
      <c r="V495" s="413"/>
      <c r="W495" s="413">
        <f t="shared" si="22"/>
        <v>0</v>
      </c>
      <c r="X495" s="412">
        <v>100</v>
      </c>
      <c r="Y495" s="412"/>
      <c r="Z495" s="412"/>
      <c r="AA495" s="412"/>
      <c r="AB495" s="412"/>
      <c r="AC495" s="412"/>
      <c r="AD495" s="412"/>
      <c r="AE495" s="412"/>
      <c r="AF495" s="412"/>
      <c r="AG495" s="412"/>
      <c r="AH495" s="412"/>
      <c r="AI495" s="412"/>
      <c r="AJ495" s="412">
        <f t="shared" si="23"/>
        <v>100</v>
      </c>
      <c r="AK495" s="198"/>
      <c r="AL495" s="250" t="s">
        <v>2067</v>
      </c>
    </row>
    <row r="496" spans="1:39" ht="14.1" customHeight="1" x14ac:dyDescent="0.2">
      <c r="A496" t="s">
        <v>884</v>
      </c>
      <c r="B496" s="193">
        <v>4152</v>
      </c>
      <c r="C496" s="194" t="s">
        <v>850</v>
      </c>
      <c r="D496" s="229" t="s">
        <v>1457</v>
      </c>
      <c r="E496" s="229" t="s">
        <v>90</v>
      </c>
      <c r="F496" s="236">
        <v>300</v>
      </c>
      <c r="G496" s="196">
        <v>1</v>
      </c>
      <c r="H496" s="195">
        <v>3000</v>
      </c>
      <c r="I496" s="197">
        <v>41301</v>
      </c>
      <c r="J496" s="197" t="str">
        <f t="shared" si="24"/>
        <v>ok</v>
      </c>
      <c r="K496" s="413"/>
      <c r="L496" s="413"/>
      <c r="M496" s="413"/>
      <c r="N496" s="413"/>
      <c r="O496" s="413"/>
      <c r="P496" s="413"/>
      <c r="Q496" s="413"/>
      <c r="R496" s="413"/>
      <c r="S496" s="413"/>
      <c r="T496" s="413"/>
      <c r="U496" s="413"/>
      <c r="V496" s="413"/>
      <c r="W496" s="413">
        <f t="shared" si="22"/>
        <v>0</v>
      </c>
      <c r="X496" s="412"/>
      <c r="Y496" s="412">
        <v>300</v>
      </c>
      <c r="Z496" s="412">
        <v>300</v>
      </c>
      <c r="AA496" s="412">
        <v>300</v>
      </c>
      <c r="AB496" s="412">
        <v>300</v>
      </c>
      <c r="AC496" s="412">
        <v>300</v>
      </c>
      <c r="AD496" s="412">
        <v>300</v>
      </c>
      <c r="AE496" s="412">
        <v>300</v>
      </c>
      <c r="AF496" s="412">
        <v>300</v>
      </c>
      <c r="AG496" s="412">
        <v>300</v>
      </c>
      <c r="AH496" s="412">
        <v>300</v>
      </c>
      <c r="AI496" s="412"/>
      <c r="AJ496" s="412">
        <f t="shared" si="23"/>
        <v>3000</v>
      </c>
      <c r="AK496" s="198" t="s">
        <v>1246</v>
      </c>
      <c r="AL496" s="250" t="s">
        <v>2067</v>
      </c>
      <c r="AM496" s="158"/>
    </row>
    <row r="497" spans="1:38" ht="14.1" customHeight="1" x14ac:dyDescent="0.2">
      <c r="A497" t="s">
        <v>893</v>
      </c>
      <c r="B497" s="193">
        <v>4153</v>
      </c>
      <c r="C497" s="194" t="s">
        <v>1134</v>
      </c>
      <c r="D497" s="229" t="s">
        <v>1556</v>
      </c>
      <c r="E497" s="229" t="s">
        <v>305</v>
      </c>
      <c r="F497" s="236">
        <v>300</v>
      </c>
      <c r="G497" s="196">
        <v>1</v>
      </c>
      <c r="H497" s="195">
        <v>600</v>
      </c>
      <c r="I497" s="197">
        <v>41301</v>
      </c>
      <c r="J497" s="197" t="str">
        <f t="shared" si="24"/>
        <v>ok</v>
      </c>
      <c r="K497" s="413"/>
      <c r="L497" s="413"/>
      <c r="M497" s="413"/>
      <c r="N497" s="413"/>
      <c r="O497" s="413"/>
      <c r="P497" s="413"/>
      <c r="Q497" s="413"/>
      <c r="R497" s="413"/>
      <c r="S497" s="413"/>
      <c r="T497" s="413"/>
      <c r="U497" s="413"/>
      <c r="V497" s="413"/>
      <c r="W497" s="413">
        <f t="shared" si="22"/>
        <v>0</v>
      </c>
      <c r="X497" s="412">
        <v>300</v>
      </c>
      <c r="Y497" s="412">
        <v>300</v>
      </c>
      <c r="Z497" s="412"/>
      <c r="AA497" s="412"/>
      <c r="AB497" s="412"/>
      <c r="AC497" s="412"/>
      <c r="AD497" s="412"/>
      <c r="AE497" s="412"/>
      <c r="AF497" s="412"/>
      <c r="AG497" s="412"/>
      <c r="AH497" s="412"/>
      <c r="AI497" s="412"/>
      <c r="AJ497" s="412">
        <f t="shared" si="23"/>
        <v>600</v>
      </c>
      <c r="AK497" s="198"/>
      <c r="AL497" s="250" t="s">
        <v>2067</v>
      </c>
    </row>
    <row r="498" spans="1:38" ht="14.1" customHeight="1" x14ac:dyDescent="0.2">
      <c r="A498" t="s">
        <v>884</v>
      </c>
      <c r="B498" s="193">
        <v>4154</v>
      </c>
      <c r="C498" s="194" t="s">
        <v>766</v>
      </c>
      <c r="D498" s="229" t="s">
        <v>1557</v>
      </c>
      <c r="E498" s="229" t="s">
        <v>123</v>
      </c>
      <c r="F498" s="236">
        <v>300</v>
      </c>
      <c r="G498" s="196">
        <v>1</v>
      </c>
      <c r="H498" s="195">
        <v>600</v>
      </c>
      <c r="I498" s="197">
        <v>41301</v>
      </c>
      <c r="J498" s="197" t="str">
        <f t="shared" si="24"/>
        <v>ok</v>
      </c>
      <c r="K498" s="413"/>
      <c r="L498" s="413"/>
      <c r="M498" s="413"/>
      <c r="N498" s="413"/>
      <c r="O498" s="413"/>
      <c r="P498" s="413"/>
      <c r="Q498" s="413"/>
      <c r="R498" s="413"/>
      <c r="S498" s="413"/>
      <c r="T498" s="413"/>
      <c r="U498" s="413"/>
      <c r="V498" s="413"/>
      <c r="W498" s="413">
        <f t="shared" si="22"/>
        <v>0</v>
      </c>
      <c r="X498" s="412">
        <v>300</v>
      </c>
      <c r="Y498" s="412">
        <v>300</v>
      </c>
      <c r="Z498" s="412"/>
      <c r="AA498" s="412"/>
      <c r="AB498" s="412"/>
      <c r="AC498" s="412"/>
      <c r="AD498" s="412"/>
      <c r="AE498" s="412"/>
      <c r="AF498" s="412"/>
      <c r="AG498" s="412"/>
      <c r="AH498" s="412"/>
      <c r="AI498" s="412"/>
      <c r="AJ498" s="412">
        <f t="shared" si="23"/>
        <v>600</v>
      </c>
      <c r="AK498" s="198"/>
      <c r="AL498" s="250" t="s">
        <v>2067</v>
      </c>
    </row>
    <row r="499" spans="1:38" ht="14.1" customHeight="1" x14ac:dyDescent="0.2">
      <c r="A499" t="s">
        <v>894</v>
      </c>
      <c r="B499" s="193">
        <v>4155</v>
      </c>
      <c r="C499" s="194" t="s">
        <v>1154</v>
      </c>
      <c r="D499" s="229" t="s">
        <v>1367</v>
      </c>
      <c r="E499" s="229" t="s">
        <v>1239</v>
      </c>
      <c r="F499" s="236">
        <v>300</v>
      </c>
      <c r="G499" s="196">
        <v>1</v>
      </c>
      <c r="H499" s="195">
        <v>300</v>
      </c>
      <c r="I499" s="197">
        <v>41301</v>
      </c>
      <c r="J499" s="197" t="str">
        <f t="shared" si="24"/>
        <v>ok</v>
      </c>
      <c r="K499" s="413"/>
      <c r="L499" s="413"/>
      <c r="M499" s="413"/>
      <c r="N499" s="413"/>
      <c r="O499" s="413"/>
      <c r="P499" s="413"/>
      <c r="Q499" s="413"/>
      <c r="R499" s="413"/>
      <c r="S499" s="413"/>
      <c r="T499" s="413"/>
      <c r="U499" s="413"/>
      <c r="V499" s="413"/>
      <c r="W499" s="413">
        <f t="shared" si="22"/>
        <v>0</v>
      </c>
      <c r="X499" s="412">
        <v>300</v>
      </c>
      <c r="Y499" s="412"/>
      <c r="Z499" s="412"/>
      <c r="AA499" s="412"/>
      <c r="AB499" s="412"/>
      <c r="AC499" s="412"/>
      <c r="AD499" s="412"/>
      <c r="AE499" s="412"/>
      <c r="AF499" s="412"/>
      <c r="AG499" s="412"/>
      <c r="AH499" s="412"/>
      <c r="AI499" s="412"/>
      <c r="AJ499" s="412">
        <f t="shared" si="23"/>
        <v>300</v>
      </c>
      <c r="AK499" s="198"/>
      <c r="AL499" s="250" t="s">
        <v>2067</v>
      </c>
    </row>
    <row r="500" spans="1:38" ht="14.1" customHeight="1" x14ac:dyDescent="0.2">
      <c r="A500" t="s">
        <v>884</v>
      </c>
      <c r="B500" s="193">
        <v>4156</v>
      </c>
      <c r="C500" s="194" t="s">
        <v>849</v>
      </c>
      <c r="D500" s="229" t="s">
        <v>1558</v>
      </c>
      <c r="E500" s="229" t="s">
        <v>89</v>
      </c>
      <c r="F500" s="236">
        <v>150</v>
      </c>
      <c r="G500" s="196">
        <v>1</v>
      </c>
      <c r="H500" s="195">
        <v>150</v>
      </c>
      <c r="I500" s="197">
        <v>41301</v>
      </c>
      <c r="J500" s="197" t="str">
        <f t="shared" si="24"/>
        <v>ok</v>
      </c>
      <c r="K500" s="413"/>
      <c r="L500" s="413"/>
      <c r="M500" s="413"/>
      <c r="N500" s="413"/>
      <c r="O500" s="413"/>
      <c r="P500" s="413"/>
      <c r="Q500" s="413"/>
      <c r="R500" s="413"/>
      <c r="S500" s="413"/>
      <c r="T500" s="413"/>
      <c r="U500" s="413"/>
      <c r="V500" s="413"/>
      <c r="W500" s="413">
        <f t="shared" si="22"/>
        <v>0</v>
      </c>
      <c r="X500" s="412">
        <v>150</v>
      </c>
      <c r="Y500" s="412"/>
      <c r="Z500" s="412"/>
      <c r="AA500" s="412"/>
      <c r="AB500" s="412"/>
      <c r="AC500" s="412"/>
      <c r="AD500" s="412"/>
      <c r="AE500" s="412"/>
      <c r="AF500" s="412"/>
      <c r="AG500" s="412"/>
      <c r="AH500" s="412"/>
      <c r="AI500" s="412"/>
      <c r="AJ500" s="412">
        <f t="shared" si="23"/>
        <v>150</v>
      </c>
      <c r="AK500" s="198"/>
      <c r="AL500" s="250" t="s">
        <v>2067</v>
      </c>
    </row>
    <row r="501" spans="1:38" ht="14.1" customHeight="1" x14ac:dyDescent="0.2">
      <c r="A501" t="s">
        <v>893</v>
      </c>
      <c r="B501" s="193">
        <v>4157</v>
      </c>
      <c r="C501" s="194" t="s">
        <v>1089</v>
      </c>
      <c r="D501" s="229" t="s">
        <v>1559</v>
      </c>
      <c r="E501" s="229" t="s">
        <v>218</v>
      </c>
      <c r="F501" s="236">
        <v>300</v>
      </c>
      <c r="G501" s="196">
        <v>1</v>
      </c>
      <c r="H501" s="195">
        <v>300</v>
      </c>
      <c r="I501" s="197">
        <v>41301</v>
      </c>
      <c r="J501" s="197" t="str">
        <f t="shared" si="24"/>
        <v>ok</v>
      </c>
      <c r="K501" s="413"/>
      <c r="L501" s="413"/>
      <c r="M501" s="413"/>
      <c r="N501" s="413"/>
      <c r="O501" s="413"/>
      <c r="P501" s="413"/>
      <c r="Q501" s="413"/>
      <c r="R501" s="413"/>
      <c r="S501" s="413"/>
      <c r="T501" s="413"/>
      <c r="U501" s="413"/>
      <c r="V501" s="413"/>
      <c r="W501" s="413">
        <f t="shared" si="22"/>
        <v>0</v>
      </c>
      <c r="X501" s="412">
        <v>300</v>
      </c>
      <c r="Y501" s="412"/>
      <c r="Z501" s="412"/>
      <c r="AA501" s="412"/>
      <c r="AB501" s="412"/>
      <c r="AC501" s="412"/>
      <c r="AD501" s="412"/>
      <c r="AE501" s="412"/>
      <c r="AF501" s="412"/>
      <c r="AG501" s="412"/>
      <c r="AH501" s="412"/>
      <c r="AI501" s="412"/>
      <c r="AJ501" s="412">
        <f t="shared" si="23"/>
        <v>300</v>
      </c>
      <c r="AK501" s="198"/>
      <c r="AL501" s="250" t="s">
        <v>2067</v>
      </c>
    </row>
    <row r="502" spans="1:38" ht="14.1" customHeight="1" x14ac:dyDescent="0.2">
      <c r="A502" t="s">
        <v>894</v>
      </c>
      <c r="B502" s="193">
        <v>4158</v>
      </c>
      <c r="C502" s="194" t="s">
        <v>1151</v>
      </c>
      <c r="D502" s="229" t="s">
        <v>1560</v>
      </c>
      <c r="E502" s="229" t="s">
        <v>588</v>
      </c>
      <c r="F502" s="236">
        <v>300</v>
      </c>
      <c r="G502" s="196">
        <v>1</v>
      </c>
      <c r="H502" s="195">
        <v>300</v>
      </c>
      <c r="I502" s="197">
        <v>41301</v>
      </c>
      <c r="J502" s="197" t="str">
        <f t="shared" si="24"/>
        <v>ok</v>
      </c>
      <c r="K502" s="413"/>
      <c r="L502" s="413"/>
      <c r="M502" s="413"/>
      <c r="N502" s="413"/>
      <c r="O502" s="413"/>
      <c r="P502" s="413"/>
      <c r="Q502" s="413"/>
      <c r="R502" s="413"/>
      <c r="S502" s="413"/>
      <c r="T502" s="413"/>
      <c r="U502" s="413"/>
      <c r="V502" s="413"/>
      <c r="W502" s="413">
        <f t="shared" si="22"/>
        <v>0</v>
      </c>
      <c r="X502" s="412"/>
      <c r="Y502" s="412">
        <v>300</v>
      </c>
      <c r="Z502" s="412"/>
      <c r="AA502" s="412"/>
      <c r="AB502" s="412"/>
      <c r="AC502" s="412"/>
      <c r="AD502" s="412"/>
      <c r="AE502" s="412"/>
      <c r="AF502" s="412"/>
      <c r="AG502" s="412"/>
      <c r="AH502" s="412"/>
      <c r="AI502" s="412"/>
      <c r="AJ502" s="412">
        <f t="shared" si="23"/>
        <v>300</v>
      </c>
      <c r="AK502" s="198"/>
      <c r="AL502" s="250" t="s">
        <v>2067</v>
      </c>
    </row>
    <row r="503" spans="1:38" ht="14.1" customHeight="1" x14ac:dyDescent="0.2">
      <c r="A503" t="s">
        <v>888</v>
      </c>
      <c r="B503" s="193">
        <v>4159</v>
      </c>
      <c r="C503" s="194" t="s">
        <v>961</v>
      </c>
      <c r="D503" s="229" t="s">
        <v>1481</v>
      </c>
      <c r="E503" s="229" t="s">
        <v>449</v>
      </c>
      <c r="F503" s="236">
        <v>250</v>
      </c>
      <c r="G503" s="196">
        <v>4</v>
      </c>
      <c r="H503" s="195">
        <v>160</v>
      </c>
      <c r="I503" s="197">
        <v>41301</v>
      </c>
      <c r="J503" s="197" t="str">
        <f t="shared" si="24"/>
        <v>ok</v>
      </c>
      <c r="K503" s="413"/>
      <c r="L503" s="413"/>
      <c r="M503" s="413"/>
      <c r="N503" s="413"/>
      <c r="O503" s="413"/>
      <c r="P503" s="413"/>
      <c r="Q503" s="413"/>
      <c r="R503" s="413"/>
      <c r="S503" s="413"/>
      <c r="T503" s="413"/>
      <c r="U503" s="413"/>
      <c r="V503" s="413"/>
      <c r="W503" s="413">
        <f t="shared" si="22"/>
        <v>0</v>
      </c>
      <c r="X503" s="412"/>
      <c r="Y503" s="412"/>
      <c r="Z503" s="412"/>
      <c r="AA503" s="412"/>
      <c r="AB503" s="412"/>
      <c r="AC503" s="412"/>
      <c r="AD503" s="412"/>
      <c r="AE503" s="412"/>
      <c r="AF503" s="412"/>
      <c r="AG503" s="412"/>
      <c r="AH503" s="412"/>
      <c r="AI503" s="412"/>
      <c r="AJ503" s="412">
        <f t="shared" si="23"/>
        <v>0</v>
      </c>
      <c r="AK503" s="198"/>
      <c r="AL503" s="250" t="s">
        <v>2068</v>
      </c>
    </row>
    <row r="504" spans="1:38" ht="14.1" customHeight="1" x14ac:dyDescent="0.2">
      <c r="A504" t="s">
        <v>888</v>
      </c>
      <c r="B504" s="193">
        <v>4160</v>
      </c>
      <c r="C504" s="194" t="s">
        <v>923</v>
      </c>
      <c r="D504" s="229" t="s">
        <v>1561</v>
      </c>
      <c r="E504" s="229" t="s">
        <v>191</v>
      </c>
      <c r="F504" s="236">
        <v>300</v>
      </c>
      <c r="G504" s="196">
        <v>1</v>
      </c>
      <c r="H504" s="195">
        <v>600</v>
      </c>
      <c r="I504" s="197">
        <v>41301</v>
      </c>
      <c r="J504" s="197" t="str">
        <f t="shared" si="24"/>
        <v>ok</v>
      </c>
      <c r="K504" s="413"/>
      <c r="L504" s="413"/>
      <c r="M504" s="413"/>
      <c r="N504" s="413"/>
      <c r="O504" s="413"/>
      <c r="P504" s="413"/>
      <c r="Q504" s="413"/>
      <c r="R504" s="413"/>
      <c r="S504" s="413"/>
      <c r="T504" s="413"/>
      <c r="U504" s="413"/>
      <c r="V504" s="413"/>
      <c r="W504" s="413">
        <f t="shared" si="22"/>
        <v>0</v>
      </c>
      <c r="X504" s="412">
        <v>300</v>
      </c>
      <c r="Y504" s="412">
        <v>300</v>
      </c>
      <c r="Z504" s="412"/>
      <c r="AA504" s="412"/>
      <c r="AB504" s="412"/>
      <c r="AC504" s="412"/>
      <c r="AD504" s="412"/>
      <c r="AE504" s="412"/>
      <c r="AF504" s="412"/>
      <c r="AG504" s="412"/>
      <c r="AH504" s="412"/>
      <c r="AI504" s="412"/>
      <c r="AJ504" s="412">
        <f t="shared" si="23"/>
        <v>600</v>
      </c>
      <c r="AK504" s="198"/>
      <c r="AL504" s="250" t="s">
        <v>2067</v>
      </c>
    </row>
    <row r="505" spans="1:38" ht="14.1" customHeight="1" x14ac:dyDescent="0.2">
      <c r="A505" t="s">
        <v>890</v>
      </c>
      <c r="B505" s="193">
        <v>4161</v>
      </c>
      <c r="C505" s="194" t="s">
        <v>998</v>
      </c>
      <c r="D505" s="229" t="s">
        <v>1562</v>
      </c>
      <c r="E505" s="229" t="s">
        <v>487</v>
      </c>
      <c r="F505" s="236">
        <v>300</v>
      </c>
      <c r="G505" s="196">
        <v>1</v>
      </c>
      <c r="H505" s="195">
        <v>600</v>
      </c>
      <c r="I505" s="197">
        <v>41301</v>
      </c>
      <c r="J505" s="197" t="str">
        <f t="shared" si="24"/>
        <v>ok</v>
      </c>
      <c r="K505" s="413"/>
      <c r="L505" s="413"/>
      <c r="M505" s="413"/>
      <c r="N505" s="413"/>
      <c r="O505" s="413"/>
      <c r="P505" s="413"/>
      <c r="Q505" s="413"/>
      <c r="R505" s="413"/>
      <c r="S505" s="413"/>
      <c r="T505" s="413"/>
      <c r="U505" s="413"/>
      <c r="V505" s="413">
        <v>300</v>
      </c>
      <c r="W505" s="413">
        <f t="shared" si="22"/>
        <v>300</v>
      </c>
      <c r="X505" s="412">
        <v>300</v>
      </c>
      <c r="Y505" s="412"/>
      <c r="Z505" s="412"/>
      <c r="AA505" s="412"/>
      <c r="AB505" s="412"/>
      <c r="AC505" s="412"/>
      <c r="AD505" s="412"/>
      <c r="AE505" s="412"/>
      <c r="AF505" s="412"/>
      <c r="AG505" s="412"/>
      <c r="AH505" s="412"/>
      <c r="AI505" s="412"/>
      <c r="AJ505" s="412">
        <f t="shared" si="23"/>
        <v>300</v>
      </c>
      <c r="AK505" s="198" t="s">
        <v>1236</v>
      </c>
      <c r="AL505" s="250" t="s">
        <v>2067</v>
      </c>
    </row>
    <row r="506" spans="1:38" ht="14.1" customHeight="1" x14ac:dyDescent="0.2">
      <c r="A506" t="s">
        <v>893</v>
      </c>
      <c r="B506" s="193">
        <v>4162</v>
      </c>
      <c r="C506" s="194" t="s">
        <v>1101</v>
      </c>
      <c r="D506" s="229" t="s">
        <v>1563</v>
      </c>
      <c r="E506" s="229" t="s">
        <v>244</v>
      </c>
      <c r="F506" s="236">
        <v>200</v>
      </c>
      <c r="G506" s="196">
        <v>1</v>
      </c>
      <c r="H506" s="195">
        <v>400</v>
      </c>
      <c r="I506" s="197">
        <v>41301</v>
      </c>
      <c r="J506" s="197" t="str">
        <f t="shared" si="24"/>
        <v>ok</v>
      </c>
      <c r="K506" s="413"/>
      <c r="L506" s="413"/>
      <c r="M506" s="413"/>
      <c r="N506" s="413"/>
      <c r="O506" s="413"/>
      <c r="P506" s="413"/>
      <c r="Q506" s="413"/>
      <c r="R506" s="413"/>
      <c r="S506" s="413"/>
      <c r="T506" s="413"/>
      <c r="U506" s="413"/>
      <c r="V506" s="413"/>
      <c r="W506" s="413">
        <f t="shared" si="22"/>
        <v>0</v>
      </c>
      <c r="X506" s="412">
        <v>200</v>
      </c>
      <c r="Y506" s="412">
        <v>200</v>
      </c>
      <c r="Z506" s="412"/>
      <c r="AA506" s="412"/>
      <c r="AB506" s="412"/>
      <c r="AC506" s="412"/>
      <c r="AD506" s="412"/>
      <c r="AE506" s="412"/>
      <c r="AF506" s="412"/>
      <c r="AG506" s="412"/>
      <c r="AH506" s="412"/>
      <c r="AI506" s="412"/>
      <c r="AJ506" s="412">
        <f t="shared" si="23"/>
        <v>400</v>
      </c>
      <c r="AK506" s="198"/>
      <c r="AL506" s="250" t="s">
        <v>2067</v>
      </c>
    </row>
    <row r="507" spans="1:38" ht="14.1" customHeight="1" x14ac:dyDescent="0.2">
      <c r="A507" t="s">
        <v>890</v>
      </c>
      <c r="B507" s="193">
        <v>4163</v>
      </c>
      <c r="C507" s="194" t="s">
        <v>1036</v>
      </c>
      <c r="D507" s="229" t="s">
        <v>1536</v>
      </c>
      <c r="E507" s="229" t="s">
        <v>733</v>
      </c>
      <c r="F507" s="236">
        <v>300</v>
      </c>
      <c r="G507" s="196">
        <v>1</v>
      </c>
      <c r="H507" s="195">
        <v>900</v>
      </c>
      <c r="I507" s="197">
        <v>41301</v>
      </c>
      <c r="J507" s="197" t="str">
        <f t="shared" si="24"/>
        <v>ok</v>
      </c>
      <c r="K507" s="413"/>
      <c r="L507" s="413"/>
      <c r="M507" s="413"/>
      <c r="N507" s="413"/>
      <c r="O507" s="413"/>
      <c r="P507" s="413"/>
      <c r="Q507" s="413"/>
      <c r="R507" s="413"/>
      <c r="S507" s="413"/>
      <c r="T507" s="413"/>
      <c r="U507" s="413">
        <v>300</v>
      </c>
      <c r="V507" s="413">
        <v>300</v>
      </c>
      <c r="W507" s="413">
        <f t="shared" si="22"/>
        <v>600</v>
      </c>
      <c r="X507" s="412">
        <v>300</v>
      </c>
      <c r="Y507" s="412"/>
      <c r="Z507" s="412"/>
      <c r="AA507" s="412"/>
      <c r="AB507" s="412"/>
      <c r="AC507" s="412"/>
      <c r="AD507" s="412"/>
      <c r="AE507" s="412"/>
      <c r="AF507" s="412"/>
      <c r="AG507" s="412"/>
      <c r="AH507" s="412"/>
      <c r="AI507" s="412"/>
      <c r="AJ507" s="412">
        <f t="shared" si="23"/>
        <v>300</v>
      </c>
      <c r="AK507" s="198" t="s">
        <v>1251</v>
      </c>
      <c r="AL507" s="250" t="s">
        <v>2067</v>
      </c>
    </row>
    <row r="508" spans="1:38" ht="14.1" customHeight="1" x14ac:dyDescent="0.2">
      <c r="A508" t="s">
        <v>884</v>
      </c>
      <c r="B508" s="193">
        <v>4164</v>
      </c>
      <c r="C508" s="194" t="s">
        <v>881</v>
      </c>
      <c r="D508" s="229" t="s">
        <v>1564</v>
      </c>
      <c r="E508" s="229" t="s">
        <v>135</v>
      </c>
      <c r="F508" s="236">
        <v>300</v>
      </c>
      <c r="G508" s="196">
        <v>1</v>
      </c>
      <c r="H508" s="195">
        <v>300</v>
      </c>
      <c r="I508" s="197">
        <v>41301</v>
      </c>
      <c r="J508" s="197" t="str">
        <f t="shared" si="24"/>
        <v>ok</v>
      </c>
      <c r="K508" s="413"/>
      <c r="L508" s="413"/>
      <c r="M508" s="413"/>
      <c r="N508" s="413"/>
      <c r="O508" s="413"/>
      <c r="P508" s="413"/>
      <c r="Q508" s="413"/>
      <c r="R508" s="413"/>
      <c r="S508" s="413"/>
      <c r="T508" s="413"/>
      <c r="U508" s="413"/>
      <c r="V508" s="413"/>
      <c r="W508" s="413">
        <f t="shared" si="22"/>
        <v>0</v>
      </c>
      <c r="X508" s="412">
        <v>300</v>
      </c>
      <c r="Y508" s="412"/>
      <c r="Z508" s="412"/>
      <c r="AA508" s="412"/>
      <c r="AB508" s="412"/>
      <c r="AC508" s="412"/>
      <c r="AD508" s="412"/>
      <c r="AE508" s="412"/>
      <c r="AF508" s="412"/>
      <c r="AG508" s="412"/>
      <c r="AH508" s="412"/>
      <c r="AI508" s="412"/>
      <c r="AJ508" s="412">
        <f t="shared" si="23"/>
        <v>300</v>
      </c>
      <c r="AK508" s="198"/>
      <c r="AL508" s="250" t="s">
        <v>2067</v>
      </c>
    </row>
    <row r="509" spans="1:38" ht="14.1" customHeight="1" x14ac:dyDescent="0.2">
      <c r="A509" t="s">
        <v>890</v>
      </c>
      <c r="B509" s="193">
        <v>4165</v>
      </c>
      <c r="C509" s="194" t="s">
        <v>1027</v>
      </c>
      <c r="D509" s="229" t="s">
        <v>1565</v>
      </c>
      <c r="E509" s="229" t="s">
        <v>527</v>
      </c>
      <c r="F509" s="236">
        <v>300</v>
      </c>
      <c r="G509" s="196">
        <v>1</v>
      </c>
      <c r="H509" s="195">
        <v>300</v>
      </c>
      <c r="I509" s="197">
        <v>41301</v>
      </c>
      <c r="J509" s="197" t="str">
        <f t="shared" si="24"/>
        <v>ok</v>
      </c>
      <c r="K509" s="413"/>
      <c r="L509" s="413"/>
      <c r="M509" s="413"/>
      <c r="N509" s="413"/>
      <c r="O509" s="413"/>
      <c r="P509" s="413"/>
      <c r="Q509" s="413"/>
      <c r="R509" s="413"/>
      <c r="S509" s="413"/>
      <c r="T509" s="413"/>
      <c r="U509" s="413"/>
      <c r="V509" s="413"/>
      <c r="W509" s="413">
        <f t="shared" si="22"/>
        <v>0</v>
      </c>
      <c r="X509" s="412">
        <v>300</v>
      </c>
      <c r="Y509" s="412"/>
      <c r="Z509" s="412"/>
      <c r="AA509" s="412"/>
      <c r="AB509" s="412"/>
      <c r="AC509" s="412"/>
      <c r="AD509" s="412"/>
      <c r="AE509" s="412"/>
      <c r="AF509" s="412"/>
      <c r="AG509" s="412"/>
      <c r="AH509" s="412"/>
      <c r="AI509" s="412"/>
      <c r="AJ509" s="412">
        <f t="shared" si="23"/>
        <v>300</v>
      </c>
      <c r="AK509" s="198"/>
      <c r="AL509" s="250" t="s">
        <v>2067</v>
      </c>
    </row>
    <row r="510" spans="1:38" ht="14.1" customHeight="1" x14ac:dyDescent="0.2">
      <c r="A510" t="s">
        <v>884</v>
      </c>
      <c r="B510" s="193">
        <v>4166</v>
      </c>
      <c r="C510" s="194" t="s">
        <v>803</v>
      </c>
      <c r="D510" s="229" t="s">
        <v>1403</v>
      </c>
      <c r="E510" s="229" t="s">
        <v>20</v>
      </c>
      <c r="F510" s="236">
        <v>300</v>
      </c>
      <c r="G510" s="196">
        <v>1</v>
      </c>
      <c r="H510" s="195">
        <v>300</v>
      </c>
      <c r="I510" s="197">
        <v>41301</v>
      </c>
      <c r="J510" s="197" t="str">
        <f t="shared" si="24"/>
        <v>ok</v>
      </c>
      <c r="K510" s="413"/>
      <c r="L510" s="413"/>
      <c r="M510" s="413"/>
      <c r="N510" s="413"/>
      <c r="O510" s="413"/>
      <c r="P510" s="413"/>
      <c r="Q510" s="413"/>
      <c r="R510" s="413"/>
      <c r="S510" s="413"/>
      <c r="T510" s="413"/>
      <c r="U510" s="413"/>
      <c r="V510" s="413"/>
      <c r="W510" s="413">
        <f t="shared" si="22"/>
        <v>0</v>
      </c>
      <c r="X510" s="412"/>
      <c r="Y510" s="412">
        <v>300</v>
      </c>
      <c r="Z510" s="412"/>
      <c r="AA510" s="412"/>
      <c r="AB510" s="412"/>
      <c r="AC510" s="412"/>
      <c r="AD510" s="412"/>
      <c r="AE510" s="412"/>
      <c r="AF510" s="412"/>
      <c r="AG510" s="412"/>
      <c r="AH510" s="412"/>
      <c r="AI510" s="412"/>
      <c r="AJ510" s="412">
        <f t="shared" si="23"/>
        <v>300</v>
      </c>
      <c r="AK510" s="198"/>
      <c r="AL510" s="250" t="s">
        <v>2067</v>
      </c>
    </row>
    <row r="511" spans="1:38" ht="14.1" customHeight="1" x14ac:dyDescent="0.2">
      <c r="A511" t="s">
        <v>893</v>
      </c>
      <c r="B511" s="193">
        <v>4167</v>
      </c>
      <c r="C511" s="194" t="s">
        <v>1112</v>
      </c>
      <c r="D511" s="229" t="s">
        <v>1566</v>
      </c>
      <c r="E511" s="229" t="s">
        <v>263</v>
      </c>
      <c r="F511" s="236">
        <v>300</v>
      </c>
      <c r="G511" s="196">
        <v>1</v>
      </c>
      <c r="H511" s="195">
        <v>300</v>
      </c>
      <c r="I511" s="197">
        <v>41301</v>
      </c>
      <c r="J511" s="197" t="str">
        <f t="shared" si="24"/>
        <v>ok</v>
      </c>
      <c r="K511" s="413"/>
      <c r="L511" s="413"/>
      <c r="M511" s="413"/>
      <c r="N511" s="413"/>
      <c r="O511" s="413"/>
      <c r="P511" s="413"/>
      <c r="Q511" s="413"/>
      <c r="R511" s="413"/>
      <c r="S511" s="413"/>
      <c r="T511" s="413"/>
      <c r="U511" s="413"/>
      <c r="V511" s="413"/>
      <c r="W511" s="413">
        <f t="shared" si="22"/>
        <v>0</v>
      </c>
      <c r="X511" s="412"/>
      <c r="Y511" s="412">
        <v>300</v>
      </c>
      <c r="Z511" s="412"/>
      <c r="AA511" s="412"/>
      <c r="AB511" s="412"/>
      <c r="AC511" s="412"/>
      <c r="AD511" s="412"/>
      <c r="AE511" s="412"/>
      <c r="AF511" s="412"/>
      <c r="AG511" s="412"/>
      <c r="AH511" s="412"/>
      <c r="AI511" s="412"/>
      <c r="AJ511" s="412">
        <f t="shared" si="23"/>
        <v>300</v>
      </c>
      <c r="AK511" s="198"/>
      <c r="AL511" s="250" t="s">
        <v>2067</v>
      </c>
    </row>
    <row r="512" spans="1:38" ht="14.1" customHeight="1" x14ac:dyDescent="0.2">
      <c r="A512" t="s">
        <v>888</v>
      </c>
      <c r="B512" s="193">
        <v>4168</v>
      </c>
      <c r="C512" s="194" t="s">
        <v>914</v>
      </c>
      <c r="D512" s="229" t="s">
        <v>1567</v>
      </c>
      <c r="E512" s="229" t="s">
        <v>350</v>
      </c>
      <c r="F512" s="236">
        <v>300</v>
      </c>
      <c r="G512" s="196">
        <v>1</v>
      </c>
      <c r="H512" s="195">
        <v>300</v>
      </c>
      <c r="I512" s="197">
        <v>41301</v>
      </c>
      <c r="J512" s="197" t="str">
        <f t="shared" si="24"/>
        <v>ok</v>
      </c>
      <c r="K512" s="413"/>
      <c r="L512" s="413"/>
      <c r="M512" s="413"/>
      <c r="N512" s="413"/>
      <c r="O512" s="413"/>
      <c r="P512" s="413"/>
      <c r="Q512" s="413"/>
      <c r="R512" s="413"/>
      <c r="S512" s="413"/>
      <c r="T512" s="413"/>
      <c r="U512" s="413"/>
      <c r="V512" s="413"/>
      <c r="W512" s="413">
        <f t="shared" si="22"/>
        <v>0</v>
      </c>
      <c r="X512" s="412">
        <v>300</v>
      </c>
      <c r="Y512" s="412"/>
      <c r="Z512" s="412"/>
      <c r="AA512" s="412"/>
      <c r="AB512" s="412"/>
      <c r="AC512" s="412"/>
      <c r="AD512" s="412"/>
      <c r="AE512" s="412"/>
      <c r="AF512" s="412"/>
      <c r="AG512" s="412"/>
      <c r="AH512" s="412"/>
      <c r="AI512" s="412"/>
      <c r="AJ512" s="412">
        <f t="shared" si="23"/>
        <v>300</v>
      </c>
      <c r="AK512" s="198"/>
      <c r="AL512" s="250" t="s">
        <v>2067</v>
      </c>
    </row>
    <row r="513" spans="1:38" ht="14.1" customHeight="1" x14ac:dyDescent="0.2">
      <c r="A513" t="s">
        <v>894</v>
      </c>
      <c r="B513" s="193">
        <v>4169</v>
      </c>
      <c r="C513" s="194" t="s">
        <v>1172</v>
      </c>
      <c r="D513" s="229" t="s">
        <v>1390</v>
      </c>
      <c r="E513" s="229" t="s">
        <v>626</v>
      </c>
      <c r="F513" s="236">
        <v>300</v>
      </c>
      <c r="G513" s="196">
        <v>1</v>
      </c>
      <c r="H513" s="195">
        <v>300</v>
      </c>
      <c r="I513" s="197">
        <v>41301</v>
      </c>
      <c r="J513" s="197" t="str">
        <f t="shared" si="24"/>
        <v>ok</v>
      </c>
      <c r="K513" s="413"/>
      <c r="L513" s="413"/>
      <c r="M513" s="413"/>
      <c r="N513" s="413"/>
      <c r="O513" s="413"/>
      <c r="P513" s="413"/>
      <c r="Q513" s="413"/>
      <c r="R513" s="413"/>
      <c r="S513" s="413"/>
      <c r="T513" s="413"/>
      <c r="U513" s="413"/>
      <c r="V513" s="413"/>
      <c r="W513" s="413">
        <f t="shared" si="22"/>
        <v>0</v>
      </c>
      <c r="X513" s="412">
        <v>300</v>
      </c>
      <c r="Y513" s="412"/>
      <c r="Z513" s="412"/>
      <c r="AA513" s="412"/>
      <c r="AB513" s="412"/>
      <c r="AC513" s="412"/>
      <c r="AD513" s="412"/>
      <c r="AE513" s="412"/>
      <c r="AF513" s="412"/>
      <c r="AG513" s="412"/>
      <c r="AH513" s="412"/>
      <c r="AI513" s="412"/>
      <c r="AJ513" s="412">
        <f t="shared" si="23"/>
        <v>300</v>
      </c>
      <c r="AK513" s="198"/>
      <c r="AL513" s="250" t="s">
        <v>2067</v>
      </c>
    </row>
    <row r="514" spans="1:38" ht="14.1" customHeight="1" x14ac:dyDescent="0.2">
      <c r="A514" t="s">
        <v>890</v>
      </c>
      <c r="B514" s="193">
        <v>4170</v>
      </c>
      <c r="C514" s="194" t="s">
        <v>1043</v>
      </c>
      <c r="D514" s="229" t="s">
        <v>1568</v>
      </c>
      <c r="E514" s="229" t="s">
        <v>554</v>
      </c>
      <c r="F514" s="236">
        <v>300</v>
      </c>
      <c r="G514" s="196">
        <v>1</v>
      </c>
      <c r="H514" s="195">
        <v>300</v>
      </c>
      <c r="I514" s="197">
        <v>41301</v>
      </c>
      <c r="J514" s="197" t="str">
        <f t="shared" si="24"/>
        <v>ok</v>
      </c>
      <c r="K514" s="413"/>
      <c r="L514" s="413"/>
      <c r="M514" s="413"/>
      <c r="N514" s="413"/>
      <c r="O514" s="413"/>
      <c r="P514" s="413"/>
      <c r="Q514" s="413"/>
      <c r="R514" s="413"/>
      <c r="S514" s="413"/>
      <c r="T514" s="413"/>
      <c r="U514" s="413"/>
      <c r="V514" s="413">
        <v>300</v>
      </c>
      <c r="W514" s="413">
        <f t="shared" si="22"/>
        <v>300</v>
      </c>
      <c r="X514" s="412"/>
      <c r="Y514" s="412"/>
      <c r="Z514" s="412"/>
      <c r="AA514" s="412"/>
      <c r="AB514" s="412"/>
      <c r="AC514" s="412"/>
      <c r="AD514" s="412"/>
      <c r="AE514" s="412"/>
      <c r="AF514" s="412"/>
      <c r="AG514" s="412"/>
      <c r="AH514" s="412"/>
      <c r="AI514" s="412"/>
      <c r="AJ514" s="412">
        <f t="shared" si="23"/>
        <v>0</v>
      </c>
      <c r="AK514" s="198" t="s">
        <v>1240</v>
      </c>
      <c r="AL514" s="250" t="s">
        <v>2067</v>
      </c>
    </row>
    <row r="515" spans="1:38" ht="14.1" customHeight="1" x14ac:dyDescent="0.2">
      <c r="A515" t="s">
        <v>893</v>
      </c>
      <c r="B515" s="193">
        <v>4171</v>
      </c>
      <c r="C515" s="194" t="s">
        <v>1141</v>
      </c>
      <c r="D515" s="229" t="s">
        <v>1437</v>
      </c>
      <c r="E515" s="229" t="s">
        <v>716</v>
      </c>
      <c r="F515" s="236">
        <v>300</v>
      </c>
      <c r="G515" s="196">
        <v>4</v>
      </c>
      <c r="H515" s="195">
        <v>160</v>
      </c>
      <c r="I515" s="197">
        <v>41305</v>
      </c>
      <c r="J515" s="197" t="str">
        <f t="shared" si="24"/>
        <v>ok</v>
      </c>
      <c r="K515" s="413"/>
      <c r="L515" s="413"/>
      <c r="M515" s="413"/>
      <c r="N515" s="413"/>
      <c r="O515" s="413"/>
      <c r="P515" s="413"/>
      <c r="Q515" s="413"/>
      <c r="R515" s="413"/>
      <c r="S515" s="413"/>
      <c r="T515" s="413"/>
      <c r="U515" s="413"/>
      <c r="V515" s="413"/>
      <c r="W515" s="413">
        <f t="shared" si="22"/>
        <v>0</v>
      </c>
      <c r="X515" s="412"/>
      <c r="Y515" s="412"/>
      <c r="Z515" s="412"/>
      <c r="AA515" s="412"/>
      <c r="AB515" s="412"/>
      <c r="AC515" s="412"/>
      <c r="AD515" s="412"/>
      <c r="AE515" s="412"/>
      <c r="AF515" s="412"/>
      <c r="AG515" s="412"/>
      <c r="AH515" s="412"/>
      <c r="AI515" s="412"/>
      <c r="AJ515" s="412">
        <f t="shared" si="23"/>
        <v>0</v>
      </c>
      <c r="AK515" s="198"/>
      <c r="AL515" s="250" t="s">
        <v>2068</v>
      </c>
    </row>
    <row r="516" spans="1:38" ht="14.1" customHeight="1" x14ac:dyDescent="0.2">
      <c r="A516" t="s">
        <v>893</v>
      </c>
      <c r="B516" s="193">
        <v>4172</v>
      </c>
      <c r="C516" s="194" t="s">
        <v>1092</v>
      </c>
      <c r="D516" s="229" t="s">
        <v>1569</v>
      </c>
      <c r="E516" s="229" t="s">
        <v>223</v>
      </c>
      <c r="F516" s="236">
        <v>300</v>
      </c>
      <c r="G516" s="196">
        <v>1</v>
      </c>
      <c r="H516" s="195">
        <v>600</v>
      </c>
      <c r="I516" s="197">
        <v>41305</v>
      </c>
      <c r="J516" s="197" t="str">
        <f t="shared" si="24"/>
        <v>ok</v>
      </c>
      <c r="K516" s="413"/>
      <c r="L516" s="413"/>
      <c r="M516" s="413"/>
      <c r="N516" s="413"/>
      <c r="O516" s="413"/>
      <c r="P516" s="413"/>
      <c r="Q516" s="413"/>
      <c r="R516" s="413"/>
      <c r="S516" s="413"/>
      <c r="T516" s="413"/>
      <c r="U516" s="413"/>
      <c r="V516" s="413"/>
      <c r="W516" s="413">
        <f t="shared" si="22"/>
        <v>0</v>
      </c>
      <c r="X516" s="412">
        <v>300</v>
      </c>
      <c r="Y516" s="412">
        <v>300</v>
      </c>
      <c r="Z516" s="412"/>
      <c r="AA516" s="412"/>
      <c r="AB516" s="412"/>
      <c r="AC516" s="412"/>
      <c r="AD516" s="412"/>
      <c r="AE516" s="412"/>
      <c r="AF516" s="412"/>
      <c r="AG516" s="412"/>
      <c r="AH516" s="412"/>
      <c r="AI516" s="412"/>
      <c r="AJ516" s="412">
        <f t="shared" si="23"/>
        <v>600</v>
      </c>
      <c r="AK516" s="198"/>
      <c r="AL516" s="250" t="s">
        <v>2067</v>
      </c>
    </row>
    <row r="517" spans="1:38" ht="14.1" customHeight="1" x14ac:dyDescent="0.2">
      <c r="A517" t="s">
        <v>888</v>
      </c>
      <c r="B517" s="193">
        <v>4173</v>
      </c>
      <c r="C517" s="194" t="s">
        <v>913</v>
      </c>
      <c r="D517" s="229" t="s">
        <v>1415</v>
      </c>
      <c r="E517" s="229" t="s">
        <v>348</v>
      </c>
      <c r="F517" s="236">
        <v>200</v>
      </c>
      <c r="G517" s="196">
        <v>1</v>
      </c>
      <c r="H517" s="195">
        <v>200</v>
      </c>
      <c r="I517" s="197">
        <v>41305</v>
      </c>
      <c r="J517" s="197" t="str">
        <f t="shared" si="24"/>
        <v>ok</v>
      </c>
      <c r="K517" s="413"/>
      <c r="L517" s="413"/>
      <c r="M517" s="413"/>
      <c r="N517" s="413"/>
      <c r="O517" s="413"/>
      <c r="P517" s="413"/>
      <c r="Q517" s="413"/>
      <c r="R517" s="413"/>
      <c r="S517" s="413"/>
      <c r="T517" s="413"/>
      <c r="U517" s="413"/>
      <c r="V517" s="413"/>
      <c r="W517" s="413">
        <f t="shared" si="22"/>
        <v>0</v>
      </c>
      <c r="X517" s="412"/>
      <c r="Y517" s="412">
        <v>200</v>
      </c>
      <c r="Z517" s="412"/>
      <c r="AA517" s="412"/>
      <c r="AB517" s="412"/>
      <c r="AC517" s="412"/>
      <c r="AD517" s="412"/>
      <c r="AE517" s="412"/>
      <c r="AF517" s="412"/>
      <c r="AG517" s="412"/>
      <c r="AH517" s="412"/>
      <c r="AI517" s="412"/>
      <c r="AJ517" s="412">
        <f t="shared" si="23"/>
        <v>200</v>
      </c>
      <c r="AK517" s="198"/>
      <c r="AL517" s="250" t="s">
        <v>2067</v>
      </c>
    </row>
    <row r="518" spans="1:38" ht="14.1" customHeight="1" x14ac:dyDescent="0.2">
      <c r="A518" t="s">
        <v>889</v>
      </c>
      <c r="B518" s="199">
        <v>4174</v>
      </c>
      <c r="C518" s="200" t="s">
        <v>970</v>
      </c>
      <c r="D518" s="231" t="s">
        <v>1444</v>
      </c>
      <c r="E518" s="231" t="s">
        <v>1247</v>
      </c>
      <c r="F518" s="238">
        <v>300</v>
      </c>
      <c r="G518" s="202">
        <v>3</v>
      </c>
      <c r="H518" s="201">
        <v>300</v>
      </c>
      <c r="I518" s="203">
        <v>41305</v>
      </c>
      <c r="J518" s="197" t="str">
        <f t="shared" si="24"/>
        <v>ok</v>
      </c>
      <c r="K518" s="415"/>
      <c r="L518" s="415"/>
      <c r="M518" s="415"/>
      <c r="N518" s="415"/>
      <c r="O518" s="415"/>
      <c r="P518" s="415"/>
      <c r="Q518" s="415"/>
      <c r="R518" s="415"/>
      <c r="S518" s="415"/>
      <c r="T518" s="415"/>
      <c r="U518" s="415"/>
      <c r="V518" s="415"/>
      <c r="W518" s="413">
        <f t="shared" si="22"/>
        <v>0</v>
      </c>
      <c r="X518" s="412"/>
      <c r="Y518" s="412"/>
      <c r="Z518" s="412"/>
      <c r="AA518" s="412"/>
      <c r="AB518" s="412"/>
      <c r="AC518" s="412"/>
      <c r="AD518" s="412"/>
      <c r="AE518" s="412"/>
      <c r="AF518" s="412"/>
      <c r="AG518" s="412"/>
      <c r="AH518" s="412"/>
      <c r="AI518" s="412"/>
      <c r="AJ518" s="412">
        <f t="shared" si="23"/>
        <v>0</v>
      </c>
      <c r="AK518" s="204"/>
      <c r="AL518" s="250" t="s">
        <v>2068</v>
      </c>
    </row>
    <row r="519" spans="1:38" ht="14.1" customHeight="1" x14ac:dyDescent="0.2">
      <c r="A519" t="s">
        <v>889</v>
      </c>
      <c r="B519" s="374" t="s">
        <v>1984</v>
      </c>
      <c r="C519" s="178" t="s">
        <v>973</v>
      </c>
      <c r="D519" s="370" t="s">
        <v>1855</v>
      </c>
      <c r="E519" s="370" t="s">
        <v>645</v>
      </c>
      <c r="F519" s="375">
        <v>1000</v>
      </c>
      <c r="G519" s="376">
        <v>1</v>
      </c>
      <c r="H519" s="377">
        <v>1000</v>
      </c>
      <c r="I519" s="203">
        <v>41305</v>
      </c>
      <c r="J519" s="197" t="str">
        <f t="shared" si="24"/>
        <v>ok</v>
      </c>
      <c r="K519" s="416"/>
      <c r="L519" s="416"/>
      <c r="M519" s="416"/>
      <c r="N519" s="416"/>
      <c r="O519" s="416"/>
      <c r="P519" s="416"/>
      <c r="Q519" s="416"/>
      <c r="R519" s="416"/>
      <c r="S519" s="416"/>
      <c r="T519" s="416"/>
      <c r="U519" s="416"/>
      <c r="V519" s="416"/>
      <c r="W519" s="413">
        <f t="shared" ref="W519:W582" si="25">SUM(K519:V519)</f>
        <v>0</v>
      </c>
      <c r="X519" s="412">
        <v>1000</v>
      </c>
      <c r="Y519" s="412"/>
      <c r="Z519" s="412"/>
      <c r="AA519" s="412"/>
      <c r="AB519" s="412"/>
      <c r="AC519" s="412"/>
      <c r="AD519" s="412"/>
      <c r="AE519" s="412"/>
      <c r="AF519" s="412"/>
      <c r="AG519" s="412"/>
      <c r="AH519" s="412"/>
      <c r="AI519" s="412"/>
      <c r="AJ519" s="412">
        <f t="shared" ref="AJ519:AJ582" si="26">SUM(X519:AI519)</f>
        <v>1000</v>
      </c>
      <c r="AK519" s="379"/>
      <c r="AL519" s="250" t="s">
        <v>2067</v>
      </c>
    </row>
    <row r="520" spans="1:38" ht="21.95" customHeight="1" x14ac:dyDescent="0.2">
      <c r="B520" s="126" t="s">
        <v>756</v>
      </c>
      <c r="C520" s="126" t="s">
        <v>903</v>
      </c>
      <c r="D520" s="126" t="s">
        <v>885</v>
      </c>
      <c r="E520" s="126" t="s">
        <v>689</v>
      </c>
      <c r="F520" s="235" t="s">
        <v>702</v>
      </c>
      <c r="G520" s="126" t="s">
        <v>1182</v>
      </c>
      <c r="H520" s="126" t="s">
        <v>757</v>
      </c>
      <c r="I520" s="126" t="s">
        <v>758</v>
      </c>
      <c r="J520" s="126" t="s">
        <v>2069</v>
      </c>
      <c r="K520" s="126" t="s">
        <v>690</v>
      </c>
      <c r="L520" s="126" t="s">
        <v>691</v>
      </c>
      <c r="M520" s="126" t="s">
        <v>692</v>
      </c>
      <c r="N520" s="126" t="s">
        <v>693</v>
      </c>
      <c r="O520" s="126" t="s">
        <v>694</v>
      </c>
      <c r="P520" s="126" t="s">
        <v>695</v>
      </c>
      <c r="Q520" s="126" t="s">
        <v>696</v>
      </c>
      <c r="R520" s="126" t="s">
        <v>697</v>
      </c>
      <c r="S520" s="126" t="s">
        <v>698</v>
      </c>
      <c r="T520" s="126" t="s">
        <v>699</v>
      </c>
      <c r="U520" s="126" t="s">
        <v>700</v>
      </c>
      <c r="V520" s="126" t="s">
        <v>701</v>
      </c>
      <c r="W520" s="248" t="s">
        <v>1715</v>
      </c>
      <c r="X520" s="126" t="s">
        <v>690</v>
      </c>
      <c r="Y520" s="126" t="s">
        <v>691</v>
      </c>
      <c r="Z520" s="126" t="s">
        <v>692</v>
      </c>
      <c r="AA520" s="126" t="s">
        <v>693</v>
      </c>
      <c r="AB520" s="126" t="s">
        <v>694</v>
      </c>
      <c r="AC520" s="126" t="s">
        <v>695</v>
      </c>
      <c r="AD520" s="126" t="s">
        <v>696</v>
      </c>
      <c r="AE520" s="126" t="s">
        <v>697</v>
      </c>
      <c r="AF520" s="126" t="s">
        <v>698</v>
      </c>
      <c r="AG520" s="126" t="s">
        <v>699</v>
      </c>
      <c r="AH520" s="126" t="s">
        <v>700</v>
      </c>
      <c r="AI520" s="126" t="s">
        <v>701</v>
      </c>
      <c r="AJ520" s="248" t="s">
        <v>1834</v>
      </c>
      <c r="AK520" s="126" t="s">
        <v>759</v>
      </c>
      <c r="AL520" s="250" t="e">
        <v>#VALUE!</v>
      </c>
    </row>
    <row r="521" spans="1:38" ht="14.1" customHeight="1" x14ac:dyDescent="0.2">
      <c r="A521" t="s">
        <v>893</v>
      </c>
      <c r="B521" s="187">
        <v>4175</v>
      </c>
      <c r="C521" s="188" t="s">
        <v>1117</v>
      </c>
      <c r="D521" s="232" t="s">
        <v>1430</v>
      </c>
      <c r="E521" s="232" t="s">
        <v>271</v>
      </c>
      <c r="F521" s="239">
        <v>300</v>
      </c>
      <c r="G521" s="190">
        <v>1</v>
      </c>
      <c r="H521" s="189">
        <v>300</v>
      </c>
      <c r="I521" s="191">
        <v>41308</v>
      </c>
      <c r="J521" s="197" t="str">
        <f t="shared" si="24"/>
        <v>ok</v>
      </c>
      <c r="K521" s="417"/>
      <c r="L521" s="417"/>
      <c r="M521" s="417"/>
      <c r="N521" s="417"/>
      <c r="O521" s="417"/>
      <c r="P521" s="417"/>
      <c r="Q521" s="417"/>
      <c r="R521" s="417"/>
      <c r="S521" s="417"/>
      <c r="T521" s="417"/>
      <c r="U521" s="417"/>
      <c r="V521" s="417"/>
      <c r="W521" s="413">
        <f t="shared" si="25"/>
        <v>0</v>
      </c>
      <c r="X521" s="412"/>
      <c r="Y521" s="412">
        <v>300</v>
      </c>
      <c r="Z521" s="412"/>
      <c r="AA521" s="412"/>
      <c r="AB521" s="412"/>
      <c r="AC521" s="412"/>
      <c r="AD521" s="412"/>
      <c r="AE521" s="412"/>
      <c r="AF521" s="412"/>
      <c r="AG521" s="412"/>
      <c r="AH521" s="412"/>
      <c r="AI521" s="412"/>
      <c r="AJ521" s="412">
        <f t="shared" si="26"/>
        <v>300</v>
      </c>
      <c r="AK521" s="192"/>
      <c r="AL521" s="250" t="s">
        <v>2067</v>
      </c>
    </row>
    <row r="522" spans="1:38" ht="14.1" customHeight="1" x14ac:dyDescent="0.2">
      <c r="A522" t="s">
        <v>894</v>
      </c>
      <c r="B522" s="193">
        <v>4176</v>
      </c>
      <c r="C522" s="194" t="s">
        <v>1179</v>
      </c>
      <c r="D522" s="229" t="s">
        <v>1452</v>
      </c>
      <c r="E522" s="229" t="s">
        <v>639</v>
      </c>
      <c r="F522" s="240">
        <v>250</v>
      </c>
      <c r="G522" s="196">
        <v>1</v>
      </c>
      <c r="H522" s="195">
        <v>500</v>
      </c>
      <c r="I522" s="197">
        <v>41308</v>
      </c>
      <c r="J522" s="197" t="str">
        <f t="shared" si="24"/>
        <v>ok</v>
      </c>
      <c r="K522" s="413"/>
      <c r="L522" s="413"/>
      <c r="M522" s="413"/>
      <c r="N522" s="413"/>
      <c r="O522" s="413"/>
      <c r="P522" s="413"/>
      <c r="Q522" s="413"/>
      <c r="R522" s="413"/>
      <c r="S522" s="413"/>
      <c r="T522" s="413">
        <v>250</v>
      </c>
      <c r="U522" s="413"/>
      <c r="V522" s="413"/>
      <c r="W522" s="413">
        <f t="shared" si="25"/>
        <v>250</v>
      </c>
      <c r="X522" s="412"/>
      <c r="Y522" s="412">
        <v>250</v>
      </c>
      <c r="Z522" s="412"/>
      <c r="AA522" s="412"/>
      <c r="AB522" s="412"/>
      <c r="AC522" s="412"/>
      <c r="AD522" s="412"/>
      <c r="AE522" s="412"/>
      <c r="AF522" s="412"/>
      <c r="AG522" s="412"/>
      <c r="AH522" s="412"/>
      <c r="AI522" s="412"/>
      <c r="AJ522" s="412">
        <f t="shared" si="26"/>
        <v>250</v>
      </c>
      <c r="AK522" s="198" t="s">
        <v>1298</v>
      </c>
      <c r="AL522" s="250" t="s">
        <v>2067</v>
      </c>
    </row>
    <row r="523" spans="1:38" ht="14.1" customHeight="1" x14ac:dyDescent="0.2">
      <c r="A523" t="s">
        <v>891</v>
      </c>
      <c r="B523" s="193">
        <v>4177</v>
      </c>
      <c r="C523" s="194" t="s">
        <v>1052</v>
      </c>
      <c r="D523" s="229" t="s">
        <v>1571</v>
      </c>
      <c r="E523" s="229" t="s">
        <v>654</v>
      </c>
      <c r="F523" s="240">
        <v>300</v>
      </c>
      <c r="G523" s="196">
        <v>3</v>
      </c>
      <c r="H523" s="195">
        <v>150</v>
      </c>
      <c r="I523" s="197">
        <v>41308</v>
      </c>
      <c r="J523" s="197" t="str">
        <f t="shared" si="24"/>
        <v>ok</v>
      </c>
      <c r="K523" s="413"/>
      <c r="L523" s="413"/>
      <c r="M523" s="413"/>
      <c r="N523" s="413"/>
      <c r="O523" s="413"/>
      <c r="P523" s="413"/>
      <c r="Q523" s="413"/>
      <c r="R523" s="413"/>
      <c r="S523" s="413"/>
      <c r="T523" s="413"/>
      <c r="U523" s="413"/>
      <c r="V523" s="413"/>
      <c r="W523" s="413">
        <f t="shared" si="25"/>
        <v>0</v>
      </c>
      <c r="X523" s="412"/>
      <c r="Y523" s="412"/>
      <c r="Z523" s="412"/>
      <c r="AA523" s="412"/>
      <c r="AB523" s="412"/>
      <c r="AC523" s="412"/>
      <c r="AD523" s="412"/>
      <c r="AE523" s="412"/>
      <c r="AF523" s="412"/>
      <c r="AG523" s="412"/>
      <c r="AH523" s="412"/>
      <c r="AI523" s="412"/>
      <c r="AJ523" s="412">
        <f t="shared" si="26"/>
        <v>0</v>
      </c>
      <c r="AK523" s="198"/>
      <c r="AL523" s="250" t="s">
        <v>2068</v>
      </c>
    </row>
    <row r="524" spans="1:38" ht="14.1" customHeight="1" x14ac:dyDescent="0.2">
      <c r="A524" t="s">
        <v>891</v>
      </c>
      <c r="B524" s="193">
        <v>4177</v>
      </c>
      <c r="C524" s="194" t="s">
        <v>1052</v>
      </c>
      <c r="D524" s="229" t="s">
        <v>1571</v>
      </c>
      <c r="E524" s="229" t="s">
        <v>654</v>
      </c>
      <c r="F524" s="240">
        <v>300</v>
      </c>
      <c r="G524" s="196">
        <v>4</v>
      </c>
      <c r="H524" s="195">
        <v>160</v>
      </c>
      <c r="I524" s="197">
        <v>41308</v>
      </c>
      <c r="J524" s="197" t="str">
        <f t="shared" si="24"/>
        <v>ok</v>
      </c>
      <c r="K524" s="413"/>
      <c r="L524" s="413"/>
      <c r="M524" s="413"/>
      <c r="N524" s="413"/>
      <c r="O524" s="413"/>
      <c r="P524" s="413"/>
      <c r="Q524" s="413"/>
      <c r="R524" s="413"/>
      <c r="S524" s="413"/>
      <c r="T524" s="413"/>
      <c r="U524" s="413"/>
      <c r="V524" s="413"/>
      <c r="W524" s="413">
        <f t="shared" si="25"/>
        <v>0</v>
      </c>
      <c r="X524" s="412"/>
      <c r="Y524" s="412"/>
      <c r="Z524" s="412"/>
      <c r="AA524" s="412"/>
      <c r="AB524" s="412"/>
      <c r="AC524" s="412"/>
      <c r="AD524" s="412"/>
      <c r="AE524" s="412"/>
      <c r="AF524" s="412"/>
      <c r="AG524" s="412"/>
      <c r="AH524" s="412"/>
      <c r="AI524" s="412"/>
      <c r="AJ524" s="412">
        <f t="shared" si="26"/>
        <v>0</v>
      </c>
      <c r="AK524" s="198"/>
      <c r="AL524" s="250" t="s">
        <v>2068</v>
      </c>
    </row>
    <row r="525" spans="1:38" ht="14.1" customHeight="1" x14ac:dyDescent="0.2">
      <c r="B525" s="193">
        <v>4178</v>
      </c>
      <c r="C525" s="194"/>
      <c r="D525" s="229" t="s">
        <v>1362</v>
      </c>
      <c r="E525" s="229" t="s">
        <v>1362</v>
      </c>
      <c r="F525" s="240" t="s">
        <v>1362</v>
      </c>
      <c r="G525" s="196">
        <v>8</v>
      </c>
      <c r="H525" s="195"/>
      <c r="I525" s="197"/>
      <c r="J525" s="197" t="str">
        <f t="shared" si="24"/>
        <v>ok</v>
      </c>
      <c r="K525" s="413"/>
      <c r="L525" s="413"/>
      <c r="M525" s="413"/>
      <c r="N525" s="413"/>
      <c r="O525" s="413"/>
      <c r="P525" s="413"/>
      <c r="Q525" s="413"/>
      <c r="R525" s="413"/>
      <c r="S525" s="413"/>
      <c r="T525" s="413"/>
      <c r="U525" s="413"/>
      <c r="V525" s="413"/>
      <c r="W525" s="413">
        <f t="shared" si="25"/>
        <v>0</v>
      </c>
      <c r="X525" s="412"/>
      <c r="Y525" s="412"/>
      <c r="Z525" s="412"/>
      <c r="AA525" s="412"/>
      <c r="AB525" s="412"/>
      <c r="AC525" s="412"/>
      <c r="AD525" s="412"/>
      <c r="AE525" s="412"/>
      <c r="AF525" s="412"/>
      <c r="AG525" s="412"/>
      <c r="AH525" s="412"/>
      <c r="AI525" s="412"/>
      <c r="AJ525" s="412">
        <f t="shared" si="26"/>
        <v>0</v>
      </c>
      <c r="AK525" s="198" t="s">
        <v>755</v>
      </c>
      <c r="AL525" s="250" t="s">
        <v>2067</v>
      </c>
    </row>
    <row r="526" spans="1:38" ht="14.1" customHeight="1" x14ac:dyDescent="0.2">
      <c r="A526" t="s">
        <v>884</v>
      </c>
      <c r="B526" s="193">
        <v>4179</v>
      </c>
      <c r="C526" s="194" t="s">
        <v>783</v>
      </c>
      <c r="D526" s="229" t="s">
        <v>1572</v>
      </c>
      <c r="E526" s="229" t="s">
        <v>1202</v>
      </c>
      <c r="F526" s="240">
        <v>300</v>
      </c>
      <c r="G526" s="196">
        <v>1</v>
      </c>
      <c r="H526" s="195">
        <v>600</v>
      </c>
      <c r="I526" s="197">
        <v>41308</v>
      </c>
      <c r="J526" s="197" t="str">
        <f t="shared" ref="J526:J589" si="27">IF(OR(G526&lt;&gt;1,SUM(W526,AJ526)=H526),"ok","error")</f>
        <v>ok</v>
      </c>
      <c r="K526" s="413"/>
      <c r="L526" s="413"/>
      <c r="M526" s="413"/>
      <c r="N526" s="413"/>
      <c r="O526" s="413"/>
      <c r="P526" s="413"/>
      <c r="Q526" s="413"/>
      <c r="R526" s="413"/>
      <c r="S526" s="413"/>
      <c r="T526" s="413"/>
      <c r="U526" s="413"/>
      <c r="V526" s="413"/>
      <c r="W526" s="413">
        <f t="shared" si="25"/>
        <v>0</v>
      </c>
      <c r="X526" s="412">
        <v>300</v>
      </c>
      <c r="Y526" s="412">
        <v>300</v>
      </c>
      <c r="Z526" s="412"/>
      <c r="AA526" s="412"/>
      <c r="AB526" s="412"/>
      <c r="AC526" s="412"/>
      <c r="AD526" s="412"/>
      <c r="AE526" s="412"/>
      <c r="AF526" s="412"/>
      <c r="AG526" s="412"/>
      <c r="AH526" s="412"/>
      <c r="AI526" s="412"/>
      <c r="AJ526" s="412">
        <f t="shared" si="26"/>
        <v>600</v>
      </c>
      <c r="AK526" s="198"/>
      <c r="AL526" s="250" t="s">
        <v>2067</v>
      </c>
    </row>
    <row r="527" spans="1:38" ht="14.1" customHeight="1" x14ac:dyDescent="0.2">
      <c r="A527" t="s">
        <v>884</v>
      </c>
      <c r="B527" s="193">
        <v>4179</v>
      </c>
      <c r="C527" s="194" t="s">
        <v>783</v>
      </c>
      <c r="D527" s="229" t="s">
        <v>1572</v>
      </c>
      <c r="E527" s="229" t="s">
        <v>1202</v>
      </c>
      <c r="F527" s="240">
        <v>300</v>
      </c>
      <c r="G527" s="196">
        <v>3</v>
      </c>
      <c r="H527" s="195">
        <v>150</v>
      </c>
      <c r="I527" s="197">
        <v>41308</v>
      </c>
      <c r="J527" s="197" t="str">
        <f t="shared" si="27"/>
        <v>ok</v>
      </c>
      <c r="K527" s="413"/>
      <c r="L527" s="413"/>
      <c r="M527" s="413"/>
      <c r="N527" s="413"/>
      <c r="O527" s="413"/>
      <c r="P527" s="413"/>
      <c r="Q527" s="413"/>
      <c r="R527" s="413"/>
      <c r="S527" s="413"/>
      <c r="T527" s="413"/>
      <c r="U527" s="413"/>
      <c r="V527" s="413"/>
      <c r="W527" s="413">
        <f t="shared" si="25"/>
        <v>0</v>
      </c>
      <c r="X527" s="412"/>
      <c r="Y527" s="412"/>
      <c r="Z527" s="412"/>
      <c r="AA527" s="412"/>
      <c r="AB527" s="412"/>
      <c r="AC527" s="412"/>
      <c r="AD527" s="412"/>
      <c r="AE527" s="412"/>
      <c r="AF527" s="412"/>
      <c r="AG527" s="412"/>
      <c r="AH527" s="412"/>
      <c r="AI527" s="412"/>
      <c r="AJ527" s="412">
        <f t="shared" si="26"/>
        <v>0</v>
      </c>
      <c r="AK527" s="198"/>
      <c r="AL527" s="250" t="s">
        <v>2068</v>
      </c>
    </row>
    <row r="528" spans="1:38" ht="14.1" customHeight="1" x14ac:dyDescent="0.2">
      <c r="A528" t="s">
        <v>888</v>
      </c>
      <c r="B528" s="193">
        <v>4180</v>
      </c>
      <c r="C528" s="194" t="s">
        <v>1703</v>
      </c>
      <c r="D528" s="229" t="s">
        <v>1450</v>
      </c>
      <c r="E528" s="229" t="s">
        <v>428</v>
      </c>
      <c r="F528" s="240">
        <v>10000</v>
      </c>
      <c r="G528" s="196">
        <v>3</v>
      </c>
      <c r="H528" s="195">
        <v>320</v>
      </c>
      <c r="I528" s="197">
        <v>41308</v>
      </c>
      <c r="J528" s="197" t="str">
        <f t="shared" si="27"/>
        <v>ok</v>
      </c>
      <c r="K528" s="413"/>
      <c r="L528" s="413"/>
      <c r="M528" s="413"/>
      <c r="N528" s="413"/>
      <c r="O528" s="413"/>
      <c r="P528" s="413"/>
      <c r="Q528" s="413"/>
      <c r="R528" s="413"/>
      <c r="S528" s="413"/>
      <c r="T528" s="413"/>
      <c r="U528" s="413"/>
      <c r="V528" s="413"/>
      <c r="W528" s="413">
        <f t="shared" si="25"/>
        <v>0</v>
      </c>
      <c r="X528" s="412"/>
      <c r="Y528" s="412"/>
      <c r="Z528" s="412"/>
      <c r="AA528" s="412"/>
      <c r="AB528" s="412"/>
      <c r="AC528" s="412"/>
      <c r="AD528" s="412"/>
      <c r="AE528" s="412"/>
      <c r="AF528" s="412"/>
      <c r="AG528" s="412"/>
      <c r="AH528" s="412"/>
      <c r="AI528" s="412"/>
      <c r="AJ528" s="412">
        <f t="shared" si="26"/>
        <v>0</v>
      </c>
      <c r="AK528" s="198" t="s">
        <v>1684</v>
      </c>
      <c r="AL528" s="250" t="s">
        <v>2068</v>
      </c>
    </row>
    <row r="529" spans="1:38" ht="14.1" customHeight="1" x14ac:dyDescent="0.2">
      <c r="A529" t="s">
        <v>893</v>
      </c>
      <c r="B529" s="193">
        <v>4181</v>
      </c>
      <c r="C529" s="194" t="s">
        <v>1149</v>
      </c>
      <c r="D529" s="229" t="s">
        <v>1440</v>
      </c>
      <c r="E529" s="229" t="s">
        <v>335</v>
      </c>
      <c r="F529" s="240">
        <v>300</v>
      </c>
      <c r="G529" s="196">
        <v>1</v>
      </c>
      <c r="H529" s="195">
        <v>300</v>
      </c>
      <c r="I529" s="197">
        <v>41308</v>
      </c>
      <c r="J529" s="197" t="str">
        <f t="shared" si="27"/>
        <v>ok</v>
      </c>
      <c r="K529" s="413"/>
      <c r="L529" s="413"/>
      <c r="M529" s="413"/>
      <c r="N529" s="413"/>
      <c r="O529" s="413"/>
      <c r="P529" s="413"/>
      <c r="Q529" s="413"/>
      <c r="R529" s="413"/>
      <c r="S529" s="413"/>
      <c r="T529" s="413"/>
      <c r="U529" s="413"/>
      <c r="V529" s="413"/>
      <c r="W529" s="413">
        <f t="shared" si="25"/>
        <v>0</v>
      </c>
      <c r="X529" s="412">
        <v>300</v>
      </c>
      <c r="Y529" s="412"/>
      <c r="Z529" s="412"/>
      <c r="AA529" s="412"/>
      <c r="AB529" s="412"/>
      <c r="AC529" s="412"/>
      <c r="AD529" s="412"/>
      <c r="AE529" s="412"/>
      <c r="AF529" s="412"/>
      <c r="AG529" s="412"/>
      <c r="AH529" s="412"/>
      <c r="AI529" s="412"/>
      <c r="AJ529" s="412">
        <f t="shared" si="26"/>
        <v>300</v>
      </c>
      <c r="AK529" s="198" t="s">
        <v>1685</v>
      </c>
      <c r="AL529" s="250" t="s">
        <v>2067</v>
      </c>
    </row>
    <row r="530" spans="1:38" ht="14.1" customHeight="1" x14ac:dyDescent="0.2">
      <c r="A530" t="s">
        <v>884</v>
      </c>
      <c r="B530" s="193">
        <v>4182</v>
      </c>
      <c r="C530" s="194" t="s">
        <v>802</v>
      </c>
      <c r="D530" s="229" t="s">
        <v>1412</v>
      </c>
      <c r="E530" s="229" t="s">
        <v>19</v>
      </c>
      <c r="F530" s="240">
        <v>300</v>
      </c>
      <c r="G530" s="196">
        <v>1</v>
      </c>
      <c r="H530" s="195">
        <v>300</v>
      </c>
      <c r="I530" s="197">
        <v>41308</v>
      </c>
      <c r="J530" s="197" t="str">
        <f t="shared" si="27"/>
        <v>ok</v>
      </c>
      <c r="K530" s="413"/>
      <c r="L530" s="413"/>
      <c r="M530" s="413"/>
      <c r="N530" s="413"/>
      <c r="O530" s="413"/>
      <c r="P530" s="413"/>
      <c r="Q530" s="413"/>
      <c r="R530" s="413"/>
      <c r="S530" s="413"/>
      <c r="T530" s="413"/>
      <c r="U530" s="413"/>
      <c r="V530" s="413"/>
      <c r="W530" s="413">
        <f t="shared" si="25"/>
        <v>0</v>
      </c>
      <c r="X530" s="412"/>
      <c r="Y530" s="412">
        <v>300</v>
      </c>
      <c r="Z530" s="412"/>
      <c r="AA530" s="412"/>
      <c r="AB530" s="412"/>
      <c r="AC530" s="412"/>
      <c r="AD530" s="412"/>
      <c r="AE530" s="412"/>
      <c r="AF530" s="412"/>
      <c r="AG530" s="412"/>
      <c r="AH530" s="412"/>
      <c r="AI530" s="412"/>
      <c r="AJ530" s="412">
        <f t="shared" si="26"/>
        <v>300</v>
      </c>
      <c r="AK530" s="198"/>
      <c r="AL530" s="250" t="s">
        <v>2067</v>
      </c>
    </row>
    <row r="531" spans="1:38" ht="14.1" customHeight="1" x14ac:dyDescent="0.2">
      <c r="A531" t="s">
        <v>890</v>
      </c>
      <c r="B531" s="193">
        <v>4183</v>
      </c>
      <c r="C531" s="194" t="s">
        <v>989</v>
      </c>
      <c r="D531" s="229" t="s">
        <v>1392</v>
      </c>
      <c r="E531" s="229" t="s">
        <v>478</v>
      </c>
      <c r="F531" s="240">
        <v>300</v>
      </c>
      <c r="G531" s="196">
        <v>1</v>
      </c>
      <c r="H531" s="195">
        <v>300</v>
      </c>
      <c r="I531" s="197">
        <v>41308</v>
      </c>
      <c r="J531" s="197" t="str">
        <f t="shared" si="27"/>
        <v>ok</v>
      </c>
      <c r="K531" s="413"/>
      <c r="L531" s="413"/>
      <c r="M531" s="413"/>
      <c r="N531" s="413"/>
      <c r="O531" s="413"/>
      <c r="P531" s="413"/>
      <c r="Q531" s="413"/>
      <c r="R531" s="413"/>
      <c r="S531" s="413"/>
      <c r="T531" s="413"/>
      <c r="U531" s="413"/>
      <c r="V531" s="413"/>
      <c r="W531" s="413">
        <f t="shared" si="25"/>
        <v>0</v>
      </c>
      <c r="X531" s="412"/>
      <c r="Y531" s="412">
        <v>300</v>
      </c>
      <c r="Z531" s="412"/>
      <c r="AA531" s="412"/>
      <c r="AB531" s="412"/>
      <c r="AC531" s="412"/>
      <c r="AD531" s="412"/>
      <c r="AE531" s="412"/>
      <c r="AF531" s="412"/>
      <c r="AG531" s="412"/>
      <c r="AH531" s="412"/>
      <c r="AI531" s="412"/>
      <c r="AJ531" s="412">
        <f t="shared" si="26"/>
        <v>300</v>
      </c>
      <c r="AK531" s="198"/>
      <c r="AL531" s="250" t="s">
        <v>2067</v>
      </c>
    </row>
    <row r="532" spans="1:38" ht="14.1" customHeight="1" x14ac:dyDescent="0.2">
      <c r="A532" t="s">
        <v>893</v>
      </c>
      <c r="B532" s="193">
        <v>4184</v>
      </c>
      <c r="C532" s="194" t="s">
        <v>778</v>
      </c>
      <c r="D532" s="229" t="s">
        <v>1573</v>
      </c>
      <c r="E532" s="229" t="s">
        <v>715</v>
      </c>
      <c r="F532" s="240">
        <v>300</v>
      </c>
      <c r="G532" s="196">
        <v>1</v>
      </c>
      <c r="H532" s="195">
        <v>300</v>
      </c>
      <c r="I532" s="197">
        <v>41308</v>
      </c>
      <c r="J532" s="197" t="str">
        <f t="shared" si="27"/>
        <v>ok</v>
      </c>
      <c r="K532" s="413"/>
      <c r="L532" s="413"/>
      <c r="M532" s="413"/>
      <c r="N532" s="413"/>
      <c r="O532" s="413"/>
      <c r="P532" s="413"/>
      <c r="Q532" s="413"/>
      <c r="R532" s="413"/>
      <c r="S532" s="413"/>
      <c r="T532" s="413"/>
      <c r="U532" s="413"/>
      <c r="V532" s="413"/>
      <c r="W532" s="413">
        <f t="shared" si="25"/>
        <v>0</v>
      </c>
      <c r="X532" s="412"/>
      <c r="Y532" s="412">
        <v>300</v>
      </c>
      <c r="Z532" s="412"/>
      <c r="AA532" s="412"/>
      <c r="AB532" s="412"/>
      <c r="AC532" s="412"/>
      <c r="AD532" s="412"/>
      <c r="AE532" s="412"/>
      <c r="AF532" s="412"/>
      <c r="AG532" s="412"/>
      <c r="AH532" s="412"/>
      <c r="AI532" s="412"/>
      <c r="AJ532" s="412">
        <f t="shared" si="26"/>
        <v>300</v>
      </c>
      <c r="AK532" s="198"/>
      <c r="AL532" s="250" t="s">
        <v>2067</v>
      </c>
    </row>
    <row r="533" spans="1:38" ht="14.1" customHeight="1" x14ac:dyDescent="0.2">
      <c r="A533" t="s">
        <v>893</v>
      </c>
      <c r="B533" s="193">
        <v>4185</v>
      </c>
      <c r="C533" s="194" t="s">
        <v>1140</v>
      </c>
      <c r="D533" s="229" t="s">
        <v>1574</v>
      </c>
      <c r="E533" s="229" t="s">
        <v>315</v>
      </c>
      <c r="F533" s="240">
        <v>300</v>
      </c>
      <c r="G533" s="196">
        <v>1</v>
      </c>
      <c r="H533" s="195">
        <v>600</v>
      </c>
      <c r="I533" s="197">
        <v>41308</v>
      </c>
      <c r="J533" s="197" t="str">
        <f t="shared" si="27"/>
        <v>ok</v>
      </c>
      <c r="K533" s="413"/>
      <c r="L533" s="413"/>
      <c r="M533" s="413"/>
      <c r="N533" s="413"/>
      <c r="O533" s="413"/>
      <c r="P533" s="413"/>
      <c r="Q533" s="413"/>
      <c r="R533" s="413"/>
      <c r="S533" s="413"/>
      <c r="T533" s="413"/>
      <c r="U533" s="413"/>
      <c r="V533" s="413"/>
      <c r="W533" s="413">
        <f t="shared" si="25"/>
        <v>0</v>
      </c>
      <c r="X533" s="412">
        <v>300</v>
      </c>
      <c r="Y533" s="412">
        <v>300</v>
      </c>
      <c r="Z533" s="412"/>
      <c r="AA533" s="412"/>
      <c r="AB533" s="412"/>
      <c r="AC533" s="412"/>
      <c r="AD533" s="412"/>
      <c r="AE533" s="412"/>
      <c r="AF533" s="412"/>
      <c r="AG533" s="412"/>
      <c r="AH533" s="412"/>
      <c r="AI533" s="412"/>
      <c r="AJ533" s="412">
        <f t="shared" si="26"/>
        <v>600</v>
      </c>
      <c r="AK533" s="198"/>
      <c r="AL533" s="250" t="s">
        <v>2067</v>
      </c>
    </row>
    <row r="534" spans="1:38" ht="14.1" customHeight="1" x14ac:dyDescent="0.2">
      <c r="A534" t="s">
        <v>894</v>
      </c>
      <c r="B534" s="193">
        <v>4186</v>
      </c>
      <c r="C534" s="194" t="s">
        <v>1164</v>
      </c>
      <c r="D534" s="229" t="s">
        <v>1406</v>
      </c>
      <c r="E534" s="229" t="s">
        <v>612</v>
      </c>
      <c r="F534" s="240">
        <v>300</v>
      </c>
      <c r="G534" s="196">
        <v>1</v>
      </c>
      <c r="H534" s="195">
        <v>300</v>
      </c>
      <c r="I534" s="197">
        <v>41308</v>
      </c>
      <c r="J534" s="197" t="str">
        <f t="shared" si="27"/>
        <v>ok</v>
      </c>
      <c r="K534" s="413"/>
      <c r="L534" s="413"/>
      <c r="M534" s="413"/>
      <c r="N534" s="413"/>
      <c r="O534" s="413"/>
      <c r="P534" s="413"/>
      <c r="Q534" s="413"/>
      <c r="R534" s="413"/>
      <c r="S534" s="413"/>
      <c r="T534" s="413"/>
      <c r="U534" s="413"/>
      <c r="V534" s="413"/>
      <c r="W534" s="413">
        <f t="shared" si="25"/>
        <v>0</v>
      </c>
      <c r="X534" s="412"/>
      <c r="Y534" s="412">
        <v>300</v>
      </c>
      <c r="Z534" s="412"/>
      <c r="AA534" s="412"/>
      <c r="AB534" s="412"/>
      <c r="AC534" s="412"/>
      <c r="AD534" s="412"/>
      <c r="AE534" s="412"/>
      <c r="AF534" s="412"/>
      <c r="AG534" s="412"/>
      <c r="AH534" s="412"/>
      <c r="AI534" s="412"/>
      <c r="AJ534" s="412">
        <f t="shared" si="26"/>
        <v>300</v>
      </c>
      <c r="AK534" s="198"/>
      <c r="AL534" s="250" t="s">
        <v>2067</v>
      </c>
    </row>
    <row r="535" spans="1:38" ht="14.1" customHeight="1" x14ac:dyDescent="0.2">
      <c r="A535" t="s">
        <v>890</v>
      </c>
      <c r="B535" s="193">
        <v>4187</v>
      </c>
      <c r="C535" s="194" t="s">
        <v>1021</v>
      </c>
      <c r="D535" s="229" t="s">
        <v>1398</v>
      </c>
      <c r="E535" s="229" t="s">
        <v>520</v>
      </c>
      <c r="F535" s="240">
        <v>300</v>
      </c>
      <c r="G535" s="196">
        <v>1</v>
      </c>
      <c r="H535" s="195">
        <v>300</v>
      </c>
      <c r="I535" s="197">
        <v>41308</v>
      </c>
      <c r="J535" s="197" t="str">
        <f t="shared" si="27"/>
        <v>ok</v>
      </c>
      <c r="K535" s="413"/>
      <c r="L535" s="413"/>
      <c r="M535" s="413"/>
      <c r="N535" s="413"/>
      <c r="O535" s="413"/>
      <c r="P535" s="413"/>
      <c r="Q535" s="413"/>
      <c r="R535" s="413"/>
      <c r="S535" s="413"/>
      <c r="T535" s="413"/>
      <c r="U535" s="413"/>
      <c r="V535" s="413"/>
      <c r="W535" s="413">
        <f t="shared" si="25"/>
        <v>0</v>
      </c>
      <c r="X535" s="412"/>
      <c r="Y535" s="412">
        <v>300</v>
      </c>
      <c r="Z535" s="412"/>
      <c r="AA535" s="412"/>
      <c r="AB535" s="412"/>
      <c r="AC535" s="412"/>
      <c r="AD535" s="412"/>
      <c r="AE535" s="412"/>
      <c r="AF535" s="412"/>
      <c r="AG535" s="412"/>
      <c r="AH535" s="412"/>
      <c r="AI535" s="412"/>
      <c r="AJ535" s="412">
        <f t="shared" si="26"/>
        <v>300</v>
      </c>
      <c r="AK535" s="198"/>
      <c r="AL535" s="250" t="s">
        <v>2067</v>
      </c>
    </row>
    <row r="536" spans="1:38" ht="14.1" customHeight="1" x14ac:dyDescent="0.2">
      <c r="A536" t="s">
        <v>894</v>
      </c>
      <c r="B536" s="193">
        <v>4188</v>
      </c>
      <c r="C536" s="194" t="s">
        <v>767</v>
      </c>
      <c r="D536" s="229" t="s">
        <v>1411</v>
      </c>
      <c r="E536" s="229" t="s">
        <v>607</v>
      </c>
      <c r="F536" s="240">
        <v>300</v>
      </c>
      <c r="G536" s="196">
        <v>1</v>
      </c>
      <c r="H536" s="195">
        <v>300</v>
      </c>
      <c r="I536" s="197">
        <v>41308</v>
      </c>
      <c r="J536" s="197" t="str">
        <f t="shared" si="27"/>
        <v>ok</v>
      </c>
      <c r="K536" s="413"/>
      <c r="L536" s="413"/>
      <c r="M536" s="413"/>
      <c r="N536" s="413"/>
      <c r="O536" s="413"/>
      <c r="P536" s="413"/>
      <c r="Q536" s="413"/>
      <c r="R536" s="413"/>
      <c r="S536" s="413"/>
      <c r="T536" s="413"/>
      <c r="U536" s="413"/>
      <c r="V536" s="413"/>
      <c r="W536" s="413">
        <f t="shared" si="25"/>
        <v>0</v>
      </c>
      <c r="X536" s="412"/>
      <c r="Y536" s="412">
        <v>300</v>
      </c>
      <c r="Z536" s="412"/>
      <c r="AA536" s="412"/>
      <c r="AB536" s="412"/>
      <c r="AC536" s="412"/>
      <c r="AD536" s="412"/>
      <c r="AE536" s="412"/>
      <c r="AF536" s="412"/>
      <c r="AG536" s="412"/>
      <c r="AH536" s="412"/>
      <c r="AI536" s="412"/>
      <c r="AJ536" s="412">
        <f t="shared" si="26"/>
        <v>300</v>
      </c>
      <c r="AK536" s="198"/>
      <c r="AL536" s="250" t="s">
        <v>2067</v>
      </c>
    </row>
    <row r="537" spans="1:38" ht="14.1" customHeight="1" x14ac:dyDescent="0.2">
      <c r="A537" t="s">
        <v>888</v>
      </c>
      <c r="B537" s="193">
        <v>4189</v>
      </c>
      <c r="C537" s="194" t="s">
        <v>940</v>
      </c>
      <c r="D537" s="229" t="s">
        <v>1575</v>
      </c>
      <c r="E537" s="229" t="s">
        <v>397</v>
      </c>
      <c r="F537" s="240">
        <v>300</v>
      </c>
      <c r="G537" s="196">
        <v>1</v>
      </c>
      <c r="H537" s="195">
        <v>300</v>
      </c>
      <c r="I537" s="197">
        <v>41308</v>
      </c>
      <c r="J537" s="197" t="str">
        <f t="shared" si="27"/>
        <v>ok</v>
      </c>
      <c r="K537" s="413"/>
      <c r="L537" s="413"/>
      <c r="M537" s="413"/>
      <c r="N537" s="413"/>
      <c r="O537" s="413"/>
      <c r="P537" s="413"/>
      <c r="Q537" s="413"/>
      <c r="R537" s="413"/>
      <c r="S537" s="413"/>
      <c r="T537" s="413"/>
      <c r="U537" s="413"/>
      <c r="V537" s="413"/>
      <c r="W537" s="413">
        <f t="shared" si="25"/>
        <v>0</v>
      </c>
      <c r="X537" s="412">
        <v>150</v>
      </c>
      <c r="Y537" s="412">
        <v>150</v>
      </c>
      <c r="Z537" s="412"/>
      <c r="AA537" s="412"/>
      <c r="AB537" s="412"/>
      <c r="AC537" s="412"/>
      <c r="AD537" s="412"/>
      <c r="AE537" s="412"/>
      <c r="AF537" s="412"/>
      <c r="AG537" s="412"/>
      <c r="AH537" s="412"/>
      <c r="AI537" s="412"/>
      <c r="AJ537" s="412">
        <f t="shared" si="26"/>
        <v>300</v>
      </c>
      <c r="AK537" s="198"/>
      <c r="AL537" s="250" t="s">
        <v>2067</v>
      </c>
    </row>
    <row r="538" spans="1:38" ht="14.1" customHeight="1" x14ac:dyDescent="0.2">
      <c r="A538" t="s">
        <v>888</v>
      </c>
      <c r="B538" s="193">
        <v>4190</v>
      </c>
      <c r="C538" s="194" t="s">
        <v>940</v>
      </c>
      <c r="D538" s="229" t="s">
        <v>1575</v>
      </c>
      <c r="E538" s="229" t="s">
        <v>397</v>
      </c>
      <c r="F538" s="240">
        <v>300</v>
      </c>
      <c r="G538" s="196">
        <v>1</v>
      </c>
      <c r="H538" s="195">
        <v>300</v>
      </c>
      <c r="I538" s="197">
        <v>41308</v>
      </c>
      <c r="J538" s="197" t="str">
        <f t="shared" si="27"/>
        <v>ok</v>
      </c>
      <c r="K538" s="413"/>
      <c r="L538" s="413"/>
      <c r="M538" s="413"/>
      <c r="N538" s="413"/>
      <c r="O538" s="413"/>
      <c r="P538" s="413"/>
      <c r="Q538" s="413"/>
      <c r="R538" s="413"/>
      <c r="S538" s="413"/>
      <c r="T538" s="413"/>
      <c r="U538" s="413"/>
      <c r="V538" s="413"/>
      <c r="W538" s="413">
        <f t="shared" si="25"/>
        <v>0</v>
      </c>
      <c r="X538" s="412">
        <v>150</v>
      </c>
      <c r="Y538" s="412">
        <v>150</v>
      </c>
      <c r="Z538" s="412"/>
      <c r="AA538" s="412"/>
      <c r="AB538" s="412"/>
      <c r="AC538" s="412"/>
      <c r="AD538" s="412"/>
      <c r="AE538" s="412"/>
      <c r="AF538" s="412"/>
      <c r="AG538" s="412"/>
      <c r="AH538" s="412"/>
      <c r="AI538" s="412"/>
      <c r="AJ538" s="412">
        <f t="shared" si="26"/>
        <v>300</v>
      </c>
      <c r="AK538" s="198"/>
      <c r="AL538" s="250" t="s">
        <v>2067</v>
      </c>
    </row>
    <row r="539" spans="1:38" ht="14.1" customHeight="1" x14ac:dyDescent="0.2">
      <c r="A539" t="s">
        <v>888</v>
      </c>
      <c r="B539" s="193">
        <v>4191</v>
      </c>
      <c r="C539" s="194" t="s">
        <v>768</v>
      </c>
      <c r="D539" s="229" t="s">
        <v>1399</v>
      </c>
      <c r="E539" s="229" t="s">
        <v>365</v>
      </c>
      <c r="F539" s="240">
        <v>300</v>
      </c>
      <c r="G539" s="196">
        <v>1</v>
      </c>
      <c r="H539" s="195">
        <v>300</v>
      </c>
      <c r="I539" s="197">
        <v>41308</v>
      </c>
      <c r="J539" s="197" t="str">
        <f t="shared" si="27"/>
        <v>ok</v>
      </c>
      <c r="K539" s="413"/>
      <c r="L539" s="413"/>
      <c r="M539" s="413"/>
      <c r="N539" s="413"/>
      <c r="O539" s="413"/>
      <c r="P539" s="413"/>
      <c r="Q539" s="413"/>
      <c r="R539" s="413"/>
      <c r="S539" s="413"/>
      <c r="T539" s="413"/>
      <c r="U539" s="413"/>
      <c r="V539" s="413"/>
      <c r="W539" s="413">
        <f t="shared" si="25"/>
        <v>0</v>
      </c>
      <c r="X539" s="412"/>
      <c r="Y539" s="412">
        <v>300</v>
      </c>
      <c r="Z539" s="412"/>
      <c r="AA539" s="412"/>
      <c r="AB539" s="412"/>
      <c r="AC539" s="412"/>
      <c r="AD539" s="412"/>
      <c r="AE539" s="412"/>
      <c r="AF539" s="412"/>
      <c r="AG539" s="412"/>
      <c r="AH539" s="412"/>
      <c r="AI539" s="412"/>
      <c r="AJ539" s="412">
        <f t="shared" si="26"/>
        <v>300</v>
      </c>
      <c r="AK539" s="198"/>
      <c r="AL539" s="250" t="s">
        <v>2067</v>
      </c>
    </row>
    <row r="540" spans="1:38" ht="14.1" customHeight="1" x14ac:dyDescent="0.2">
      <c r="A540" t="s">
        <v>884</v>
      </c>
      <c r="B540" s="193">
        <v>4192</v>
      </c>
      <c r="C540" s="194" t="s">
        <v>764</v>
      </c>
      <c r="D540" s="229" t="s">
        <v>1386</v>
      </c>
      <c r="E540" s="229" t="s">
        <v>133</v>
      </c>
      <c r="F540" s="240">
        <v>200</v>
      </c>
      <c r="G540" s="196">
        <v>1</v>
      </c>
      <c r="H540" s="195">
        <v>200</v>
      </c>
      <c r="I540" s="197">
        <v>41308</v>
      </c>
      <c r="J540" s="197" t="str">
        <f t="shared" si="27"/>
        <v>ok</v>
      </c>
      <c r="K540" s="413"/>
      <c r="L540" s="413"/>
      <c r="M540" s="413"/>
      <c r="N540" s="413"/>
      <c r="O540" s="413"/>
      <c r="P540" s="413"/>
      <c r="Q540" s="413"/>
      <c r="R540" s="413"/>
      <c r="S540" s="413"/>
      <c r="T540" s="413"/>
      <c r="U540" s="413"/>
      <c r="V540" s="413"/>
      <c r="W540" s="413">
        <f t="shared" si="25"/>
        <v>0</v>
      </c>
      <c r="X540" s="412"/>
      <c r="Y540" s="412">
        <v>200</v>
      </c>
      <c r="Z540" s="412"/>
      <c r="AA540" s="412"/>
      <c r="AB540" s="412"/>
      <c r="AC540" s="412"/>
      <c r="AD540" s="412"/>
      <c r="AE540" s="412"/>
      <c r="AF540" s="412"/>
      <c r="AG540" s="412"/>
      <c r="AH540" s="412"/>
      <c r="AI540" s="412"/>
      <c r="AJ540" s="412">
        <f t="shared" si="26"/>
        <v>200</v>
      </c>
      <c r="AK540" s="198"/>
      <c r="AL540" s="250" t="s">
        <v>2067</v>
      </c>
    </row>
    <row r="541" spans="1:38" ht="14.1" customHeight="1" x14ac:dyDescent="0.2">
      <c r="A541" t="s">
        <v>884</v>
      </c>
      <c r="B541" s="193">
        <v>4193</v>
      </c>
      <c r="C541" s="194" t="s">
        <v>764</v>
      </c>
      <c r="D541" s="229" t="s">
        <v>1386</v>
      </c>
      <c r="E541" s="229" t="s">
        <v>133</v>
      </c>
      <c r="F541" s="240">
        <v>200</v>
      </c>
      <c r="G541" s="196">
        <v>5</v>
      </c>
      <c r="H541" s="195">
        <v>20</v>
      </c>
      <c r="I541" s="197">
        <v>41308</v>
      </c>
      <c r="J541" s="197" t="str">
        <f t="shared" si="27"/>
        <v>ok</v>
      </c>
      <c r="K541" s="413"/>
      <c r="L541" s="413"/>
      <c r="M541" s="413"/>
      <c r="N541" s="413"/>
      <c r="O541" s="413"/>
      <c r="P541" s="413"/>
      <c r="Q541" s="413"/>
      <c r="R541" s="413"/>
      <c r="S541" s="413"/>
      <c r="T541" s="413"/>
      <c r="U541" s="413"/>
      <c r="V541" s="413"/>
      <c r="W541" s="413">
        <f t="shared" si="25"/>
        <v>0</v>
      </c>
      <c r="X541" s="412"/>
      <c r="Y541" s="412"/>
      <c r="Z541" s="412"/>
      <c r="AA541" s="412"/>
      <c r="AB541" s="412"/>
      <c r="AC541" s="412"/>
      <c r="AD541" s="412"/>
      <c r="AE541" s="412"/>
      <c r="AF541" s="412"/>
      <c r="AG541" s="412"/>
      <c r="AH541" s="412"/>
      <c r="AI541" s="412"/>
      <c r="AJ541" s="412">
        <f t="shared" si="26"/>
        <v>0</v>
      </c>
      <c r="AK541" s="198"/>
      <c r="AL541" s="250" t="s">
        <v>2068</v>
      </c>
    </row>
    <row r="542" spans="1:38" ht="14.1" customHeight="1" x14ac:dyDescent="0.2">
      <c r="A542" t="s">
        <v>884</v>
      </c>
      <c r="B542" s="193">
        <v>4194</v>
      </c>
      <c r="C542" s="194" t="s">
        <v>772</v>
      </c>
      <c r="D542" s="229" t="s">
        <v>1409</v>
      </c>
      <c r="E542" s="229" t="s">
        <v>705</v>
      </c>
      <c r="F542" s="240">
        <v>125</v>
      </c>
      <c r="G542" s="196">
        <v>1</v>
      </c>
      <c r="H542" s="195">
        <v>125</v>
      </c>
      <c r="I542" s="197">
        <v>41308</v>
      </c>
      <c r="J542" s="197" t="str">
        <f t="shared" si="27"/>
        <v>ok</v>
      </c>
      <c r="K542" s="413"/>
      <c r="L542" s="413"/>
      <c r="M542" s="413"/>
      <c r="N542" s="413"/>
      <c r="O542" s="413"/>
      <c r="P542" s="413"/>
      <c r="Q542" s="413"/>
      <c r="R542" s="413"/>
      <c r="S542" s="413"/>
      <c r="T542" s="413"/>
      <c r="U542" s="413"/>
      <c r="V542" s="413"/>
      <c r="W542" s="413">
        <f t="shared" si="25"/>
        <v>0</v>
      </c>
      <c r="X542" s="412"/>
      <c r="Y542" s="412">
        <v>125</v>
      </c>
      <c r="Z542" s="412"/>
      <c r="AA542" s="412"/>
      <c r="AB542" s="412"/>
      <c r="AC542" s="412"/>
      <c r="AD542" s="412"/>
      <c r="AE542" s="412"/>
      <c r="AF542" s="412"/>
      <c r="AG542" s="412"/>
      <c r="AH542" s="412"/>
      <c r="AI542" s="412"/>
      <c r="AJ542" s="412">
        <f t="shared" si="26"/>
        <v>125</v>
      </c>
      <c r="AK542" s="198"/>
      <c r="AL542" s="250" t="s">
        <v>2067</v>
      </c>
    </row>
    <row r="543" spans="1:38" ht="14.1" customHeight="1" x14ac:dyDescent="0.2">
      <c r="A543" t="s">
        <v>893</v>
      </c>
      <c r="B543" s="193">
        <v>4195</v>
      </c>
      <c r="C543" s="194" t="s">
        <v>1146</v>
      </c>
      <c r="D543" s="229" t="s">
        <v>1576</v>
      </c>
      <c r="E543" s="229" t="s">
        <v>327</v>
      </c>
      <c r="F543" s="240">
        <v>300</v>
      </c>
      <c r="G543" s="196">
        <v>1</v>
      </c>
      <c r="H543" s="195">
        <v>600</v>
      </c>
      <c r="I543" s="197">
        <v>41308</v>
      </c>
      <c r="J543" s="197" t="str">
        <f t="shared" si="27"/>
        <v>ok</v>
      </c>
      <c r="K543" s="413"/>
      <c r="L543" s="413"/>
      <c r="M543" s="413"/>
      <c r="N543" s="413"/>
      <c r="O543" s="413"/>
      <c r="P543" s="413"/>
      <c r="Q543" s="413"/>
      <c r="R543" s="413"/>
      <c r="S543" s="413"/>
      <c r="T543" s="413"/>
      <c r="U543" s="413"/>
      <c r="V543" s="413"/>
      <c r="W543" s="413">
        <f t="shared" si="25"/>
        <v>0</v>
      </c>
      <c r="X543" s="412">
        <v>300</v>
      </c>
      <c r="Y543" s="412">
        <v>300</v>
      </c>
      <c r="Z543" s="412"/>
      <c r="AA543" s="412"/>
      <c r="AB543" s="412"/>
      <c r="AC543" s="412"/>
      <c r="AD543" s="412"/>
      <c r="AE543" s="412"/>
      <c r="AF543" s="412"/>
      <c r="AG543" s="412"/>
      <c r="AH543" s="412"/>
      <c r="AI543" s="412"/>
      <c r="AJ543" s="412">
        <f t="shared" si="26"/>
        <v>600</v>
      </c>
      <c r="AK543" s="198"/>
      <c r="AL543" s="250" t="s">
        <v>2067</v>
      </c>
    </row>
    <row r="544" spans="1:38" ht="14.1" customHeight="1" x14ac:dyDescent="0.2">
      <c r="A544" t="s">
        <v>890</v>
      </c>
      <c r="B544" s="193">
        <v>4196</v>
      </c>
      <c r="C544" s="194" t="s">
        <v>1025</v>
      </c>
      <c r="D544" s="229" t="s">
        <v>1378</v>
      </c>
      <c r="E544" s="229" t="s">
        <v>525</v>
      </c>
      <c r="F544" s="240">
        <v>300</v>
      </c>
      <c r="G544" s="196">
        <v>1</v>
      </c>
      <c r="H544" s="195">
        <v>300</v>
      </c>
      <c r="I544" s="197">
        <v>41308</v>
      </c>
      <c r="J544" s="197" t="str">
        <f t="shared" si="27"/>
        <v>ok</v>
      </c>
      <c r="K544" s="413"/>
      <c r="L544" s="413"/>
      <c r="M544" s="413"/>
      <c r="N544" s="413"/>
      <c r="O544" s="413"/>
      <c r="P544" s="413"/>
      <c r="Q544" s="413"/>
      <c r="R544" s="413"/>
      <c r="S544" s="413"/>
      <c r="T544" s="413"/>
      <c r="U544" s="413"/>
      <c r="V544" s="413"/>
      <c r="W544" s="413">
        <f t="shared" si="25"/>
        <v>0</v>
      </c>
      <c r="X544" s="412"/>
      <c r="Y544" s="412">
        <v>300</v>
      </c>
      <c r="Z544" s="412"/>
      <c r="AA544" s="412"/>
      <c r="AB544" s="412"/>
      <c r="AC544" s="412"/>
      <c r="AD544" s="412"/>
      <c r="AE544" s="412"/>
      <c r="AF544" s="412"/>
      <c r="AG544" s="412"/>
      <c r="AH544" s="412"/>
      <c r="AI544" s="412"/>
      <c r="AJ544" s="412">
        <f t="shared" si="26"/>
        <v>300</v>
      </c>
      <c r="AK544" s="198"/>
      <c r="AL544" s="250" t="s">
        <v>2067</v>
      </c>
    </row>
    <row r="545" spans="1:38" ht="14.1" customHeight="1" x14ac:dyDescent="0.2">
      <c r="A545" t="s">
        <v>893</v>
      </c>
      <c r="B545" s="193">
        <v>4197</v>
      </c>
      <c r="C545" s="194" t="s">
        <v>1122</v>
      </c>
      <c r="D545" s="229" t="s">
        <v>1577</v>
      </c>
      <c r="E545" s="229" t="s">
        <v>280</v>
      </c>
      <c r="F545" s="240">
        <v>300</v>
      </c>
      <c r="G545" s="196">
        <v>1</v>
      </c>
      <c r="H545" s="195">
        <v>300</v>
      </c>
      <c r="I545" s="197">
        <v>41308</v>
      </c>
      <c r="J545" s="197" t="str">
        <f t="shared" si="27"/>
        <v>ok</v>
      </c>
      <c r="K545" s="413"/>
      <c r="L545" s="413"/>
      <c r="M545" s="413"/>
      <c r="N545" s="413"/>
      <c r="O545" s="413"/>
      <c r="P545" s="413"/>
      <c r="Q545" s="413"/>
      <c r="R545" s="413"/>
      <c r="S545" s="413"/>
      <c r="T545" s="413"/>
      <c r="U545" s="413"/>
      <c r="V545" s="413"/>
      <c r="W545" s="413">
        <f t="shared" si="25"/>
        <v>0</v>
      </c>
      <c r="X545" s="412"/>
      <c r="Y545" s="412">
        <v>300</v>
      </c>
      <c r="Z545" s="412"/>
      <c r="AA545" s="412"/>
      <c r="AB545" s="412"/>
      <c r="AC545" s="412"/>
      <c r="AD545" s="412"/>
      <c r="AE545" s="412"/>
      <c r="AF545" s="412"/>
      <c r="AG545" s="412"/>
      <c r="AH545" s="412"/>
      <c r="AI545" s="412"/>
      <c r="AJ545" s="412">
        <f t="shared" si="26"/>
        <v>300</v>
      </c>
      <c r="AK545" s="198"/>
      <c r="AL545" s="250" t="s">
        <v>2067</v>
      </c>
    </row>
    <row r="546" spans="1:38" ht="14.1" customHeight="1" x14ac:dyDescent="0.2">
      <c r="A546" t="s">
        <v>884</v>
      </c>
      <c r="B546" s="193">
        <v>4198</v>
      </c>
      <c r="C546" s="194" t="s">
        <v>851</v>
      </c>
      <c r="D546" s="229" t="s">
        <v>1465</v>
      </c>
      <c r="E546" s="229" t="s">
        <v>91</v>
      </c>
      <c r="F546" s="240">
        <v>300</v>
      </c>
      <c r="G546" s="196">
        <v>1</v>
      </c>
      <c r="H546" s="195">
        <v>300</v>
      </c>
      <c r="I546" s="197">
        <v>41308</v>
      </c>
      <c r="J546" s="197" t="str">
        <f t="shared" si="27"/>
        <v>ok</v>
      </c>
      <c r="K546" s="413"/>
      <c r="L546" s="413"/>
      <c r="M546" s="413"/>
      <c r="N546" s="413"/>
      <c r="O546" s="413"/>
      <c r="P546" s="413"/>
      <c r="Q546" s="413"/>
      <c r="R546" s="413"/>
      <c r="S546" s="413"/>
      <c r="T546" s="413"/>
      <c r="U546" s="413"/>
      <c r="V546" s="413"/>
      <c r="W546" s="413">
        <f t="shared" si="25"/>
        <v>0</v>
      </c>
      <c r="X546" s="412"/>
      <c r="Y546" s="412">
        <v>300</v>
      </c>
      <c r="Z546" s="412"/>
      <c r="AA546" s="412"/>
      <c r="AB546" s="412"/>
      <c r="AC546" s="412"/>
      <c r="AD546" s="412"/>
      <c r="AE546" s="412"/>
      <c r="AF546" s="412"/>
      <c r="AG546" s="412"/>
      <c r="AH546" s="412"/>
      <c r="AI546" s="412"/>
      <c r="AJ546" s="412">
        <f t="shared" si="26"/>
        <v>300</v>
      </c>
      <c r="AK546" s="198"/>
      <c r="AL546" s="250" t="s">
        <v>2067</v>
      </c>
    </row>
    <row r="547" spans="1:38" ht="14.1" customHeight="1" x14ac:dyDescent="0.2">
      <c r="A547" t="s">
        <v>893</v>
      </c>
      <c r="B547" s="193">
        <v>4199</v>
      </c>
      <c r="C547" s="194" t="s">
        <v>773</v>
      </c>
      <c r="D547" s="229" t="s">
        <v>1537</v>
      </c>
      <c r="E547" s="229" t="s">
        <v>317</v>
      </c>
      <c r="F547" s="240">
        <v>300</v>
      </c>
      <c r="G547" s="196">
        <v>1</v>
      </c>
      <c r="H547" s="195">
        <v>300</v>
      </c>
      <c r="I547" s="197">
        <v>41308</v>
      </c>
      <c r="J547" s="197" t="str">
        <f t="shared" si="27"/>
        <v>ok</v>
      </c>
      <c r="K547" s="413"/>
      <c r="L547" s="413"/>
      <c r="M547" s="413"/>
      <c r="N547" s="413"/>
      <c r="O547" s="413"/>
      <c r="P547" s="413"/>
      <c r="Q547" s="413"/>
      <c r="R547" s="413"/>
      <c r="S547" s="413"/>
      <c r="T547" s="413"/>
      <c r="U547" s="413"/>
      <c r="V547" s="413"/>
      <c r="W547" s="413">
        <f t="shared" si="25"/>
        <v>0</v>
      </c>
      <c r="X547" s="412"/>
      <c r="Y547" s="412">
        <v>300</v>
      </c>
      <c r="Z547" s="412"/>
      <c r="AA547" s="412"/>
      <c r="AB547" s="412"/>
      <c r="AC547" s="412"/>
      <c r="AD547" s="412"/>
      <c r="AE547" s="412"/>
      <c r="AF547" s="412"/>
      <c r="AG547" s="412"/>
      <c r="AH547" s="412"/>
      <c r="AI547" s="412"/>
      <c r="AJ547" s="412">
        <f t="shared" si="26"/>
        <v>300</v>
      </c>
      <c r="AK547" s="198"/>
      <c r="AL547" s="250" t="s">
        <v>2067</v>
      </c>
    </row>
    <row r="548" spans="1:38" ht="14.1" customHeight="1" x14ac:dyDescent="0.2">
      <c r="A548" t="s">
        <v>893</v>
      </c>
      <c r="B548" s="193">
        <v>4200</v>
      </c>
      <c r="C548" s="194" t="s">
        <v>781</v>
      </c>
      <c r="D548" s="229" t="s">
        <v>1401</v>
      </c>
      <c r="E548" s="229" t="s">
        <v>331</v>
      </c>
      <c r="F548" s="240">
        <v>300</v>
      </c>
      <c r="G548" s="196">
        <v>1</v>
      </c>
      <c r="H548" s="195">
        <v>300</v>
      </c>
      <c r="I548" s="197">
        <v>41308</v>
      </c>
      <c r="J548" s="197" t="str">
        <f t="shared" si="27"/>
        <v>ok</v>
      </c>
      <c r="K548" s="413"/>
      <c r="L548" s="413"/>
      <c r="M548" s="413"/>
      <c r="N548" s="413"/>
      <c r="O548" s="413"/>
      <c r="P548" s="413"/>
      <c r="Q548" s="413"/>
      <c r="R548" s="413"/>
      <c r="S548" s="413"/>
      <c r="T548" s="413"/>
      <c r="U548" s="413"/>
      <c r="V548" s="413"/>
      <c r="W548" s="413">
        <f t="shared" si="25"/>
        <v>0</v>
      </c>
      <c r="X548" s="412"/>
      <c r="Y548" s="412">
        <v>300</v>
      </c>
      <c r="Z548" s="412"/>
      <c r="AA548" s="412"/>
      <c r="AB548" s="412"/>
      <c r="AC548" s="412"/>
      <c r="AD548" s="412"/>
      <c r="AE548" s="412"/>
      <c r="AF548" s="412"/>
      <c r="AG548" s="412"/>
      <c r="AH548" s="412"/>
      <c r="AI548" s="412"/>
      <c r="AJ548" s="412">
        <f t="shared" si="26"/>
        <v>300</v>
      </c>
      <c r="AK548" s="198"/>
      <c r="AL548" s="250" t="s">
        <v>2067</v>
      </c>
    </row>
    <row r="549" spans="1:38" ht="14.1" customHeight="1" x14ac:dyDescent="0.2">
      <c r="A549" t="s">
        <v>891</v>
      </c>
      <c r="B549" s="193">
        <v>4201</v>
      </c>
      <c r="C549" s="194" t="s">
        <v>1052</v>
      </c>
      <c r="D549" s="229" t="s">
        <v>1571</v>
      </c>
      <c r="E549" s="229" t="s">
        <v>654</v>
      </c>
      <c r="F549" s="240">
        <v>300</v>
      </c>
      <c r="G549" s="196">
        <v>1</v>
      </c>
      <c r="H549" s="195">
        <v>300</v>
      </c>
      <c r="I549" s="197">
        <v>41308</v>
      </c>
      <c r="J549" s="197" t="str">
        <f t="shared" si="27"/>
        <v>ok</v>
      </c>
      <c r="K549" s="413"/>
      <c r="L549" s="413"/>
      <c r="M549" s="413"/>
      <c r="N549" s="413"/>
      <c r="O549" s="413"/>
      <c r="P549" s="413"/>
      <c r="Q549" s="413"/>
      <c r="R549" s="413"/>
      <c r="S549" s="413"/>
      <c r="T549" s="413"/>
      <c r="U549" s="413"/>
      <c r="V549" s="413"/>
      <c r="W549" s="413">
        <f t="shared" si="25"/>
        <v>0</v>
      </c>
      <c r="X549" s="412">
        <v>300</v>
      </c>
      <c r="Y549" s="412"/>
      <c r="Z549" s="412"/>
      <c r="AA549" s="412"/>
      <c r="AB549" s="412"/>
      <c r="AC549" s="412"/>
      <c r="AD549" s="412"/>
      <c r="AE549" s="412"/>
      <c r="AF549" s="412"/>
      <c r="AG549" s="412"/>
      <c r="AH549" s="412"/>
      <c r="AI549" s="412"/>
      <c r="AJ549" s="412">
        <f t="shared" si="26"/>
        <v>300</v>
      </c>
      <c r="AK549" s="198"/>
      <c r="AL549" s="250" t="s">
        <v>2067</v>
      </c>
    </row>
    <row r="550" spans="1:38" ht="14.1" customHeight="1" x14ac:dyDescent="0.2">
      <c r="A550" t="s">
        <v>890</v>
      </c>
      <c r="B550" s="193">
        <v>4202</v>
      </c>
      <c r="C550" s="194" t="s">
        <v>1000</v>
      </c>
      <c r="D550" s="229" t="s">
        <v>1384</v>
      </c>
      <c r="E550" s="229" t="s">
        <v>79</v>
      </c>
      <c r="F550" s="240">
        <v>300</v>
      </c>
      <c r="G550" s="196">
        <v>1</v>
      </c>
      <c r="H550" s="195">
        <v>300</v>
      </c>
      <c r="I550" s="197">
        <v>41308</v>
      </c>
      <c r="J550" s="197" t="str">
        <f t="shared" si="27"/>
        <v>ok</v>
      </c>
      <c r="K550" s="413"/>
      <c r="L550" s="413"/>
      <c r="M550" s="413"/>
      <c r="N550" s="413"/>
      <c r="O550" s="413"/>
      <c r="P550" s="413"/>
      <c r="Q550" s="413"/>
      <c r="R550" s="413"/>
      <c r="S550" s="413"/>
      <c r="T550" s="413"/>
      <c r="U550" s="413"/>
      <c r="V550" s="413"/>
      <c r="W550" s="413">
        <f t="shared" si="25"/>
        <v>0</v>
      </c>
      <c r="X550" s="412"/>
      <c r="Y550" s="412">
        <v>300</v>
      </c>
      <c r="Z550" s="412"/>
      <c r="AA550" s="412"/>
      <c r="AB550" s="412"/>
      <c r="AC550" s="412"/>
      <c r="AD550" s="412"/>
      <c r="AE550" s="412"/>
      <c r="AF550" s="412"/>
      <c r="AG550" s="412"/>
      <c r="AH550" s="412"/>
      <c r="AI550" s="412"/>
      <c r="AJ550" s="412">
        <f t="shared" si="26"/>
        <v>300</v>
      </c>
      <c r="AK550" s="198"/>
      <c r="AL550" s="250" t="s">
        <v>2067</v>
      </c>
    </row>
    <row r="551" spans="1:38" ht="14.1" customHeight="1" x14ac:dyDescent="0.2">
      <c r="A551" t="s">
        <v>894</v>
      </c>
      <c r="B551" s="193">
        <v>4203</v>
      </c>
      <c r="C551" s="194" t="s">
        <v>1178</v>
      </c>
      <c r="D551" s="229" t="s">
        <v>1578</v>
      </c>
      <c r="E551" s="229" t="s">
        <v>637</v>
      </c>
      <c r="F551" s="240">
        <v>300</v>
      </c>
      <c r="G551" s="196">
        <v>1</v>
      </c>
      <c r="H551" s="195">
        <v>600</v>
      </c>
      <c r="I551" s="197">
        <v>41308</v>
      </c>
      <c r="J551" s="197" t="str">
        <f t="shared" si="27"/>
        <v>ok</v>
      </c>
      <c r="K551" s="413"/>
      <c r="L551" s="413"/>
      <c r="M551" s="413"/>
      <c r="N551" s="413"/>
      <c r="O551" s="413"/>
      <c r="P551" s="413"/>
      <c r="Q551" s="413"/>
      <c r="R551" s="413"/>
      <c r="S551" s="413"/>
      <c r="T551" s="413"/>
      <c r="U551" s="413"/>
      <c r="V551" s="413">
        <v>300</v>
      </c>
      <c r="W551" s="413">
        <f t="shared" si="25"/>
        <v>300</v>
      </c>
      <c r="X551" s="412">
        <v>300</v>
      </c>
      <c r="Y551" s="412"/>
      <c r="Z551" s="412"/>
      <c r="AA551" s="412"/>
      <c r="AB551" s="412"/>
      <c r="AC551" s="412"/>
      <c r="AD551" s="412"/>
      <c r="AE551" s="412"/>
      <c r="AF551" s="412"/>
      <c r="AG551" s="412"/>
      <c r="AH551" s="412"/>
      <c r="AI551" s="412"/>
      <c r="AJ551" s="412">
        <f t="shared" si="26"/>
        <v>300</v>
      </c>
      <c r="AK551" s="198" t="s">
        <v>1236</v>
      </c>
      <c r="AL551" s="250" t="s">
        <v>2067</v>
      </c>
    </row>
    <row r="552" spans="1:38" ht="14.1" customHeight="1" x14ac:dyDescent="0.2">
      <c r="A552" t="s">
        <v>888</v>
      </c>
      <c r="B552" s="193">
        <v>4204</v>
      </c>
      <c r="C552" s="194" t="s">
        <v>762</v>
      </c>
      <c r="D552" s="229" t="s">
        <v>1579</v>
      </c>
      <c r="E552" s="229" t="s">
        <v>436</v>
      </c>
      <c r="F552" s="240">
        <v>300</v>
      </c>
      <c r="G552" s="196">
        <v>1</v>
      </c>
      <c r="H552" s="195">
        <v>600</v>
      </c>
      <c r="I552" s="197">
        <v>41308</v>
      </c>
      <c r="J552" s="197" t="str">
        <f t="shared" si="27"/>
        <v>ok</v>
      </c>
      <c r="K552" s="413"/>
      <c r="L552" s="413"/>
      <c r="M552" s="413"/>
      <c r="N552" s="413"/>
      <c r="O552" s="413"/>
      <c r="P552" s="413"/>
      <c r="Q552" s="413"/>
      <c r="R552" s="413"/>
      <c r="S552" s="413"/>
      <c r="T552" s="413"/>
      <c r="U552" s="413"/>
      <c r="V552" s="413"/>
      <c r="W552" s="413">
        <f t="shared" si="25"/>
        <v>0</v>
      </c>
      <c r="X552" s="412">
        <v>300</v>
      </c>
      <c r="Y552" s="412">
        <v>300</v>
      </c>
      <c r="Z552" s="412"/>
      <c r="AA552" s="412"/>
      <c r="AB552" s="412"/>
      <c r="AC552" s="412"/>
      <c r="AD552" s="412"/>
      <c r="AE552" s="412"/>
      <c r="AF552" s="412"/>
      <c r="AG552" s="412"/>
      <c r="AH552" s="412"/>
      <c r="AI552" s="412"/>
      <c r="AJ552" s="412">
        <f t="shared" si="26"/>
        <v>600</v>
      </c>
      <c r="AK552" s="198"/>
      <c r="AL552" s="250" t="s">
        <v>2067</v>
      </c>
    </row>
    <row r="553" spans="1:38" ht="14.1" customHeight="1" x14ac:dyDescent="0.2">
      <c r="A553" t="s">
        <v>892</v>
      </c>
      <c r="B553" s="193">
        <v>4205</v>
      </c>
      <c r="C553" s="194" t="s">
        <v>1181</v>
      </c>
      <c r="D553" s="229" t="s">
        <v>1425</v>
      </c>
      <c r="E553" s="229" t="s">
        <v>557</v>
      </c>
      <c r="F553" s="240">
        <v>300</v>
      </c>
      <c r="G553" s="196">
        <v>1</v>
      </c>
      <c r="H553" s="195">
        <v>300</v>
      </c>
      <c r="I553" s="197">
        <v>41308</v>
      </c>
      <c r="J553" s="197" t="str">
        <f t="shared" si="27"/>
        <v>ok</v>
      </c>
      <c r="K553" s="413"/>
      <c r="L553" s="413"/>
      <c r="M553" s="413"/>
      <c r="N553" s="413"/>
      <c r="O553" s="413"/>
      <c r="P553" s="413"/>
      <c r="Q553" s="413"/>
      <c r="R553" s="413"/>
      <c r="S553" s="413"/>
      <c r="T553" s="413"/>
      <c r="U553" s="413"/>
      <c r="V553" s="413"/>
      <c r="W553" s="413">
        <f t="shared" si="25"/>
        <v>0</v>
      </c>
      <c r="X553" s="412"/>
      <c r="Y553" s="412">
        <v>300</v>
      </c>
      <c r="Z553" s="412"/>
      <c r="AA553" s="412"/>
      <c r="AB553" s="412"/>
      <c r="AC553" s="412"/>
      <c r="AD553" s="412"/>
      <c r="AE553" s="412"/>
      <c r="AF553" s="412"/>
      <c r="AG553" s="412"/>
      <c r="AH553" s="412"/>
      <c r="AI553" s="412"/>
      <c r="AJ553" s="412">
        <f t="shared" si="26"/>
        <v>300</v>
      </c>
      <c r="AK553" s="198"/>
      <c r="AL553" s="250" t="s">
        <v>2067</v>
      </c>
    </row>
    <row r="554" spans="1:38" ht="14.1" customHeight="1" x14ac:dyDescent="0.2">
      <c r="A554" t="s">
        <v>890</v>
      </c>
      <c r="B554" s="193">
        <v>4206</v>
      </c>
      <c r="C554" s="194" t="s">
        <v>1006</v>
      </c>
      <c r="D554" s="229" t="s">
        <v>1370</v>
      </c>
      <c r="E554" s="229" t="s">
        <v>1217</v>
      </c>
      <c r="F554" s="240">
        <v>300</v>
      </c>
      <c r="G554" s="196">
        <v>1</v>
      </c>
      <c r="H554" s="195">
        <v>300</v>
      </c>
      <c r="I554" s="197">
        <v>41308</v>
      </c>
      <c r="J554" s="197" t="str">
        <f t="shared" si="27"/>
        <v>ok</v>
      </c>
      <c r="K554" s="413"/>
      <c r="L554" s="413"/>
      <c r="M554" s="413"/>
      <c r="N554" s="413"/>
      <c r="O554" s="413"/>
      <c r="P554" s="413"/>
      <c r="Q554" s="413"/>
      <c r="R554" s="413"/>
      <c r="S554" s="413"/>
      <c r="T554" s="413"/>
      <c r="U554" s="413"/>
      <c r="V554" s="413"/>
      <c r="W554" s="413">
        <f t="shared" si="25"/>
        <v>0</v>
      </c>
      <c r="X554" s="412"/>
      <c r="Y554" s="412">
        <v>300</v>
      </c>
      <c r="Z554" s="412"/>
      <c r="AA554" s="412"/>
      <c r="AB554" s="412"/>
      <c r="AC554" s="412"/>
      <c r="AD554" s="412"/>
      <c r="AE554" s="412"/>
      <c r="AF554" s="412"/>
      <c r="AG554" s="412"/>
      <c r="AH554" s="412"/>
      <c r="AI554" s="412"/>
      <c r="AJ554" s="412">
        <f t="shared" si="26"/>
        <v>300</v>
      </c>
      <c r="AK554" s="198"/>
      <c r="AL554" s="250" t="s">
        <v>2067</v>
      </c>
    </row>
    <row r="555" spans="1:38" ht="14.1" customHeight="1" x14ac:dyDescent="0.2">
      <c r="A555" t="s">
        <v>888</v>
      </c>
      <c r="B555" s="193">
        <v>4207</v>
      </c>
      <c r="C555" s="194" t="s">
        <v>939</v>
      </c>
      <c r="D555" s="229" t="s">
        <v>1507</v>
      </c>
      <c r="E555" s="229" t="s">
        <v>395</v>
      </c>
      <c r="F555" s="240">
        <v>300</v>
      </c>
      <c r="G555" s="196">
        <v>1</v>
      </c>
      <c r="H555" s="195">
        <v>300</v>
      </c>
      <c r="I555" s="197">
        <v>41308</v>
      </c>
      <c r="J555" s="197" t="str">
        <f t="shared" si="27"/>
        <v>ok</v>
      </c>
      <c r="K555" s="413"/>
      <c r="L555" s="413"/>
      <c r="M555" s="413"/>
      <c r="N555" s="413"/>
      <c r="O555" s="413"/>
      <c r="P555" s="413"/>
      <c r="Q555" s="413"/>
      <c r="R555" s="413"/>
      <c r="S555" s="413"/>
      <c r="T555" s="413"/>
      <c r="U555" s="413"/>
      <c r="V555" s="413"/>
      <c r="W555" s="413">
        <f t="shared" si="25"/>
        <v>0</v>
      </c>
      <c r="X555" s="412"/>
      <c r="Y555" s="412">
        <v>300</v>
      </c>
      <c r="Z555" s="412"/>
      <c r="AA555" s="412"/>
      <c r="AB555" s="412"/>
      <c r="AC555" s="412"/>
      <c r="AD555" s="412"/>
      <c r="AE555" s="412"/>
      <c r="AF555" s="412"/>
      <c r="AG555" s="412"/>
      <c r="AH555" s="412"/>
      <c r="AI555" s="412"/>
      <c r="AJ555" s="412">
        <f t="shared" si="26"/>
        <v>300</v>
      </c>
      <c r="AK555" s="198"/>
      <c r="AL555" s="250" t="s">
        <v>2067</v>
      </c>
    </row>
    <row r="556" spans="1:38" ht="14.1" customHeight="1" x14ac:dyDescent="0.2">
      <c r="A556" t="s">
        <v>888</v>
      </c>
      <c r="B556" s="193">
        <v>4207</v>
      </c>
      <c r="C556" s="194" t="s">
        <v>939</v>
      </c>
      <c r="D556" s="229" t="s">
        <v>1507</v>
      </c>
      <c r="E556" s="229" t="s">
        <v>395</v>
      </c>
      <c r="F556" s="240">
        <v>300</v>
      </c>
      <c r="G556" s="196">
        <v>3</v>
      </c>
      <c r="H556" s="195">
        <v>150</v>
      </c>
      <c r="I556" s="197">
        <v>41308</v>
      </c>
      <c r="J556" s="197" t="str">
        <f t="shared" si="27"/>
        <v>ok</v>
      </c>
      <c r="K556" s="413"/>
      <c r="L556" s="413"/>
      <c r="M556" s="413"/>
      <c r="N556" s="413"/>
      <c r="O556" s="413"/>
      <c r="P556" s="413"/>
      <c r="Q556" s="413"/>
      <c r="R556" s="413"/>
      <c r="S556" s="413"/>
      <c r="T556" s="413"/>
      <c r="U556" s="413"/>
      <c r="V556" s="413"/>
      <c r="W556" s="413">
        <f t="shared" si="25"/>
        <v>0</v>
      </c>
      <c r="X556" s="412"/>
      <c r="Y556" s="412"/>
      <c r="Z556" s="412"/>
      <c r="AA556" s="412"/>
      <c r="AB556" s="412"/>
      <c r="AC556" s="412"/>
      <c r="AD556" s="412"/>
      <c r="AE556" s="412"/>
      <c r="AF556" s="412"/>
      <c r="AG556" s="412"/>
      <c r="AH556" s="412"/>
      <c r="AI556" s="412"/>
      <c r="AJ556" s="412">
        <f t="shared" si="26"/>
        <v>0</v>
      </c>
      <c r="AK556" s="198"/>
      <c r="AL556" s="250" t="s">
        <v>2068</v>
      </c>
    </row>
    <row r="557" spans="1:38" ht="14.1" customHeight="1" x14ac:dyDescent="0.2">
      <c r="A557" t="s">
        <v>894</v>
      </c>
      <c r="B557" s="193">
        <v>4208</v>
      </c>
      <c r="C557" s="194" t="s">
        <v>784</v>
      </c>
      <c r="D557" s="229" t="s">
        <v>1422</v>
      </c>
      <c r="E557" s="229" t="s">
        <v>595</v>
      </c>
      <c r="F557" s="240">
        <v>300</v>
      </c>
      <c r="G557" s="196">
        <v>1</v>
      </c>
      <c r="H557" s="195">
        <v>300</v>
      </c>
      <c r="I557" s="197">
        <v>41308</v>
      </c>
      <c r="J557" s="197" t="str">
        <f t="shared" si="27"/>
        <v>ok</v>
      </c>
      <c r="K557" s="413"/>
      <c r="L557" s="413"/>
      <c r="M557" s="413"/>
      <c r="N557" s="413"/>
      <c r="O557" s="413"/>
      <c r="P557" s="413"/>
      <c r="Q557" s="413"/>
      <c r="R557" s="413"/>
      <c r="S557" s="413"/>
      <c r="T557" s="413"/>
      <c r="U557" s="413"/>
      <c r="V557" s="413"/>
      <c r="W557" s="413">
        <f t="shared" si="25"/>
        <v>0</v>
      </c>
      <c r="X557" s="412"/>
      <c r="Y557" s="412">
        <v>300</v>
      </c>
      <c r="Z557" s="412"/>
      <c r="AA557" s="412"/>
      <c r="AB557" s="412"/>
      <c r="AC557" s="412"/>
      <c r="AD557" s="412"/>
      <c r="AE557" s="412"/>
      <c r="AF557" s="412"/>
      <c r="AG557" s="412"/>
      <c r="AH557" s="412"/>
      <c r="AI557" s="412"/>
      <c r="AJ557" s="412">
        <f t="shared" si="26"/>
        <v>300</v>
      </c>
      <c r="AK557" s="198"/>
      <c r="AL557" s="250" t="s">
        <v>2067</v>
      </c>
    </row>
    <row r="558" spans="1:38" ht="14.1" customHeight="1" x14ac:dyDescent="0.2">
      <c r="A558" t="s">
        <v>893</v>
      </c>
      <c r="B558" s="193">
        <v>4209</v>
      </c>
      <c r="C558" s="194" t="s">
        <v>1148</v>
      </c>
      <c r="D558" s="229" t="s">
        <v>1470</v>
      </c>
      <c r="E558" s="229" t="s">
        <v>333</v>
      </c>
      <c r="F558" s="240">
        <v>300</v>
      </c>
      <c r="G558" s="196">
        <v>1</v>
      </c>
      <c r="H558" s="195">
        <v>1500</v>
      </c>
      <c r="I558" s="197">
        <v>41308</v>
      </c>
      <c r="J558" s="197" t="str">
        <f t="shared" si="27"/>
        <v>ok</v>
      </c>
      <c r="K558" s="413"/>
      <c r="L558" s="413"/>
      <c r="M558" s="413"/>
      <c r="N558" s="413"/>
      <c r="O558" s="413"/>
      <c r="P558" s="413"/>
      <c r="Q558" s="413"/>
      <c r="R558" s="413"/>
      <c r="S558" s="413"/>
      <c r="T558" s="413"/>
      <c r="U558" s="413"/>
      <c r="V558" s="413"/>
      <c r="W558" s="413">
        <f t="shared" si="25"/>
        <v>0</v>
      </c>
      <c r="X558" s="412"/>
      <c r="Y558" s="412">
        <v>300</v>
      </c>
      <c r="Z558" s="412">
        <v>300</v>
      </c>
      <c r="AA558" s="412">
        <v>300</v>
      </c>
      <c r="AB558" s="412">
        <v>300</v>
      </c>
      <c r="AC558" s="412">
        <v>300</v>
      </c>
      <c r="AD558" s="412"/>
      <c r="AE558" s="412"/>
      <c r="AF558" s="412"/>
      <c r="AG558" s="412"/>
      <c r="AH558" s="412"/>
      <c r="AI558" s="412"/>
      <c r="AJ558" s="412">
        <f t="shared" si="26"/>
        <v>1500</v>
      </c>
      <c r="AK558" s="198"/>
      <c r="AL558" s="250" t="s">
        <v>2067</v>
      </c>
    </row>
    <row r="559" spans="1:38" ht="14.1" customHeight="1" x14ac:dyDescent="0.2">
      <c r="A559" t="s">
        <v>893</v>
      </c>
      <c r="B559" s="193">
        <v>4210</v>
      </c>
      <c r="C559" s="194" t="s">
        <v>1132</v>
      </c>
      <c r="D559" s="229" t="s">
        <v>1363</v>
      </c>
      <c r="E559" s="229" t="s">
        <v>1270</v>
      </c>
      <c r="F559" s="240">
        <v>300</v>
      </c>
      <c r="G559" s="196">
        <v>3</v>
      </c>
      <c r="H559" s="195">
        <v>150</v>
      </c>
      <c r="I559" s="197">
        <v>41308</v>
      </c>
      <c r="J559" s="197" t="str">
        <f t="shared" si="27"/>
        <v>ok</v>
      </c>
      <c r="K559" s="413"/>
      <c r="L559" s="413"/>
      <c r="M559" s="413"/>
      <c r="N559" s="413"/>
      <c r="O559" s="413"/>
      <c r="P559" s="413"/>
      <c r="Q559" s="413"/>
      <c r="R559" s="413"/>
      <c r="S559" s="413"/>
      <c r="T559" s="413"/>
      <c r="U559" s="413"/>
      <c r="V559" s="413"/>
      <c r="W559" s="413">
        <f t="shared" si="25"/>
        <v>0</v>
      </c>
      <c r="X559" s="412"/>
      <c r="Y559" s="412"/>
      <c r="Z559" s="412"/>
      <c r="AA559" s="412"/>
      <c r="AB559" s="412"/>
      <c r="AC559" s="412"/>
      <c r="AD559" s="412"/>
      <c r="AE559" s="412"/>
      <c r="AF559" s="412"/>
      <c r="AG559" s="412"/>
      <c r="AH559" s="412"/>
      <c r="AI559" s="412"/>
      <c r="AJ559" s="412">
        <f t="shared" si="26"/>
        <v>0</v>
      </c>
      <c r="AK559" s="198"/>
      <c r="AL559" s="250" t="s">
        <v>2068</v>
      </c>
    </row>
    <row r="560" spans="1:38" ht="14.1" customHeight="1" x14ac:dyDescent="0.2">
      <c r="A560" t="s">
        <v>884</v>
      </c>
      <c r="B560" s="193">
        <v>4211</v>
      </c>
      <c r="C560" s="194" t="s">
        <v>818</v>
      </c>
      <c r="D560" s="229" t="s">
        <v>1375</v>
      </c>
      <c r="E560" s="229" t="s">
        <v>42</v>
      </c>
      <c r="F560" s="240">
        <v>250</v>
      </c>
      <c r="G560" s="196">
        <v>1</v>
      </c>
      <c r="H560" s="195">
        <v>250</v>
      </c>
      <c r="I560" s="197">
        <v>41308</v>
      </c>
      <c r="J560" s="197" t="str">
        <f t="shared" si="27"/>
        <v>ok</v>
      </c>
      <c r="K560" s="413"/>
      <c r="L560" s="413"/>
      <c r="M560" s="413"/>
      <c r="N560" s="413"/>
      <c r="O560" s="413"/>
      <c r="P560" s="413"/>
      <c r="Q560" s="413"/>
      <c r="R560" s="413"/>
      <c r="S560" s="413"/>
      <c r="T560" s="413"/>
      <c r="U560" s="413"/>
      <c r="V560" s="413"/>
      <c r="W560" s="413">
        <f t="shared" si="25"/>
        <v>0</v>
      </c>
      <c r="X560" s="412"/>
      <c r="Y560" s="412">
        <v>250</v>
      </c>
      <c r="Z560" s="412"/>
      <c r="AA560" s="412"/>
      <c r="AB560" s="412"/>
      <c r="AC560" s="412"/>
      <c r="AD560" s="412"/>
      <c r="AE560" s="412"/>
      <c r="AF560" s="412"/>
      <c r="AG560" s="412"/>
      <c r="AH560" s="412"/>
      <c r="AI560" s="412"/>
      <c r="AJ560" s="412">
        <f t="shared" si="26"/>
        <v>250</v>
      </c>
      <c r="AK560" s="198"/>
      <c r="AL560" s="250" t="s">
        <v>2067</v>
      </c>
    </row>
    <row r="561" spans="1:38" ht="14.1" customHeight="1" x14ac:dyDescent="0.2">
      <c r="A561" t="s">
        <v>890</v>
      </c>
      <c r="B561" s="193">
        <v>4212</v>
      </c>
      <c r="C561" s="194" t="s">
        <v>977</v>
      </c>
      <c r="D561" s="229" t="s">
        <v>1494</v>
      </c>
      <c r="E561" s="229" t="s">
        <v>359</v>
      </c>
      <c r="F561" s="240">
        <v>150</v>
      </c>
      <c r="G561" s="196">
        <v>1</v>
      </c>
      <c r="H561" s="195">
        <v>150</v>
      </c>
      <c r="I561" s="197">
        <v>41308</v>
      </c>
      <c r="J561" s="197" t="str">
        <f t="shared" si="27"/>
        <v>ok</v>
      </c>
      <c r="K561" s="413"/>
      <c r="L561" s="413"/>
      <c r="M561" s="413"/>
      <c r="N561" s="413"/>
      <c r="O561" s="413"/>
      <c r="P561" s="413"/>
      <c r="Q561" s="413"/>
      <c r="R561" s="413"/>
      <c r="S561" s="413"/>
      <c r="T561" s="413"/>
      <c r="U561" s="413"/>
      <c r="V561" s="413"/>
      <c r="W561" s="413">
        <f t="shared" si="25"/>
        <v>0</v>
      </c>
      <c r="X561" s="412"/>
      <c r="Y561" s="412">
        <v>150</v>
      </c>
      <c r="Z561" s="412"/>
      <c r="AA561" s="412"/>
      <c r="AB561" s="412"/>
      <c r="AC561" s="412"/>
      <c r="AD561" s="412"/>
      <c r="AE561" s="412"/>
      <c r="AF561" s="412"/>
      <c r="AG561" s="412"/>
      <c r="AH561" s="412"/>
      <c r="AI561" s="412"/>
      <c r="AJ561" s="412">
        <f t="shared" si="26"/>
        <v>150</v>
      </c>
      <c r="AK561" s="198"/>
      <c r="AL561" s="250" t="s">
        <v>2067</v>
      </c>
    </row>
    <row r="562" spans="1:38" ht="14.1" customHeight="1" x14ac:dyDescent="0.2">
      <c r="A562" t="s">
        <v>894</v>
      </c>
      <c r="B562" s="193">
        <v>4213</v>
      </c>
      <c r="C562" s="194" t="s">
        <v>1174</v>
      </c>
      <c r="D562" s="229" t="s">
        <v>1462</v>
      </c>
      <c r="E562" s="229" t="s">
        <v>630</v>
      </c>
      <c r="F562" s="240">
        <v>300</v>
      </c>
      <c r="G562" s="196">
        <v>1</v>
      </c>
      <c r="H562" s="195">
        <v>600</v>
      </c>
      <c r="I562" s="197">
        <v>41308</v>
      </c>
      <c r="J562" s="197" t="str">
        <f t="shared" si="27"/>
        <v>ok</v>
      </c>
      <c r="K562" s="413"/>
      <c r="L562" s="413"/>
      <c r="M562" s="413"/>
      <c r="N562" s="413"/>
      <c r="O562" s="413"/>
      <c r="P562" s="413"/>
      <c r="Q562" s="413"/>
      <c r="R562" s="413"/>
      <c r="S562" s="413"/>
      <c r="T562" s="413"/>
      <c r="U562" s="413"/>
      <c r="V562" s="413"/>
      <c r="W562" s="413">
        <f t="shared" si="25"/>
        <v>0</v>
      </c>
      <c r="X562" s="412">
        <v>300</v>
      </c>
      <c r="Y562" s="412">
        <v>300</v>
      </c>
      <c r="Z562" s="412"/>
      <c r="AA562" s="412"/>
      <c r="AB562" s="412"/>
      <c r="AC562" s="412"/>
      <c r="AD562" s="412"/>
      <c r="AE562" s="412"/>
      <c r="AF562" s="412"/>
      <c r="AG562" s="412"/>
      <c r="AH562" s="412"/>
      <c r="AI562" s="412"/>
      <c r="AJ562" s="412">
        <f t="shared" si="26"/>
        <v>600</v>
      </c>
      <c r="AK562" s="198"/>
      <c r="AL562" s="250" t="s">
        <v>2067</v>
      </c>
    </row>
    <row r="563" spans="1:38" ht="14.1" customHeight="1" x14ac:dyDescent="0.2">
      <c r="A563" t="s">
        <v>884</v>
      </c>
      <c r="B563" s="193">
        <v>4214</v>
      </c>
      <c r="C563" s="194" t="s">
        <v>825</v>
      </c>
      <c r="D563" s="229" t="s">
        <v>1580</v>
      </c>
      <c r="E563" s="229" t="s">
        <v>53</v>
      </c>
      <c r="F563" s="240">
        <v>300</v>
      </c>
      <c r="G563" s="196">
        <v>1</v>
      </c>
      <c r="H563" s="195">
        <v>300</v>
      </c>
      <c r="I563" s="197">
        <v>41308</v>
      </c>
      <c r="J563" s="197" t="str">
        <f t="shared" si="27"/>
        <v>ok</v>
      </c>
      <c r="K563" s="413"/>
      <c r="L563" s="413"/>
      <c r="M563" s="413"/>
      <c r="N563" s="413"/>
      <c r="O563" s="413"/>
      <c r="P563" s="413"/>
      <c r="Q563" s="413"/>
      <c r="R563" s="413"/>
      <c r="S563" s="413"/>
      <c r="T563" s="413"/>
      <c r="U563" s="413"/>
      <c r="V563" s="413"/>
      <c r="W563" s="413">
        <f t="shared" si="25"/>
        <v>0</v>
      </c>
      <c r="X563" s="412">
        <v>300</v>
      </c>
      <c r="Y563" s="412"/>
      <c r="Z563" s="412"/>
      <c r="AA563" s="412"/>
      <c r="AB563" s="412"/>
      <c r="AC563" s="412"/>
      <c r="AD563" s="412"/>
      <c r="AE563" s="412"/>
      <c r="AF563" s="412"/>
      <c r="AG563" s="412"/>
      <c r="AH563" s="412"/>
      <c r="AI563" s="412"/>
      <c r="AJ563" s="412">
        <f t="shared" si="26"/>
        <v>300</v>
      </c>
      <c r="AK563" s="198"/>
      <c r="AL563" s="250" t="s">
        <v>2067</v>
      </c>
    </row>
    <row r="564" spans="1:38" ht="14.1" customHeight="1" x14ac:dyDescent="0.2">
      <c r="A564" t="s">
        <v>893</v>
      </c>
      <c r="B564" s="193">
        <v>4215</v>
      </c>
      <c r="C564" s="194" t="s">
        <v>1137</v>
      </c>
      <c r="D564" s="229" t="s">
        <v>1463</v>
      </c>
      <c r="E564" s="229" t="s">
        <v>310</v>
      </c>
      <c r="F564" s="240">
        <v>300</v>
      </c>
      <c r="G564" s="196">
        <v>1</v>
      </c>
      <c r="H564" s="195">
        <v>300</v>
      </c>
      <c r="I564" s="197">
        <v>41308</v>
      </c>
      <c r="J564" s="197" t="str">
        <f t="shared" si="27"/>
        <v>ok</v>
      </c>
      <c r="K564" s="413"/>
      <c r="L564" s="413"/>
      <c r="M564" s="413"/>
      <c r="N564" s="413"/>
      <c r="O564" s="413"/>
      <c r="P564" s="413"/>
      <c r="Q564" s="413"/>
      <c r="R564" s="413"/>
      <c r="S564" s="413"/>
      <c r="T564" s="413"/>
      <c r="U564" s="413"/>
      <c r="V564" s="413"/>
      <c r="W564" s="413">
        <f t="shared" si="25"/>
        <v>0</v>
      </c>
      <c r="X564" s="412"/>
      <c r="Y564" s="412">
        <v>300</v>
      </c>
      <c r="Z564" s="412"/>
      <c r="AA564" s="412"/>
      <c r="AB564" s="412"/>
      <c r="AC564" s="412"/>
      <c r="AD564" s="412"/>
      <c r="AE564" s="412"/>
      <c r="AF564" s="412"/>
      <c r="AG564" s="412"/>
      <c r="AH564" s="412"/>
      <c r="AI564" s="412"/>
      <c r="AJ564" s="412">
        <f t="shared" si="26"/>
        <v>300</v>
      </c>
      <c r="AK564" s="198"/>
      <c r="AL564" s="250" t="s">
        <v>2067</v>
      </c>
    </row>
    <row r="565" spans="1:38" ht="14.1" customHeight="1" x14ac:dyDescent="0.2">
      <c r="A565" t="s">
        <v>893</v>
      </c>
      <c r="B565" s="193">
        <v>4216</v>
      </c>
      <c r="C565" s="194" t="s">
        <v>1085</v>
      </c>
      <c r="D565" s="229" t="s">
        <v>1408</v>
      </c>
      <c r="E565" s="229" t="s">
        <v>211</v>
      </c>
      <c r="F565" s="240">
        <v>300</v>
      </c>
      <c r="G565" s="196">
        <v>1</v>
      </c>
      <c r="H565" s="195">
        <v>300</v>
      </c>
      <c r="I565" s="197">
        <v>41308</v>
      </c>
      <c r="J565" s="197" t="str">
        <f t="shared" si="27"/>
        <v>ok</v>
      </c>
      <c r="K565" s="413"/>
      <c r="L565" s="413"/>
      <c r="M565" s="413"/>
      <c r="N565" s="413"/>
      <c r="O565" s="413"/>
      <c r="P565" s="413"/>
      <c r="Q565" s="413"/>
      <c r="R565" s="413"/>
      <c r="S565" s="413"/>
      <c r="T565" s="413"/>
      <c r="U565" s="413"/>
      <c r="V565" s="413"/>
      <c r="W565" s="413">
        <f t="shared" si="25"/>
        <v>0</v>
      </c>
      <c r="X565" s="412"/>
      <c r="Y565" s="412">
        <v>300</v>
      </c>
      <c r="Z565" s="412"/>
      <c r="AA565" s="412"/>
      <c r="AB565" s="412"/>
      <c r="AC565" s="412"/>
      <c r="AD565" s="412"/>
      <c r="AE565" s="412"/>
      <c r="AF565" s="412"/>
      <c r="AG565" s="412"/>
      <c r="AH565" s="412"/>
      <c r="AI565" s="412"/>
      <c r="AJ565" s="412">
        <f t="shared" si="26"/>
        <v>300</v>
      </c>
      <c r="AK565" s="198"/>
      <c r="AL565" s="250" t="s">
        <v>2067</v>
      </c>
    </row>
    <row r="566" spans="1:38" ht="14.1" customHeight="1" x14ac:dyDescent="0.2">
      <c r="A566" t="s">
        <v>884</v>
      </c>
      <c r="B566" s="193">
        <v>4217</v>
      </c>
      <c r="C566" s="194" t="s">
        <v>817</v>
      </c>
      <c r="D566" s="229" t="s">
        <v>1382</v>
      </c>
      <c r="E566" s="229" t="s">
        <v>40</v>
      </c>
      <c r="F566" s="240">
        <v>300</v>
      </c>
      <c r="G566" s="196">
        <v>1</v>
      </c>
      <c r="H566" s="195">
        <v>300</v>
      </c>
      <c r="I566" s="197">
        <v>41308</v>
      </c>
      <c r="J566" s="197" t="str">
        <f t="shared" si="27"/>
        <v>ok</v>
      </c>
      <c r="K566" s="413"/>
      <c r="L566" s="413"/>
      <c r="M566" s="413"/>
      <c r="N566" s="413"/>
      <c r="O566" s="413"/>
      <c r="P566" s="413"/>
      <c r="Q566" s="413"/>
      <c r="R566" s="413"/>
      <c r="S566" s="413"/>
      <c r="T566" s="413"/>
      <c r="U566" s="413"/>
      <c r="V566" s="413"/>
      <c r="W566" s="413">
        <f t="shared" si="25"/>
        <v>0</v>
      </c>
      <c r="X566" s="412"/>
      <c r="Y566" s="412">
        <v>300</v>
      </c>
      <c r="Z566" s="412"/>
      <c r="AA566" s="412"/>
      <c r="AB566" s="412"/>
      <c r="AC566" s="412"/>
      <c r="AD566" s="412"/>
      <c r="AE566" s="412"/>
      <c r="AF566" s="412"/>
      <c r="AG566" s="412"/>
      <c r="AH566" s="412"/>
      <c r="AI566" s="412"/>
      <c r="AJ566" s="412">
        <f t="shared" si="26"/>
        <v>300</v>
      </c>
      <c r="AK566" s="198"/>
      <c r="AL566" s="250" t="s">
        <v>2067</v>
      </c>
    </row>
    <row r="567" spans="1:38" ht="14.1" customHeight="1" x14ac:dyDescent="0.2">
      <c r="A567" t="s">
        <v>888</v>
      </c>
      <c r="B567" s="193">
        <v>4218</v>
      </c>
      <c r="C567" s="194" t="s">
        <v>762</v>
      </c>
      <c r="D567" s="229" t="s">
        <v>1579</v>
      </c>
      <c r="E567" s="229" t="s">
        <v>436</v>
      </c>
      <c r="F567" s="240">
        <v>300</v>
      </c>
      <c r="G567" s="196">
        <v>5</v>
      </c>
      <c r="H567" s="195">
        <v>20</v>
      </c>
      <c r="I567" s="197">
        <v>41308</v>
      </c>
      <c r="J567" s="197" t="str">
        <f t="shared" si="27"/>
        <v>ok</v>
      </c>
      <c r="K567" s="413"/>
      <c r="L567" s="413"/>
      <c r="M567" s="413"/>
      <c r="N567" s="413"/>
      <c r="O567" s="413"/>
      <c r="P567" s="413"/>
      <c r="Q567" s="413"/>
      <c r="R567" s="413"/>
      <c r="S567" s="413"/>
      <c r="T567" s="413"/>
      <c r="U567" s="413"/>
      <c r="V567" s="413"/>
      <c r="W567" s="413">
        <f t="shared" si="25"/>
        <v>0</v>
      </c>
      <c r="X567" s="412"/>
      <c r="Y567" s="412"/>
      <c r="Z567" s="412"/>
      <c r="AA567" s="412"/>
      <c r="AB567" s="412"/>
      <c r="AC567" s="412"/>
      <c r="AD567" s="412"/>
      <c r="AE567" s="412"/>
      <c r="AF567" s="412"/>
      <c r="AG567" s="412"/>
      <c r="AH567" s="412"/>
      <c r="AI567" s="412"/>
      <c r="AJ567" s="412">
        <f t="shared" si="26"/>
        <v>0</v>
      </c>
      <c r="AK567" s="198"/>
      <c r="AL567" s="250" t="s">
        <v>2068</v>
      </c>
    </row>
    <row r="568" spans="1:38" ht="14.1" customHeight="1" x14ac:dyDescent="0.2">
      <c r="A568" t="s">
        <v>888</v>
      </c>
      <c r="B568" s="193">
        <v>4219</v>
      </c>
      <c r="C568" s="194" t="s">
        <v>938</v>
      </c>
      <c r="D568" s="229" t="s">
        <v>1368</v>
      </c>
      <c r="E568" s="229" t="s">
        <v>35</v>
      </c>
      <c r="F568" s="240">
        <v>300</v>
      </c>
      <c r="G568" s="196">
        <v>4</v>
      </c>
      <c r="H568" s="195">
        <v>160</v>
      </c>
      <c r="I568" s="197">
        <v>41308</v>
      </c>
      <c r="J568" s="197" t="str">
        <f t="shared" si="27"/>
        <v>ok</v>
      </c>
      <c r="K568" s="413"/>
      <c r="L568" s="413"/>
      <c r="M568" s="413"/>
      <c r="N568" s="413"/>
      <c r="O568" s="413"/>
      <c r="P568" s="413"/>
      <c r="Q568" s="413"/>
      <c r="R568" s="413"/>
      <c r="S568" s="413"/>
      <c r="T568" s="413"/>
      <c r="U568" s="413"/>
      <c r="V568" s="413"/>
      <c r="W568" s="413">
        <f t="shared" si="25"/>
        <v>0</v>
      </c>
      <c r="X568" s="412"/>
      <c r="Y568" s="412"/>
      <c r="Z568" s="412"/>
      <c r="AA568" s="412"/>
      <c r="AB568" s="412"/>
      <c r="AC568" s="412"/>
      <c r="AD568" s="412"/>
      <c r="AE568" s="412"/>
      <c r="AF568" s="412"/>
      <c r="AG568" s="412"/>
      <c r="AH568" s="412"/>
      <c r="AI568" s="412"/>
      <c r="AJ568" s="412">
        <f t="shared" si="26"/>
        <v>0</v>
      </c>
      <c r="AK568" s="198"/>
      <c r="AL568" s="250" t="s">
        <v>2068</v>
      </c>
    </row>
    <row r="569" spans="1:38" ht="14.1" customHeight="1" x14ac:dyDescent="0.2">
      <c r="A569" t="s">
        <v>890</v>
      </c>
      <c r="B569" s="193">
        <v>4220</v>
      </c>
      <c r="C569" s="194" t="s">
        <v>1044</v>
      </c>
      <c r="D569" s="229" t="s">
        <v>1581</v>
      </c>
      <c r="E569" s="229" t="s">
        <v>556</v>
      </c>
      <c r="F569" s="240">
        <v>300</v>
      </c>
      <c r="G569" s="196">
        <v>1</v>
      </c>
      <c r="H569" s="195">
        <v>900</v>
      </c>
      <c r="I569" s="197">
        <v>41308</v>
      </c>
      <c r="J569" s="197" t="str">
        <f t="shared" si="27"/>
        <v>ok</v>
      </c>
      <c r="K569" s="413"/>
      <c r="L569" s="413"/>
      <c r="M569" s="413"/>
      <c r="N569" s="413"/>
      <c r="O569" s="413"/>
      <c r="P569" s="413"/>
      <c r="Q569" s="413"/>
      <c r="R569" s="413"/>
      <c r="S569" s="413"/>
      <c r="T569" s="413"/>
      <c r="U569" s="413"/>
      <c r="V569" s="413">
        <v>300</v>
      </c>
      <c r="W569" s="413">
        <f t="shared" si="25"/>
        <v>300</v>
      </c>
      <c r="X569" s="412">
        <v>300</v>
      </c>
      <c r="Y569" s="412">
        <v>300</v>
      </c>
      <c r="Z569" s="412"/>
      <c r="AA569" s="412"/>
      <c r="AB569" s="412"/>
      <c r="AC569" s="412"/>
      <c r="AD569" s="412"/>
      <c r="AE569" s="412"/>
      <c r="AF569" s="412"/>
      <c r="AG569" s="412"/>
      <c r="AH569" s="412"/>
      <c r="AI569" s="412"/>
      <c r="AJ569" s="412">
        <f t="shared" si="26"/>
        <v>600</v>
      </c>
      <c r="AK569" s="198" t="s">
        <v>1257</v>
      </c>
      <c r="AL569" s="250" t="s">
        <v>2067</v>
      </c>
    </row>
    <row r="570" spans="1:38" ht="14.1" customHeight="1" x14ac:dyDescent="0.2">
      <c r="A570" t="s">
        <v>888</v>
      </c>
      <c r="B570" s="193">
        <v>4221</v>
      </c>
      <c r="C570" s="194" t="s">
        <v>930</v>
      </c>
      <c r="D570" s="229" t="s">
        <v>1539</v>
      </c>
      <c r="E570" s="229" t="s">
        <v>1273</v>
      </c>
      <c r="F570" s="240">
        <v>300</v>
      </c>
      <c r="G570" s="196">
        <v>1</v>
      </c>
      <c r="H570" s="195">
        <v>300</v>
      </c>
      <c r="I570" s="197">
        <v>41308</v>
      </c>
      <c r="J570" s="197" t="str">
        <f t="shared" si="27"/>
        <v>ok</v>
      </c>
      <c r="K570" s="413"/>
      <c r="L570" s="413"/>
      <c r="M570" s="413"/>
      <c r="N570" s="413"/>
      <c r="O570" s="413"/>
      <c r="P570" s="413"/>
      <c r="Q570" s="413"/>
      <c r="R570" s="413"/>
      <c r="S570" s="413"/>
      <c r="T570" s="413"/>
      <c r="U570" s="413"/>
      <c r="V570" s="413"/>
      <c r="W570" s="413">
        <f t="shared" si="25"/>
        <v>0</v>
      </c>
      <c r="X570" s="412"/>
      <c r="Y570" s="412">
        <v>300</v>
      </c>
      <c r="Z570" s="412"/>
      <c r="AA570" s="412"/>
      <c r="AB570" s="412"/>
      <c r="AC570" s="412"/>
      <c r="AD570" s="412"/>
      <c r="AE570" s="412"/>
      <c r="AF570" s="412"/>
      <c r="AG570" s="412"/>
      <c r="AH570" s="412"/>
      <c r="AI570" s="412"/>
      <c r="AJ570" s="412">
        <f t="shared" si="26"/>
        <v>300</v>
      </c>
      <c r="AK570" s="198"/>
      <c r="AL570" s="250" t="s">
        <v>2067</v>
      </c>
    </row>
    <row r="571" spans="1:38" ht="14.1" customHeight="1" x14ac:dyDescent="0.2">
      <c r="A571" t="s">
        <v>891</v>
      </c>
      <c r="B571" s="193">
        <v>4222</v>
      </c>
      <c r="C571" s="194" t="s">
        <v>1049</v>
      </c>
      <c r="D571" s="229" t="s">
        <v>1550</v>
      </c>
      <c r="E571" s="229" t="s">
        <v>649</v>
      </c>
      <c r="F571" s="240">
        <v>100</v>
      </c>
      <c r="G571" s="196">
        <v>1</v>
      </c>
      <c r="H571" s="195">
        <v>100</v>
      </c>
      <c r="I571" s="197">
        <v>41308</v>
      </c>
      <c r="J571" s="197" t="str">
        <f t="shared" si="27"/>
        <v>ok</v>
      </c>
      <c r="K571" s="413"/>
      <c r="L571" s="413"/>
      <c r="M571" s="413"/>
      <c r="N571" s="413"/>
      <c r="O571" s="413"/>
      <c r="P571" s="413"/>
      <c r="Q571" s="413"/>
      <c r="R571" s="413"/>
      <c r="S571" s="413"/>
      <c r="T571" s="413"/>
      <c r="U571" s="413"/>
      <c r="V571" s="413"/>
      <c r="W571" s="413">
        <f t="shared" si="25"/>
        <v>0</v>
      </c>
      <c r="X571" s="412"/>
      <c r="Y571" s="412">
        <v>100</v>
      </c>
      <c r="Z571" s="412"/>
      <c r="AA571" s="412"/>
      <c r="AB571" s="412"/>
      <c r="AC571" s="412"/>
      <c r="AD571" s="412"/>
      <c r="AE571" s="412"/>
      <c r="AF571" s="412"/>
      <c r="AG571" s="412"/>
      <c r="AH571" s="412"/>
      <c r="AI571" s="412"/>
      <c r="AJ571" s="412">
        <f t="shared" si="26"/>
        <v>100</v>
      </c>
      <c r="AK571" s="198"/>
      <c r="AL571" s="250" t="s">
        <v>2067</v>
      </c>
    </row>
    <row r="572" spans="1:38" ht="14.1" customHeight="1" x14ac:dyDescent="0.2">
      <c r="A572" t="s">
        <v>894</v>
      </c>
      <c r="B572" s="193">
        <v>4223</v>
      </c>
      <c r="C572" s="194" t="s">
        <v>1161</v>
      </c>
      <c r="D572" s="229" t="s">
        <v>1582</v>
      </c>
      <c r="E572" s="229" t="s">
        <v>605</v>
      </c>
      <c r="F572" s="240">
        <v>300</v>
      </c>
      <c r="G572" s="196">
        <v>1</v>
      </c>
      <c r="H572" s="195">
        <v>300</v>
      </c>
      <c r="I572" s="197">
        <v>41308</v>
      </c>
      <c r="J572" s="197" t="str">
        <f t="shared" si="27"/>
        <v>ok</v>
      </c>
      <c r="K572" s="413"/>
      <c r="L572" s="413"/>
      <c r="M572" s="413"/>
      <c r="N572" s="413"/>
      <c r="O572" s="413"/>
      <c r="P572" s="413"/>
      <c r="Q572" s="413"/>
      <c r="R572" s="413"/>
      <c r="S572" s="413"/>
      <c r="T572" s="413"/>
      <c r="U572" s="413"/>
      <c r="V572" s="413"/>
      <c r="W572" s="413">
        <f t="shared" si="25"/>
        <v>0</v>
      </c>
      <c r="X572" s="412"/>
      <c r="Y572" s="412">
        <v>300</v>
      </c>
      <c r="Z572" s="412"/>
      <c r="AA572" s="412"/>
      <c r="AB572" s="412"/>
      <c r="AC572" s="412"/>
      <c r="AD572" s="412"/>
      <c r="AE572" s="412"/>
      <c r="AF572" s="412"/>
      <c r="AG572" s="412"/>
      <c r="AH572" s="412"/>
      <c r="AI572" s="412"/>
      <c r="AJ572" s="412">
        <f t="shared" si="26"/>
        <v>300</v>
      </c>
      <c r="AK572" s="198"/>
      <c r="AL572" s="250" t="s">
        <v>2067</v>
      </c>
    </row>
    <row r="573" spans="1:38" ht="14.1" customHeight="1" x14ac:dyDescent="0.2">
      <c r="A573" t="s">
        <v>884</v>
      </c>
      <c r="B573" s="193">
        <v>4224</v>
      </c>
      <c r="C573" s="194" t="s">
        <v>848</v>
      </c>
      <c r="D573" s="229" t="s">
        <v>1545</v>
      </c>
      <c r="E573" s="229" t="s">
        <v>1206</v>
      </c>
      <c r="F573" s="240">
        <v>300</v>
      </c>
      <c r="G573" s="196">
        <v>1</v>
      </c>
      <c r="H573" s="195">
        <v>300</v>
      </c>
      <c r="I573" s="197">
        <v>41308</v>
      </c>
      <c r="J573" s="197" t="str">
        <f t="shared" si="27"/>
        <v>ok</v>
      </c>
      <c r="K573" s="413"/>
      <c r="L573" s="413"/>
      <c r="M573" s="413"/>
      <c r="N573" s="413"/>
      <c r="O573" s="413"/>
      <c r="P573" s="413"/>
      <c r="Q573" s="413"/>
      <c r="R573" s="413"/>
      <c r="S573" s="413"/>
      <c r="T573" s="413"/>
      <c r="U573" s="413"/>
      <c r="V573" s="413"/>
      <c r="W573" s="413">
        <f t="shared" si="25"/>
        <v>0</v>
      </c>
      <c r="X573" s="412"/>
      <c r="Y573" s="412">
        <v>300</v>
      </c>
      <c r="Z573" s="412"/>
      <c r="AA573" s="412"/>
      <c r="AB573" s="412"/>
      <c r="AC573" s="412"/>
      <c r="AD573" s="412"/>
      <c r="AE573" s="412"/>
      <c r="AF573" s="412"/>
      <c r="AG573" s="412"/>
      <c r="AH573" s="412"/>
      <c r="AI573" s="412"/>
      <c r="AJ573" s="412">
        <f t="shared" si="26"/>
        <v>300</v>
      </c>
      <c r="AK573" s="198"/>
      <c r="AL573" s="250" t="s">
        <v>2067</v>
      </c>
    </row>
    <row r="574" spans="1:38" ht="14.1" customHeight="1" x14ac:dyDescent="0.2">
      <c r="A574" t="s">
        <v>884</v>
      </c>
      <c r="B574" s="193">
        <v>4225</v>
      </c>
      <c r="C574" s="194" t="s">
        <v>827</v>
      </c>
      <c r="D574" s="229" t="s">
        <v>1431</v>
      </c>
      <c r="E574" s="229" t="s">
        <v>1271</v>
      </c>
      <c r="F574" s="240">
        <v>300</v>
      </c>
      <c r="G574" s="196">
        <v>1</v>
      </c>
      <c r="H574" s="195">
        <v>300</v>
      </c>
      <c r="I574" s="197">
        <v>41308</v>
      </c>
      <c r="J574" s="197" t="str">
        <f t="shared" si="27"/>
        <v>ok</v>
      </c>
      <c r="K574" s="413"/>
      <c r="L574" s="413"/>
      <c r="M574" s="413"/>
      <c r="N574" s="413"/>
      <c r="O574" s="413"/>
      <c r="P574" s="413"/>
      <c r="Q574" s="413"/>
      <c r="R574" s="413"/>
      <c r="S574" s="413"/>
      <c r="T574" s="413"/>
      <c r="U574" s="413"/>
      <c r="V574" s="413"/>
      <c r="W574" s="413">
        <f t="shared" si="25"/>
        <v>0</v>
      </c>
      <c r="X574" s="412"/>
      <c r="Y574" s="412">
        <v>300</v>
      </c>
      <c r="Z574" s="412"/>
      <c r="AA574" s="412"/>
      <c r="AB574" s="412"/>
      <c r="AC574" s="412"/>
      <c r="AD574" s="412"/>
      <c r="AE574" s="412"/>
      <c r="AF574" s="412"/>
      <c r="AG574" s="412"/>
      <c r="AH574" s="412"/>
      <c r="AI574" s="412"/>
      <c r="AJ574" s="412">
        <f t="shared" si="26"/>
        <v>300</v>
      </c>
      <c r="AK574" s="198"/>
      <c r="AL574" s="250" t="s">
        <v>2067</v>
      </c>
    </row>
    <row r="575" spans="1:38" ht="14.1" customHeight="1" x14ac:dyDescent="0.2">
      <c r="A575" t="s">
        <v>888</v>
      </c>
      <c r="B575" s="193">
        <v>4226</v>
      </c>
      <c r="C575" s="194" t="s">
        <v>938</v>
      </c>
      <c r="D575" s="229" t="s">
        <v>1368</v>
      </c>
      <c r="E575" s="229" t="s">
        <v>35</v>
      </c>
      <c r="F575" s="240">
        <v>300</v>
      </c>
      <c r="G575" s="196">
        <v>1</v>
      </c>
      <c r="H575" s="195">
        <v>600</v>
      </c>
      <c r="I575" s="197">
        <v>41308</v>
      </c>
      <c r="J575" s="197" t="str">
        <f t="shared" si="27"/>
        <v>ok</v>
      </c>
      <c r="K575" s="413"/>
      <c r="L575" s="413"/>
      <c r="M575" s="413"/>
      <c r="N575" s="413"/>
      <c r="O575" s="413"/>
      <c r="P575" s="413"/>
      <c r="Q575" s="413"/>
      <c r="R575" s="413"/>
      <c r="S575" s="413"/>
      <c r="T575" s="413"/>
      <c r="U575" s="413"/>
      <c r="V575" s="413">
        <v>300</v>
      </c>
      <c r="W575" s="413">
        <f t="shared" si="25"/>
        <v>300</v>
      </c>
      <c r="X575" s="412">
        <v>300</v>
      </c>
      <c r="Y575" s="412"/>
      <c r="Z575" s="412"/>
      <c r="AA575" s="412"/>
      <c r="AB575" s="412"/>
      <c r="AC575" s="412"/>
      <c r="AD575" s="412"/>
      <c r="AE575" s="412"/>
      <c r="AF575" s="412"/>
      <c r="AG575" s="412"/>
      <c r="AH575" s="412"/>
      <c r="AI575" s="412"/>
      <c r="AJ575" s="412">
        <f t="shared" si="26"/>
        <v>300</v>
      </c>
      <c r="AK575" s="198" t="s">
        <v>1258</v>
      </c>
      <c r="AL575" s="250" t="s">
        <v>2067</v>
      </c>
    </row>
    <row r="576" spans="1:38" ht="14.1" customHeight="1" x14ac:dyDescent="0.2">
      <c r="A576" t="s">
        <v>890</v>
      </c>
      <c r="B576" s="193">
        <v>4227</v>
      </c>
      <c r="C576" s="194" t="s">
        <v>997</v>
      </c>
      <c r="D576" s="229" t="s">
        <v>1377</v>
      </c>
      <c r="E576" s="229" t="s">
        <v>485</v>
      </c>
      <c r="F576" s="240">
        <v>200</v>
      </c>
      <c r="G576" s="196">
        <v>1</v>
      </c>
      <c r="H576" s="195">
        <v>200</v>
      </c>
      <c r="I576" s="197">
        <v>41308</v>
      </c>
      <c r="J576" s="197" t="str">
        <f t="shared" si="27"/>
        <v>ok</v>
      </c>
      <c r="K576" s="413"/>
      <c r="L576" s="413"/>
      <c r="M576" s="413"/>
      <c r="N576" s="413"/>
      <c r="O576" s="413"/>
      <c r="P576" s="413"/>
      <c r="Q576" s="413"/>
      <c r="R576" s="413"/>
      <c r="S576" s="413"/>
      <c r="T576" s="413"/>
      <c r="U576" s="413"/>
      <c r="V576" s="413"/>
      <c r="W576" s="413">
        <f t="shared" si="25"/>
        <v>0</v>
      </c>
      <c r="X576" s="412"/>
      <c r="Y576" s="412">
        <v>200</v>
      </c>
      <c r="Z576" s="412"/>
      <c r="AA576" s="412"/>
      <c r="AB576" s="412"/>
      <c r="AC576" s="412"/>
      <c r="AD576" s="412"/>
      <c r="AE576" s="412"/>
      <c r="AF576" s="412"/>
      <c r="AG576" s="412"/>
      <c r="AH576" s="412"/>
      <c r="AI576" s="412"/>
      <c r="AJ576" s="412">
        <f t="shared" si="26"/>
        <v>200</v>
      </c>
      <c r="AK576" s="198"/>
      <c r="AL576" s="250" t="s">
        <v>2067</v>
      </c>
    </row>
    <row r="577" spans="1:38" ht="14.1" customHeight="1" x14ac:dyDescent="0.2">
      <c r="A577" t="s">
        <v>893</v>
      </c>
      <c r="B577" s="193">
        <v>4228</v>
      </c>
      <c r="C577" s="194" t="s">
        <v>1077</v>
      </c>
      <c r="D577" s="229" t="s">
        <v>1429</v>
      </c>
      <c r="E577" s="229" t="s">
        <v>195</v>
      </c>
      <c r="F577" s="240">
        <v>200</v>
      </c>
      <c r="G577" s="196">
        <v>1</v>
      </c>
      <c r="H577" s="195">
        <v>200</v>
      </c>
      <c r="I577" s="197">
        <v>41308</v>
      </c>
      <c r="J577" s="197" t="str">
        <f t="shared" si="27"/>
        <v>ok</v>
      </c>
      <c r="K577" s="413"/>
      <c r="L577" s="413"/>
      <c r="M577" s="413"/>
      <c r="N577" s="413"/>
      <c r="O577" s="413"/>
      <c r="P577" s="413"/>
      <c r="Q577" s="413"/>
      <c r="R577" s="413"/>
      <c r="S577" s="413"/>
      <c r="T577" s="413"/>
      <c r="U577" s="413"/>
      <c r="V577" s="413"/>
      <c r="W577" s="413">
        <f t="shared" si="25"/>
        <v>0</v>
      </c>
      <c r="X577" s="412"/>
      <c r="Y577" s="412">
        <v>200</v>
      </c>
      <c r="Z577" s="412"/>
      <c r="AA577" s="412"/>
      <c r="AB577" s="412"/>
      <c r="AC577" s="412"/>
      <c r="AD577" s="412"/>
      <c r="AE577" s="412"/>
      <c r="AF577" s="412"/>
      <c r="AG577" s="412"/>
      <c r="AH577" s="412"/>
      <c r="AI577" s="412"/>
      <c r="AJ577" s="412">
        <f t="shared" si="26"/>
        <v>200</v>
      </c>
      <c r="AK577" s="198"/>
      <c r="AL577" s="250" t="s">
        <v>2067</v>
      </c>
    </row>
    <row r="578" spans="1:38" ht="14.1" customHeight="1" x14ac:dyDescent="0.2">
      <c r="A578" t="s">
        <v>891</v>
      </c>
      <c r="B578" s="193">
        <v>4229</v>
      </c>
      <c r="C578" s="194" t="s">
        <v>1053</v>
      </c>
      <c r="D578" s="229" t="s">
        <v>1508</v>
      </c>
      <c r="E578" s="229" t="s">
        <v>657</v>
      </c>
      <c r="F578" s="240">
        <v>200</v>
      </c>
      <c r="G578" s="196">
        <v>1</v>
      </c>
      <c r="H578" s="195">
        <v>200</v>
      </c>
      <c r="I578" s="197">
        <v>41308</v>
      </c>
      <c r="J578" s="197" t="str">
        <f t="shared" si="27"/>
        <v>ok</v>
      </c>
      <c r="K578" s="413"/>
      <c r="L578" s="413"/>
      <c r="M578" s="413"/>
      <c r="N578" s="413"/>
      <c r="O578" s="413"/>
      <c r="P578" s="413"/>
      <c r="Q578" s="413"/>
      <c r="R578" s="413"/>
      <c r="S578" s="413"/>
      <c r="T578" s="413"/>
      <c r="U578" s="413"/>
      <c r="V578" s="413"/>
      <c r="W578" s="413">
        <f t="shared" si="25"/>
        <v>0</v>
      </c>
      <c r="X578" s="412">
        <v>200</v>
      </c>
      <c r="Y578" s="412"/>
      <c r="Z578" s="412"/>
      <c r="AA578" s="412"/>
      <c r="AB578" s="412"/>
      <c r="AC578" s="412"/>
      <c r="AD578" s="412"/>
      <c r="AE578" s="412"/>
      <c r="AF578" s="412"/>
      <c r="AG578" s="412"/>
      <c r="AH578" s="412"/>
      <c r="AI578" s="412"/>
      <c r="AJ578" s="412">
        <f t="shared" si="26"/>
        <v>200</v>
      </c>
      <c r="AK578" s="198"/>
      <c r="AL578" s="250" t="s">
        <v>2067</v>
      </c>
    </row>
    <row r="579" spans="1:38" ht="14.1" customHeight="1" x14ac:dyDescent="0.2">
      <c r="A579" t="s">
        <v>892</v>
      </c>
      <c r="B579" s="193">
        <v>4230</v>
      </c>
      <c r="C579" s="194" t="s">
        <v>782</v>
      </c>
      <c r="D579" s="229" t="s">
        <v>1418</v>
      </c>
      <c r="E579" s="229" t="s">
        <v>662</v>
      </c>
      <c r="F579" s="240">
        <v>300</v>
      </c>
      <c r="G579" s="196">
        <v>3</v>
      </c>
      <c r="H579" s="195">
        <v>150</v>
      </c>
      <c r="I579" s="197">
        <v>41308</v>
      </c>
      <c r="J579" s="197" t="str">
        <f t="shared" si="27"/>
        <v>ok</v>
      </c>
      <c r="K579" s="413"/>
      <c r="L579" s="413"/>
      <c r="M579" s="413"/>
      <c r="N579" s="413"/>
      <c r="O579" s="413"/>
      <c r="P579" s="413"/>
      <c r="Q579" s="413"/>
      <c r="R579" s="413"/>
      <c r="S579" s="413"/>
      <c r="T579" s="413"/>
      <c r="U579" s="413"/>
      <c r="V579" s="413"/>
      <c r="W579" s="413">
        <f t="shared" si="25"/>
        <v>0</v>
      </c>
      <c r="X579" s="412"/>
      <c r="Y579" s="412"/>
      <c r="Z579" s="412"/>
      <c r="AA579" s="412"/>
      <c r="AB579" s="412"/>
      <c r="AC579" s="412"/>
      <c r="AD579" s="412"/>
      <c r="AE579" s="412"/>
      <c r="AF579" s="412"/>
      <c r="AG579" s="412"/>
      <c r="AH579" s="412"/>
      <c r="AI579" s="412"/>
      <c r="AJ579" s="412">
        <f t="shared" si="26"/>
        <v>0</v>
      </c>
      <c r="AK579" s="198"/>
      <c r="AL579" s="250" t="s">
        <v>2068</v>
      </c>
    </row>
    <row r="580" spans="1:38" ht="14.1" customHeight="1" x14ac:dyDescent="0.2">
      <c r="A580" t="s">
        <v>892</v>
      </c>
      <c r="B580" s="193">
        <v>4231</v>
      </c>
      <c r="C580" s="194" t="s">
        <v>782</v>
      </c>
      <c r="D580" s="229" t="s">
        <v>1418</v>
      </c>
      <c r="E580" s="229" t="s">
        <v>662</v>
      </c>
      <c r="F580" s="240">
        <v>300</v>
      </c>
      <c r="G580" s="196">
        <v>1</v>
      </c>
      <c r="H580" s="195">
        <v>300</v>
      </c>
      <c r="I580" s="197">
        <v>41308</v>
      </c>
      <c r="J580" s="197" t="str">
        <f t="shared" si="27"/>
        <v>ok</v>
      </c>
      <c r="K580" s="413"/>
      <c r="L580" s="413"/>
      <c r="M580" s="413"/>
      <c r="N580" s="413"/>
      <c r="O580" s="413"/>
      <c r="P580" s="413"/>
      <c r="Q580" s="413"/>
      <c r="R580" s="413"/>
      <c r="S580" s="413"/>
      <c r="T580" s="413"/>
      <c r="U580" s="413"/>
      <c r="V580" s="413"/>
      <c r="W580" s="413">
        <f t="shared" si="25"/>
        <v>0</v>
      </c>
      <c r="X580" s="412"/>
      <c r="Y580" s="412">
        <v>300</v>
      </c>
      <c r="Z580" s="412"/>
      <c r="AA580" s="412"/>
      <c r="AB580" s="412"/>
      <c r="AC580" s="412"/>
      <c r="AD580" s="412"/>
      <c r="AE580" s="412"/>
      <c r="AF580" s="412"/>
      <c r="AG580" s="412"/>
      <c r="AH580" s="412"/>
      <c r="AI580" s="412"/>
      <c r="AJ580" s="412">
        <f t="shared" si="26"/>
        <v>300</v>
      </c>
      <c r="AK580" s="198"/>
      <c r="AL580" s="250" t="s">
        <v>2067</v>
      </c>
    </row>
    <row r="581" spans="1:38" ht="14.1" customHeight="1" x14ac:dyDescent="0.2">
      <c r="A581" t="s">
        <v>887</v>
      </c>
      <c r="B581" s="193">
        <v>4232</v>
      </c>
      <c r="C581" s="194" t="s">
        <v>904</v>
      </c>
      <c r="D581" s="229" t="s">
        <v>1361</v>
      </c>
      <c r="E581" s="229" t="s">
        <v>667</v>
      </c>
      <c r="F581" s="240">
        <v>300</v>
      </c>
      <c r="G581" s="196">
        <v>1</v>
      </c>
      <c r="H581" s="195">
        <v>300</v>
      </c>
      <c r="I581" s="197">
        <v>41308</v>
      </c>
      <c r="J581" s="197" t="str">
        <f t="shared" si="27"/>
        <v>ok</v>
      </c>
      <c r="K581" s="413"/>
      <c r="L581" s="413"/>
      <c r="M581" s="413"/>
      <c r="N581" s="413"/>
      <c r="O581" s="413"/>
      <c r="P581" s="413"/>
      <c r="Q581" s="413"/>
      <c r="R581" s="413"/>
      <c r="S581" s="413"/>
      <c r="T581" s="413"/>
      <c r="U581" s="413"/>
      <c r="V581" s="413"/>
      <c r="W581" s="413">
        <f t="shared" si="25"/>
        <v>0</v>
      </c>
      <c r="X581" s="412"/>
      <c r="Y581" s="412">
        <v>300</v>
      </c>
      <c r="Z581" s="412"/>
      <c r="AA581" s="412"/>
      <c r="AB581" s="412"/>
      <c r="AC581" s="412"/>
      <c r="AD581" s="412"/>
      <c r="AE581" s="412"/>
      <c r="AF581" s="412"/>
      <c r="AG581" s="412"/>
      <c r="AH581" s="412"/>
      <c r="AI581" s="412"/>
      <c r="AJ581" s="412">
        <f t="shared" si="26"/>
        <v>300</v>
      </c>
      <c r="AK581" s="198"/>
      <c r="AL581" s="250" t="s">
        <v>2067</v>
      </c>
    </row>
    <row r="582" spans="1:38" ht="14.1" customHeight="1" x14ac:dyDescent="0.2">
      <c r="A582" t="s">
        <v>893</v>
      </c>
      <c r="B582" s="193">
        <v>4233</v>
      </c>
      <c r="C582" s="194" t="s">
        <v>779</v>
      </c>
      <c r="D582" s="229" t="s">
        <v>1391</v>
      </c>
      <c r="E582" s="229" t="s">
        <v>713</v>
      </c>
      <c r="F582" s="240">
        <v>300</v>
      </c>
      <c r="G582" s="196">
        <v>1</v>
      </c>
      <c r="H582" s="195">
        <v>300</v>
      </c>
      <c r="I582" s="197">
        <v>41308</v>
      </c>
      <c r="J582" s="197" t="str">
        <f t="shared" si="27"/>
        <v>ok</v>
      </c>
      <c r="K582" s="413"/>
      <c r="L582" s="413"/>
      <c r="M582" s="413"/>
      <c r="N582" s="413"/>
      <c r="O582" s="413"/>
      <c r="P582" s="413"/>
      <c r="Q582" s="413"/>
      <c r="R582" s="413"/>
      <c r="S582" s="413"/>
      <c r="T582" s="413"/>
      <c r="U582" s="413"/>
      <c r="V582" s="413"/>
      <c r="W582" s="413">
        <f t="shared" si="25"/>
        <v>0</v>
      </c>
      <c r="X582" s="412"/>
      <c r="Y582" s="412">
        <v>300</v>
      </c>
      <c r="Z582" s="412"/>
      <c r="AA582" s="412"/>
      <c r="AB582" s="412"/>
      <c r="AC582" s="412"/>
      <c r="AD582" s="412"/>
      <c r="AE582" s="412"/>
      <c r="AF582" s="412"/>
      <c r="AG582" s="412"/>
      <c r="AH582" s="412"/>
      <c r="AI582" s="412"/>
      <c r="AJ582" s="412">
        <f t="shared" si="26"/>
        <v>300</v>
      </c>
      <c r="AK582" s="198"/>
      <c r="AL582" s="250" t="s">
        <v>2067</v>
      </c>
    </row>
    <row r="583" spans="1:38" ht="14.1" customHeight="1" x14ac:dyDescent="0.2">
      <c r="A583" t="s">
        <v>884</v>
      </c>
      <c r="B583" s="193">
        <v>4234</v>
      </c>
      <c r="C583" s="194" t="s">
        <v>775</v>
      </c>
      <c r="D583" s="229" t="s">
        <v>1388</v>
      </c>
      <c r="E583" s="229" t="s">
        <v>1207</v>
      </c>
      <c r="F583" s="240">
        <v>300</v>
      </c>
      <c r="G583" s="196">
        <v>1</v>
      </c>
      <c r="H583" s="195">
        <v>300</v>
      </c>
      <c r="I583" s="197">
        <v>41308</v>
      </c>
      <c r="J583" s="197" t="str">
        <f t="shared" si="27"/>
        <v>ok</v>
      </c>
      <c r="K583" s="413"/>
      <c r="L583" s="413"/>
      <c r="M583" s="413"/>
      <c r="N583" s="413"/>
      <c r="O583" s="413"/>
      <c r="P583" s="413"/>
      <c r="Q583" s="413"/>
      <c r="R583" s="413"/>
      <c r="S583" s="413"/>
      <c r="T583" s="413"/>
      <c r="U583" s="413"/>
      <c r="V583" s="413"/>
      <c r="W583" s="413">
        <f t="shared" ref="W583:W646" si="28">SUM(K583:V583)</f>
        <v>0</v>
      </c>
      <c r="X583" s="412"/>
      <c r="Y583" s="412">
        <v>300</v>
      </c>
      <c r="Z583" s="412"/>
      <c r="AA583" s="412"/>
      <c r="AB583" s="412"/>
      <c r="AC583" s="412"/>
      <c r="AD583" s="412"/>
      <c r="AE583" s="412"/>
      <c r="AF583" s="412"/>
      <c r="AG583" s="412"/>
      <c r="AH583" s="412"/>
      <c r="AI583" s="412"/>
      <c r="AJ583" s="412">
        <f t="shared" ref="AJ583:AJ646" si="29">SUM(X583:AI583)</f>
        <v>300</v>
      </c>
      <c r="AK583" s="198"/>
      <c r="AL583" s="250" t="s">
        <v>2067</v>
      </c>
    </row>
    <row r="584" spans="1:38" ht="14.1" customHeight="1" x14ac:dyDescent="0.2">
      <c r="A584" t="s">
        <v>893</v>
      </c>
      <c r="B584" s="193">
        <v>4235</v>
      </c>
      <c r="C584" s="194" t="s">
        <v>1110</v>
      </c>
      <c r="D584" s="229" t="s">
        <v>1583</v>
      </c>
      <c r="E584" s="229" t="s">
        <v>113</v>
      </c>
      <c r="F584" s="240">
        <v>300</v>
      </c>
      <c r="G584" s="196">
        <v>1</v>
      </c>
      <c r="H584" s="195">
        <v>600</v>
      </c>
      <c r="I584" s="197">
        <v>41308</v>
      </c>
      <c r="J584" s="197" t="str">
        <f t="shared" si="27"/>
        <v>ok</v>
      </c>
      <c r="K584" s="413"/>
      <c r="L584" s="413"/>
      <c r="M584" s="413"/>
      <c r="N584" s="413"/>
      <c r="O584" s="413"/>
      <c r="P584" s="413"/>
      <c r="Q584" s="413"/>
      <c r="R584" s="413"/>
      <c r="S584" s="413"/>
      <c r="T584" s="413"/>
      <c r="U584" s="413"/>
      <c r="V584" s="413"/>
      <c r="W584" s="413">
        <f t="shared" si="28"/>
        <v>0</v>
      </c>
      <c r="X584" s="412">
        <v>300</v>
      </c>
      <c r="Y584" s="412">
        <v>300</v>
      </c>
      <c r="Z584" s="412"/>
      <c r="AA584" s="412"/>
      <c r="AB584" s="412"/>
      <c r="AC584" s="412"/>
      <c r="AD584" s="412"/>
      <c r="AE584" s="412"/>
      <c r="AF584" s="412"/>
      <c r="AG584" s="412"/>
      <c r="AH584" s="412"/>
      <c r="AI584" s="412"/>
      <c r="AJ584" s="412">
        <f t="shared" si="29"/>
        <v>600</v>
      </c>
      <c r="AK584" s="198"/>
      <c r="AL584" s="250" t="s">
        <v>2067</v>
      </c>
    </row>
    <row r="585" spans="1:38" ht="14.1" customHeight="1" x14ac:dyDescent="0.2">
      <c r="A585" t="s">
        <v>894</v>
      </c>
      <c r="B585" s="193">
        <v>4236</v>
      </c>
      <c r="C585" s="194" t="s">
        <v>1167</v>
      </c>
      <c r="D585" s="229" t="s">
        <v>1432</v>
      </c>
      <c r="E585" s="229" t="s">
        <v>617</v>
      </c>
      <c r="F585" s="240">
        <v>250</v>
      </c>
      <c r="G585" s="196">
        <v>1</v>
      </c>
      <c r="H585" s="195">
        <v>250</v>
      </c>
      <c r="I585" s="197">
        <v>41308</v>
      </c>
      <c r="J585" s="197" t="str">
        <f t="shared" si="27"/>
        <v>ok</v>
      </c>
      <c r="K585" s="413"/>
      <c r="L585" s="413"/>
      <c r="M585" s="413"/>
      <c r="N585" s="413"/>
      <c r="O585" s="413"/>
      <c r="P585" s="413"/>
      <c r="Q585" s="413"/>
      <c r="R585" s="413"/>
      <c r="S585" s="413"/>
      <c r="T585" s="413"/>
      <c r="U585" s="413"/>
      <c r="V585" s="413"/>
      <c r="W585" s="413">
        <f t="shared" si="28"/>
        <v>0</v>
      </c>
      <c r="X585" s="412"/>
      <c r="Y585" s="412">
        <v>250</v>
      </c>
      <c r="Z585" s="412"/>
      <c r="AA585" s="412"/>
      <c r="AB585" s="412"/>
      <c r="AC585" s="412"/>
      <c r="AD585" s="412"/>
      <c r="AE585" s="412"/>
      <c r="AF585" s="412"/>
      <c r="AG585" s="412"/>
      <c r="AH585" s="412"/>
      <c r="AI585" s="412"/>
      <c r="AJ585" s="412">
        <f t="shared" si="29"/>
        <v>250</v>
      </c>
      <c r="AK585" s="198"/>
      <c r="AL585" s="250" t="s">
        <v>2067</v>
      </c>
    </row>
    <row r="586" spans="1:38" ht="14.1" customHeight="1" x14ac:dyDescent="0.2">
      <c r="A586" t="s">
        <v>893</v>
      </c>
      <c r="B586" s="193">
        <v>4237</v>
      </c>
      <c r="C586" s="194" t="s">
        <v>1086</v>
      </c>
      <c r="D586" s="229" t="s">
        <v>1376</v>
      </c>
      <c r="E586" s="229" t="s">
        <v>113</v>
      </c>
      <c r="F586" s="240">
        <v>300</v>
      </c>
      <c r="G586" s="196">
        <v>1</v>
      </c>
      <c r="H586" s="195">
        <v>600</v>
      </c>
      <c r="I586" s="197">
        <v>41308</v>
      </c>
      <c r="J586" s="197" t="str">
        <f t="shared" si="27"/>
        <v>ok</v>
      </c>
      <c r="K586" s="413"/>
      <c r="L586" s="413"/>
      <c r="M586" s="413"/>
      <c r="N586" s="413"/>
      <c r="O586" s="413"/>
      <c r="P586" s="413"/>
      <c r="Q586" s="413"/>
      <c r="R586" s="413"/>
      <c r="S586" s="413"/>
      <c r="T586" s="413"/>
      <c r="U586" s="413"/>
      <c r="V586" s="413"/>
      <c r="W586" s="413">
        <f t="shared" si="28"/>
        <v>0</v>
      </c>
      <c r="X586" s="412"/>
      <c r="Y586" s="412">
        <v>300</v>
      </c>
      <c r="Z586" s="412">
        <v>300</v>
      </c>
      <c r="AA586" s="412"/>
      <c r="AB586" s="412"/>
      <c r="AC586" s="412"/>
      <c r="AD586" s="412"/>
      <c r="AE586" s="412"/>
      <c r="AF586" s="412"/>
      <c r="AG586" s="412"/>
      <c r="AH586" s="412"/>
      <c r="AI586" s="412"/>
      <c r="AJ586" s="412">
        <f t="shared" si="29"/>
        <v>600</v>
      </c>
      <c r="AK586" s="198"/>
      <c r="AL586" s="250" t="s">
        <v>2067</v>
      </c>
    </row>
    <row r="587" spans="1:38" ht="14.1" customHeight="1" x14ac:dyDescent="0.2">
      <c r="A587" t="s">
        <v>884</v>
      </c>
      <c r="B587" s="193">
        <v>4238</v>
      </c>
      <c r="C587" s="194" t="s">
        <v>839</v>
      </c>
      <c r="D587" s="229" t="s">
        <v>1365</v>
      </c>
      <c r="E587" s="229" t="s">
        <v>1204</v>
      </c>
      <c r="F587" s="240">
        <v>300</v>
      </c>
      <c r="G587" s="196">
        <v>1</v>
      </c>
      <c r="H587" s="195">
        <v>300</v>
      </c>
      <c r="I587" s="197">
        <v>41308</v>
      </c>
      <c r="J587" s="197" t="str">
        <f t="shared" si="27"/>
        <v>ok</v>
      </c>
      <c r="K587" s="413"/>
      <c r="L587" s="413"/>
      <c r="M587" s="413"/>
      <c r="N587" s="413"/>
      <c r="O587" s="413"/>
      <c r="P587" s="413"/>
      <c r="Q587" s="413"/>
      <c r="R587" s="413"/>
      <c r="S587" s="413"/>
      <c r="T587" s="413"/>
      <c r="U587" s="413"/>
      <c r="V587" s="413"/>
      <c r="W587" s="413">
        <f t="shared" si="28"/>
        <v>0</v>
      </c>
      <c r="X587" s="412"/>
      <c r="Y587" s="412">
        <v>300</v>
      </c>
      <c r="Z587" s="412"/>
      <c r="AA587" s="412"/>
      <c r="AB587" s="412"/>
      <c r="AC587" s="412"/>
      <c r="AD587" s="412"/>
      <c r="AE587" s="412"/>
      <c r="AF587" s="412"/>
      <c r="AG587" s="412"/>
      <c r="AH587" s="412"/>
      <c r="AI587" s="412"/>
      <c r="AJ587" s="412">
        <f t="shared" si="29"/>
        <v>300</v>
      </c>
      <c r="AK587" s="198"/>
      <c r="AL587" s="250" t="s">
        <v>2067</v>
      </c>
    </row>
    <row r="588" spans="1:38" ht="14.1" customHeight="1" x14ac:dyDescent="0.2">
      <c r="A588" t="s">
        <v>884</v>
      </c>
      <c r="B588" s="193">
        <v>4239</v>
      </c>
      <c r="C588" s="194" t="s">
        <v>821</v>
      </c>
      <c r="D588" s="229" t="s">
        <v>1428</v>
      </c>
      <c r="E588" s="229" t="s">
        <v>48</v>
      </c>
      <c r="F588" s="240">
        <v>300</v>
      </c>
      <c r="G588" s="196">
        <v>1</v>
      </c>
      <c r="H588" s="195">
        <v>300</v>
      </c>
      <c r="I588" s="197">
        <v>41308</v>
      </c>
      <c r="J588" s="197" t="str">
        <f t="shared" si="27"/>
        <v>ok</v>
      </c>
      <c r="K588" s="413"/>
      <c r="L588" s="413"/>
      <c r="M588" s="413"/>
      <c r="N588" s="413"/>
      <c r="O588" s="413"/>
      <c r="P588" s="413"/>
      <c r="Q588" s="413"/>
      <c r="R588" s="413"/>
      <c r="S588" s="413"/>
      <c r="T588" s="413"/>
      <c r="U588" s="413"/>
      <c r="V588" s="413"/>
      <c r="W588" s="413">
        <f t="shared" si="28"/>
        <v>0</v>
      </c>
      <c r="X588" s="412"/>
      <c r="Y588" s="412">
        <v>300</v>
      </c>
      <c r="Z588" s="412"/>
      <c r="AA588" s="412"/>
      <c r="AB588" s="412"/>
      <c r="AC588" s="412"/>
      <c r="AD588" s="412"/>
      <c r="AE588" s="412"/>
      <c r="AF588" s="412"/>
      <c r="AG588" s="412"/>
      <c r="AH588" s="412"/>
      <c r="AI588" s="412"/>
      <c r="AJ588" s="412">
        <f t="shared" si="29"/>
        <v>300</v>
      </c>
      <c r="AK588" s="198"/>
      <c r="AL588" s="250" t="s">
        <v>2067</v>
      </c>
    </row>
    <row r="589" spans="1:38" ht="14.1" customHeight="1" x14ac:dyDescent="0.2">
      <c r="A589" t="s">
        <v>893</v>
      </c>
      <c r="B589" s="193">
        <v>4240</v>
      </c>
      <c r="C589" s="194" t="s">
        <v>1121</v>
      </c>
      <c r="D589" s="229" t="s">
        <v>1584</v>
      </c>
      <c r="E589" s="229" t="s">
        <v>278</v>
      </c>
      <c r="F589" s="240">
        <v>300</v>
      </c>
      <c r="G589" s="196">
        <v>1</v>
      </c>
      <c r="H589" s="195">
        <v>300</v>
      </c>
      <c r="I589" s="197">
        <v>41308</v>
      </c>
      <c r="J589" s="197" t="str">
        <f t="shared" si="27"/>
        <v>ok</v>
      </c>
      <c r="K589" s="413"/>
      <c r="L589" s="413"/>
      <c r="M589" s="413"/>
      <c r="N589" s="413"/>
      <c r="O589" s="413"/>
      <c r="P589" s="413"/>
      <c r="Q589" s="413"/>
      <c r="R589" s="413"/>
      <c r="S589" s="413"/>
      <c r="T589" s="413"/>
      <c r="U589" s="413"/>
      <c r="V589" s="413"/>
      <c r="W589" s="413">
        <f t="shared" si="28"/>
        <v>0</v>
      </c>
      <c r="X589" s="412"/>
      <c r="Y589" s="412">
        <v>300</v>
      </c>
      <c r="Z589" s="412"/>
      <c r="AA589" s="412"/>
      <c r="AB589" s="412"/>
      <c r="AC589" s="412"/>
      <c r="AD589" s="412"/>
      <c r="AE589" s="412"/>
      <c r="AF589" s="412"/>
      <c r="AG589" s="412"/>
      <c r="AH589" s="412"/>
      <c r="AI589" s="412"/>
      <c r="AJ589" s="412">
        <f t="shared" si="29"/>
        <v>300</v>
      </c>
      <c r="AK589" s="198"/>
      <c r="AL589" s="250" t="s">
        <v>2067</v>
      </c>
    </row>
    <row r="590" spans="1:38" ht="14.1" customHeight="1" x14ac:dyDescent="0.2">
      <c r="A590" t="s">
        <v>884</v>
      </c>
      <c r="B590" s="193">
        <v>4241</v>
      </c>
      <c r="C590" s="194" t="s">
        <v>789</v>
      </c>
      <c r="D590" s="229" t="s">
        <v>1485</v>
      </c>
      <c r="E590" s="229" t="s">
        <v>104</v>
      </c>
      <c r="F590" s="240">
        <v>300</v>
      </c>
      <c r="G590" s="196">
        <v>1</v>
      </c>
      <c r="H590" s="195">
        <v>300</v>
      </c>
      <c r="I590" s="197">
        <v>41308</v>
      </c>
      <c r="J590" s="197" t="str">
        <f t="shared" ref="J590:J653" si="30">IF(OR(G590&lt;&gt;1,SUM(W590,AJ590)=H590),"ok","error")</f>
        <v>ok</v>
      </c>
      <c r="K590" s="413"/>
      <c r="L590" s="413"/>
      <c r="M590" s="413"/>
      <c r="N590" s="413"/>
      <c r="O590" s="413"/>
      <c r="P590" s="413"/>
      <c r="Q590" s="413"/>
      <c r="R590" s="413"/>
      <c r="S590" s="413"/>
      <c r="T590" s="413"/>
      <c r="U590" s="413"/>
      <c r="V590" s="413"/>
      <c r="W590" s="413">
        <f t="shared" si="28"/>
        <v>0</v>
      </c>
      <c r="X590" s="412"/>
      <c r="Y590" s="412">
        <v>300</v>
      </c>
      <c r="Z590" s="412"/>
      <c r="AA590" s="412"/>
      <c r="AB590" s="412"/>
      <c r="AC590" s="412"/>
      <c r="AD590" s="412"/>
      <c r="AE590" s="412"/>
      <c r="AF590" s="412"/>
      <c r="AG590" s="412"/>
      <c r="AH590" s="412"/>
      <c r="AI590" s="412"/>
      <c r="AJ590" s="412">
        <f t="shared" si="29"/>
        <v>300</v>
      </c>
      <c r="AK590" s="198"/>
      <c r="AL590" s="250" t="s">
        <v>2067</v>
      </c>
    </row>
    <row r="591" spans="1:38" ht="14.1" customHeight="1" x14ac:dyDescent="0.2">
      <c r="A591" t="s">
        <v>884</v>
      </c>
      <c r="B591" s="193">
        <v>4242</v>
      </c>
      <c r="C591" s="194" t="s">
        <v>852</v>
      </c>
      <c r="D591" s="229" t="s">
        <v>1477</v>
      </c>
      <c r="E591" s="229" t="s">
        <v>92</v>
      </c>
      <c r="F591" s="240">
        <v>300</v>
      </c>
      <c r="G591" s="196">
        <v>1</v>
      </c>
      <c r="H591" s="195">
        <v>300</v>
      </c>
      <c r="I591" s="197">
        <v>41308</v>
      </c>
      <c r="J591" s="197" t="str">
        <f t="shared" si="30"/>
        <v>ok</v>
      </c>
      <c r="K591" s="413"/>
      <c r="L591" s="413"/>
      <c r="M591" s="413"/>
      <c r="N591" s="413"/>
      <c r="O591" s="413"/>
      <c r="P591" s="413"/>
      <c r="Q591" s="413"/>
      <c r="R591" s="413"/>
      <c r="S591" s="413"/>
      <c r="T591" s="413"/>
      <c r="U591" s="413"/>
      <c r="V591" s="413"/>
      <c r="W591" s="413">
        <f t="shared" si="28"/>
        <v>0</v>
      </c>
      <c r="X591" s="412"/>
      <c r="Y591" s="412">
        <v>300</v>
      </c>
      <c r="Z591" s="412"/>
      <c r="AA591" s="412"/>
      <c r="AB591" s="412"/>
      <c r="AC591" s="412"/>
      <c r="AD591" s="412"/>
      <c r="AE591" s="412"/>
      <c r="AF591" s="412"/>
      <c r="AG591" s="412"/>
      <c r="AH591" s="412"/>
      <c r="AI591" s="412"/>
      <c r="AJ591" s="412">
        <f t="shared" si="29"/>
        <v>300</v>
      </c>
      <c r="AK591" s="198"/>
      <c r="AL591" s="250" t="s">
        <v>2067</v>
      </c>
    </row>
    <row r="592" spans="1:38" ht="14.1" customHeight="1" x14ac:dyDescent="0.2">
      <c r="A592" t="s">
        <v>888</v>
      </c>
      <c r="B592" s="193">
        <v>4243</v>
      </c>
      <c r="C592" s="194" t="s">
        <v>921</v>
      </c>
      <c r="D592" s="229" t="s">
        <v>1546</v>
      </c>
      <c r="E592" s="229" t="s">
        <v>363</v>
      </c>
      <c r="F592" s="240">
        <v>300</v>
      </c>
      <c r="G592" s="196">
        <v>1</v>
      </c>
      <c r="H592" s="195">
        <v>300</v>
      </c>
      <c r="I592" s="197">
        <v>41308</v>
      </c>
      <c r="J592" s="197" t="str">
        <f t="shared" si="30"/>
        <v>ok</v>
      </c>
      <c r="K592" s="413"/>
      <c r="L592" s="413"/>
      <c r="M592" s="413"/>
      <c r="N592" s="413"/>
      <c r="O592" s="413"/>
      <c r="P592" s="413"/>
      <c r="Q592" s="413"/>
      <c r="R592" s="413"/>
      <c r="S592" s="413"/>
      <c r="T592" s="413"/>
      <c r="U592" s="413"/>
      <c r="V592" s="413"/>
      <c r="W592" s="413">
        <f t="shared" si="28"/>
        <v>0</v>
      </c>
      <c r="X592" s="412"/>
      <c r="Y592" s="412">
        <v>300</v>
      </c>
      <c r="Z592" s="412"/>
      <c r="AA592" s="412"/>
      <c r="AB592" s="412"/>
      <c r="AC592" s="412"/>
      <c r="AD592" s="412"/>
      <c r="AE592" s="412"/>
      <c r="AF592" s="412"/>
      <c r="AG592" s="412"/>
      <c r="AH592" s="412"/>
      <c r="AI592" s="412"/>
      <c r="AJ592" s="412">
        <f t="shared" si="29"/>
        <v>300</v>
      </c>
      <c r="AK592" s="198"/>
      <c r="AL592" s="250" t="s">
        <v>2067</v>
      </c>
    </row>
    <row r="593" spans="1:38" ht="14.1" customHeight="1" x14ac:dyDescent="0.2">
      <c r="A593" t="s">
        <v>893</v>
      </c>
      <c r="B593" s="193">
        <v>4244</v>
      </c>
      <c r="C593" s="194" t="s">
        <v>1124</v>
      </c>
      <c r="D593" s="229" t="s">
        <v>1364</v>
      </c>
      <c r="E593" s="229" t="s">
        <v>284</v>
      </c>
      <c r="F593" s="240">
        <v>300</v>
      </c>
      <c r="G593" s="196">
        <v>1</v>
      </c>
      <c r="H593" s="195">
        <v>300</v>
      </c>
      <c r="I593" s="197">
        <v>41308</v>
      </c>
      <c r="J593" s="197" t="str">
        <f t="shared" si="30"/>
        <v>ok</v>
      </c>
      <c r="K593" s="413"/>
      <c r="L593" s="413"/>
      <c r="M593" s="413"/>
      <c r="N593" s="413"/>
      <c r="O593" s="413"/>
      <c r="P593" s="413"/>
      <c r="Q593" s="413"/>
      <c r="R593" s="413"/>
      <c r="S593" s="413"/>
      <c r="T593" s="413"/>
      <c r="U593" s="413"/>
      <c r="V593" s="413"/>
      <c r="W593" s="413">
        <f t="shared" si="28"/>
        <v>0</v>
      </c>
      <c r="X593" s="412"/>
      <c r="Y593" s="412">
        <v>300</v>
      </c>
      <c r="Z593" s="412"/>
      <c r="AA593" s="412"/>
      <c r="AB593" s="412"/>
      <c r="AC593" s="412"/>
      <c r="AD593" s="412"/>
      <c r="AE593" s="412"/>
      <c r="AF593" s="412"/>
      <c r="AG593" s="412"/>
      <c r="AH593" s="412"/>
      <c r="AI593" s="412"/>
      <c r="AJ593" s="412">
        <f t="shared" si="29"/>
        <v>300</v>
      </c>
      <c r="AK593" s="198"/>
      <c r="AL593" s="250" t="s">
        <v>2067</v>
      </c>
    </row>
    <row r="594" spans="1:38" ht="14.1" customHeight="1" x14ac:dyDescent="0.2">
      <c r="A594" t="s">
        <v>884</v>
      </c>
      <c r="B594" s="193">
        <v>4245</v>
      </c>
      <c r="C594" s="194" t="s">
        <v>868</v>
      </c>
      <c r="D594" s="229" t="s">
        <v>1585</v>
      </c>
      <c r="E594" s="229" t="s">
        <v>119</v>
      </c>
      <c r="F594" s="240">
        <v>300</v>
      </c>
      <c r="G594" s="196">
        <v>1</v>
      </c>
      <c r="H594" s="195">
        <v>1800</v>
      </c>
      <c r="I594" s="197">
        <v>41309</v>
      </c>
      <c r="J594" s="197" t="str">
        <f t="shared" si="30"/>
        <v>ok</v>
      </c>
      <c r="K594" s="413"/>
      <c r="L594" s="413"/>
      <c r="M594" s="413"/>
      <c r="N594" s="413"/>
      <c r="O594" s="413"/>
      <c r="P594" s="413"/>
      <c r="Q594" s="413"/>
      <c r="R594" s="413"/>
      <c r="S594" s="413"/>
      <c r="T594" s="413"/>
      <c r="U594" s="413"/>
      <c r="V594" s="413"/>
      <c r="W594" s="413">
        <f t="shared" si="28"/>
        <v>0</v>
      </c>
      <c r="X594" s="412">
        <v>300</v>
      </c>
      <c r="Y594" s="412">
        <v>300</v>
      </c>
      <c r="Z594" s="412">
        <v>300</v>
      </c>
      <c r="AA594" s="412">
        <v>300</v>
      </c>
      <c r="AB594" s="412">
        <v>300</v>
      </c>
      <c r="AC594" s="412">
        <v>300</v>
      </c>
      <c r="AD594" s="412"/>
      <c r="AE594" s="412"/>
      <c r="AF594" s="412"/>
      <c r="AG594" s="412"/>
      <c r="AH594" s="412"/>
      <c r="AI594" s="412"/>
      <c r="AJ594" s="412">
        <f t="shared" si="29"/>
        <v>1800</v>
      </c>
      <c r="AK594" s="198"/>
      <c r="AL594" s="250" t="s">
        <v>2067</v>
      </c>
    </row>
    <row r="595" spans="1:38" ht="14.1" customHeight="1" x14ac:dyDescent="0.2">
      <c r="A595" t="s">
        <v>894</v>
      </c>
      <c r="B595" s="193">
        <v>4246</v>
      </c>
      <c r="C595" s="194" t="s">
        <v>1152</v>
      </c>
      <c r="D595" s="229" t="s">
        <v>1586</v>
      </c>
      <c r="E595" s="229" t="s">
        <v>590</v>
      </c>
      <c r="F595" s="240">
        <v>300</v>
      </c>
      <c r="G595" s="196">
        <v>1</v>
      </c>
      <c r="H595" s="195">
        <v>1200</v>
      </c>
      <c r="I595" s="197">
        <v>41310</v>
      </c>
      <c r="J595" s="197" t="str">
        <f t="shared" si="30"/>
        <v>ok</v>
      </c>
      <c r="K595" s="413"/>
      <c r="L595" s="413"/>
      <c r="M595" s="413"/>
      <c r="N595" s="413"/>
      <c r="O595" s="413"/>
      <c r="P595" s="413"/>
      <c r="Q595" s="413"/>
      <c r="R595" s="413"/>
      <c r="S595" s="413"/>
      <c r="T595" s="413"/>
      <c r="U595" s="413"/>
      <c r="V595" s="413"/>
      <c r="W595" s="413">
        <f t="shared" si="28"/>
        <v>0</v>
      </c>
      <c r="X595" s="412"/>
      <c r="Y595" s="412">
        <v>300</v>
      </c>
      <c r="Z595" s="412">
        <v>300</v>
      </c>
      <c r="AA595" s="412">
        <v>300</v>
      </c>
      <c r="AB595" s="412">
        <v>300</v>
      </c>
      <c r="AC595" s="412"/>
      <c r="AD595" s="412"/>
      <c r="AE595" s="412"/>
      <c r="AF595" s="412"/>
      <c r="AG595" s="412"/>
      <c r="AH595" s="412"/>
      <c r="AI595" s="412"/>
      <c r="AJ595" s="412">
        <f t="shared" si="29"/>
        <v>1200</v>
      </c>
      <c r="AK595" s="198"/>
      <c r="AL595" s="250" t="s">
        <v>2067</v>
      </c>
    </row>
    <row r="596" spans="1:38" ht="14.1" customHeight="1" x14ac:dyDescent="0.2">
      <c r="A596" t="s">
        <v>890</v>
      </c>
      <c r="B596" s="193">
        <v>4247</v>
      </c>
      <c r="C596" s="194" t="s">
        <v>1008</v>
      </c>
      <c r="D596" s="229" t="s">
        <v>1587</v>
      </c>
      <c r="E596" s="229" t="s">
        <v>501</v>
      </c>
      <c r="F596" s="240">
        <v>250</v>
      </c>
      <c r="G596" s="196">
        <v>1</v>
      </c>
      <c r="H596" s="195">
        <v>500</v>
      </c>
      <c r="I596" s="197">
        <v>41311</v>
      </c>
      <c r="J596" s="197" t="str">
        <f t="shared" si="30"/>
        <v>ok</v>
      </c>
      <c r="K596" s="413"/>
      <c r="L596" s="413"/>
      <c r="M596" s="413"/>
      <c r="N596" s="413"/>
      <c r="O596" s="413"/>
      <c r="P596" s="413"/>
      <c r="Q596" s="413"/>
      <c r="R596" s="413"/>
      <c r="S596" s="413"/>
      <c r="T596" s="413"/>
      <c r="U596" s="413"/>
      <c r="V596" s="413"/>
      <c r="W596" s="413">
        <f t="shared" si="28"/>
        <v>0</v>
      </c>
      <c r="X596" s="412">
        <v>250</v>
      </c>
      <c r="Y596" s="412">
        <v>250</v>
      </c>
      <c r="Z596" s="412"/>
      <c r="AA596" s="412"/>
      <c r="AB596" s="412"/>
      <c r="AC596" s="412"/>
      <c r="AD596" s="412"/>
      <c r="AE596" s="412"/>
      <c r="AF596" s="412"/>
      <c r="AG596" s="412"/>
      <c r="AH596" s="412"/>
      <c r="AI596" s="412"/>
      <c r="AJ596" s="412">
        <f t="shared" si="29"/>
        <v>500</v>
      </c>
      <c r="AK596" s="198"/>
      <c r="AL596" s="250" t="s">
        <v>2067</v>
      </c>
    </row>
    <row r="597" spans="1:38" ht="14.1" customHeight="1" x14ac:dyDescent="0.2">
      <c r="A597" t="s">
        <v>890</v>
      </c>
      <c r="B597" s="193">
        <v>4247</v>
      </c>
      <c r="C597" s="194" t="s">
        <v>1008</v>
      </c>
      <c r="D597" s="229" t="s">
        <v>1587</v>
      </c>
      <c r="E597" s="229" t="s">
        <v>501</v>
      </c>
      <c r="F597" s="240">
        <v>250</v>
      </c>
      <c r="G597" s="196">
        <v>3</v>
      </c>
      <c r="H597" s="195">
        <v>150</v>
      </c>
      <c r="I597" s="197">
        <v>41311</v>
      </c>
      <c r="J597" s="197" t="str">
        <f t="shared" si="30"/>
        <v>ok</v>
      </c>
      <c r="K597" s="413"/>
      <c r="L597" s="413"/>
      <c r="M597" s="413"/>
      <c r="N597" s="413"/>
      <c r="O597" s="413"/>
      <c r="P597" s="413"/>
      <c r="Q597" s="413"/>
      <c r="R597" s="413"/>
      <c r="S597" s="413"/>
      <c r="T597" s="413"/>
      <c r="U597" s="413"/>
      <c r="V597" s="413"/>
      <c r="W597" s="413">
        <f t="shared" si="28"/>
        <v>0</v>
      </c>
      <c r="X597" s="412"/>
      <c r="Y597" s="412"/>
      <c r="Z597" s="412"/>
      <c r="AA597" s="412"/>
      <c r="AB597" s="412"/>
      <c r="AC597" s="412"/>
      <c r="AD597" s="412"/>
      <c r="AE597" s="412"/>
      <c r="AF597" s="412"/>
      <c r="AG597" s="412"/>
      <c r="AH597" s="412"/>
      <c r="AI597" s="412"/>
      <c r="AJ597" s="412">
        <f t="shared" si="29"/>
        <v>0</v>
      </c>
      <c r="AK597" s="198"/>
      <c r="AL597" s="250" t="s">
        <v>2068</v>
      </c>
    </row>
    <row r="598" spans="1:38" ht="14.1" customHeight="1" x14ac:dyDescent="0.2">
      <c r="A598" t="s">
        <v>889</v>
      </c>
      <c r="B598" s="193">
        <v>4248</v>
      </c>
      <c r="C598" s="194" t="s">
        <v>970</v>
      </c>
      <c r="D598" s="229" t="s">
        <v>1444</v>
      </c>
      <c r="E598" s="229" t="s">
        <v>1247</v>
      </c>
      <c r="F598" s="240">
        <v>300</v>
      </c>
      <c r="G598" s="196">
        <v>1</v>
      </c>
      <c r="H598" s="195">
        <v>300</v>
      </c>
      <c r="I598" s="197">
        <v>41311</v>
      </c>
      <c r="J598" s="197" t="str">
        <f t="shared" si="30"/>
        <v>ok</v>
      </c>
      <c r="K598" s="413"/>
      <c r="L598" s="413"/>
      <c r="M598" s="413"/>
      <c r="N598" s="413"/>
      <c r="O598" s="413"/>
      <c r="P598" s="413"/>
      <c r="Q598" s="413"/>
      <c r="R598" s="413"/>
      <c r="S598" s="413"/>
      <c r="T598" s="413"/>
      <c r="U598" s="413"/>
      <c r="V598" s="413"/>
      <c r="W598" s="413">
        <f t="shared" si="28"/>
        <v>0</v>
      </c>
      <c r="X598" s="412"/>
      <c r="Y598" s="412">
        <v>300</v>
      </c>
      <c r="Z598" s="412"/>
      <c r="AA598" s="412"/>
      <c r="AB598" s="412"/>
      <c r="AC598" s="412"/>
      <c r="AD598" s="412"/>
      <c r="AE598" s="412"/>
      <c r="AF598" s="412"/>
      <c r="AG598" s="412"/>
      <c r="AH598" s="412"/>
      <c r="AI598" s="412"/>
      <c r="AJ598" s="412">
        <f t="shared" si="29"/>
        <v>300</v>
      </c>
      <c r="AK598" s="198"/>
      <c r="AL598" s="250" t="s">
        <v>2067</v>
      </c>
    </row>
    <row r="599" spans="1:38" ht="14.1" customHeight="1" x14ac:dyDescent="0.2">
      <c r="A599" t="s">
        <v>884</v>
      </c>
      <c r="B599" s="193">
        <v>4249</v>
      </c>
      <c r="C599" s="194" t="s">
        <v>872</v>
      </c>
      <c r="D599" s="229" t="s">
        <v>1501</v>
      </c>
      <c r="E599" s="229" t="s">
        <v>125</v>
      </c>
      <c r="F599" s="240">
        <v>300</v>
      </c>
      <c r="G599" s="196">
        <v>1</v>
      </c>
      <c r="H599" s="195">
        <v>300</v>
      </c>
      <c r="I599" s="197">
        <v>41311</v>
      </c>
      <c r="J599" s="197" t="str">
        <f t="shared" si="30"/>
        <v>ok</v>
      </c>
      <c r="K599" s="413"/>
      <c r="L599" s="413"/>
      <c r="M599" s="413"/>
      <c r="N599" s="413"/>
      <c r="O599" s="413"/>
      <c r="P599" s="413"/>
      <c r="Q599" s="413"/>
      <c r="R599" s="413"/>
      <c r="S599" s="413"/>
      <c r="T599" s="413"/>
      <c r="U599" s="413"/>
      <c r="V599" s="413"/>
      <c r="W599" s="413">
        <f t="shared" si="28"/>
        <v>0</v>
      </c>
      <c r="X599" s="412"/>
      <c r="Y599" s="412">
        <v>300</v>
      </c>
      <c r="Z599" s="412"/>
      <c r="AA599" s="412"/>
      <c r="AB599" s="412"/>
      <c r="AC599" s="412"/>
      <c r="AD599" s="412"/>
      <c r="AE599" s="412"/>
      <c r="AF599" s="412"/>
      <c r="AG599" s="412"/>
      <c r="AH599" s="412"/>
      <c r="AI599" s="412"/>
      <c r="AJ599" s="412">
        <f t="shared" si="29"/>
        <v>300</v>
      </c>
      <c r="AK599" s="198"/>
      <c r="AL599" s="250" t="s">
        <v>2067</v>
      </c>
    </row>
    <row r="600" spans="1:38" ht="14.1" customHeight="1" x14ac:dyDescent="0.2">
      <c r="A600" t="s">
        <v>888</v>
      </c>
      <c r="B600" s="193">
        <v>4250</v>
      </c>
      <c r="C600" s="194" t="s">
        <v>786</v>
      </c>
      <c r="D600" s="229" t="s">
        <v>1588</v>
      </c>
      <c r="E600" s="229" t="s">
        <v>718</v>
      </c>
      <c r="F600" s="240">
        <v>300</v>
      </c>
      <c r="G600" s="196">
        <v>1</v>
      </c>
      <c r="H600" s="195">
        <v>1200</v>
      </c>
      <c r="I600" s="197">
        <v>41311</v>
      </c>
      <c r="J600" s="197" t="str">
        <f t="shared" si="30"/>
        <v>ok</v>
      </c>
      <c r="K600" s="413"/>
      <c r="L600" s="413"/>
      <c r="M600" s="413"/>
      <c r="N600" s="413"/>
      <c r="O600" s="413"/>
      <c r="P600" s="413"/>
      <c r="Q600" s="413"/>
      <c r="R600" s="413"/>
      <c r="S600" s="413"/>
      <c r="T600" s="413"/>
      <c r="U600" s="413">
        <v>300</v>
      </c>
      <c r="V600" s="413">
        <v>300</v>
      </c>
      <c r="W600" s="413">
        <f t="shared" si="28"/>
        <v>600</v>
      </c>
      <c r="X600" s="412">
        <v>300</v>
      </c>
      <c r="Y600" s="412">
        <v>300</v>
      </c>
      <c r="Z600" s="412"/>
      <c r="AA600" s="412"/>
      <c r="AB600" s="412"/>
      <c r="AC600" s="412"/>
      <c r="AD600" s="412"/>
      <c r="AE600" s="412"/>
      <c r="AF600" s="412"/>
      <c r="AG600" s="412"/>
      <c r="AH600" s="412"/>
      <c r="AI600" s="412"/>
      <c r="AJ600" s="412">
        <f t="shared" si="29"/>
        <v>600</v>
      </c>
      <c r="AK600" s="198" t="s">
        <v>1259</v>
      </c>
      <c r="AL600" s="250" t="s">
        <v>2067</v>
      </c>
    </row>
    <row r="601" spans="1:38" ht="14.1" customHeight="1" x14ac:dyDescent="0.2">
      <c r="A601" t="s">
        <v>884</v>
      </c>
      <c r="B601" s="193">
        <v>4251</v>
      </c>
      <c r="C601" s="194" t="s">
        <v>862</v>
      </c>
      <c r="D601" s="229" t="s">
        <v>1589</v>
      </c>
      <c r="E601" s="229" t="s">
        <v>110</v>
      </c>
      <c r="F601" s="240">
        <v>300</v>
      </c>
      <c r="G601" s="196">
        <v>1</v>
      </c>
      <c r="H601" s="195">
        <v>900</v>
      </c>
      <c r="I601" s="197">
        <v>41313</v>
      </c>
      <c r="J601" s="197" t="str">
        <f t="shared" si="30"/>
        <v>ok</v>
      </c>
      <c r="K601" s="413"/>
      <c r="L601" s="413"/>
      <c r="M601" s="413"/>
      <c r="N601" s="413"/>
      <c r="O601" s="413"/>
      <c r="P601" s="413"/>
      <c r="Q601" s="413"/>
      <c r="R601" s="413"/>
      <c r="S601" s="413"/>
      <c r="T601" s="413"/>
      <c r="U601" s="413"/>
      <c r="V601" s="413"/>
      <c r="W601" s="413">
        <f t="shared" si="28"/>
        <v>0</v>
      </c>
      <c r="X601" s="412">
        <v>300</v>
      </c>
      <c r="Y601" s="412">
        <v>300</v>
      </c>
      <c r="Z601" s="412">
        <v>300</v>
      </c>
      <c r="AA601" s="412"/>
      <c r="AB601" s="412"/>
      <c r="AC601" s="412"/>
      <c r="AD601" s="412"/>
      <c r="AE601" s="412"/>
      <c r="AF601" s="412"/>
      <c r="AG601" s="412"/>
      <c r="AH601" s="412"/>
      <c r="AI601" s="412"/>
      <c r="AJ601" s="412">
        <f t="shared" si="29"/>
        <v>900</v>
      </c>
      <c r="AK601" s="198"/>
      <c r="AL601" s="250" t="s">
        <v>2067</v>
      </c>
    </row>
    <row r="602" spans="1:38" ht="14.1" customHeight="1" x14ac:dyDescent="0.2">
      <c r="A602" t="s">
        <v>884</v>
      </c>
      <c r="B602" s="193">
        <v>4252</v>
      </c>
      <c r="C602" s="194" t="s">
        <v>861</v>
      </c>
      <c r="D602" s="229" t="s">
        <v>1446</v>
      </c>
      <c r="E602" s="229" t="s">
        <v>1208</v>
      </c>
      <c r="F602" s="240">
        <v>150</v>
      </c>
      <c r="G602" s="196">
        <v>1</v>
      </c>
      <c r="H602" s="195">
        <v>150</v>
      </c>
      <c r="I602" s="197">
        <v>41313</v>
      </c>
      <c r="J602" s="197" t="str">
        <f t="shared" si="30"/>
        <v>ok</v>
      </c>
      <c r="K602" s="413"/>
      <c r="L602" s="413"/>
      <c r="M602" s="413"/>
      <c r="N602" s="413"/>
      <c r="O602" s="413"/>
      <c r="P602" s="413"/>
      <c r="Q602" s="413"/>
      <c r="R602" s="413"/>
      <c r="S602" s="413"/>
      <c r="T602" s="413"/>
      <c r="U602" s="413"/>
      <c r="V602" s="413"/>
      <c r="W602" s="413">
        <f t="shared" si="28"/>
        <v>0</v>
      </c>
      <c r="X602" s="412"/>
      <c r="Y602" s="412">
        <v>150</v>
      </c>
      <c r="Z602" s="412"/>
      <c r="AA602" s="412"/>
      <c r="AB602" s="412"/>
      <c r="AC602" s="412"/>
      <c r="AD602" s="412"/>
      <c r="AE602" s="412"/>
      <c r="AF602" s="412"/>
      <c r="AG602" s="412"/>
      <c r="AH602" s="412"/>
      <c r="AI602" s="412"/>
      <c r="AJ602" s="412">
        <f t="shared" si="29"/>
        <v>150</v>
      </c>
      <c r="AK602" s="198"/>
      <c r="AL602" s="250" t="s">
        <v>2067</v>
      </c>
    </row>
    <row r="603" spans="1:38" ht="14.1" customHeight="1" x14ac:dyDescent="0.2">
      <c r="A603" t="s">
        <v>894</v>
      </c>
      <c r="B603" s="193">
        <v>4253</v>
      </c>
      <c r="C603" s="194" t="s">
        <v>1158</v>
      </c>
      <c r="D603" s="229" t="s">
        <v>1590</v>
      </c>
      <c r="E603" s="229" t="s">
        <v>600</v>
      </c>
      <c r="F603" s="240">
        <v>300</v>
      </c>
      <c r="G603" s="196">
        <v>1</v>
      </c>
      <c r="H603" s="195">
        <v>600</v>
      </c>
      <c r="I603" s="197">
        <v>41315</v>
      </c>
      <c r="J603" s="197" t="str">
        <f t="shared" si="30"/>
        <v>ok</v>
      </c>
      <c r="K603" s="413"/>
      <c r="L603" s="413"/>
      <c r="M603" s="413"/>
      <c r="N603" s="413"/>
      <c r="O603" s="413"/>
      <c r="P603" s="413"/>
      <c r="Q603" s="413"/>
      <c r="R603" s="413"/>
      <c r="S603" s="413"/>
      <c r="T603" s="413"/>
      <c r="U603" s="413"/>
      <c r="V603" s="413"/>
      <c r="W603" s="413">
        <f t="shared" si="28"/>
        <v>0</v>
      </c>
      <c r="X603" s="412">
        <v>300</v>
      </c>
      <c r="Y603" s="412">
        <v>300</v>
      </c>
      <c r="Z603" s="412"/>
      <c r="AA603" s="412"/>
      <c r="AB603" s="412"/>
      <c r="AC603" s="412"/>
      <c r="AD603" s="412"/>
      <c r="AE603" s="412"/>
      <c r="AF603" s="412"/>
      <c r="AG603" s="412"/>
      <c r="AH603" s="412"/>
      <c r="AI603" s="412"/>
      <c r="AJ603" s="412">
        <f t="shared" si="29"/>
        <v>600</v>
      </c>
      <c r="AK603" s="198"/>
      <c r="AL603" s="250" t="s">
        <v>2067</v>
      </c>
    </row>
    <row r="604" spans="1:38" ht="14.1" customHeight="1" x14ac:dyDescent="0.2">
      <c r="A604" t="s">
        <v>890</v>
      </c>
      <c r="B604" s="193">
        <v>4254</v>
      </c>
      <c r="C604" s="194" t="s">
        <v>1032</v>
      </c>
      <c r="D604" s="229" t="s">
        <v>1476</v>
      </c>
      <c r="E604" s="229" t="s">
        <v>537</v>
      </c>
      <c r="F604" s="240">
        <v>300</v>
      </c>
      <c r="G604" s="196">
        <v>1</v>
      </c>
      <c r="H604" s="195">
        <v>300</v>
      </c>
      <c r="I604" s="197">
        <v>41315</v>
      </c>
      <c r="J604" s="197" t="str">
        <f t="shared" si="30"/>
        <v>ok</v>
      </c>
      <c r="K604" s="413"/>
      <c r="L604" s="413"/>
      <c r="M604" s="413"/>
      <c r="N604" s="413"/>
      <c r="O604" s="413"/>
      <c r="P604" s="413"/>
      <c r="Q604" s="413"/>
      <c r="R604" s="413"/>
      <c r="S604" s="413"/>
      <c r="T604" s="413"/>
      <c r="U604" s="413"/>
      <c r="V604" s="413"/>
      <c r="W604" s="413">
        <f t="shared" si="28"/>
        <v>0</v>
      </c>
      <c r="X604" s="412"/>
      <c r="Y604" s="412">
        <v>300</v>
      </c>
      <c r="Z604" s="412"/>
      <c r="AA604" s="412"/>
      <c r="AB604" s="412"/>
      <c r="AC604" s="412"/>
      <c r="AD604" s="412"/>
      <c r="AE604" s="412"/>
      <c r="AF604" s="412"/>
      <c r="AG604" s="412"/>
      <c r="AH604" s="412"/>
      <c r="AI604" s="412"/>
      <c r="AJ604" s="412">
        <f t="shared" si="29"/>
        <v>300</v>
      </c>
      <c r="AK604" s="198"/>
      <c r="AL604" s="250" t="s">
        <v>2067</v>
      </c>
    </row>
    <row r="605" spans="1:38" ht="14.1" customHeight="1" x14ac:dyDescent="0.2">
      <c r="A605" t="s">
        <v>890</v>
      </c>
      <c r="B605" s="193">
        <v>4255</v>
      </c>
      <c r="C605" s="194" t="s">
        <v>1012</v>
      </c>
      <c r="D605" s="229" t="s">
        <v>1474</v>
      </c>
      <c r="E605" s="229" t="s">
        <v>729</v>
      </c>
      <c r="F605" s="240">
        <v>300</v>
      </c>
      <c r="G605" s="196">
        <v>1</v>
      </c>
      <c r="H605" s="195">
        <v>300</v>
      </c>
      <c r="I605" s="197">
        <v>41315</v>
      </c>
      <c r="J605" s="197" t="str">
        <f t="shared" si="30"/>
        <v>ok</v>
      </c>
      <c r="K605" s="413"/>
      <c r="L605" s="413"/>
      <c r="M605" s="413"/>
      <c r="N605" s="413"/>
      <c r="O605" s="413"/>
      <c r="P605" s="413"/>
      <c r="Q605" s="413"/>
      <c r="R605" s="413"/>
      <c r="S605" s="413"/>
      <c r="T605" s="413"/>
      <c r="U605" s="413"/>
      <c r="V605" s="413"/>
      <c r="W605" s="413">
        <f t="shared" si="28"/>
        <v>0</v>
      </c>
      <c r="X605" s="412"/>
      <c r="Y605" s="412">
        <v>300</v>
      </c>
      <c r="Z605" s="412"/>
      <c r="AA605" s="412"/>
      <c r="AB605" s="412"/>
      <c r="AC605" s="412"/>
      <c r="AD605" s="412"/>
      <c r="AE605" s="412"/>
      <c r="AF605" s="412"/>
      <c r="AG605" s="412"/>
      <c r="AH605" s="412"/>
      <c r="AI605" s="412"/>
      <c r="AJ605" s="412">
        <f t="shared" si="29"/>
        <v>300</v>
      </c>
      <c r="AK605" s="198"/>
      <c r="AL605" s="250" t="s">
        <v>2067</v>
      </c>
    </row>
    <row r="606" spans="1:38" ht="14.1" customHeight="1" x14ac:dyDescent="0.2">
      <c r="A606" t="s">
        <v>888</v>
      </c>
      <c r="B606" s="193">
        <v>4256</v>
      </c>
      <c r="C606" s="194" t="s">
        <v>1336</v>
      </c>
      <c r="D606" s="229" t="s">
        <v>1381</v>
      </c>
      <c r="E606" s="229" t="s">
        <v>1306</v>
      </c>
      <c r="F606" s="240">
        <v>450</v>
      </c>
      <c r="G606" s="196">
        <v>1</v>
      </c>
      <c r="H606" s="195">
        <v>450</v>
      </c>
      <c r="I606" s="197">
        <v>41315</v>
      </c>
      <c r="J606" s="197" t="str">
        <f t="shared" si="30"/>
        <v>ok</v>
      </c>
      <c r="K606" s="413"/>
      <c r="L606" s="413"/>
      <c r="M606" s="413"/>
      <c r="N606" s="413"/>
      <c r="O606" s="413"/>
      <c r="P606" s="413"/>
      <c r="Q606" s="413"/>
      <c r="R606" s="413"/>
      <c r="S606" s="413"/>
      <c r="T606" s="413"/>
      <c r="U606" s="413"/>
      <c r="V606" s="413"/>
      <c r="W606" s="413">
        <f t="shared" si="28"/>
        <v>0</v>
      </c>
      <c r="X606" s="412">
        <v>450</v>
      </c>
      <c r="Y606" s="412"/>
      <c r="Z606" s="412"/>
      <c r="AA606" s="412"/>
      <c r="AB606" s="412"/>
      <c r="AC606" s="412"/>
      <c r="AD606" s="412"/>
      <c r="AE606" s="412"/>
      <c r="AF606" s="412"/>
      <c r="AG606" s="412"/>
      <c r="AH606" s="412"/>
      <c r="AI606" s="412"/>
      <c r="AJ606" s="412">
        <f t="shared" si="29"/>
        <v>450</v>
      </c>
      <c r="AK606" s="198"/>
      <c r="AL606" s="250" t="s">
        <v>2067</v>
      </c>
    </row>
    <row r="607" spans="1:38" ht="14.1" customHeight="1" x14ac:dyDescent="0.2">
      <c r="A607" t="s">
        <v>884</v>
      </c>
      <c r="B607" s="193">
        <v>4257</v>
      </c>
      <c r="C607" s="194" t="s">
        <v>836</v>
      </c>
      <c r="D607" s="229" t="s">
        <v>1383</v>
      </c>
      <c r="E607" s="229" t="s">
        <v>73</v>
      </c>
      <c r="F607" s="240">
        <v>300</v>
      </c>
      <c r="G607" s="196">
        <v>1</v>
      </c>
      <c r="H607" s="195">
        <v>300</v>
      </c>
      <c r="I607" s="197">
        <v>41315</v>
      </c>
      <c r="J607" s="197" t="str">
        <f t="shared" si="30"/>
        <v>ok</v>
      </c>
      <c r="K607" s="413"/>
      <c r="L607" s="413"/>
      <c r="M607" s="413"/>
      <c r="N607" s="413"/>
      <c r="O607" s="413"/>
      <c r="P607" s="413"/>
      <c r="Q607" s="413"/>
      <c r="R607" s="413"/>
      <c r="S607" s="413"/>
      <c r="T607" s="413"/>
      <c r="U607" s="413"/>
      <c r="V607" s="413"/>
      <c r="W607" s="413">
        <f t="shared" si="28"/>
        <v>0</v>
      </c>
      <c r="X607" s="412"/>
      <c r="Y607" s="412">
        <v>300</v>
      </c>
      <c r="Z607" s="412"/>
      <c r="AA607" s="412"/>
      <c r="AB607" s="412"/>
      <c r="AC607" s="412"/>
      <c r="AD607" s="412"/>
      <c r="AE607" s="412"/>
      <c r="AF607" s="412"/>
      <c r="AG607" s="412"/>
      <c r="AH607" s="412"/>
      <c r="AI607" s="412"/>
      <c r="AJ607" s="412">
        <f t="shared" si="29"/>
        <v>300</v>
      </c>
      <c r="AK607" s="198"/>
      <c r="AL607" s="250" t="s">
        <v>2067</v>
      </c>
    </row>
    <row r="608" spans="1:38" ht="14.1" customHeight="1" x14ac:dyDescent="0.2">
      <c r="A608" t="s">
        <v>892</v>
      </c>
      <c r="B608" s="193">
        <v>4258</v>
      </c>
      <c r="C608" s="194" t="s">
        <v>1066</v>
      </c>
      <c r="D608" s="229" t="s">
        <v>1591</v>
      </c>
      <c r="E608" s="229" t="s">
        <v>663</v>
      </c>
      <c r="F608" s="240">
        <v>300</v>
      </c>
      <c r="G608" s="196">
        <v>1</v>
      </c>
      <c r="H608" s="195">
        <v>600</v>
      </c>
      <c r="I608" s="197">
        <v>41315</v>
      </c>
      <c r="J608" s="197" t="str">
        <f t="shared" si="30"/>
        <v>ok</v>
      </c>
      <c r="K608" s="413"/>
      <c r="L608" s="413"/>
      <c r="M608" s="413"/>
      <c r="N608" s="413"/>
      <c r="O608" s="413"/>
      <c r="P608" s="413"/>
      <c r="Q608" s="413"/>
      <c r="R608" s="413"/>
      <c r="S608" s="413"/>
      <c r="T608" s="413"/>
      <c r="U608" s="413"/>
      <c r="V608" s="413"/>
      <c r="W608" s="413">
        <f t="shared" si="28"/>
        <v>0</v>
      </c>
      <c r="X608" s="412"/>
      <c r="Y608" s="412">
        <v>300</v>
      </c>
      <c r="Z608" s="412">
        <v>300</v>
      </c>
      <c r="AA608" s="412"/>
      <c r="AB608" s="412"/>
      <c r="AC608" s="412"/>
      <c r="AD608" s="412"/>
      <c r="AE608" s="412"/>
      <c r="AF608" s="412"/>
      <c r="AG608" s="412"/>
      <c r="AH608" s="412"/>
      <c r="AI608" s="412"/>
      <c r="AJ608" s="412">
        <f t="shared" si="29"/>
        <v>600</v>
      </c>
      <c r="AK608" s="198"/>
      <c r="AL608" s="250" t="s">
        <v>2067</v>
      </c>
    </row>
    <row r="609" spans="1:38" ht="14.1" customHeight="1" x14ac:dyDescent="0.2">
      <c r="A609" t="s">
        <v>884</v>
      </c>
      <c r="B609" s="193">
        <v>4259</v>
      </c>
      <c r="C609" s="194" t="s">
        <v>867</v>
      </c>
      <c r="D609" s="229" t="s">
        <v>1513</v>
      </c>
      <c r="E609" s="229" t="s">
        <v>118</v>
      </c>
      <c r="F609" s="240">
        <v>300</v>
      </c>
      <c r="G609" s="196">
        <v>1</v>
      </c>
      <c r="H609" s="195">
        <v>300</v>
      </c>
      <c r="I609" s="197">
        <v>41315</v>
      </c>
      <c r="J609" s="197" t="str">
        <f t="shared" si="30"/>
        <v>ok</v>
      </c>
      <c r="K609" s="413"/>
      <c r="L609" s="413"/>
      <c r="M609" s="413"/>
      <c r="N609" s="413"/>
      <c r="O609" s="413"/>
      <c r="P609" s="413"/>
      <c r="Q609" s="413"/>
      <c r="R609" s="413"/>
      <c r="S609" s="413"/>
      <c r="T609" s="413"/>
      <c r="U609" s="413"/>
      <c r="V609" s="413"/>
      <c r="W609" s="413">
        <f t="shared" si="28"/>
        <v>0</v>
      </c>
      <c r="X609" s="412"/>
      <c r="Y609" s="412">
        <v>300</v>
      </c>
      <c r="Z609" s="412"/>
      <c r="AA609" s="412"/>
      <c r="AB609" s="412"/>
      <c r="AC609" s="412"/>
      <c r="AD609" s="412"/>
      <c r="AE609" s="412"/>
      <c r="AF609" s="412"/>
      <c r="AG609" s="412"/>
      <c r="AH609" s="412"/>
      <c r="AI609" s="412"/>
      <c r="AJ609" s="412">
        <f t="shared" si="29"/>
        <v>300</v>
      </c>
      <c r="AK609" s="198"/>
      <c r="AL609" s="250" t="s">
        <v>2067</v>
      </c>
    </row>
    <row r="610" spans="1:38" ht="14.1" customHeight="1" x14ac:dyDescent="0.2">
      <c r="A610" t="s">
        <v>888</v>
      </c>
      <c r="B610" s="193">
        <v>4260</v>
      </c>
      <c r="C610" s="194" t="s">
        <v>945</v>
      </c>
      <c r="D610" s="229" t="s">
        <v>1379</v>
      </c>
      <c r="E610" s="229" t="s">
        <v>407</v>
      </c>
      <c r="F610" s="240">
        <v>300</v>
      </c>
      <c r="G610" s="196">
        <v>5</v>
      </c>
      <c r="H610" s="195">
        <v>20</v>
      </c>
      <c r="I610" s="197">
        <v>41315</v>
      </c>
      <c r="J610" s="197" t="str">
        <f t="shared" si="30"/>
        <v>ok</v>
      </c>
      <c r="K610" s="413"/>
      <c r="L610" s="413"/>
      <c r="M610" s="413"/>
      <c r="N610" s="413"/>
      <c r="O610" s="413"/>
      <c r="P610" s="413"/>
      <c r="Q610" s="413"/>
      <c r="R610" s="413"/>
      <c r="S610" s="413"/>
      <c r="T610" s="413"/>
      <c r="U610" s="413"/>
      <c r="V610" s="413"/>
      <c r="W610" s="413">
        <f t="shared" si="28"/>
        <v>0</v>
      </c>
      <c r="X610" s="412"/>
      <c r="Y610" s="412"/>
      <c r="Z610" s="412"/>
      <c r="AA610" s="412"/>
      <c r="AB610" s="412"/>
      <c r="AC610" s="412"/>
      <c r="AD610" s="412"/>
      <c r="AE610" s="412"/>
      <c r="AF610" s="412"/>
      <c r="AG610" s="412"/>
      <c r="AH610" s="412"/>
      <c r="AI610" s="412"/>
      <c r="AJ610" s="412">
        <f t="shared" si="29"/>
        <v>0</v>
      </c>
      <c r="AK610" s="198"/>
      <c r="AL610" s="250" t="s">
        <v>2068</v>
      </c>
    </row>
    <row r="611" spans="1:38" ht="14.1" customHeight="1" x14ac:dyDescent="0.2">
      <c r="A611" t="s">
        <v>888</v>
      </c>
      <c r="B611" s="193">
        <v>4260</v>
      </c>
      <c r="C611" s="194" t="s">
        <v>945</v>
      </c>
      <c r="D611" s="229" t="s">
        <v>1379</v>
      </c>
      <c r="E611" s="229" t="s">
        <v>407</v>
      </c>
      <c r="F611" s="240">
        <v>300</v>
      </c>
      <c r="G611" s="196">
        <v>4</v>
      </c>
      <c r="H611" s="195">
        <v>160</v>
      </c>
      <c r="I611" s="197">
        <v>41315</v>
      </c>
      <c r="J611" s="197" t="str">
        <f t="shared" si="30"/>
        <v>ok</v>
      </c>
      <c r="K611" s="413"/>
      <c r="L611" s="413"/>
      <c r="M611" s="413"/>
      <c r="N611" s="413"/>
      <c r="O611" s="413"/>
      <c r="P611" s="413"/>
      <c r="Q611" s="413"/>
      <c r="R611" s="413"/>
      <c r="S611" s="413"/>
      <c r="T611" s="413"/>
      <c r="U611" s="413"/>
      <c r="V611" s="413"/>
      <c r="W611" s="413">
        <f t="shared" si="28"/>
        <v>0</v>
      </c>
      <c r="X611" s="412"/>
      <c r="Y611" s="412"/>
      <c r="Z611" s="412"/>
      <c r="AA611" s="412"/>
      <c r="AB611" s="412"/>
      <c r="AC611" s="412"/>
      <c r="AD611" s="412"/>
      <c r="AE611" s="412"/>
      <c r="AF611" s="412"/>
      <c r="AG611" s="412"/>
      <c r="AH611" s="412"/>
      <c r="AI611" s="412"/>
      <c r="AJ611" s="412">
        <f t="shared" si="29"/>
        <v>0</v>
      </c>
      <c r="AK611" s="198"/>
      <c r="AL611" s="250" t="s">
        <v>2068</v>
      </c>
    </row>
    <row r="612" spans="1:38" ht="14.1" customHeight="1" x14ac:dyDescent="0.2">
      <c r="B612" s="193">
        <v>4261</v>
      </c>
      <c r="C612" s="194"/>
      <c r="D612" s="229" t="s">
        <v>1362</v>
      </c>
      <c r="E612" s="229" t="s">
        <v>1362</v>
      </c>
      <c r="F612" s="240" t="s">
        <v>1362</v>
      </c>
      <c r="G612" s="196">
        <v>8</v>
      </c>
      <c r="H612" s="195"/>
      <c r="I612" s="197"/>
      <c r="J612" s="197" t="str">
        <f t="shared" si="30"/>
        <v>ok</v>
      </c>
      <c r="K612" s="413"/>
      <c r="L612" s="413"/>
      <c r="M612" s="413"/>
      <c r="N612" s="413"/>
      <c r="O612" s="413"/>
      <c r="P612" s="413"/>
      <c r="Q612" s="413"/>
      <c r="R612" s="413"/>
      <c r="S612" s="413"/>
      <c r="T612" s="413"/>
      <c r="U612" s="413"/>
      <c r="V612" s="413"/>
      <c r="W612" s="413">
        <f t="shared" si="28"/>
        <v>0</v>
      </c>
      <c r="X612" s="412"/>
      <c r="Y612" s="412"/>
      <c r="Z612" s="412"/>
      <c r="AA612" s="412"/>
      <c r="AB612" s="412"/>
      <c r="AC612" s="412"/>
      <c r="AD612" s="412"/>
      <c r="AE612" s="412"/>
      <c r="AF612" s="412"/>
      <c r="AG612" s="412"/>
      <c r="AH612" s="412"/>
      <c r="AI612" s="412"/>
      <c r="AJ612" s="412">
        <f t="shared" si="29"/>
        <v>0</v>
      </c>
      <c r="AK612" s="198" t="s">
        <v>1260</v>
      </c>
      <c r="AL612" s="250" t="s">
        <v>2067</v>
      </c>
    </row>
    <row r="613" spans="1:38" ht="14.1" customHeight="1" x14ac:dyDescent="0.2">
      <c r="A613" t="s">
        <v>893</v>
      </c>
      <c r="B613" s="193">
        <v>4262</v>
      </c>
      <c r="C613" s="194" t="s">
        <v>777</v>
      </c>
      <c r="D613" s="229" t="s">
        <v>1387</v>
      </c>
      <c r="E613" s="229" t="s">
        <v>714</v>
      </c>
      <c r="F613" s="240">
        <v>300</v>
      </c>
      <c r="G613" s="196">
        <v>4</v>
      </c>
      <c r="H613" s="195">
        <v>160</v>
      </c>
      <c r="I613" s="197">
        <v>41315</v>
      </c>
      <c r="J613" s="197" t="str">
        <f t="shared" si="30"/>
        <v>ok</v>
      </c>
      <c r="K613" s="413"/>
      <c r="L613" s="413"/>
      <c r="M613" s="413"/>
      <c r="N613" s="413"/>
      <c r="O613" s="413"/>
      <c r="P613" s="413"/>
      <c r="Q613" s="413"/>
      <c r="R613" s="413"/>
      <c r="S613" s="413"/>
      <c r="T613" s="413"/>
      <c r="U613" s="413"/>
      <c r="V613" s="413"/>
      <c r="W613" s="413">
        <f t="shared" si="28"/>
        <v>0</v>
      </c>
      <c r="X613" s="412"/>
      <c r="Y613" s="412"/>
      <c r="Z613" s="412"/>
      <c r="AA613" s="412"/>
      <c r="AB613" s="412"/>
      <c r="AC613" s="412"/>
      <c r="AD613" s="412"/>
      <c r="AE613" s="412"/>
      <c r="AF613" s="412"/>
      <c r="AG613" s="412"/>
      <c r="AH613" s="412"/>
      <c r="AI613" s="412"/>
      <c r="AJ613" s="412">
        <f t="shared" si="29"/>
        <v>0</v>
      </c>
      <c r="AK613" s="198"/>
      <c r="AL613" s="250" t="s">
        <v>2068</v>
      </c>
    </row>
    <row r="614" spans="1:38" ht="14.1" customHeight="1" x14ac:dyDescent="0.2">
      <c r="A614" t="s">
        <v>893</v>
      </c>
      <c r="B614" s="193">
        <v>4262</v>
      </c>
      <c r="C614" s="194" t="s">
        <v>777</v>
      </c>
      <c r="D614" s="229" t="s">
        <v>1387</v>
      </c>
      <c r="E614" s="229" t="s">
        <v>714</v>
      </c>
      <c r="F614" s="240">
        <v>300</v>
      </c>
      <c r="G614" s="196">
        <v>5</v>
      </c>
      <c r="H614" s="195">
        <v>60</v>
      </c>
      <c r="I614" s="197">
        <v>41315</v>
      </c>
      <c r="J614" s="197" t="str">
        <f t="shared" si="30"/>
        <v>ok</v>
      </c>
      <c r="K614" s="413"/>
      <c r="L614" s="413"/>
      <c r="M614" s="413"/>
      <c r="N614" s="413"/>
      <c r="O614" s="413"/>
      <c r="P614" s="413"/>
      <c r="Q614" s="413"/>
      <c r="R614" s="413"/>
      <c r="S614" s="413"/>
      <c r="T614" s="413"/>
      <c r="U614" s="413"/>
      <c r="V614" s="413"/>
      <c r="W614" s="413">
        <f t="shared" si="28"/>
        <v>0</v>
      </c>
      <c r="X614" s="412"/>
      <c r="Y614" s="412"/>
      <c r="Z614" s="412"/>
      <c r="AA614" s="412"/>
      <c r="AB614" s="412"/>
      <c r="AC614" s="412"/>
      <c r="AD614" s="412"/>
      <c r="AE614" s="412"/>
      <c r="AF614" s="412"/>
      <c r="AG614" s="412"/>
      <c r="AH614" s="412"/>
      <c r="AI614" s="412"/>
      <c r="AJ614" s="412">
        <f t="shared" si="29"/>
        <v>0</v>
      </c>
      <c r="AK614" s="198"/>
      <c r="AL614" s="250" t="s">
        <v>2068</v>
      </c>
    </row>
    <row r="615" spans="1:38" ht="14.1" customHeight="1" x14ac:dyDescent="0.2">
      <c r="A615" t="s">
        <v>893</v>
      </c>
      <c r="B615" s="193">
        <v>4263</v>
      </c>
      <c r="C615" s="194" t="s">
        <v>777</v>
      </c>
      <c r="D615" s="229" t="s">
        <v>1387</v>
      </c>
      <c r="E615" s="229" t="s">
        <v>714</v>
      </c>
      <c r="F615" s="240">
        <v>300</v>
      </c>
      <c r="G615" s="196">
        <v>1</v>
      </c>
      <c r="H615" s="195">
        <v>300</v>
      </c>
      <c r="I615" s="197">
        <v>41315</v>
      </c>
      <c r="J615" s="197" t="str">
        <f t="shared" si="30"/>
        <v>ok</v>
      </c>
      <c r="K615" s="413"/>
      <c r="L615" s="413"/>
      <c r="M615" s="413"/>
      <c r="N615" s="413"/>
      <c r="O615" s="413"/>
      <c r="P615" s="413"/>
      <c r="Q615" s="413"/>
      <c r="R615" s="413"/>
      <c r="S615" s="413"/>
      <c r="T615" s="413"/>
      <c r="U615" s="413"/>
      <c r="V615" s="413"/>
      <c r="W615" s="413">
        <f t="shared" si="28"/>
        <v>0</v>
      </c>
      <c r="X615" s="412"/>
      <c r="Y615" s="412">
        <v>300</v>
      </c>
      <c r="Z615" s="412"/>
      <c r="AA615" s="412"/>
      <c r="AB615" s="412"/>
      <c r="AC615" s="412"/>
      <c r="AD615" s="412"/>
      <c r="AE615" s="412"/>
      <c r="AF615" s="412"/>
      <c r="AG615" s="412"/>
      <c r="AH615" s="412"/>
      <c r="AI615" s="412"/>
      <c r="AJ615" s="412">
        <f t="shared" si="29"/>
        <v>300</v>
      </c>
      <c r="AK615" s="198"/>
      <c r="AL615" s="250" t="s">
        <v>2067</v>
      </c>
    </row>
    <row r="616" spans="1:38" ht="14.1" customHeight="1" x14ac:dyDescent="0.2">
      <c r="A616" t="s">
        <v>890</v>
      </c>
      <c r="B616" s="193">
        <v>4264</v>
      </c>
      <c r="C616" s="194" t="s">
        <v>986</v>
      </c>
      <c r="D616" s="229" t="s">
        <v>1483</v>
      </c>
      <c r="E616" s="229" t="s">
        <v>473</v>
      </c>
      <c r="F616" s="240">
        <v>250</v>
      </c>
      <c r="G616" s="196">
        <v>1</v>
      </c>
      <c r="H616" s="195">
        <v>250</v>
      </c>
      <c r="I616" s="197">
        <v>41315</v>
      </c>
      <c r="J616" s="197" t="str">
        <f t="shared" si="30"/>
        <v>ok</v>
      </c>
      <c r="K616" s="413"/>
      <c r="L616" s="413"/>
      <c r="M616" s="413"/>
      <c r="N616" s="413"/>
      <c r="O616" s="413"/>
      <c r="P616" s="413"/>
      <c r="Q616" s="413"/>
      <c r="R616" s="413"/>
      <c r="S616" s="413"/>
      <c r="T616" s="413"/>
      <c r="U616" s="413"/>
      <c r="V616" s="413"/>
      <c r="W616" s="413">
        <f t="shared" si="28"/>
        <v>0</v>
      </c>
      <c r="X616" s="412"/>
      <c r="Y616" s="412">
        <v>250</v>
      </c>
      <c r="Z616" s="412"/>
      <c r="AA616" s="412"/>
      <c r="AB616" s="412"/>
      <c r="AC616" s="412"/>
      <c r="AD616" s="412"/>
      <c r="AE616" s="412"/>
      <c r="AF616" s="412"/>
      <c r="AG616" s="412"/>
      <c r="AH616" s="412"/>
      <c r="AI616" s="412"/>
      <c r="AJ616" s="412">
        <f t="shared" si="29"/>
        <v>250</v>
      </c>
      <c r="AK616" s="198"/>
      <c r="AL616" s="250" t="s">
        <v>2067</v>
      </c>
    </row>
    <row r="617" spans="1:38" ht="14.1" customHeight="1" x14ac:dyDescent="0.2">
      <c r="B617" s="193">
        <v>4265</v>
      </c>
      <c r="C617" s="194"/>
      <c r="D617" s="229" t="s">
        <v>1362</v>
      </c>
      <c r="E617" s="229" t="s">
        <v>1362</v>
      </c>
      <c r="F617" s="240" t="s">
        <v>1362</v>
      </c>
      <c r="G617" s="196">
        <v>8</v>
      </c>
      <c r="H617" s="195"/>
      <c r="I617" s="197"/>
      <c r="J617" s="197" t="str">
        <f t="shared" si="30"/>
        <v>ok</v>
      </c>
      <c r="K617" s="413"/>
      <c r="L617" s="413"/>
      <c r="M617" s="413"/>
      <c r="N617" s="413"/>
      <c r="O617" s="413"/>
      <c r="P617" s="413"/>
      <c r="Q617" s="413"/>
      <c r="R617" s="413"/>
      <c r="S617" s="413"/>
      <c r="T617" s="413"/>
      <c r="U617" s="413"/>
      <c r="V617" s="413"/>
      <c r="W617" s="413">
        <f t="shared" si="28"/>
        <v>0</v>
      </c>
      <c r="X617" s="412"/>
      <c r="Y617" s="412"/>
      <c r="Z617" s="412"/>
      <c r="AA617" s="412"/>
      <c r="AB617" s="412"/>
      <c r="AC617" s="412"/>
      <c r="AD617" s="412"/>
      <c r="AE617" s="412"/>
      <c r="AF617" s="412"/>
      <c r="AG617" s="412"/>
      <c r="AH617" s="412"/>
      <c r="AI617" s="412"/>
      <c r="AJ617" s="412">
        <f t="shared" si="29"/>
        <v>0</v>
      </c>
      <c r="AK617" s="198" t="s">
        <v>1260</v>
      </c>
      <c r="AL617" s="250" t="s">
        <v>2067</v>
      </c>
    </row>
    <row r="618" spans="1:38" ht="14.1" customHeight="1" x14ac:dyDescent="0.2">
      <c r="A618" t="s">
        <v>894</v>
      </c>
      <c r="B618" s="193">
        <v>4266</v>
      </c>
      <c r="C618" s="194" t="s">
        <v>1176</v>
      </c>
      <c r="D618" s="229" t="s">
        <v>1414</v>
      </c>
      <c r="E618" s="229" t="s">
        <v>634</v>
      </c>
      <c r="F618" s="240">
        <v>250</v>
      </c>
      <c r="G618" s="196">
        <v>1</v>
      </c>
      <c r="H618" s="195">
        <v>250</v>
      </c>
      <c r="I618" s="197">
        <v>41315</v>
      </c>
      <c r="J618" s="197" t="str">
        <f t="shared" si="30"/>
        <v>ok</v>
      </c>
      <c r="K618" s="413"/>
      <c r="L618" s="413"/>
      <c r="M618" s="413"/>
      <c r="N618" s="413"/>
      <c r="O618" s="413"/>
      <c r="P618" s="413"/>
      <c r="Q618" s="413"/>
      <c r="R618" s="413"/>
      <c r="S618" s="413"/>
      <c r="T618" s="413"/>
      <c r="U618" s="413"/>
      <c r="V618" s="413"/>
      <c r="W618" s="413">
        <f t="shared" si="28"/>
        <v>0</v>
      </c>
      <c r="X618" s="412"/>
      <c r="Y618" s="412">
        <v>250</v>
      </c>
      <c r="Z618" s="412"/>
      <c r="AA618" s="412"/>
      <c r="AB618" s="412"/>
      <c r="AC618" s="412"/>
      <c r="AD618" s="412"/>
      <c r="AE618" s="412"/>
      <c r="AF618" s="412"/>
      <c r="AG618" s="412"/>
      <c r="AH618" s="412"/>
      <c r="AI618" s="412"/>
      <c r="AJ618" s="412">
        <f t="shared" si="29"/>
        <v>250</v>
      </c>
      <c r="AK618" s="198"/>
      <c r="AL618" s="250" t="s">
        <v>2067</v>
      </c>
    </row>
    <row r="619" spans="1:38" ht="14.1" customHeight="1" x14ac:dyDescent="0.2">
      <c r="A619" t="s">
        <v>894</v>
      </c>
      <c r="B619" s="193">
        <v>4266</v>
      </c>
      <c r="C619" s="194" t="s">
        <v>1176</v>
      </c>
      <c r="D619" s="229" t="s">
        <v>1414</v>
      </c>
      <c r="E619" s="229" t="s">
        <v>634</v>
      </c>
      <c r="F619" s="240">
        <v>300</v>
      </c>
      <c r="G619" s="196">
        <v>3</v>
      </c>
      <c r="H619" s="195">
        <v>150</v>
      </c>
      <c r="I619" s="197">
        <v>41315</v>
      </c>
      <c r="J619" s="197" t="str">
        <f t="shared" si="30"/>
        <v>ok</v>
      </c>
      <c r="K619" s="413"/>
      <c r="L619" s="413"/>
      <c r="M619" s="413"/>
      <c r="N619" s="413"/>
      <c r="O619" s="413"/>
      <c r="P619" s="413"/>
      <c r="Q619" s="413"/>
      <c r="R619" s="413"/>
      <c r="S619" s="413"/>
      <c r="T619" s="413"/>
      <c r="U619" s="413"/>
      <c r="V619" s="413"/>
      <c r="W619" s="413">
        <f t="shared" si="28"/>
        <v>0</v>
      </c>
      <c r="X619" s="412"/>
      <c r="Y619" s="412"/>
      <c r="Z619" s="412"/>
      <c r="AA619" s="412"/>
      <c r="AB619" s="412"/>
      <c r="AC619" s="412"/>
      <c r="AD619" s="412"/>
      <c r="AE619" s="412"/>
      <c r="AF619" s="412"/>
      <c r="AG619" s="412"/>
      <c r="AH619" s="412"/>
      <c r="AI619" s="412"/>
      <c r="AJ619" s="412">
        <f t="shared" si="29"/>
        <v>0</v>
      </c>
      <c r="AK619" s="198"/>
      <c r="AL619" s="250" t="s">
        <v>2068</v>
      </c>
    </row>
    <row r="620" spans="1:38" ht="14.1" customHeight="1" x14ac:dyDescent="0.2">
      <c r="A620" t="s">
        <v>884</v>
      </c>
      <c r="B620" s="193">
        <v>4267</v>
      </c>
      <c r="C620" s="194" t="s">
        <v>843</v>
      </c>
      <c r="D620" s="229" t="s">
        <v>1434</v>
      </c>
      <c r="E620" s="229" t="s">
        <v>1189</v>
      </c>
      <c r="F620" s="240">
        <v>300</v>
      </c>
      <c r="G620" s="196">
        <v>1</v>
      </c>
      <c r="H620" s="195">
        <v>300</v>
      </c>
      <c r="I620" s="197">
        <v>41315</v>
      </c>
      <c r="J620" s="197" t="str">
        <f t="shared" si="30"/>
        <v>ok</v>
      </c>
      <c r="K620" s="413"/>
      <c r="L620" s="413"/>
      <c r="M620" s="413"/>
      <c r="N620" s="413"/>
      <c r="O620" s="413"/>
      <c r="P620" s="413"/>
      <c r="Q620" s="413"/>
      <c r="R620" s="413"/>
      <c r="S620" s="413"/>
      <c r="T620" s="413"/>
      <c r="U620" s="413"/>
      <c r="V620" s="413"/>
      <c r="W620" s="413">
        <f t="shared" si="28"/>
        <v>0</v>
      </c>
      <c r="X620" s="412"/>
      <c r="Y620" s="412">
        <v>300</v>
      </c>
      <c r="Z620" s="412"/>
      <c r="AA620" s="412"/>
      <c r="AB620" s="412"/>
      <c r="AC620" s="412"/>
      <c r="AD620" s="412"/>
      <c r="AE620" s="412"/>
      <c r="AF620" s="412"/>
      <c r="AG620" s="412"/>
      <c r="AH620" s="412"/>
      <c r="AI620" s="412"/>
      <c r="AJ620" s="412">
        <f t="shared" si="29"/>
        <v>300</v>
      </c>
      <c r="AK620" s="198"/>
      <c r="AL620" s="250" t="s">
        <v>2067</v>
      </c>
    </row>
    <row r="621" spans="1:38" ht="14.1" customHeight="1" x14ac:dyDescent="0.2">
      <c r="A621" t="s">
        <v>888</v>
      </c>
      <c r="B621" s="193">
        <v>4268</v>
      </c>
      <c r="C621" s="194" t="s">
        <v>915</v>
      </c>
      <c r="D621" s="229" t="s">
        <v>1592</v>
      </c>
      <c r="E621" s="229" t="s">
        <v>717</v>
      </c>
      <c r="F621" s="240">
        <v>200</v>
      </c>
      <c r="G621" s="196">
        <v>1</v>
      </c>
      <c r="H621" s="195">
        <v>400</v>
      </c>
      <c r="I621" s="197">
        <v>41315</v>
      </c>
      <c r="J621" s="197" t="str">
        <f t="shared" si="30"/>
        <v>ok</v>
      </c>
      <c r="K621" s="413"/>
      <c r="L621" s="413"/>
      <c r="M621" s="413"/>
      <c r="N621" s="413"/>
      <c r="O621" s="413"/>
      <c r="P621" s="413"/>
      <c r="Q621" s="413"/>
      <c r="R621" s="413"/>
      <c r="S621" s="413"/>
      <c r="T621" s="413"/>
      <c r="U621" s="413"/>
      <c r="V621" s="413"/>
      <c r="W621" s="413">
        <f t="shared" si="28"/>
        <v>0</v>
      </c>
      <c r="X621" s="412">
        <v>200</v>
      </c>
      <c r="Y621" s="412">
        <v>200</v>
      </c>
      <c r="Z621" s="412"/>
      <c r="AA621" s="412"/>
      <c r="AB621" s="412"/>
      <c r="AC621" s="412"/>
      <c r="AD621" s="412"/>
      <c r="AE621" s="412"/>
      <c r="AF621" s="412"/>
      <c r="AG621" s="412"/>
      <c r="AH621" s="412"/>
      <c r="AI621" s="412"/>
      <c r="AJ621" s="412">
        <f t="shared" si="29"/>
        <v>400</v>
      </c>
      <c r="AK621" s="198"/>
      <c r="AL621" s="250" t="s">
        <v>2067</v>
      </c>
    </row>
    <row r="622" spans="1:38" ht="14.1" customHeight="1" x14ac:dyDescent="0.2">
      <c r="A622" t="s">
        <v>892</v>
      </c>
      <c r="B622" s="193">
        <v>4269</v>
      </c>
      <c r="C622" s="194" t="s">
        <v>1055</v>
      </c>
      <c r="D622" s="229" t="s">
        <v>1467</v>
      </c>
      <c r="E622" s="229" t="s">
        <v>371</v>
      </c>
      <c r="F622" s="240">
        <v>300</v>
      </c>
      <c r="G622" s="196">
        <v>1</v>
      </c>
      <c r="H622" s="195">
        <v>300</v>
      </c>
      <c r="I622" s="197">
        <v>41315</v>
      </c>
      <c r="J622" s="197" t="str">
        <f t="shared" si="30"/>
        <v>ok</v>
      </c>
      <c r="K622" s="413"/>
      <c r="L622" s="413"/>
      <c r="M622" s="413"/>
      <c r="N622" s="413"/>
      <c r="O622" s="413"/>
      <c r="P622" s="413"/>
      <c r="Q622" s="413"/>
      <c r="R622" s="413"/>
      <c r="S622" s="413"/>
      <c r="T622" s="413"/>
      <c r="U622" s="413"/>
      <c r="V622" s="413"/>
      <c r="W622" s="413">
        <f t="shared" si="28"/>
        <v>0</v>
      </c>
      <c r="X622" s="412"/>
      <c r="Y622" s="412">
        <v>300</v>
      </c>
      <c r="Z622" s="412"/>
      <c r="AA622" s="412"/>
      <c r="AB622" s="412"/>
      <c r="AC622" s="412"/>
      <c r="AD622" s="412"/>
      <c r="AE622" s="412"/>
      <c r="AF622" s="412"/>
      <c r="AG622" s="412"/>
      <c r="AH622" s="412"/>
      <c r="AI622" s="412"/>
      <c r="AJ622" s="412">
        <f t="shared" si="29"/>
        <v>300</v>
      </c>
      <c r="AK622" s="198"/>
      <c r="AL622" s="250" t="s">
        <v>2067</v>
      </c>
    </row>
    <row r="623" spans="1:38" ht="14.1" customHeight="1" x14ac:dyDescent="0.2">
      <c r="A623" t="s">
        <v>893</v>
      </c>
      <c r="B623" s="193">
        <v>4270</v>
      </c>
      <c r="C623" s="194" t="s">
        <v>780</v>
      </c>
      <c r="D623" s="229" t="s">
        <v>1593</v>
      </c>
      <c r="E623" s="229" t="s">
        <v>294</v>
      </c>
      <c r="F623" s="240">
        <v>300</v>
      </c>
      <c r="G623" s="196">
        <v>1</v>
      </c>
      <c r="H623" s="195">
        <v>300</v>
      </c>
      <c r="I623" s="197">
        <v>41315</v>
      </c>
      <c r="J623" s="197" t="str">
        <f t="shared" si="30"/>
        <v>ok</v>
      </c>
      <c r="K623" s="413"/>
      <c r="L623" s="413"/>
      <c r="M623" s="413"/>
      <c r="N623" s="413"/>
      <c r="O623" s="413"/>
      <c r="P623" s="413"/>
      <c r="Q623" s="413"/>
      <c r="R623" s="413"/>
      <c r="S623" s="413"/>
      <c r="T623" s="413"/>
      <c r="U623" s="413"/>
      <c r="V623" s="413"/>
      <c r="W623" s="413">
        <f t="shared" si="28"/>
        <v>0</v>
      </c>
      <c r="X623" s="412"/>
      <c r="Y623" s="412">
        <v>300</v>
      </c>
      <c r="Z623" s="412"/>
      <c r="AA623" s="412"/>
      <c r="AB623" s="412"/>
      <c r="AC623" s="412"/>
      <c r="AD623" s="412"/>
      <c r="AE623" s="412"/>
      <c r="AF623" s="412"/>
      <c r="AG623" s="412"/>
      <c r="AH623" s="412"/>
      <c r="AI623" s="412"/>
      <c r="AJ623" s="412">
        <f t="shared" si="29"/>
        <v>300</v>
      </c>
      <c r="AK623" s="198"/>
      <c r="AL623" s="250" t="s">
        <v>2067</v>
      </c>
    </row>
    <row r="624" spans="1:38" ht="14.1" customHeight="1" x14ac:dyDescent="0.2">
      <c r="A624" t="s">
        <v>884</v>
      </c>
      <c r="B624" s="193">
        <v>4271</v>
      </c>
      <c r="C624" s="194" t="s">
        <v>825</v>
      </c>
      <c r="D624" s="229" t="s">
        <v>1580</v>
      </c>
      <c r="E624" s="229" t="s">
        <v>53</v>
      </c>
      <c r="F624" s="240">
        <v>300</v>
      </c>
      <c r="G624" s="196">
        <v>1</v>
      </c>
      <c r="H624" s="195">
        <v>300</v>
      </c>
      <c r="I624" s="197">
        <v>41315</v>
      </c>
      <c r="J624" s="197" t="str">
        <f t="shared" si="30"/>
        <v>ok</v>
      </c>
      <c r="K624" s="413"/>
      <c r="L624" s="413"/>
      <c r="M624" s="413"/>
      <c r="N624" s="413"/>
      <c r="O624" s="413"/>
      <c r="P624" s="413"/>
      <c r="Q624" s="413"/>
      <c r="R624" s="413"/>
      <c r="S624" s="413"/>
      <c r="T624" s="413"/>
      <c r="U624" s="413"/>
      <c r="V624" s="413"/>
      <c r="W624" s="413">
        <f t="shared" si="28"/>
        <v>0</v>
      </c>
      <c r="X624" s="412"/>
      <c r="Y624" s="412">
        <v>300</v>
      </c>
      <c r="Z624" s="412"/>
      <c r="AA624" s="412"/>
      <c r="AB624" s="412"/>
      <c r="AC624" s="412"/>
      <c r="AD624" s="412"/>
      <c r="AE624" s="412"/>
      <c r="AF624" s="412"/>
      <c r="AG624" s="412"/>
      <c r="AH624" s="412"/>
      <c r="AI624" s="412"/>
      <c r="AJ624" s="412">
        <f t="shared" si="29"/>
        <v>300</v>
      </c>
      <c r="AK624" s="198"/>
      <c r="AL624" s="250" t="s">
        <v>2067</v>
      </c>
    </row>
    <row r="625" spans="1:38" ht="14.1" customHeight="1" x14ac:dyDescent="0.2">
      <c r="A625" t="s">
        <v>892</v>
      </c>
      <c r="B625" s="193">
        <v>4272</v>
      </c>
      <c r="C625" s="194" t="s">
        <v>1058</v>
      </c>
      <c r="D625" s="229" t="s">
        <v>1594</v>
      </c>
      <c r="E625" s="229" t="s">
        <v>1309</v>
      </c>
      <c r="F625" s="240">
        <v>300</v>
      </c>
      <c r="G625" s="196">
        <v>1</v>
      </c>
      <c r="H625" s="195">
        <v>600</v>
      </c>
      <c r="I625" s="197">
        <v>41315</v>
      </c>
      <c r="J625" s="197" t="str">
        <f t="shared" si="30"/>
        <v>ok</v>
      </c>
      <c r="K625" s="413"/>
      <c r="L625" s="413"/>
      <c r="M625" s="413"/>
      <c r="N625" s="413"/>
      <c r="O625" s="413"/>
      <c r="P625" s="413"/>
      <c r="Q625" s="413"/>
      <c r="R625" s="413"/>
      <c r="S625" s="413"/>
      <c r="T625" s="413"/>
      <c r="U625" s="413"/>
      <c r="V625" s="413"/>
      <c r="W625" s="413">
        <f t="shared" si="28"/>
        <v>0</v>
      </c>
      <c r="X625" s="412">
        <v>300</v>
      </c>
      <c r="Y625" s="412">
        <v>300</v>
      </c>
      <c r="Z625" s="412"/>
      <c r="AA625" s="412"/>
      <c r="AB625" s="412"/>
      <c r="AC625" s="412"/>
      <c r="AD625" s="412"/>
      <c r="AE625" s="412"/>
      <c r="AF625" s="412"/>
      <c r="AG625" s="412"/>
      <c r="AH625" s="412"/>
      <c r="AI625" s="412"/>
      <c r="AJ625" s="412">
        <f t="shared" si="29"/>
        <v>600</v>
      </c>
      <c r="AK625" s="198"/>
      <c r="AL625" s="250" t="s">
        <v>2067</v>
      </c>
    </row>
    <row r="626" spans="1:38" ht="14.1" customHeight="1" x14ac:dyDescent="0.2">
      <c r="A626" t="s">
        <v>890</v>
      </c>
      <c r="B626" s="193">
        <v>4273</v>
      </c>
      <c r="C626" s="194" t="s">
        <v>770</v>
      </c>
      <c r="D626" s="229" t="s">
        <v>1438</v>
      </c>
      <c r="E626" s="229" t="s">
        <v>536</v>
      </c>
      <c r="F626" s="240">
        <v>300</v>
      </c>
      <c r="G626" s="196">
        <v>1</v>
      </c>
      <c r="H626" s="195">
        <v>300</v>
      </c>
      <c r="I626" s="197">
        <v>41315</v>
      </c>
      <c r="J626" s="197" t="str">
        <f t="shared" si="30"/>
        <v>ok</v>
      </c>
      <c r="K626" s="413"/>
      <c r="L626" s="413"/>
      <c r="M626" s="413"/>
      <c r="N626" s="413"/>
      <c r="O626" s="413"/>
      <c r="P626" s="413"/>
      <c r="Q626" s="413"/>
      <c r="R626" s="413"/>
      <c r="S626" s="413"/>
      <c r="T626" s="413"/>
      <c r="U626" s="413"/>
      <c r="V626" s="413"/>
      <c r="W626" s="413">
        <f t="shared" si="28"/>
        <v>0</v>
      </c>
      <c r="X626" s="412"/>
      <c r="Y626" s="412">
        <v>300</v>
      </c>
      <c r="Z626" s="412"/>
      <c r="AA626" s="412"/>
      <c r="AB626" s="412"/>
      <c r="AC626" s="412"/>
      <c r="AD626" s="412"/>
      <c r="AE626" s="412"/>
      <c r="AF626" s="412"/>
      <c r="AG626" s="412"/>
      <c r="AH626" s="412"/>
      <c r="AI626" s="412"/>
      <c r="AJ626" s="412">
        <f t="shared" si="29"/>
        <v>300</v>
      </c>
      <c r="AK626" s="198"/>
      <c r="AL626" s="250" t="s">
        <v>2067</v>
      </c>
    </row>
    <row r="627" spans="1:38" ht="14.1" customHeight="1" x14ac:dyDescent="0.2">
      <c r="A627" t="s">
        <v>890</v>
      </c>
      <c r="B627" s="193">
        <v>4274</v>
      </c>
      <c r="C627" s="194" t="s">
        <v>1023</v>
      </c>
      <c r="D627" s="229" t="s">
        <v>1541</v>
      </c>
      <c r="E627" s="229" t="s">
        <v>522</v>
      </c>
      <c r="F627" s="240">
        <v>300</v>
      </c>
      <c r="G627" s="196">
        <v>1</v>
      </c>
      <c r="H627" s="195">
        <v>300</v>
      </c>
      <c r="I627" s="197">
        <v>41315</v>
      </c>
      <c r="J627" s="197" t="str">
        <f t="shared" si="30"/>
        <v>ok</v>
      </c>
      <c r="K627" s="413"/>
      <c r="L627" s="413"/>
      <c r="M627" s="413"/>
      <c r="N627" s="413"/>
      <c r="O627" s="413"/>
      <c r="P627" s="413"/>
      <c r="Q627" s="413"/>
      <c r="R627" s="413"/>
      <c r="S627" s="413"/>
      <c r="T627" s="413"/>
      <c r="U627" s="413"/>
      <c r="V627" s="413"/>
      <c r="W627" s="413">
        <f t="shared" si="28"/>
        <v>0</v>
      </c>
      <c r="X627" s="412"/>
      <c r="Y627" s="412">
        <v>300</v>
      </c>
      <c r="Z627" s="412"/>
      <c r="AA627" s="412"/>
      <c r="AB627" s="412"/>
      <c r="AC627" s="412"/>
      <c r="AD627" s="412"/>
      <c r="AE627" s="412"/>
      <c r="AF627" s="412"/>
      <c r="AG627" s="412"/>
      <c r="AH627" s="412"/>
      <c r="AI627" s="412"/>
      <c r="AJ627" s="412">
        <f t="shared" si="29"/>
        <v>300</v>
      </c>
      <c r="AK627" s="198"/>
      <c r="AL627" s="250" t="s">
        <v>2067</v>
      </c>
    </row>
    <row r="628" spans="1:38" ht="14.1" customHeight="1" x14ac:dyDescent="0.2">
      <c r="A628" t="s">
        <v>890</v>
      </c>
      <c r="B628" s="193">
        <v>4275</v>
      </c>
      <c r="C628" s="194" t="s">
        <v>996</v>
      </c>
      <c r="D628" s="229" t="s">
        <v>1595</v>
      </c>
      <c r="E628" s="229" t="s">
        <v>1216</v>
      </c>
      <c r="F628" s="240">
        <v>300</v>
      </c>
      <c r="G628" s="196">
        <v>1</v>
      </c>
      <c r="H628" s="195">
        <v>600</v>
      </c>
      <c r="I628" s="197">
        <v>41315</v>
      </c>
      <c r="J628" s="197" t="str">
        <f t="shared" si="30"/>
        <v>ok</v>
      </c>
      <c r="K628" s="413"/>
      <c r="L628" s="413"/>
      <c r="M628" s="413"/>
      <c r="N628" s="413"/>
      <c r="O628" s="413"/>
      <c r="P628" s="413"/>
      <c r="Q628" s="413"/>
      <c r="R628" s="413"/>
      <c r="S628" s="413"/>
      <c r="T628" s="413"/>
      <c r="U628" s="413"/>
      <c r="V628" s="413"/>
      <c r="W628" s="413">
        <f t="shared" si="28"/>
        <v>0</v>
      </c>
      <c r="X628" s="412"/>
      <c r="Y628" s="412">
        <v>300</v>
      </c>
      <c r="Z628" s="412">
        <v>300</v>
      </c>
      <c r="AA628" s="412"/>
      <c r="AB628" s="412"/>
      <c r="AC628" s="412"/>
      <c r="AD628" s="412"/>
      <c r="AE628" s="412"/>
      <c r="AF628" s="412"/>
      <c r="AG628" s="412"/>
      <c r="AH628" s="412"/>
      <c r="AI628" s="412"/>
      <c r="AJ628" s="412">
        <f t="shared" si="29"/>
        <v>600</v>
      </c>
      <c r="AK628" s="198"/>
      <c r="AL628" s="250" t="s">
        <v>2067</v>
      </c>
    </row>
    <row r="629" spans="1:38" ht="14.1" customHeight="1" x14ac:dyDescent="0.2">
      <c r="A629" t="s">
        <v>890</v>
      </c>
      <c r="B629" s="193">
        <v>4276</v>
      </c>
      <c r="C629" s="194" t="s">
        <v>1046</v>
      </c>
      <c r="D629" s="229" t="s">
        <v>1480</v>
      </c>
      <c r="E629" s="229" t="s">
        <v>458</v>
      </c>
      <c r="F629" s="240">
        <v>150</v>
      </c>
      <c r="G629" s="196">
        <v>1</v>
      </c>
      <c r="H629" s="195">
        <v>150</v>
      </c>
      <c r="I629" s="197">
        <v>41315</v>
      </c>
      <c r="J629" s="197" t="str">
        <f t="shared" si="30"/>
        <v>ok</v>
      </c>
      <c r="K629" s="413"/>
      <c r="L629" s="413"/>
      <c r="M629" s="413"/>
      <c r="N629" s="413"/>
      <c r="O629" s="413"/>
      <c r="P629" s="413"/>
      <c r="Q629" s="413"/>
      <c r="R629" s="413"/>
      <c r="S629" s="413"/>
      <c r="T629" s="413"/>
      <c r="U629" s="413"/>
      <c r="V629" s="413"/>
      <c r="W629" s="413">
        <f t="shared" si="28"/>
        <v>0</v>
      </c>
      <c r="X629" s="412"/>
      <c r="Y629" s="412">
        <v>150</v>
      </c>
      <c r="Z629" s="412"/>
      <c r="AA629" s="412"/>
      <c r="AB629" s="412"/>
      <c r="AC629" s="412"/>
      <c r="AD629" s="412"/>
      <c r="AE629" s="412"/>
      <c r="AF629" s="412"/>
      <c r="AG629" s="412"/>
      <c r="AH629" s="412"/>
      <c r="AI629" s="412"/>
      <c r="AJ629" s="412">
        <f t="shared" si="29"/>
        <v>150</v>
      </c>
      <c r="AK629" s="198"/>
      <c r="AL629" s="250" t="s">
        <v>2067</v>
      </c>
    </row>
    <row r="630" spans="1:38" ht="14.1" customHeight="1" x14ac:dyDescent="0.2">
      <c r="A630" t="s">
        <v>890</v>
      </c>
      <c r="B630" s="193">
        <v>4276</v>
      </c>
      <c r="C630" s="194" t="s">
        <v>1046</v>
      </c>
      <c r="D630" s="229" t="s">
        <v>1480</v>
      </c>
      <c r="E630" s="229" t="s">
        <v>458</v>
      </c>
      <c r="F630" s="240">
        <v>150</v>
      </c>
      <c r="G630" s="196">
        <v>4</v>
      </c>
      <c r="H630" s="195">
        <v>160</v>
      </c>
      <c r="I630" s="197">
        <v>41315</v>
      </c>
      <c r="J630" s="197" t="str">
        <f t="shared" si="30"/>
        <v>ok</v>
      </c>
      <c r="K630" s="413"/>
      <c r="L630" s="413"/>
      <c r="M630" s="413"/>
      <c r="N630" s="413"/>
      <c r="O630" s="413"/>
      <c r="P630" s="413"/>
      <c r="Q630" s="413"/>
      <c r="R630" s="413"/>
      <c r="S630" s="413"/>
      <c r="T630" s="413"/>
      <c r="U630" s="413"/>
      <c r="V630" s="413"/>
      <c r="W630" s="413">
        <f t="shared" si="28"/>
        <v>0</v>
      </c>
      <c r="X630" s="412"/>
      <c r="Y630" s="412"/>
      <c r="Z630" s="412"/>
      <c r="AA630" s="412"/>
      <c r="AB630" s="412"/>
      <c r="AC630" s="412"/>
      <c r="AD630" s="412"/>
      <c r="AE630" s="412"/>
      <c r="AF630" s="412"/>
      <c r="AG630" s="412"/>
      <c r="AH630" s="412"/>
      <c r="AI630" s="412"/>
      <c r="AJ630" s="412">
        <f t="shared" si="29"/>
        <v>0</v>
      </c>
      <c r="AK630" s="198"/>
      <c r="AL630" s="250" t="s">
        <v>2068</v>
      </c>
    </row>
    <row r="631" spans="1:38" ht="14.1" customHeight="1" x14ac:dyDescent="0.2">
      <c r="A631" t="s">
        <v>890</v>
      </c>
      <c r="B631" s="193">
        <v>4277</v>
      </c>
      <c r="C631" s="194" t="s">
        <v>1029</v>
      </c>
      <c r="D631" s="229" t="s">
        <v>1482</v>
      </c>
      <c r="E631" s="229" t="s">
        <v>529</v>
      </c>
      <c r="F631" s="240">
        <v>300</v>
      </c>
      <c r="G631" s="196">
        <v>1</v>
      </c>
      <c r="H631" s="195">
        <v>300</v>
      </c>
      <c r="I631" s="197">
        <v>41315</v>
      </c>
      <c r="J631" s="197" t="str">
        <f t="shared" si="30"/>
        <v>ok</v>
      </c>
      <c r="K631" s="413"/>
      <c r="L631" s="413"/>
      <c r="M631" s="413"/>
      <c r="N631" s="413"/>
      <c r="O631" s="413"/>
      <c r="P631" s="413"/>
      <c r="Q631" s="413"/>
      <c r="R631" s="413"/>
      <c r="S631" s="413"/>
      <c r="T631" s="413"/>
      <c r="U631" s="413"/>
      <c r="V631" s="413"/>
      <c r="W631" s="413">
        <f t="shared" si="28"/>
        <v>0</v>
      </c>
      <c r="X631" s="412"/>
      <c r="Y631" s="412">
        <v>300</v>
      </c>
      <c r="Z631" s="412"/>
      <c r="AA631" s="412"/>
      <c r="AB631" s="412"/>
      <c r="AC631" s="412"/>
      <c r="AD631" s="412"/>
      <c r="AE631" s="412"/>
      <c r="AF631" s="412"/>
      <c r="AG631" s="412"/>
      <c r="AH631" s="412"/>
      <c r="AI631" s="412"/>
      <c r="AJ631" s="412">
        <f t="shared" si="29"/>
        <v>300</v>
      </c>
      <c r="AK631" s="198"/>
      <c r="AL631" s="250" t="s">
        <v>2067</v>
      </c>
    </row>
    <row r="632" spans="1:38" ht="14.1" customHeight="1" x14ac:dyDescent="0.2">
      <c r="A632" t="s">
        <v>893</v>
      </c>
      <c r="B632" s="193">
        <v>4278</v>
      </c>
      <c r="C632" s="194" t="s">
        <v>1103</v>
      </c>
      <c r="D632" s="229" t="s">
        <v>1407</v>
      </c>
      <c r="E632" s="229" t="s">
        <v>248</v>
      </c>
      <c r="F632" s="240">
        <v>300</v>
      </c>
      <c r="G632" s="196">
        <v>1</v>
      </c>
      <c r="H632" s="195">
        <v>300</v>
      </c>
      <c r="I632" s="197">
        <v>41315</v>
      </c>
      <c r="J632" s="197" t="str">
        <f t="shared" si="30"/>
        <v>ok</v>
      </c>
      <c r="K632" s="413"/>
      <c r="L632" s="413"/>
      <c r="M632" s="413"/>
      <c r="N632" s="413"/>
      <c r="O632" s="413"/>
      <c r="P632" s="413"/>
      <c r="Q632" s="413"/>
      <c r="R632" s="413"/>
      <c r="S632" s="413"/>
      <c r="T632" s="413"/>
      <c r="U632" s="413"/>
      <c r="V632" s="413"/>
      <c r="W632" s="413">
        <f t="shared" si="28"/>
        <v>0</v>
      </c>
      <c r="X632" s="412"/>
      <c r="Y632" s="412">
        <v>300</v>
      </c>
      <c r="Z632" s="412"/>
      <c r="AA632" s="412"/>
      <c r="AB632" s="412"/>
      <c r="AC632" s="412"/>
      <c r="AD632" s="412"/>
      <c r="AE632" s="412"/>
      <c r="AF632" s="412"/>
      <c r="AG632" s="412"/>
      <c r="AH632" s="412"/>
      <c r="AI632" s="412"/>
      <c r="AJ632" s="412">
        <f t="shared" si="29"/>
        <v>300</v>
      </c>
      <c r="AK632" s="198"/>
      <c r="AL632" s="250" t="s">
        <v>2067</v>
      </c>
    </row>
    <row r="633" spans="1:38" ht="14.1" customHeight="1" x14ac:dyDescent="0.2">
      <c r="A633" t="s">
        <v>894</v>
      </c>
      <c r="B633" s="193">
        <v>4279</v>
      </c>
      <c r="C633" s="194" t="s">
        <v>1155</v>
      </c>
      <c r="D633" s="229" t="s">
        <v>1596</v>
      </c>
      <c r="E633" s="229" t="s">
        <v>734</v>
      </c>
      <c r="F633" s="240">
        <v>300</v>
      </c>
      <c r="G633" s="196">
        <v>1</v>
      </c>
      <c r="H633" s="195">
        <v>600</v>
      </c>
      <c r="I633" s="197">
        <v>41315</v>
      </c>
      <c r="J633" s="197" t="str">
        <f t="shared" si="30"/>
        <v>ok</v>
      </c>
      <c r="K633" s="413"/>
      <c r="L633" s="413"/>
      <c r="M633" s="413"/>
      <c r="N633" s="413"/>
      <c r="O633" s="413"/>
      <c r="P633" s="413"/>
      <c r="Q633" s="413"/>
      <c r="R633" s="413"/>
      <c r="S633" s="413"/>
      <c r="T633" s="413"/>
      <c r="U633" s="413"/>
      <c r="V633" s="413"/>
      <c r="W633" s="413">
        <f t="shared" si="28"/>
        <v>0</v>
      </c>
      <c r="X633" s="412">
        <v>300</v>
      </c>
      <c r="Y633" s="412">
        <v>300</v>
      </c>
      <c r="Z633" s="412"/>
      <c r="AA633" s="412"/>
      <c r="AB633" s="412"/>
      <c r="AC633" s="412"/>
      <c r="AD633" s="412"/>
      <c r="AE633" s="412"/>
      <c r="AF633" s="412"/>
      <c r="AG633" s="412"/>
      <c r="AH633" s="412"/>
      <c r="AI633" s="412"/>
      <c r="AJ633" s="412">
        <f t="shared" si="29"/>
        <v>600</v>
      </c>
      <c r="AK633" s="198"/>
      <c r="AL633" s="250" t="s">
        <v>2067</v>
      </c>
    </row>
    <row r="634" spans="1:38" ht="14.1" customHeight="1" x14ac:dyDescent="0.2">
      <c r="A634" t="s">
        <v>893</v>
      </c>
      <c r="B634" s="193">
        <v>4280</v>
      </c>
      <c r="C634" s="194" t="s">
        <v>1106</v>
      </c>
      <c r="D634" s="229" t="s">
        <v>1433</v>
      </c>
      <c r="E634" s="229" t="s">
        <v>1221</v>
      </c>
      <c r="F634" s="240">
        <v>300</v>
      </c>
      <c r="G634" s="196">
        <v>1</v>
      </c>
      <c r="H634" s="195">
        <v>300</v>
      </c>
      <c r="I634" s="197">
        <v>41315</v>
      </c>
      <c r="J634" s="197" t="str">
        <f t="shared" si="30"/>
        <v>ok</v>
      </c>
      <c r="K634" s="413"/>
      <c r="L634" s="413"/>
      <c r="M634" s="413"/>
      <c r="N634" s="413"/>
      <c r="O634" s="413"/>
      <c r="P634" s="413"/>
      <c r="Q634" s="413"/>
      <c r="R634" s="413"/>
      <c r="S634" s="413"/>
      <c r="T634" s="413"/>
      <c r="U634" s="413"/>
      <c r="V634" s="413"/>
      <c r="W634" s="413">
        <f t="shared" si="28"/>
        <v>0</v>
      </c>
      <c r="X634" s="412"/>
      <c r="Y634" s="412">
        <v>300</v>
      </c>
      <c r="Z634" s="412"/>
      <c r="AA634" s="412"/>
      <c r="AB634" s="412"/>
      <c r="AC634" s="412"/>
      <c r="AD634" s="412"/>
      <c r="AE634" s="412"/>
      <c r="AF634" s="412"/>
      <c r="AG634" s="412"/>
      <c r="AH634" s="412"/>
      <c r="AI634" s="412"/>
      <c r="AJ634" s="412">
        <f t="shared" si="29"/>
        <v>300</v>
      </c>
      <c r="AK634" s="198"/>
      <c r="AL634" s="250" t="s">
        <v>2067</v>
      </c>
    </row>
    <row r="635" spans="1:38" ht="14.1" customHeight="1" x14ac:dyDescent="0.2">
      <c r="A635" t="s">
        <v>890</v>
      </c>
      <c r="B635" s="193">
        <v>4281</v>
      </c>
      <c r="C635" s="194" t="s">
        <v>1030</v>
      </c>
      <c r="D635" s="229" t="s">
        <v>1421</v>
      </c>
      <c r="E635" s="229" t="s">
        <v>531</v>
      </c>
      <c r="F635" s="240">
        <v>300</v>
      </c>
      <c r="G635" s="196">
        <v>1</v>
      </c>
      <c r="H635" s="195">
        <v>300</v>
      </c>
      <c r="I635" s="197">
        <v>41315</v>
      </c>
      <c r="J635" s="197" t="str">
        <f t="shared" si="30"/>
        <v>ok</v>
      </c>
      <c r="K635" s="413"/>
      <c r="L635" s="413"/>
      <c r="M635" s="413"/>
      <c r="N635" s="413"/>
      <c r="O635" s="413"/>
      <c r="P635" s="413"/>
      <c r="Q635" s="413"/>
      <c r="R635" s="413"/>
      <c r="S635" s="413"/>
      <c r="T635" s="413"/>
      <c r="U635" s="413"/>
      <c r="V635" s="413"/>
      <c r="W635" s="413">
        <f t="shared" si="28"/>
        <v>0</v>
      </c>
      <c r="X635" s="412"/>
      <c r="Y635" s="412">
        <v>300</v>
      </c>
      <c r="Z635" s="412"/>
      <c r="AA635" s="412"/>
      <c r="AB635" s="412"/>
      <c r="AC635" s="412"/>
      <c r="AD635" s="412"/>
      <c r="AE635" s="412"/>
      <c r="AF635" s="412"/>
      <c r="AG635" s="412"/>
      <c r="AH635" s="412"/>
      <c r="AI635" s="412"/>
      <c r="AJ635" s="412">
        <f t="shared" si="29"/>
        <v>300</v>
      </c>
      <c r="AK635" s="198"/>
      <c r="AL635" s="250" t="s">
        <v>2067</v>
      </c>
    </row>
    <row r="636" spans="1:38" ht="14.1" customHeight="1" x14ac:dyDescent="0.2">
      <c r="A636" t="s">
        <v>884</v>
      </c>
      <c r="B636" s="193">
        <v>4282</v>
      </c>
      <c r="C636" s="194" t="s">
        <v>874</v>
      </c>
      <c r="D636" s="229" t="s">
        <v>1459</v>
      </c>
      <c r="E636" s="229" t="s">
        <v>127</v>
      </c>
      <c r="F636" s="240">
        <v>300</v>
      </c>
      <c r="G636" s="196">
        <v>1</v>
      </c>
      <c r="H636" s="195">
        <v>300</v>
      </c>
      <c r="I636" s="197">
        <v>41315</v>
      </c>
      <c r="J636" s="197" t="str">
        <f t="shared" si="30"/>
        <v>ok</v>
      </c>
      <c r="K636" s="413"/>
      <c r="L636" s="413"/>
      <c r="M636" s="413"/>
      <c r="N636" s="413"/>
      <c r="O636" s="413"/>
      <c r="P636" s="413"/>
      <c r="Q636" s="413"/>
      <c r="R636" s="413"/>
      <c r="S636" s="413"/>
      <c r="T636" s="413"/>
      <c r="U636" s="413"/>
      <c r="V636" s="413"/>
      <c r="W636" s="413">
        <f t="shared" si="28"/>
        <v>0</v>
      </c>
      <c r="X636" s="412"/>
      <c r="Y636" s="412">
        <v>300</v>
      </c>
      <c r="Z636" s="412"/>
      <c r="AA636" s="412"/>
      <c r="AB636" s="412"/>
      <c r="AC636" s="412"/>
      <c r="AD636" s="412"/>
      <c r="AE636" s="412"/>
      <c r="AF636" s="412"/>
      <c r="AG636" s="412"/>
      <c r="AH636" s="412"/>
      <c r="AI636" s="412"/>
      <c r="AJ636" s="412">
        <f t="shared" si="29"/>
        <v>300</v>
      </c>
      <c r="AK636" s="198"/>
      <c r="AL636" s="250" t="s">
        <v>2067</v>
      </c>
    </row>
    <row r="637" spans="1:38" ht="14.1" customHeight="1" x14ac:dyDescent="0.2">
      <c r="A637" t="s">
        <v>884</v>
      </c>
      <c r="B637" s="193">
        <v>4283</v>
      </c>
      <c r="C637" s="194" t="s">
        <v>835</v>
      </c>
      <c r="D637" s="229" t="s">
        <v>1597</v>
      </c>
      <c r="E637" s="229" t="s">
        <v>72</v>
      </c>
      <c r="F637" s="240">
        <v>300</v>
      </c>
      <c r="G637" s="196">
        <v>1</v>
      </c>
      <c r="H637" s="195">
        <v>600</v>
      </c>
      <c r="I637" s="197">
        <v>41315</v>
      </c>
      <c r="J637" s="197" t="str">
        <f t="shared" si="30"/>
        <v>ok</v>
      </c>
      <c r="K637" s="413"/>
      <c r="L637" s="413"/>
      <c r="M637" s="413"/>
      <c r="N637" s="413"/>
      <c r="O637" s="413"/>
      <c r="P637" s="413"/>
      <c r="Q637" s="413"/>
      <c r="R637" s="413"/>
      <c r="S637" s="413"/>
      <c r="T637" s="413"/>
      <c r="U637" s="413"/>
      <c r="V637" s="413"/>
      <c r="W637" s="413">
        <f t="shared" si="28"/>
        <v>0</v>
      </c>
      <c r="X637" s="412">
        <v>300</v>
      </c>
      <c r="Y637" s="412">
        <v>300</v>
      </c>
      <c r="Z637" s="412"/>
      <c r="AA637" s="412"/>
      <c r="AB637" s="412"/>
      <c r="AC637" s="412"/>
      <c r="AD637" s="412"/>
      <c r="AE637" s="412"/>
      <c r="AF637" s="412"/>
      <c r="AG637" s="412"/>
      <c r="AH637" s="412"/>
      <c r="AI637" s="412"/>
      <c r="AJ637" s="412">
        <f t="shared" si="29"/>
        <v>600</v>
      </c>
      <c r="AK637" s="198"/>
      <c r="AL637" s="250" t="s">
        <v>2067</v>
      </c>
    </row>
    <row r="638" spans="1:38" ht="14.1" customHeight="1" x14ac:dyDescent="0.2">
      <c r="A638" t="s">
        <v>888</v>
      </c>
      <c r="B638" s="193">
        <v>4284</v>
      </c>
      <c r="C638" s="194" t="s">
        <v>933</v>
      </c>
      <c r="D638" s="229" t="s">
        <v>1427</v>
      </c>
      <c r="E638" s="229" t="s">
        <v>1212</v>
      </c>
      <c r="F638" s="240">
        <v>300</v>
      </c>
      <c r="G638" s="196">
        <v>1</v>
      </c>
      <c r="H638" s="195">
        <v>300</v>
      </c>
      <c r="I638" s="197">
        <v>41315</v>
      </c>
      <c r="J638" s="197" t="str">
        <f t="shared" si="30"/>
        <v>ok</v>
      </c>
      <c r="K638" s="413"/>
      <c r="L638" s="413"/>
      <c r="M638" s="413"/>
      <c r="N638" s="413"/>
      <c r="O638" s="413"/>
      <c r="P638" s="413"/>
      <c r="Q638" s="413"/>
      <c r="R638" s="413"/>
      <c r="S638" s="413"/>
      <c r="T638" s="413"/>
      <c r="U638" s="413"/>
      <c r="V638" s="413"/>
      <c r="W638" s="413">
        <f t="shared" si="28"/>
        <v>0</v>
      </c>
      <c r="X638" s="412"/>
      <c r="Y638" s="412">
        <v>300</v>
      </c>
      <c r="Z638" s="412"/>
      <c r="AA638" s="412"/>
      <c r="AB638" s="412"/>
      <c r="AC638" s="412"/>
      <c r="AD638" s="412"/>
      <c r="AE638" s="412"/>
      <c r="AF638" s="412"/>
      <c r="AG638" s="412"/>
      <c r="AH638" s="412"/>
      <c r="AI638" s="412"/>
      <c r="AJ638" s="412">
        <f t="shared" si="29"/>
        <v>300</v>
      </c>
      <c r="AK638" s="198"/>
      <c r="AL638" s="250" t="s">
        <v>2067</v>
      </c>
    </row>
    <row r="639" spans="1:38" ht="14.1" customHeight="1" x14ac:dyDescent="0.2">
      <c r="A639" t="s">
        <v>892</v>
      </c>
      <c r="B639" s="193">
        <v>4285</v>
      </c>
      <c r="C639" s="194" t="s">
        <v>1059</v>
      </c>
      <c r="D639" s="229" t="s">
        <v>1426</v>
      </c>
      <c r="E639" s="229" t="s">
        <v>660</v>
      </c>
      <c r="F639" s="240">
        <v>150</v>
      </c>
      <c r="G639" s="196">
        <v>1</v>
      </c>
      <c r="H639" s="195">
        <v>150</v>
      </c>
      <c r="I639" s="197">
        <v>41315</v>
      </c>
      <c r="J639" s="197" t="str">
        <f t="shared" si="30"/>
        <v>ok</v>
      </c>
      <c r="K639" s="413"/>
      <c r="L639" s="413"/>
      <c r="M639" s="413"/>
      <c r="N639" s="413"/>
      <c r="O639" s="413"/>
      <c r="P639" s="413"/>
      <c r="Q639" s="413"/>
      <c r="R639" s="413"/>
      <c r="S639" s="413"/>
      <c r="T639" s="413"/>
      <c r="U639" s="413"/>
      <c r="V639" s="413"/>
      <c r="W639" s="413">
        <f t="shared" si="28"/>
        <v>0</v>
      </c>
      <c r="X639" s="412"/>
      <c r="Y639" s="412">
        <v>150</v>
      </c>
      <c r="Z639" s="412"/>
      <c r="AA639" s="412"/>
      <c r="AB639" s="412"/>
      <c r="AC639" s="412"/>
      <c r="AD639" s="412"/>
      <c r="AE639" s="412"/>
      <c r="AF639" s="412"/>
      <c r="AG639" s="412"/>
      <c r="AH639" s="412"/>
      <c r="AI639" s="412"/>
      <c r="AJ639" s="412">
        <f t="shared" si="29"/>
        <v>150</v>
      </c>
      <c r="AK639" s="198"/>
      <c r="AL639" s="250" t="s">
        <v>2067</v>
      </c>
    </row>
    <row r="640" spans="1:38" ht="14.1" customHeight="1" x14ac:dyDescent="0.2">
      <c r="A640" t="s">
        <v>893</v>
      </c>
      <c r="B640" s="193">
        <v>4286</v>
      </c>
      <c r="C640" s="194" t="s">
        <v>1076</v>
      </c>
      <c r="D640" s="229" t="s">
        <v>1395</v>
      </c>
      <c r="E640" s="229" t="s">
        <v>193</v>
      </c>
      <c r="F640" s="240">
        <v>300</v>
      </c>
      <c r="G640" s="196">
        <v>1</v>
      </c>
      <c r="H640" s="195">
        <v>300</v>
      </c>
      <c r="I640" s="197">
        <v>41315</v>
      </c>
      <c r="J640" s="197" t="str">
        <f t="shared" si="30"/>
        <v>ok</v>
      </c>
      <c r="K640" s="413"/>
      <c r="L640" s="413"/>
      <c r="M640" s="413"/>
      <c r="N640" s="413"/>
      <c r="O640" s="413"/>
      <c r="P640" s="413"/>
      <c r="Q640" s="413"/>
      <c r="R640" s="413"/>
      <c r="S640" s="413"/>
      <c r="T640" s="413"/>
      <c r="U640" s="413"/>
      <c r="V640" s="413"/>
      <c r="W640" s="413">
        <f t="shared" si="28"/>
        <v>0</v>
      </c>
      <c r="X640" s="412"/>
      <c r="Y640" s="412">
        <v>300</v>
      </c>
      <c r="Z640" s="412"/>
      <c r="AA640" s="412"/>
      <c r="AB640" s="412"/>
      <c r="AC640" s="412"/>
      <c r="AD640" s="412"/>
      <c r="AE640" s="412"/>
      <c r="AF640" s="412"/>
      <c r="AG640" s="412"/>
      <c r="AH640" s="412"/>
      <c r="AI640" s="412"/>
      <c r="AJ640" s="412">
        <f t="shared" si="29"/>
        <v>300</v>
      </c>
      <c r="AK640" s="198"/>
      <c r="AL640" s="250" t="s">
        <v>2067</v>
      </c>
    </row>
    <row r="641" spans="1:39" ht="14.1" customHeight="1" x14ac:dyDescent="0.2">
      <c r="A641" t="s">
        <v>893</v>
      </c>
      <c r="B641" s="193">
        <v>4287</v>
      </c>
      <c r="C641" s="194" t="s">
        <v>1080</v>
      </c>
      <c r="D641" s="229" t="s">
        <v>1598</v>
      </c>
      <c r="E641" s="229" t="s">
        <v>200</v>
      </c>
      <c r="F641" s="240">
        <v>300</v>
      </c>
      <c r="G641" s="196">
        <v>1</v>
      </c>
      <c r="H641" s="195">
        <v>600</v>
      </c>
      <c r="I641" s="197">
        <v>41315</v>
      </c>
      <c r="J641" s="197" t="str">
        <f t="shared" si="30"/>
        <v>ok</v>
      </c>
      <c r="K641" s="413"/>
      <c r="L641" s="413"/>
      <c r="M641" s="413"/>
      <c r="N641" s="413"/>
      <c r="O641" s="413"/>
      <c r="P641" s="413"/>
      <c r="Q641" s="413"/>
      <c r="R641" s="413"/>
      <c r="S641" s="413"/>
      <c r="T641" s="413"/>
      <c r="U641" s="413"/>
      <c r="V641" s="413"/>
      <c r="W641" s="413">
        <f t="shared" si="28"/>
        <v>0</v>
      </c>
      <c r="X641" s="412"/>
      <c r="Y641" s="412">
        <v>300</v>
      </c>
      <c r="Z641" s="412">
        <v>300</v>
      </c>
      <c r="AA641" s="412"/>
      <c r="AB641" s="412"/>
      <c r="AC641" s="412"/>
      <c r="AD641" s="412"/>
      <c r="AE641" s="412"/>
      <c r="AF641" s="412"/>
      <c r="AG641" s="412"/>
      <c r="AH641" s="412"/>
      <c r="AI641" s="412"/>
      <c r="AJ641" s="412">
        <f t="shared" si="29"/>
        <v>600</v>
      </c>
      <c r="AK641" s="198"/>
      <c r="AL641" s="250" t="s">
        <v>2067</v>
      </c>
    </row>
    <row r="642" spans="1:39" ht="14.1" customHeight="1" x14ac:dyDescent="0.2">
      <c r="A642" t="s">
        <v>884</v>
      </c>
      <c r="B642" s="193">
        <v>4288</v>
      </c>
      <c r="C642" s="194" t="s">
        <v>859</v>
      </c>
      <c r="D642" s="229" t="s">
        <v>1404</v>
      </c>
      <c r="E642" s="229" t="s">
        <v>105</v>
      </c>
      <c r="F642" s="240">
        <v>150</v>
      </c>
      <c r="G642" s="196">
        <v>1</v>
      </c>
      <c r="H642" s="195">
        <v>150</v>
      </c>
      <c r="I642" s="197">
        <v>41315</v>
      </c>
      <c r="J642" s="197" t="str">
        <f t="shared" si="30"/>
        <v>ok</v>
      </c>
      <c r="K642" s="413"/>
      <c r="L642" s="413"/>
      <c r="M642" s="413"/>
      <c r="N642" s="413"/>
      <c r="O642" s="413"/>
      <c r="P642" s="413"/>
      <c r="Q642" s="413"/>
      <c r="R642" s="413"/>
      <c r="S642" s="413"/>
      <c r="T642" s="413"/>
      <c r="U642" s="413"/>
      <c r="V642" s="413"/>
      <c r="W642" s="413">
        <f t="shared" si="28"/>
        <v>0</v>
      </c>
      <c r="X642" s="412"/>
      <c r="Y642" s="412">
        <v>150</v>
      </c>
      <c r="Z642" s="412"/>
      <c r="AA642" s="412"/>
      <c r="AB642" s="412"/>
      <c r="AC642" s="412"/>
      <c r="AD642" s="412"/>
      <c r="AE642" s="412"/>
      <c r="AF642" s="412"/>
      <c r="AG642" s="412"/>
      <c r="AH642" s="412"/>
      <c r="AI642" s="412"/>
      <c r="AJ642" s="412">
        <f t="shared" si="29"/>
        <v>150</v>
      </c>
      <c r="AK642" s="198"/>
      <c r="AL642" s="250" t="s">
        <v>2067</v>
      </c>
    </row>
    <row r="643" spans="1:39" ht="14.1" customHeight="1" x14ac:dyDescent="0.2">
      <c r="A643" t="s">
        <v>890</v>
      </c>
      <c r="B643" s="193">
        <v>4289</v>
      </c>
      <c r="C643" s="194" t="s">
        <v>1024</v>
      </c>
      <c r="D643" s="229" t="s">
        <v>1599</v>
      </c>
      <c r="E643" s="229" t="s">
        <v>257</v>
      </c>
      <c r="F643" s="240">
        <v>100</v>
      </c>
      <c r="G643" s="196">
        <v>1</v>
      </c>
      <c r="H643" s="195">
        <v>100</v>
      </c>
      <c r="I643" s="197">
        <v>41315</v>
      </c>
      <c r="J643" s="197" t="str">
        <f t="shared" si="30"/>
        <v>ok</v>
      </c>
      <c r="K643" s="413"/>
      <c r="L643" s="413"/>
      <c r="M643" s="413"/>
      <c r="N643" s="413"/>
      <c r="O643" s="413"/>
      <c r="P643" s="413"/>
      <c r="Q643" s="413"/>
      <c r="R643" s="413"/>
      <c r="S643" s="413"/>
      <c r="T643" s="413"/>
      <c r="U643" s="413"/>
      <c r="V643" s="413"/>
      <c r="W643" s="413">
        <f t="shared" si="28"/>
        <v>0</v>
      </c>
      <c r="X643" s="412"/>
      <c r="Y643" s="412">
        <v>100</v>
      </c>
      <c r="Z643" s="412"/>
      <c r="AA643" s="412"/>
      <c r="AB643" s="412"/>
      <c r="AC643" s="412"/>
      <c r="AD643" s="412"/>
      <c r="AE643" s="412"/>
      <c r="AF643" s="412"/>
      <c r="AG643" s="412"/>
      <c r="AH643" s="412"/>
      <c r="AI643" s="412"/>
      <c r="AJ643" s="412">
        <f t="shared" si="29"/>
        <v>100</v>
      </c>
      <c r="AK643" s="198"/>
      <c r="AL643" s="250" t="s">
        <v>2067</v>
      </c>
    </row>
    <row r="644" spans="1:39" ht="14.1" customHeight="1" x14ac:dyDescent="0.2">
      <c r="A644" t="s">
        <v>893</v>
      </c>
      <c r="B644" s="193">
        <v>4290</v>
      </c>
      <c r="C644" s="194" t="s">
        <v>1111</v>
      </c>
      <c r="D644" s="229" t="s">
        <v>1600</v>
      </c>
      <c r="E644" s="229" t="s">
        <v>261</v>
      </c>
      <c r="F644" s="240">
        <v>300</v>
      </c>
      <c r="G644" s="196">
        <v>1</v>
      </c>
      <c r="H644" s="195">
        <v>2700</v>
      </c>
      <c r="I644" s="197">
        <v>41315</v>
      </c>
      <c r="J644" s="197" t="str">
        <f t="shared" si="30"/>
        <v>ok</v>
      </c>
      <c r="K644" s="413"/>
      <c r="L644" s="413"/>
      <c r="M644" s="413"/>
      <c r="N644" s="413"/>
      <c r="O644" s="413"/>
      <c r="P644" s="413"/>
      <c r="Q644" s="413"/>
      <c r="R644" s="413"/>
      <c r="S644" s="413"/>
      <c r="T644" s="413"/>
      <c r="U644" s="413"/>
      <c r="V644" s="413"/>
      <c r="W644" s="413">
        <f t="shared" si="28"/>
        <v>0</v>
      </c>
      <c r="X644" s="412"/>
      <c r="Y644" s="412"/>
      <c r="Z644" s="412">
        <v>300</v>
      </c>
      <c r="AA644" s="412">
        <v>300</v>
      </c>
      <c r="AB644" s="412">
        <v>300</v>
      </c>
      <c r="AC644" s="412">
        <v>300</v>
      </c>
      <c r="AD644" s="412">
        <v>300</v>
      </c>
      <c r="AE644" s="412">
        <v>300</v>
      </c>
      <c r="AF644" s="412">
        <v>300</v>
      </c>
      <c r="AG644" s="412">
        <v>300</v>
      </c>
      <c r="AH644" s="412">
        <v>300</v>
      </c>
      <c r="AI644" s="412"/>
      <c r="AJ644" s="412">
        <f t="shared" si="29"/>
        <v>2700</v>
      </c>
      <c r="AK644" s="198" t="s">
        <v>1246</v>
      </c>
      <c r="AL644" s="250" t="s">
        <v>2067</v>
      </c>
      <c r="AM644" s="158"/>
    </row>
    <row r="645" spans="1:39" ht="14.1" customHeight="1" x14ac:dyDescent="0.2">
      <c r="A645" t="s">
        <v>890</v>
      </c>
      <c r="B645" s="193">
        <v>4291</v>
      </c>
      <c r="C645" s="194" t="s">
        <v>1003</v>
      </c>
      <c r="D645" s="229" t="s">
        <v>1394</v>
      </c>
      <c r="E645" s="229" t="s">
        <v>493</v>
      </c>
      <c r="F645" s="240">
        <v>300</v>
      </c>
      <c r="G645" s="196">
        <v>1</v>
      </c>
      <c r="H645" s="195">
        <v>300</v>
      </c>
      <c r="I645" s="197">
        <v>41315</v>
      </c>
      <c r="J645" s="197" t="str">
        <f t="shared" si="30"/>
        <v>ok</v>
      </c>
      <c r="K645" s="413"/>
      <c r="L645" s="413"/>
      <c r="M645" s="413"/>
      <c r="N645" s="413"/>
      <c r="O645" s="413"/>
      <c r="P645" s="413"/>
      <c r="Q645" s="413"/>
      <c r="R645" s="413"/>
      <c r="S645" s="413"/>
      <c r="T645" s="413"/>
      <c r="U645" s="413"/>
      <c r="V645" s="413"/>
      <c r="W645" s="413">
        <f t="shared" si="28"/>
        <v>0</v>
      </c>
      <c r="X645" s="412"/>
      <c r="Y645" s="412">
        <v>300</v>
      </c>
      <c r="Z645" s="412"/>
      <c r="AA645" s="412"/>
      <c r="AB645" s="412"/>
      <c r="AC645" s="412"/>
      <c r="AD645" s="412"/>
      <c r="AE645" s="412"/>
      <c r="AF645" s="412"/>
      <c r="AG645" s="412"/>
      <c r="AH645" s="412"/>
      <c r="AI645" s="412"/>
      <c r="AJ645" s="412">
        <f t="shared" si="29"/>
        <v>300</v>
      </c>
      <c r="AK645" s="198"/>
      <c r="AL645" s="250" t="s">
        <v>2067</v>
      </c>
    </row>
    <row r="646" spans="1:39" ht="14.1" customHeight="1" x14ac:dyDescent="0.2">
      <c r="A646" t="s">
        <v>888</v>
      </c>
      <c r="B646" s="193">
        <v>4292</v>
      </c>
      <c r="C646" s="194" t="s">
        <v>942</v>
      </c>
      <c r="D646" s="229" t="s">
        <v>1473</v>
      </c>
      <c r="E646" s="229" t="s">
        <v>401</v>
      </c>
      <c r="F646" s="240">
        <v>300</v>
      </c>
      <c r="G646" s="196">
        <v>1</v>
      </c>
      <c r="H646" s="195">
        <v>600</v>
      </c>
      <c r="I646" s="197">
        <v>41315</v>
      </c>
      <c r="J646" s="197" t="str">
        <f t="shared" si="30"/>
        <v>ok</v>
      </c>
      <c r="K646" s="413"/>
      <c r="L646" s="413"/>
      <c r="M646" s="413"/>
      <c r="N646" s="413"/>
      <c r="O646" s="413"/>
      <c r="P646" s="413"/>
      <c r="Q646" s="413"/>
      <c r="R646" s="413"/>
      <c r="S646" s="413"/>
      <c r="T646" s="413"/>
      <c r="U646" s="413"/>
      <c r="V646" s="413"/>
      <c r="W646" s="413">
        <f t="shared" si="28"/>
        <v>0</v>
      </c>
      <c r="X646" s="412"/>
      <c r="Y646" s="412">
        <v>300</v>
      </c>
      <c r="Z646" s="412">
        <v>300</v>
      </c>
      <c r="AA646" s="412"/>
      <c r="AB646" s="412"/>
      <c r="AC646" s="412"/>
      <c r="AD646" s="412"/>
      <c r="AE646" s="412"/>
      <c r="AF646" s="412"/>
      <c r="AG646" s="412"/>
      <c r="AH646" s="412"/>
      <c r="AI646" s="412"/>
      <c r="AJ646" s="412">
        <f t="shared" si="29"/>
        <v>600</v>
      </c>
      <c r="AK646" s="198"/>
      <c r="AL646" s="250" t="s">
        <v>2067</v>
      </c>
    </row>
    <row r="647" spans="1:39" ht="14.1" customHeight="1" x14ac:dyDescent="0.2">
      <c r="A647" t="s">
        <v>893</v>
      </c>
      <c r="B647" s="193">
        <v>4293</v>
      </c>
      <c r="C647" s="194" t="s">
        <v>1120</v>
      </c>
      <c r="D647" s="229" t="s">
        <v>1601</v>
      </c>
      <c r="E647" s="229" t="s">
        <v>276</v>
      </c>
      <c r="F647" s="240">
        <v>300</v>
      </c>
      <c r="G647" s="196">
        <v>1</v>
      </c>
      <c r="H647" s="195">
        <v>900</v>
      </c>
      <c r="I647" s="197">
        <v>41315</v>
      </c>
      <c r="J647" s="197" t="str">
        <f t="shared" si="30"/>
        <v>ok</v>
      </c>
      <c r="K647" s="413"/>
      <c r="L647" s="413"/>
      <c r="M647" s="413"/>
      <c r="N647" s="413"/>
      <c r="O647" s="413"/>
      <c r="P647" s="413"/>
      <c r="Q647" s="413"/>
      <c r="R647" s="413"/>
      <c r="S647" s="413"/>
      <c r="T647" s="413"/>
      <c r="U647" s="413"/>
      <c r="V647" s="413"/>
      <c r="W647" s="413">
        <f t="shared" ref="W647:W710" si="31">SUM(K647:V647)</f>
        <v>0</v>
      </c>
      <c r="X647" s="412"/>
      <c r="Y647" s="412">
        <v>300</v>
      </c>
      <c r="Z647" s="412">
        <v>300</v>
      </c>
      <c r="AA647" s="412">
        <v>300</v>
      </c>
      <c r="AB647" s="412"/>
      <c r="AC647" s="412"/>
      <c r="AD647" s="412"/>
      <c r="AE647" s="412"/>
      <c r="AF647" s="412"/>
      <c r="AG647" s="412"/>
      <c r="AH647" s="412"/>
      <c r="AI647" s="412"/>
      <c r="AJ647" s="412">
        <f t="shared" ref="AJ647:AJ710" si="32">SUM(X647:AI647)</f>
        <v>900</v>
      </c>
      <c r="AK647" s="198"/>
      <c r="AL647" s="250" t="s">
        <v>2067</v>
      </c>
    </row>
    <row r="648" spans="1:39" ht="14.1" customHeight="1" x14ac:dyDescent="0.2">
      <c r="A648" t="s">
        <v>888</v>
      </c>
      <c r="B648" s="193">
        <v>4294</v>
      </c>
      <c r="C648" s="194" t="s">
        <v>925</v>
      </c>
      <c r="D648" s="229" t="s">
        <v>1371</v>
      </c>
      <c r="E648" s="229" t="s">
        <v>373</v>
      </c>
      <c r="F648" s="240">
        <v>300</v>
      </c>
      <c r="G648" s="196">
        <v>1</v>
      </c>
      <c r="H648" s="195">
        <v>300</v>
      </c>
      <c r="I648" s="197">
        <v>41315</v>
      </c>
      <c r="J648" s="197" t="str">
        <f t="shared" si="30"/>
        <v>ok</v>
      </c>
      <c r="K648" s="413"/>
      <c r="L648" s="413"/>
      <c r="M648" s="413"/>
      <c r="N648" s="413"/>
      <c r="O648" s="413"/>
      <c r="P648" s="413"/>
      <c r="Q648" s="413"/>
      <c r="R648" s="413"/>
      <c r="S648" s="413"/>
      <c r="T648" s="413"/>
      <c r="U648" s="413"/>
      <c r="V648" s="413"/>
      <c r="W648" s="413">
        <f t="shared" si="31"/>
        <v>0</v>
      </c>
      <c r="X648" s="412"/>
      <c r="Y648" s="412">
        <v>300</v>
      </c>
      <c r="Z648" s="412"/>
      <c r="AA648" s="412"/>
      <c r="AB648" s="412"/>
      <c r="AC648" s="412"/>
      <c r="AD648" s="412"/>
      <c r="AE648" s="412"/>
      <c r="AF648" s="412"/>
      <c r="AG648" s="412"/>
      <c r="AH648" s="412"/>
      <c r="AI648" s="412"/>
      <c r="AJ648" s="412">
        <f t="shared" si="32"/>
        <v>300</v>
      </c>
      <c r="AK648" s="198"/>
      <c r="AL648" s="250" t="s">
        <v>2067</v>
      </c>
    </row>
    <row r="649" spans="1:39" ht="14.1" customHeight="1" x14ac:dyDescent="0.2">
      <c r="A649" t="s">
        <v>888</v>
      </c>
      <c r="B649" s="193">
        <v>4295</v>
      </c>
      <c r="C649" s="194" t="s">
        <v>946</v>
      </c>
      <c r="D649" s="229" t="s">
        <v>1602</v>
      </c>
      <c r="E649" s="229" t="s">
        <v>409</v>
      </c>
      <c r="F649" s="240">
        <v>300</v>
      </c>
      <c r="G649" s="196">
        <v>1</v>
      </c>
      <c r="H649" s="195">
        <v>600</v>
      </c>
      <c r="I649" s="197">
        <v>41315</v>
      </c>
      <c r="J649" s="197" t="str">
        <f t="shared" si="30"/>
        <v>ok</v>
      </c>
      <c r="K649" s="413"/>
      <c r="L649" s="413"/>
      <c r="M649" s="413"/>
      <c r="N649" s="413"/>
      <c r="O649" s="413"/>
      <c r="P649" s="413"/>
      <c r="Q649" s="413"/>
      <c r="R649" s="413"/>
      <c r="S649" s="413"/>
      <c r="T649" s="413"/>
      <c r="U649" s="413"/>
      <c r="V649" s="413"/>
      <c r="W649" s="413">
        <f t="shared" si="31"/>
        <v>0</v>
      </c>
      <c r="X649" s="412">
        <v>300</v>
      </c>
      <c r="Y649" s="412">
        <v>300</v>
      </c>
      <c r="Z649" s="412"/>
      <c r="AA649" s="412"/>
      <c r="AB649" s="412"/>
      <c r="AC649" s="412"/>
      <c r="AD649" s="412"/>
      <c r="AE649" s="412"/>
      <c r="AF649" s="412"/>
      <c r="AG649" s="412"/>
      <c r="AH649" s="412"/>
      <c r="AI649" s="412"/>
      <c r="AJ649" s="412">
        <f t="shared" si="32"/>
        <v>600</v>
      </c>
      <c r="AK649" s="198"/>
      <c r="AL649" s="250" t="s">
        <v>2067</v>
      </c>
    </row>
    <row r="650" spans="1:39" ht="14.1" customHeight="1" x14ac:dyDescent="0.2">
      <c r="A650" t="s">
        <v>890</v>
      </c>
      <c r="B650" s="193">
        <v>4296</v>
      </c>
      <c r="C650" s="194" t="s">
        <v>1033</v>
      </c>
      <c r="D650" s="229" t="s">
        <v>1366</v>
      </c>
      <c r="E650" s="229" t="s">
        <v>1218</v>
      </c>
      <c r="F650" s="240">
        <v>300</v>
      </c>
      <c r="G650" s="196">
        <v>1</v>
      </c>
      <c r="H650" s="195">
        <v>300</v>
      </c>
      <c r="I650" s="197">
        <v>41316</v>
      </c>
      <c r="J650" s="197" t="str">
        <f t="shared" si="30"/>
        <v>ok</v>
      </c>
      <c r="K650" s="413"/>
      <c r="L650" s="413"/>
      <c r="M650" s="413"/>
      <c r="N650" s="413"/>
      <c r="O650" s="413"/>
      <c r="P650" s="413"/>
      <c r="Q650" s="413"/>
      <c r="R650" s="413"/>
      <c r="S650" s="413"/>
      <c r="T650" s="413"/>
      <c r="U650" s="413"/>
      <c r="V650" s="413"/>
      <c r="W650" s="413">
        <f t="shared" si="31"/>
        <v>0</v>
      </c>
      <c r="X650" s="412"/>
      <c r="Y650" s="412">
        <v>300</v>
      </c>
      <c r="Z650" s="412"/>
      <c r="AA650" s="412"/>
      <c r="AB650" s="412"/>
      <c r="AC650" s="412"/>
      <c r="AD650" s="412"/>
      <c r="AE650" s="412"/>
      <c r="AF650" s="412"/>
      <c r="AG650" s="412"/>
      <c r="AH650" s="412"/>
      <c r="AI650" s="412"/>
      <c r="AJ650" s="412">
        <f t="shared" si="32"/>
        <v>300</v>
      </c>
      <c r="AK650" s="198"/>
      <c r="AL650" s="250" t="s">
        <v>2067</v>
      </c>
    </row>
    <row r="651" spans="1:39" ht="14.1" customHeight="1" x14ac:dyDescent="0.2">
      <c r="A651" t="s">
        <v>888</v>
      </c>
      <c r="B651" s="193">
        <v>4297</v>
      </c>
      <c r="C651" s="194" t="s">
        <v>948</v>
      </c>
      <c r="D651" s="229" t="s">
        <v>1504</v>
      </c>
      <c r="E651" s="229" t="s">
        <v>325</v>
      </c>
      <c r="F651" s="240">
        <v>300</v>
      </c>
      <c r="G651" s="196">
        <v>1</v>
      </c>
      <c r="H651" s="195">
        <v>300</v>
      </c>
      <c r="I651" s="197">
        <v>41316</v>
      </c>
      <c r="J651" s="197" t="str">
        <f t="shared" si="30"/>
        <v>ok</v>
      </c>
      <c r="K651" s="413"/>
      <c r="L651" s="413"/>
      <c r="M651" s="413"/>
      <c r="N651" s="413"/>
      <c r="O651" s="413"/>
      <c r="P651" s="413"/>
      <c r="Q651" s="413"/>
      <c r="R651" s="413"/>
      <c r="S651" s="413"/>
      <c r="T651" s="413"/>
      <c r="U651" s="413"/>
      <c r="V651" s="413"/>
      <c r="W651" s="413">
        <f t="shared" si="31"/>
        <v>0</v>
      </c>
      <c r="X651" s="412"/>
      <c r="Y651" s="412">
        <v>300</v>
      </c>
      <c r="Z651" s="412"/>
      <c r="AA651" s="412"/>
      <c r="AB651" s="412"/>
      <c r="AC651" s="412"/>
      <c r="AD651" s="412"/>
      <c r="AE651" s="412"/>
      <c r="AF651" s="412"/>
      <c r="AG651" s="412"/>
      <c r="AH651" s="412"/>
      <c r="AI651" s="412"/>
      <c r="AJ651" s="412">
        <f t="shared" si="32"/>
        <v>300</v>
      </c>
      <c r="AK651" s="198"/>
      <c r="AL651" s="250" t="s">
        <v>2067</v>
      </c>
    </row>
    <row r="652" spans="1:39" ht="14.1" customHeight="1" x14ac:dyDescent="0.2">
      <c r="A652" t="s">
        <v>893</v>
      </c>
      <c r="B652" s="193">
        <v>4298</v>
      </c>
      <c r="C652" s="194" t="s">
        <v>1107</v>
      </c>
      <c r="D652" s="229" t="s">
        <v>1453</v>
      </c>
      <c r="E652" s="229" t="s">
        <v>255</v>
      </c>
      <c r="F652" s="240">
        <v>300</v>
      </c>
      <c r="G652" s="196">
        <v>1</v>
      </c>
      <c r="H652" s="195">
        <v>300</v>
      </c>
      <c r="I652" s="197">
        <v>41316</v>
      </c>
      <c r="J652" s="197" t="str">
        <f t="shared" si="30"/>
        <v>ok</v>
      </c>
      <c r="K652" s="413"/>
      <c r="L652" s="413"/>
      <c r="M652" s="413"/>
      <c r="N652" s="413"/>
      <c r="O652" s="413"/>
      <c r="P652" s="413"/>
      <c r="Q652" s="413"/>
      <c r="R652" s="413"/>
      <c r="S652" s="413"/>
      <c r="T652" s="413"/>
      <c r="U652" s="413"/>
      <c r="V652" s="413"/>
      <c r="W652" s="413">
        <f t="shared" si="31"/>
        <v>0</v>
      </c>
      <c r="X652" s="412"/>
      <c r="Y652" s="412">
        <v>300</v>
      </c>
      <c r="Z652" s="412"/>
      <c r="AA652" s="412"/>
      <c r="AB652" s="412"/>
      <c r="AC652" s="412"/>
      <c r="AD652" s="412"/>
      <c r="AE652" s="412"/>
      <c r="AF652" s="412"/>
      <c r="AG652" s="412"/>
      <c r="AH652" s="412"/>
      <c r="AI652" s="412"/>
      <c r="AJ652" s="412">
        <f t="shared" si="32"/>
        <v>300</v>
      </c>
      <c r="AK652" s="198"/>
      <c r="AL652" s="250" t="s">
        <v>2067</v>
      </c>
    </row>
    <row r="653" spans="1:39" ht="14.1" customHeight="1" x14ac:dyDescent="0.2">
      <c r="A653" t="s">
        <v>893</v>
      </c>
      <c r="B653" s="193">
        <v>4299</v>
      </c>
      <c r="C653" s="194" t="s">
        <v>1116</v>
      </c>
      <c r="D653" s="229" t="s">
        <v>1603</v>
      </c>
      <c r="E653" s="229" t="s">
        <v>269</v>
      </c>
      <c r="F653" s="240">
        <v>300</v>
      </c>
      <c r="G653" s="196">
        <v>1</v>
      </c>
      <c r="H653" s="195">
        <v>600</v>
      </c>
      <c r="I653" s="197">
        <v>41317</v>
      </c>
      <c r="J653" s="197" t="str">
        <f t="shared" si="30"/>
        <v>ok</v>
      </c>
      <c r="K653" s="413"/>
      <c r="L653" s="413"/>
      <c r="M653" s="413"/>
      <c r="N653" s="413"/>
      <c r="O653" s="413"/>
      <c r="P653" s="413"/>
      <c r="Q653" s="413"/>
      <c r="R653" s="413"/>
      <c r="S653" s="413"/>
      <c r="T653" s="413"/>
      <c r="U653" s="413"/>
      <c r="V653" s="413"/>
      <c r="W653" s="413">
        <f t="shared" si="31"/>
        <v>0</v>
      </c>
      <c r="X653" s="412"/>
      <c r="Y653" s="412">
        <v>300</v>
      </c>
      <c r="Z653" s="412">
        <v>300</v>
      </c>
      <c r="AA653" s="412"/>
      <c r="AB653" s="412"/>
      <c r="AC653" s="412"/>
      <c r="AD653" s="412"/>
      <c r="AE653" s="412"/>
      <c r="AF653" s="412"/>
      <c r="AG653" s="412"/>
      <c r="AH653" s="412"/>
      <c r="AI653" s="412"/>
      <c r="AJ653" s="412">
        <f t="shared" si="32"/>
        <v>600</v>
      </c>
      <c r="AK653" s="198"/>
      <c r="AL653" s="250" t="s">
        <v>2067</v>
      </c>
    </row>
    <row r="654" spans="1:39" ht="14.1" customHeight="1" x14ac:dyDescent="0.2">
      <c r="A654" t="s">
        <v>888</v>
      </c>
      <c r="B654" s="193">
        <v>4300</v>
      </c>
      <c r="C654" s="194" t="s">
        <v>953</v>
      </c>
      <c r="D654" s="229" t="s">
        <v>1604</v>
      </c>
      <c r="E654" s="229" t="s">
        <v>1261</v>
      </c>
      <c r="F654" s="240">
        <v>150</v>
      </c>
      <c r="G654" s="196">
        <v>1</v>
      </c>
      <c r="H654" s="195">
        <v>150</v>
      </c>
      <c r="I654" s="197">
        <v>41319</v>
      </c>
      <c r="J654" s="197" t="str">
        <f t="shared" ref="J654:J717" si="33">IF(OR(G654&lt;&gt;1,SUM(W654,AJ654)=H654),"ok","error")</f>
        <v>ok</v>
      </c>
      <c r="K654" s="413"/>
      <c r="L654" s="413"/>
      <c r="M654" s="413"/>
      <c r="N654" s="413"/>
      <c r="O654" s="413"/>
      <c r="P654" s="413"/>
      <c r="Q654" s="413"/>
      <c r="R654" s="413"/>
      <c r="S654" s="413"/>
      <c r="T654" s="413"/>
      <c r="U654" s="413"/>
      <c r="V654" s="413"/>
      <c r="W654" s="413">
        <f t="shared" si="31"/>
        <v>0</v>
      </c>
      <c r="X654" s="412">
        <v>150</v>
      </c>
      <c r="Y654" s="412"/>
      <c r="Z654" s="412"/>
      <c r="AA654" s="412"/>
      <c r="AB654" s="412"/>
      <c r="AC654" s="412"/>
      <c r="AD654" s="412"/>
      <c r="AE654" s="412"/>
      <c r="AF654" s="412"/>
      <c r="AG654" s="412"/>
      <c r="AH654" s="412"/>
      <c r="AI654" s="412"/>
      <c r="AJ654" s="412">
        <f t="shared" si="32"/>
        <v>150</v>
      </c>
      <c r="AK654" s="198"/>
      <c r="AL654" s="250" t="s">
        <v>2067</v>
      </c>
    </row>
    <row r="655" spans="1:39" ht="14.1" customHeight="1" x14ac:dyDescent="0.2">
      <c r="A655" t="s">
        <v>890</v>
      </c>
      <c r="B655" s="193">
        <v>4301</v>
      </c>
      <c r="C655" s="194" t="s">
        <v>1034</v>
      </c>
      <c r="D655" s="229" t="s">
        <v>1532</v>
      </c>
      <c r="E655" s="229" t="s">
        <v>539</v>
      </c>
      <c r="F655" s="240">
        <v>300</v>
      </c>
      <c r="G655" s="196">
        <v>1</v>
      </c>
      <c r="H655" s="195">
        <v>3000</v>
      </c>
      <c r="I655" s="197">
        <v>41318</v>
      </c>
      <c r="J655" s="197" t="str">
        <f t="shared" si="33"/>
        <v>ok</v>
      </c>
      <c r="K655" s="413"/>
      <c r="L655" s="413"/>
      <c r="M655" s="413"/>
      <c r="N655" s="413"/>
      <c r="O655" s="413"/>
      <c r="P655" s="413"/>
      <c r="Q655" s="413"/>
      <c r="R655" s="413"/>
      <c r="S655" s="413"/>
      <c r="T655" s="413"/>
      <c r="U655" s="413"/>
      <c r="V655" s="413"/>
      <c r="W655" s="413">
        <f t="shared" si="31"/>
        <v>0</v>
      </c>
      <c r="X655" s="412"/>
      <c r="Y655" s="412">
        <v>300</v>
      </c>
      <c r="Z655" s="412">
        <v>300</v>
      </c>
      <c r="AA655" s="412">
        <v>300</v>
      </c>
      <c r="AB655" s="412">
        <v>300</v>
      </c>
      <c r="AC655" s="412">
        <v>300</v>
      </c>
      <c r="AD655" s="412">
        <v>300</v>
      </c>
      <c r="AE655" s="412">
        <v>300</v>
      </c>
      <c r="AF655" s="412">
        <v>300</v>
      </c>
      <c r="AG655" s="412">
        <v>300</v>
      </c>
      <c r="AH655" s="412">
        <v>300</v>
      </c>
      <c r="AI655" s="412"/>
      <c r="AJ655" s="412">
        <f t="shared" si="32"/>
        <v>3000</v>
      </c>
      <c r="AK655" s="198" t="s">
        <v>1246</v>
      </c>
      <c r="AL655" s="250" t="s">
        <v>2067</v>
      </c>
      <c r="AM655" s="158"/>
    </row>
    <row r="656" spans="1:39" ht="14.1" customHeight="1" x14ac:dyDescent="0.2">
      <c r="A656" t="s">
        <v>890</v>
      </c>
      <c r="B656" s="193">
        <v>4302</v>
      </c>
      <c r="C656" s="194" t="s">
        <v>1034</v>
      </c>
      <c r="D656" s="229" t="s">
        <v>1532</v>
      </c>
      <c r="E656" s="229" t="s">
        <v>539</v>
      </c>
      <c r="F656" s="240">
        <v>300</v>
      </c>
      <c r="G656" s="196">
        <v>3</v>
      </c>
      <c r="H656" s="195">
        <v>150</v>
      </c>
      <c r="I656" s="197">
        <v>41318</v>
      </c>
      <c r="J656" s="197" t="str">
        <f t="shared" si="33"/>
        <v>ok</v>
      </c>
      <c r="K656" s="413"/>
      <c r="L656" s="413"/>
      <c r="M656" s="413"/>
      <c r="N656" s="413"/>
      <c r="O656" s="413"/>
      <c r="P656" s="413"/>
      <c r="Q656" s="413"/>
      <c r="R656" s="413"/>
      <c r="S656" s="413"/>
      <c r="T656" s="413"/>
      <c r="U656" s="413"/>
      <c r="V656" s="413"/>
      <c r="W656" s="413">
        <f t="shared" si="31"/>
        <v>0</v>
      </c>
      <c r="X656" s="412"/>
      <c r="Y656" s="412"/>
      <c r="Z656" s="412"/>
      <c r="AA656" s="412"/>
      <c r="AB656" s="412"/>
      <c r="AC656" s="412"/>
      <c r="AD656" s="412"/>
      <c r="AE656" s="412"/>
      <c r="AF656" s="412"/>
      <c r="AG656" s="412"/>
      <c r="AH656" s="412"/>
      <c r="AI656" s="412"/>
      <c r="AJ656" s="412">
        <f t="shared" si="32"/>
        <v>0</v>
      </c>
      <c r="AK656" s="198"/>
      <c r="AL656" s="250" t="s">
        <v>2068</v>
      </c>
    </row>
    <row r="657" spans="1:38" ht="14.1" customHeight="1" x14ac:dyDescent="0.2">
      <c r="A657" t="s">
        <v>888</v>
      </c>
      <c r="B657" s="193">
        <v>4303</v>
      </c>
      <c r="C657" s="194" t="s">
        <v>1703</v>
      </c>
      <c r="D657" s="229" t="s">
        <v>1450</v>
      </c>
      <c r="E657" s="229" t="s">
        <v>428</v>
      </c>
      <c r="F657" s="240">
        <v>10000</v>
      </c>
      <c r="G657" s="196">
        <v>3</v>
      </c>
      <c r="H657" s="195">
        <v>160</v>
      </c>
      <c r="I657" s="197">
        <v>41319</v>
      </c>
      <c r="J657" s="197" t="str">
        <f t="shared" si="33"/>
        <v>ok</v>
      </c>
      <c r="K657" s="413"/>
      <c r="L657" s="413"/>
      <c r="M657" s="413"/>
      <c r="N657" s="413"/>
      <c r="O657" s="413"/>
      <c r="P657" s="413"/>
      <c r="Q657" s="413"/>
      <c r="R657" s="413"/>
      <c r="S657" s="413"/>
      <c r="T657" s="413"/>
      <c r="U657" s="413"/>
      <c r="V657" s="413"/>
      <c r="W657" s="413">
        <f t="shared" si="31"/>
        <v>0</v>
      </c>
      <c r="X657" s="412"/>
      <c r="Y657" s="412"/>
      <c r="Z657" s="412"/>
      <c r="AA657" s="412"/>
      <c r="AB657" s="412"/>
      <c r="AC657" s="412"/>
      <c r="AD657" s="412"/>
      <c r="AE657" s="412"/>
      <c r="AF657" s="412"/>
      <c r="AG657" s="412"/>
      <c r="AH657" s="412"/>
      <c r="AI657" s="412"/>
      <c r="AJ657" s="412">
        <f t="shared" si="32"/>
        <v>0</v>
      </c>
      <c r="AK657" s="198"/>
      <c r="AL657" s="250" t="s">
        <v>2068</v>
      </c>
    </row>
    <row r="658" spans="1:38" ht="14.1" customHeight="1" x14ac:dyDescent="0.2">
      <c r="A658" t="s">
        <v>894</v>
      </c>
      <c r="B658" s="193">
        <v>4304</v>
      </c>
      <c r="C658" s="194" t="s">
        <v>1153</v>
      </c>
      <c r="D658" s="229" t="s">
        <v>1436</v>
      </c>
      <c r="E658" s="229" t="s">
        <v>191</v>
      </c>
      <c r="F658" s="240">
        <v>400</v>
      </c>
      <c r="G658" s="196">
        <v>1</v>
      </c>
      <c r="H658" s="195">
        <v>400</v>
      </c>
      <c r="I658" s="197">
        <v>41320</v>
      </c>
      <c r="J658" s="197" t="str">
        <f t="shared" si="33"/>
        <v>ok</v>
      </c>
      <c r="K658" s="413"/>
      <c r="L658" s="413"/>
      <c r="M658" s="413"/>
      <c r="N658" s="413"/>
      <c r="O658" s="413"/>
      <c r="P658" s="413"/>
      <c r="Q658" s="413"/>
      <c r="R658" s="413"/>
      <c r="S658" s="413"/>
      <c r="T658" s="413"/>
      <c r="U658" s="413"/>
      <c r="V658" s="413"/>
      <c r="W658" s="413">
        <f t="shared" si="31"/>
        <v>0</v>
      </c>
      <c r="X658" s="412"/>
      <c r="Y658" s="412">
        <v>400</v>
      </c>
      <c r="Z658" s="412"/>
      <c r="AA658" s="412"/>
      <c r="AB658" s="412"/>
      <c r="AC658" s="412"/>
      <c r="AD658" s="412"/>
      <c r="AE658" s="412"/>
      <c r="AF658" s="412"/>
      <c r="AG658" s="412"/>
      <c r="AH658" s="412"/>
      <c r="AI658" s="412"/>
      <c r="AJ658" s="412">
        <f t="shared" si="32"/>
        <v>400</v>
      </c>
      <c r="AK658" s="198"/>
      <c r="AL658" s="250" t="s">
        <v>2067</v>
      </c>
    </row>
    <row r="659" spans="1:38" ht="14.1" customHeight="1" x14ac:dyDescent="0.2">
      <c r="A659" t="s">
        <v>893</v>
      </c>
      <c r="B659" s="193">
        <v>4305</v>
      </c>
      <c r="C659" s="194" t="s">
        <v>1141</v>
      </c>
      <c r="D659" s="229" t="s">
        <v>1437</v>
      </c>
      <c r="E659" s="229" t="s">
        <v>716</v>
      </c>
      <c r="F659" s="240">
        <v>300</v>
      </c>
      <c r="G659" s="196">
        <v>1</v>
      </c>
      <c r="H659" s="195">
        <v>300</v>
      </c>
      <c r="I659" s="197">
        <v>41320</v>
      </c>
      <c r="J659" s="197" t="str">
        <f t="shared" si="33"/>
        <v>ok</v>
      </c>
      <c r="K659" s="413"/>
      <c r="L659" s="413"/>
      <c r="M659" s="413"/>
      <c r="N659" s="413"/>
      <c r="O659" s="413"/>
      <c r="P659" s="413"/>
      <c r="Q659" s="413"/>
      <c r="R659" s="413"/>
      <c r="S659" s="413"/>
      <c r="T659" s="413"/>
      <c r="U659" s="413"/>
      <c r="V659" s="413"/>
      <c r="W659" s="413">
        <f t="shared" si="31"/>
        <v>0</v>
      </c>
      <c r="X659" s="412"/>
      <c r="Y659" s="412">
        <v>300</v>
      </c>
      <c r="Z659" s="412"/>
      <c r="AA659" s="412"/>
      <c r="AB659" s="412"/>
      <c r="AC659" s="412"/>
      <c r="AD659" s="412"/>
      <c r="AE659" s="412"/>
      <c r="AF659" s="412"/>
      <c r="AG659" s="412"/>
      <c r="AH659" s="412"/>
      <c r="AI659" s="412"/>
      <c r="AJ659" s="412">
        <f t="shared" si="32"/>
        <v>300</v>
      </c>
      <c r="AK659" s="198"/>
      <c r="AL659" s="250" t="s">
        <v>2067</v>
      </c>
    </row>
    <row r="660" spans="1:38" ht="14.1" customHeight="1" x14ac:dyDescent="0.2">
      <c r="A660" t="s">
        <v>893</v>
      </c>
      <c r="B660" s="193">
        <v>4306</v>
      </c>
      <c r="C660" s="194" t="s">
        <v>1144</v>
      </c>
      <c r="D660" s="229" t="s">
        <v>1605</v>
      </c>
      <c r="E660" s="229" t="s">
        <v>1223</v>
      </c>
      <c r="F660" s="240">
        <v>300</v>
      </c>
      <c r="G660" s="196">
        <v>1</v>
      </c>
      <c r="H660" s="195">
        <v>1500</v>
      </c>
      <c r="I660" s="197">
        <v>41320</v>
      </c>
      <c r="J660" s="197" t="str">
        <f t="shared" si="33"/>
        <v>ok</v>
      </c>
      <c r="K660" s="413"/>
      <c r="L660" s="413"/>
      <c r="M660" s="413"/>
      <c r="N660" s="413"/>
      <c r="O660" s="413"/>
      <c r="P660" s="413"/>
      <c r="Q660" s="413"/>
      <c r="R660" s="413"/>
      <c r="S660" s="413"/>
      <c r="T660" s="413"/>
      <c r="U660" s="413"/>
      <c r="V660" s="413"/>
      <c r="W660" s="413">
        <f t="shared" si="31"/>
        <v>0</v>
      </c>
      <c r="X660" s="412">
        <v>300</v>
      </c>
      <c r="Y660" s="412">
        <v>300</v>
      </c>
      <c r="Z660" s="412">
        <v>300</v>
      </c>
      <c r="AA660" s="412">
        <v>300</v>
      </c>
      <c r="AB660" s="412">
        <v>300</v>
      </c>
      <c r="AC660" s="412"/>
      <c r="AD660" s="412"/>
      <c r="AE660" s="412"/>
      <c r="AF660" s="412"/>
      <c r="AG660" s="412"/>
      <c r="AH660" s="412"/>
      <c r="AI660" s="412"/>
      <c r="AJ660" s="412">
        <f t="shared" si="32"/>
        <v>1500</v>
      </c>
      <c r="AK660" s="198"/>
      <c r="AL660" s="250" t="s">
        <v>2067</v>
      </c>
    </row>
    <row r="661" spans="1:38" ht="14.1" customHeight="1" x14ac:dyDescent="0.2">
      <c r="A661" t="s">
        <v>884</v>
      </c>
      <c r="B661" s="193">
        <v>4307</v>
      </c>
      <c r="C661" s="194" t="s">
        <v>824</v>
      </c>
      <c r="D661" s="229" t="s">
        <v>1506</v>
      </c>
      <c r="E661" s="229" t="s">
        <v>1570</v>
      </c>
      <c r="F661" s="240">
        <v>300</v>
      </c>
      <c r="G661" s="196">
        <v>1</v>
      </c>
      <c r="H661" s="195">
        <v>300</v>
      </c>
      <c r="I661" s="197">
        <v>41322</v>
      </c>
      <c r="J661" s="197" t="str">
        <f t="shared" si="33"/>
        <v>ok</v>
      </c>
      <c r="K661" s="413"/>
      <c r="L661" s="413"/>
      <c r="M661" s="413"/>
      <c r="N661" s="413"/>
      <c r="O661" s="413"/>
      <c r="P661" s="413"/>
      <c r="Q661" s="413"/>
      <c r="R661" s="413"/>
      <c r="S661" s="413"/>
      <c r="T661" s="413"/>
      <c r="U661" s="413"/>
      <c r="V661" s="413"/>
      <c r="W661" s="413">
        <f t="shared" si="31"/>
        <v>0</v>
      </c>
      <c r="X661" s="412"/>
      <c r="Y661" s="412">
        <v>300</v>
      </c>
      <c r="Z661" s="412"/>
      <c r="AA661" s="412"/>
      <c r="AB661" s="412"/>
      <c r="AC661" s="412"/>
      <c r="AD661" s="412"/>
      <c r="AE661" s="412"/>
      <c r="AF661" s="412"/>
      <c r="AG661" s="412"/>
      <c r="AH661" s="412"/>
      <c r="AI661" s="412"/>
      <c r="AJ661" s="412">
        <f t="shared" si="32"/>
        <v>300</v>
      </c>
      <c r="AK661" s="198"/>
      <c r="AL661" s="250" t="s">
        <v>2067</v>
      </c>
    </row>
    <row r="662" spans="1:38" ht="14.1" customHeight="1" x14ac:dyDescent="0.2">
      <c r="A662" t="s">
        <v>888</v>
      </c>
      <c r="B662" s="193">
        <v>4308</v>
      </c>
      <c r="C662" s="194" t="s">
        <v>910</v>
      </c>
      <c r="D662" s="229" t="s">
        <v>1514</v>
      </c>
      <c r="E662" s="229" t="s">
        <v>1262</v>
      </c>
      <c r="F662" s="240">
        <v>150</v>
      </c>
      <c r="G662" s="196">
        <v>1</v>
      </c>
      <c r="H662" s="195">
        <v>150</v>
      </c>
      <c r="I662" s="197">
        <v>41322</v>
      </c>
      <c r="J662" s="197" t="str">
        <f t="shared" si="33"/>
        <v>ok</v>
      </c>
      <c r="K662" s="413"/>
      <c r="L662" s="413"/>
      <c r="M662" s="413"/>
      <c r="N662" s="413"/>
      <c r="O662" s="413"/>
      <c r="P662" s="413"/>
      <c r="Q662" s="413"/>
      <c r="R662" s="413"/>
      <c r="S662" s="413"/>
      <c r="T662" s="413"/>
      <c r="U662" s="413"/>
      <c r="V662" s="413"/>
      <c r="W662" s="413">
        <f t="shared" si="31"/>
        <v>0</v>
      </c>
      <c r="X662" s="412"/>
      <c r="Y662" s="412">
        <v>150</v>
      </c>
      <c r="Z662" s="412"/>
      <c r="AA662" s="412"/>
      <c r="AB662" s="412"/>
      <c r="AC662" s="412"/>
      <c r="AD662" s="412"/>
      <c r="AE662" s="412"/>
      <c r="AF662" s="412"/>
      <c r="AG662" s="412"/>
      <c r="AH662" s="412"/>
      <c r="AI662" s="412"/>
      <c r="AJ662" s="412">
        <f t="shared" si="32"/>
        <v>150</v>
      </c>
      <c r="AK662" s="198"/>
      <c r="AL662" s="250" t="s">
        <v>2067</v>
      </c>
    </row>
    <row r="663" spans="1:38" ht="14.1" customHeight="1" x14ac:dyDescent="0.2">
      <c r="A663" t="s">
        <v>884</v>
      </c>
      <c r="B663" s="193">
        <v>4309</v>
      </c>
      <c r="C663" s="194" t="s">
        <v>788</v>
      </c>
      <c r="D663" s="229" t="s">
        <v>1468</v>
      </c>
      <c r="E663" s="229" t="s">
        <v>1269</v>
      </c>
      <c r="F663" s="240">
        <v>300</v>
      </c>
      <c r="G663" s="196">
        <v>1</v>
      </c>
      <c r="H663" s="195">
        <v>300</v>
      </c>
      <c r="I663" s="197">
        <v>41322</v>
      </c>
      <c r="J663" s="197" t="str">
        <f t="shared" si="33"/>
        <v>ok</v>
      </c>
      <c r="K663" s="413"/>
      <c r="L663" s="413"/>
      <c r="M663" s="413"/>
      <c r="N663" s="413"/>
      <c r="O663" s="413"/>
      <c r="P663" s="413"/>
      <c r="Q663" s="413"/>
      <c r="R663" s="413"/>
      <c r="S663" s="413"/>
      <c r="T663" s="413"/>
      <c r="U663" s="413"/>
      <c r="V663" s="413"/>
      <c r="W663" s="413">
        <f t="shared" si="31"/>
        <v>0</v>
      </c>
      <c r="X663" s="412"/>
      <c r="Y663" s="412">
        <v>300</v>
      </c>
      <c r="Z663" s="412"/>
      <c r="AA663" s="412"/>
      <c r="AB663" s="412"/>
      <c r="AC663" s="412"/>
      <c r="AD663" s="412"/>
      <c r="AE663" s="412"/>
      <c r="AF663" s="412"/>
      <c r="AG663" s="412"/>
      <c r="AH663" s="412"/>
      <c r="AI663" s="412"/>
      <c r="AJ663" s="412">
        <f t="shared" si="32"/>
        <v>300</v>
      </c>
      <c r="AK663" s="198"/>
      <c r="AL663" s="250" t="s">
        <v>2067</v>
      </c>
    </row>
    <row r="664" spans="1:38" ht="14.1" customHeight="1" x14ac:dyDescent="0.2">
      <c r="A664" t="s">
        <v>893</v>
      </c>
      <c r="B664" s="193">
        <v>4310</v>
      </c>
      <c r="C664" s="194" t="s">
        <v>1143</v>
      </c>
      <c r="D664" s="229" t="s">
        <v>1475</v>
      </c>
      <c r="E664" s="229" t="s">
        <v>322</v>
      </c>
      <c r="F664" s="240">
        <v>150</v>
      </c>
      <c r="G664" s="196">
        <v>1</v>
      </c>
      <c r="H664" s="195">
        <v>150</v>
      </c>
      <c r="I664" s="197">
        <v>41322</v>
      </c>
      <c r="J664" s="197" t="str">
        <f t="shared" si="33"/>
        <v>ok</v>
      </c>
      <c r="K664" s="413"/>
      <c r="L664" s="413"/>
      <c r="M664" s="413"/>
      <c r="N664" s="413"/>
      <c r="O664" s="413"/>
      <c r="P664" s="413"/>
      <c r="Q664" s="413"/>
      <c r="R664" s="413"/>
      <c r="S664" s="413"/>
      <c r="T664" s="413"/>
      <c r="U664" s="413"/>
      <c r="V664" s="413"/>
      <c r="W664" s="413">
        <f t="shared" si="31"/>
        <v>0</v>
      </c>
      <c r="X664" s="412"/>
      <c r="Y664" s="412">
        <v>150</v>
      </c>
      <c r="Z664" s="412"/>
      <c r="AA664" s="412"/>
      <c r="AB664" s="412"/>
      <c r="AC664" s="412"/>
      <c r="AD664" s="412"/>
      <c r="AE664" s="412"/>
      <c r="AF664" s="412"/>
      <c r="AG664" s="412"/>
      <c r="AH664" s="412"/>
      <c r="AI664" s="412"/>
      <c r="AJ664" s="412">
        <f t="shared" si="32"/>
        <v>150</v>
      </c>
      <c r="AK664" s="198"/>
      <c r="AL664" s="250" t="s">
        <v>2067</v>
      </c>
    </row>
    <row r="665" spans="1:38" ht="14.1" customHeight="1" x14ac:dyDescent="0.2">
      <c r="A665" t="s">
        <v>893</v>
      </c>
      <c r="B665" s="193">
        <v>4310</v>
      </c>
      <c r="C665" s="194" t="s">
        <v>1143</v>
      </c>
      <c r="D665" s="229" t="s">
        <v>1475</v>
      </c>
      <c r="E665" s="229" t="s">
        <v>322</v>
      </c>
      <c r="F665" s="240">
        <v>150</v>
      </c>
      <c r="G665" s="196">
        <v>5</v>
      </c>
      <c r="H665" s="195">
        <v>20</v>
      </c>
      <c r="I665" s="197">
        <v>41322</v>
      </c>
      <c r="J665" s="197" t="str">
        <f t="shared" si="33"/>
        <v>ok</v>
      </c>
      <c r="K665" s="413"/>
      <c r="L665" s="413"/>
      <c r="M665" s="413"/>
      <c r="N665" s="413"/>
      <c r="O665" s="413"/>
      <c r="P665" s="413"/>
      <c r="Q665" s="413"/>
      <c r="R665" s="413"/>
      <c r="S665" s="413"/>
      <c r="T665" s="413"/>
      <c r="U665" s="413"/>
      <c r="V665" s="413"/>
      <c r="W665" s="413">
        <f t="shared" si="31"/>
        <v>0</v>
      </c>
      <c r="X665" s="412"/>
      <c r="Y665" s="412"/>
      <c r="Z665" s="412"/>
      <c r="AA665" s="412"/>
      <c r="AB665" s="412"/>
      <c r="AC665" s="412"/>
      <c r="AD665" s="412"/>
      <c r="AE665" s="412"/>
      <c r="AF665" s="412"/>
      <c r="AG665" s="412"/>
      <c r="AH665" s="412"/>
      <c r="AI665" s="412"/>
      <c r="AJ665" s="412">
        <f t="shared" si="32"/>
        <v>0</v>
      </c>
      <c r="AK665" s="198"/>
      <c r="AL665" s="250" t="s">
        <v>2068</v>
      </c>
    </row>
    <row r="666" spans="1:38" ht="14.1" customHeight="1" x14ac:dyDescent="0.2">
      <c r="A666" t="s">
        <v>884</v>
      </c>
      <c r="B666" s="193">
        <v>4311</v>
      </c>
      <c r="C666" s="194" t="s">
        <v>812</v>
      </c>
      <c r="D666" s="229" t="s">
        <v>1420</v>
      </c>
      <c r="E666" s="229" t="s">
        <v>33</v>
      </c>
      <c r="F666" s="240">
        <v>300</v>
      </c>
      <c r="G666" s="196">
        <v>1</v>
      </c>
      <c r="H666" s="195">
        <v>300</v>
      </c>
      <c r="I666" s="197">
        <v>41322</v>
      </c>
      <c r="J666" s="197" t="str">
        <f t="shared" si="33"/>
        <v>ok</v>
      </c>
      <c r="K666" s="413"/>
      <c r="L666" s="413"/>
      <c r="M666" s="413"/>
      <c r="N666" s="413"/>
      <c r="O666" s="413"/>
      <c r="P666" s="413"/>
      <c r="Q666" s="413"/>
      <c r="R666" s="413"/>
      <c r="S666" s="413"/>
      <c r="T666" s="413"/>
      <c r="U666" s="413"/>
      <c r="V666" s="413"/>
      <c r="W666" s="413">
        <f t="shared" si="31"/>
        <v>0</v>
      </c>
      <c r="X666" s="412"/>
      <c r="Y666" s="412">
        <v>300</v>
      </c>
      <c r="Z666" s="412"/>
      <c r="AA666" s="412"/>
      <c r="AB666" s="412"/>
      <c r="AC666" s="412"/>
      <c r="AD666" s="412"/>
      <c r="AE666" s="412"/>
      <c r="AF666" s="412"/>
      <c r="AG666" s="412"/>
      <c r="AH666" s="412"/>
      <c r="AI666" s="412"/>
      <c r="AJ666" s="412">
        <f t="shared" si="32"/>
        <v>300</v>
      </c>
      <c r="AK666" s="198"/>
      <c r="AL666" s="250" t="s">
        <v>2067</v>
      </c>
    </row>
    <row r="667" spans="1:38" ht="14.1" customHeight="1" x14ac:dyDescent="0.2">
      <c r="A667" t="s">
        <v>884</v>
      </c>
      <c r="B667" s="193">
        <v>4312</v>
      </c>
      <c r="C667" s="194" t="s">
        <v>831</v>
      </c>
      <c r="D667" s="229" t="s">
        <v>1534</v>
      </c>
      <c r="E667" s="229" t="s">
        <v>64</v>
      </c>
      <c r="F667" s="240">
        <v>300</v>
      </c>
      <c r="G667" s="196">
        <v>1</v>
      </c>
      <c r="H667" s="195">
        <v>300</v>
      </c>
      <c r="I667" s="197">
        <v>41322</v>
      </c>
      <c r="J667" s="197" t="str">
        <f t="shared" si="33"/>
        <v>ok</v>
      </c>
      <c r="K667" s="413"/>
      <c r="L667" s="413"/>
      <c r="M667" s="413"/>
      <c r="N667" s="413"/>
      <c r="O667" s="413"/>
      <c r="P667" s="413"/>
      <c r="Q667" s="413"/>
      <c r="R667" s="413"/>
      <c r="S667" s="413"/>
      <c r="T667" s="413"/>
      <c r="U667" s="413"/>
      <c r="V667" s="413"/>
      <c r="W667" s="413">
        <f t="shared" si="31"/>
        <v>0</v>
      </c>
      <c r="X667" s="412"/>
      <c r="Y667" s="412">
        <v>300</v>
      </c>
      <c r="Z667" s="412"/>
      <c r="AA667" s="412"/>
      <c r="AB667" s="412"/>
      <c r="AC667" s="412"/>
      <c r="AD667" s="412"/>
      <c r="AE667" s="412"/>
      <c r="AF667" s="412"/>
      <c r="AG667" s="412"/>
      <c r="AH667" s="412"/>
      <c r="AI667" s="412"/>
      <c r="AJ667" s="412">
        <f t="shared" si="32"/>
        <v>300</v>
      </c>
      <c r="AK667" s="198"/>
      <c r="AL667" s="250" t="s">
        <v>2067</v>
      </c>
    </row>
    <row r="668" spans="1:38" ht="14.1" customHeight="1" x14ac:dyDescent="0.2">
      <c r="A668" t="s">
        <v>884</v>
      </c>
      <c r="B668" s="193">
        <v>4313</v>
      </c>
      <c r="C668" s="194" t="s">
        <v>1263</v>
      </c>
      <c r="D668" s="229" t="s">
        <v>1606</v>
      </c>
      <c r="E668" s="229" t="s">
        <v>137</v>
      </c>
      <c r="F668" s="240">
        <v>300</v>
      </c>
      <c r="G668" s="196">
        <v>1</v>
      </c>
      <c r="H668" s="195">
        <v>600</v>
      </c>
      <c r="I668" s="197">
        <v>41322</v>
      </c>
      <c r="J668" s="197" t="str">
        <f t="shared" si="33"/>
        <v>ok</v>
      </c>
      <c r="K668" s="413"/>
      <c r="L668" s="413"/>
      <c r="M668" s="413"/>
      <c r="N668" s="413"/>
      <c r="O668" s="413"/>
      <c r="P668" s="413"/>
      <c r="Q668" s="413"/>
      <c r="R668" s="413"/>
      <c r="S668" s="413"/>
      <c r="T668" s="413">
        <v>300</v>
      </c>
      <c r="U668" s="413">
        <v>300</v>
      </c>
      <c r="V668" s="413"/>
      <c r="W668" s="413">
        <f t="shared" si="31"/>
        <v>600</v>
      </c>
      <c r="X668" s="412"/>
      <c r="Y668" s="412"/>
      <c r="Z668" s="412"/>
      <c r="AA668" s="412"/>
      <c r="AB668" s="412"/>
      <c r="AC668" s="412"/>
      <c r="AD668" s="412"/>
      <c r="AE668" s="412"/>
      <c r="AF668" s="412"/>
      <c r="AG668" s="412"/>
      <c r="AH668" s="412"/>
      <c r="AI668" s="412"/>
      <c r="AJ668" s="412">
        <f t="shared" si="32"/>
        <v>0</v>
      </c>
      <c r="AK668" s="198" t="s">
        <v>1264</v>
      </c>
      <c r="AL668" s="250" t="s">
        <v>2067</v>
      </c>
    </row>
    <row r="669" spans="1:38" ht="14.1" customHeight="1" x14ac:dyDescent="0.2">
      <c r="A669" t="s">
        <v>888</v>
      </c>
      <c r="B669" s="193">
        <v>4314</v>
      </c>
      <c r="C669" s="194" t="s">
        <v>911</v>
      </c>
      <c r="D669" s="229" t="s">
        <v>1607</v>
      </c>
      <c r="E669" s="229" t="s">
        <v>344</v>
      </c>
      <c r="F669" s="240">
        <v>150</v>
      </c>
      <c r="G669" s="196">
        <v>1</v>
      </c>
      <c r="H669" s="195">
        <v>900</v>
      </c>
      <c r="I669" s="197">
        <v>41322</v>
      </c>
      <c r="J669" s="197" t="str">
        <f t="shared" si="33"/>
        <v>ok</v>
      </c>
      <c r="K669" s="413"/>
      <c r="L669" s="413"/>
      <c r="M669" s="413"/>
      <c r="N669" s="413"/>
      <c r="O669" s="413"/>
      <c r="P669" s="413"/>
      <c r="Q669" s="413"/>
      <c r="R669" s="413"/>
      <c r="S669" s="413"/>
      <c r="T669" s="413"/>
      <c r="U669" s="413"/>
      <c r="V669" s="413"/>
      <c r="W669" s="413">
        <f t="shared" si="31"/>
        <v>0</v>
      </c>
      <c r="X669" s="412">
        <v>150</v>
      </c>
      <c r="Y669" s="412">
        <v>150</v>
      </c>
      <c r="Z669" s="412">
        <v>150</v>
      </c>
      <c r="AA669" s="412">
        <v>150</v>
      </c>
      <c r="AB669" s="412">
        <v>150</v>
      </c>
      <c r="AC669" s="412">
        <v>150</v>
      </c>
      <c r="AD669" s="412"/>
      <c r="AE669" s="412"/>
      <c r="AF669" s="412"/>
      <c r="AG669" s="412"/>
      <c r="AH669" s="412"/>
      <c r="AI669" s="412"/>
      <c r="AJ669" s="412">
        <f t="shared" si="32"/>
        <v>900</v>
      </c>
      <c r="AK669" s="198"/>
      <c r="AL669" s="250" t="s">
        <v>2067</v>
      </c>
    </row>
    <row r="670" spans="1:38" ht="14.1" customHeight="1" x14ac:dyDescent="0.2">
      <c r="A670" t="s">
        <v>894</v>
      </c>
      <c r="B670" s="193">
        <v>4315</v>
      </c>
      <c r="C670" s="194" t="s">
        <v>1160</v>
      </c>
      <c r="D670" s="229" t="s">
        <v>1608</v>
      </c>
      <c r="E670" s="229" t="s">
        <v>1275</v>
      </c>
      <c r="F670" s="240">
        <v>300</v>
      </c>
      <c r="G670" s="196">
        <v>1</v>
      </c>
      <c r="H670" s="195">
        <v>300</v>
      </c>
      <c r="I670" s="197">
        <v>41322</v>
      </c>
      <c r="J670" s="197" t="str">
        <f t="shared" si="33"/>
        <v>ok</v>
      </c>
      <c r="K670" s="413"/>
      <c r="L670" s="413"/>
      <c r="M670" s="413"/>
      <c r="N670" s="413"/>
      <c r="O670" s="413"/>
      <c r="P670" s="413"/>
      <c r="Q670" s="413"/>
      <c r="R670" s="413"/>
      <c r="S670" s="413"/>
      <c r="T670" s="413"/>
      <c r="U670" s="413"/>
      <c r="V670" s="413"/>
      <c r="W670" s="413">
        <f t="shared" si="31"/>
        <v>0</v>
      </c>
      <c r="X670" s="412"/>
      <c r="Y670" s="412">
        <v>300</v>
      </c>
      <c r="Z670" s="412"/>
      <c r="AA670" s="412"/>
      <c r="AB670" s="412"/>
      <c r="AC670" s="412"/>
      <c r="AD670" s="412"/>
      <c r="AE670" s="412"/>
      <c r="AF670" s="412"/>
      <c r="AG670" s="412"/>
      <c r="AH670" s="412"/>
      <c r="AI670" s="412"/>
      <c r="AJ670" s="412">
        <f t="shared" si="32"/>
        <v>300</v>
      </c>
      <c r="AK670" s="198"/>
      <c r="AL670" s="250" t="s">
        <v>2067</v>
      </c>
    </row>
    <row r="671" spans="1:38" ht="14.1" customHeight="1" x14ac:dyDescent="0.2">
      <c r="A671" t="s">
        <v>888</v>
      </c>
      <c r="B671" s="193">
        <v>4316</v>
      </c>
      <c r="C671" s="194" t="s">
        <v>962</v>
      </c>
      <c r="D671" s="229" t="s">
        <v>1609</v>
      </c>
      <c r="E671" s="229" t="s">
        <v>451</v>
      </c>
      <c r="F671" s="240">
        <v>150</v>
      </c>
      <c r="G671" s="196">
        <v>1</v>
      </c>
      <c r="H671" s="195">
        <v>150</v>
      </c>
      <c r="I671" s="197">
        <v>41322</v>
      </c>
      <c r="J671" s="197" t="str">
        <f t="shared" si="33"/>
        <v>ok</v>
      </c>
      <c r="K671" s="413"/>
      <c r="L671" s="413"/>
      <c r="M671" s="413"/>
      <c r="N671" s="413"/>
      <c r="O671" s="413"/>
      <c r="P671" s="413"/>
      <c r="Q671" s="413"/>
      <c r="R671" s="413"/>
      <c r="S671" s="413"/>
      <c r="T671" s="413"/>
      <c r="U671" s="413"/>
      <c r="V671" s="413"/>
      <c r="W671" s="413">
        <f t="shared" si="31"/>
        <v>0</v>
      </c>
      <c r="X671" s="412">
        <v>150</v>
      </c>
      <c r="Y671" s="412"/>
      <c r="Z671" s="412"/>
      <c r="AA671" s="412"/>
      <c r="AB671" s="412"/>
      <c r="AC671" s="412"/>
      <c r="AD671" s="412"/>
      <c r="AE671" s="412"/>
      <c r="AF671" s="412"/>
      <c r="AG671" s="412"/>
      <c r="AH671" s="412"/>
      <c r="AI671" s="412"/>
      <c r="AJ671" s="412">
        <f t="shared" si="32"/>
        <v>150</v>
      </c>
      <c r="AK671" s="198"/>
      <c r="AL671" s="250" t="s">
        <v>2067</v>
      </c>
    </row>
    <row r="672" spans="1:38" ht="14.1" customHeight="1" x14ac:dyDescent="0.2">
      <c r="A672" t="s">
        <v>888</v>
      </c>
      <c r="B672" s="193">
        <v>4317</v>
      </c>
      <c r="C672" s="194" t="s">
        <v>920</v>
      </c>
      <c r="D672" s="229" t="s">
        <v>1424</v>
      </c>
      <c r="E672" s="229" t="s">
        <v>361</v>
      </c>
      <c r="F672" s="240">
        <v>300</v>
      </c>
      <c r="G672" s="196">
        <v>5</v>
      </c>
      <c r="H672" s="195">
        <v>40</v>
      </c>
      <c r="I672" s="197">
        <v>41322</v>
      </c>
      <c r="J672" s="197" t="str">
        <f t="shared" si="33"/>
        <v>ok</v>
      </c>
      <c r="K672" s="413"/>
      <c r="L672" s="413"/>
      <c r="M672" s="413"/>
      <c r="N672" s="413"/>
      <c r="O672" s="413"/>
      <c r="P672" s="413"/>
      <c r="Q672" s="413"/>
      <c r="R672" s="413"/>
      <c r="S672" s="413"/>
      <c r="T672" s="413"/>
      <c r="U672" s="413"/>
      <c r="V672" s="413"/>
      <c r="W672" s="413">
        <f t="shared" si="31"/>
        <v>0</v>
      </c>
      <c r="X672" s="412"/>
      <c r="Y672" s="412"/>
      <c r="Z672" s="412"/>
      <c r="AA672" s="412"/>
      <c r="AB672" s="412"/>
      <c r="AC672" s="412"/>
      <c r="AD672" s="412"/>
      <c r="AE672" s="412"/>
      <c r="AF672" s="412"/>
      <c r="AG672" s="412"/>
      <c r="AH672" s="412"/>
      <c r="AI672" s="412"/>
      <c r="AJ672" s="412">
        <f t="shared" si="32"/>
        <v>0</v>
      </c>
      <c r="AK672" s="198"/>
      <c r="AL672" s="250" t="s">
        <v>2068</v>
      </c>
    </row>
    <row r="673" spans="1:38" ht="14.1" customHeight="1" x14ac:dyDescent="0.2">
      <c r="A673" t="s">
        <v>884</v>
      </c>
      <c r="B673" s="193">
        <v>4318</v>
      </c>
      <c r="C673" s="194" t="s">
        <v>819</v>
      </c>
      <c r="D673" s="229" t="s">
        <v>1530</v>
      </c>
      <c r="E673" s="229" t="s">
        <v>1183</v>
      </c>
      <c r="F673" s="240">
        <v>200</v>
      </c>
      <c r="G673" s="196">
        <v>1</v>
      </c>
      <c r="H673" s="195">
        <v>200</v>
      </c>
      <c r="I673" s="197">
        <v>41322</v>
      </c>
      <c r="J673" s="197" t="str">
        <f t="shared" si="33"/>
        <v>ok</v>
      </c>
      <c r="K673" s="413"/>
      <c r="L673" s="413"/>
      <c r="M673" s="413"/>
      <c r="N673" s="413"/>
      <c r="O673" s="413"/>
      <c r="P673" s="413"/>
      <c r="Q673" s="413"/>
      <c r="R673" s="413"/>
      <c r="S673" s="413"/>
      <c r="T673" s="413"/>
      <c r="U673" s="413"/>
      <c r="V673" s="413"/>
      <c r="W673" s="413">
        <f t="shared" si="31"/>
        <v>0</v>
      </c>
      <c r="X673" s="412"/>
      <c r="Y673" s="412">
        <v>200</v>
      </c>
      <c r="Z673" s="412"/>
      <c r="AA673" s="412"/>
      <c r="AB673" s="412"/>
      <c r="AC673" s="412"/>
      <c r="AD673" s="412"/>
      <c r="AE673" s="412"/>
      <c r="AF673" s="412"/>
      <c r="AG673" s="412"/>
      <c r="AH673" s="412"/>
      <c r="AI673" s="412"/>
      <c r="AJ673" s="412">
        <f t="shared" si="32"/>
        <v>200</v>
      </c>
      <c r="AK673" s="198"/>
      <c r="AL673" s="250" t="s">
        <v>2067</v>
      </c>
    </row>
    <row r="674" spans="1:38" ht="14.1" customHeight="1" x14ac:dyDescent="0.2">
      <c r="A674" t="s">
        <v>890</v>
      </c>
      <c r="B674" s="193">
        <v>4319</v>
      </c>
      <c r="C674" s="194" t="s">
        <v>763</v>
      </c>
      <c r="D674" s="229" t="s">
        <v>1610</v>
      </c>
      <c r="E674" s="229" t="s">
        <v>517</v>
      </c>
      <c r="F674" s="240">
        <v>300</v>
      </c>
      <c r="G674" s="196">
        <v>1</v>
      </c>
      <c r="H674" s="195">
        <v>600</v>
      </c>
      <c r="I674" s="197">
        <v>41322</v>
      </c>
      <c r="J674" s="197" t="str">
        <f t="shared" si="33"/>
        <v>ok</v>
      </c>
      <c r="K674" s="413"/>
      <c r="L674" s="413"/>
      <c r="M674" s="413"/>
      <c r="N674" s="413"/>
      <c r="O674" s="413"/>
      <c r="P674" s="413"/>
      <c r="Q674" s="413"/>
      <c r="R674" s="413"/>
      <c r="S674" s="413"/>
      <c r="T674" s="413"/>
      <c r="U674" s="413"/>
      <c r="V674" s="413"/>
      <c r="W674" s="413">
        <f t="shared" si="31"/>
        <v>0</v>
      </c>
      <c r="X674" s="412">
        <v>300</v>
      </c>
      <c r="Y674" s="412">
        <v>300</v>
      </c>
      <c r="Z674" s="412"/>
      <c r="AA674" s="412"/>
      <c r="AB674" s="412"/>
      <c r="AC674" s="412"/>
      <c r="AD674" s="412"/>
      <c r="AE674" s="412"/>
      <c r="AF674" s="412"/>
      <c r="AG674" s="412"/>
      <c r="AH674" s="412"/>
      <c r="AI674" s="412"/>
      <c r="AJ674" s="412">
        <f t="shared" si="32"/>
        <v>600</v>
      </c>
      <c r="AK674" s="198"/>
      <c r="AL674" s="250" t="s">
        <v>2067</v>
      </c>
    </row>
    <row r="675" spans="1:38" ht="14.1" customHeight="1" x14ac:dyDescent="0.2">
      <c r="A675" t="s">
        <v>890</v>
      </c>
      <c r="B675" s="193">
        <v>4320</v>
      </c>
      <c r="C675" s="194" t="s">
        <v>1022</v>
      </c>
      <c r="D675" s="229" t="s">
        <v>1611</v>
      </c>
      <c r="E675" s="229" t="s">
        <v>521</v>
      </c>
      <c r="F675" s="240">
        <v>300</v>
      </c>
      <c r="G675" s="196">
        <v>1</v>
      </c>
      <c r="H675" s="195">
        <v>600</v>
      </c>
      <c r="I675" s="197">
        <v>41322</v>
      </c>
      <c r="J675" s="197" t="str">
        <f t="shared" si="33"/>
        <v>ok</v>
      </c>
      <c r="K675" s="413"/>
      <c r="L675" s="413"/>
      <c r="M675" s="413"/>
      <c r="N675" s="413"/>
      <c r="O675" s="413"/>
      <c r="P675" s="413"/>
      <c r="Q675" s="413"/>
      <c r="R675" s="413"/>
      <c r="S675" s="413"/>
      <c r="T675" s="413"/>
      <c r="U675" s="413"/>
      <c r="V675" s="413"/>
      <c r="W675" s="413">
        <f t="shared" si="31"/>
        <v>0</v>
      </c>
      <c r="X675" s="412">
        <v>300</v>
      </c>
      <c r="Y675" s="412">
        <v>300</v>
      </c>
      <c r="Z675" s="412"/>
      <c r="AA675" s="412"/>
      <c r="AB675" s="412"/>
      <c r="AC675" s="412"/>
      <c r="AD675" s="412"/>
      <c r="AE675" s="412"/>
      <c r="AF675" s="412"/>
      <c r="AG675" s="412"/>
      <c r="AH675" s="412"/>
      <c r="AI675" s="412"/>
      <c r="AJ675" s="412">
        <f t="shared" si="32"/>
        <v>600</v>
      </c>
      <c r="AK675" s="198"/>
      <c r="AL675" s="250" t="s">
        <v>2067</v>
      </c>
    </row>
    <row r="676" spans="1:38" ht="14.1" customHeight="1" x14ac:dyDescent="0.2">
      <c r="A676" t="s">
        <v>893</v>
      </c>
      <c r="B676" s="193">
        <v>4321</v>
      </c>
      <c r="C676" s="194" t="s">
        <v>1140</v>
      </c>
      <c r="D676" s="229" t="s">
        <v>1574</v>
      </c>
      <c r="E676" s="229" t="s">
        <v>315</v>
      </c>
      <c r="F676" s="240">
        <v>300</v>
      </c>
      <c r="G676" s="196">
        <v>5</v>
      </c>
      <c r="H676" s="195">
        <v>20</v>
      </c>
      <c r="I676" s="197">
        <v>41322</v>
      </c>
      <c r="J676" s="197" t="str">
        <f t="shared" si="33"/>
        <v>ok</v>
      </c>
      <c r="K676" s="413"/>
      <c r="L676" s="413"/>
      <c r="M676" s="413"/>
      <c r="N676" s="413"/>
      <c r="O676" s="413"/>
      <c r="P676" s="413"/>
      <c r="Q676" s="413"/>
      <c r="R676" s="413"/>
      <c r="S676" s="413"/>
      <c r="T676" s="413"/>
      <c r="U676" s="413"/>
      <c r="V676" s="413"/>
      <c r="W676" s="413">
        <f t="shared" si="31"/>
        <v>0</v>
      </c>
      <c r="X676" s="412"/>
      <c r="Y676" s="412"/>
      <c r="Z676" s="412"/>
      <c r="AA676" s="412"/>
      <c r="AB676" s="412"/>
      <c r="AC676" s="412"/>
      <c r="AD676" s="412"/>
      <c r="AE676" s="412"/>
      <c r="AF676" s="412"/>
      <c r="AG676" s="412"/>
      <c r="AH676" s="412"/>
      <c r="AI676" s="412"/>
      <c r="AJ676" s="412">
        <f t="shared" si="32"/>
        <v>0</v>
      </c>
      <c r="AK676" s="198"/>
      <c r="AL676" s="250" t="s">
        <v>2068</v>
      </c>
    </row>
    <row r="677" spans="1:38" ht="14.1" customHeight="1" x14ac:dyDescent="0.2">
      <c r="A677" t="s">
        <v>890</v>
      </c>
      <c r="B677" s="193">
        <v>4322</v>
      </c>
      <c r="C677" s="194" t="s">
        <v>769</v>
      </c>
      <c r="D677" s="229" t="s">
        <v>1451</v>
      </c>
      <c r="E677" s="229" t="s">
        <v>546</v>
      </c>
      <c r="F677" s="240">
        <v>300</v>
      </c>
      <c r="G677" s="196">
        <v>1</v>
      </c>
      <c r="H677" s="195">
        <v>600</v>
      </c>
      <c r="I677" s="197">
        <v>41322</v>
      </c>
      <c r="J677" s="197" t="str">
        <f t="shared" si="33"/>
        <v>ok</v>
      </c>
      <c r="K677" s="413"/>
      <c r="L677" s="413"/>
      <c r="M677" s="413"/>
      <c r="N677" s="413"/>
      <c r="O677" s="413"/>
      <c r="P677" s="413"/>
      <c r="Q677" s="413"/>
      <c r="R677" s="413"/>
      <c r="S677" s="413"/>
      <c r="T677" s="413"/>
      <c r="U677" s="413"/>
      <c r="V677" s="413"/>
      <c r="W677" s="413">
        <f t="shared" si="31"/>
        <v>0</v>
      </c>
      <c r="X677" s="412"/>
      <c r="Y677" s="412">
        <v>300</v>
      </c>
      <c r="Z677" s="412">
        <v>300</v>
      </c>
      <c r="AA677" s="412"/>
      <c r="AB677" s="412"/>
      <c r="AC677" s="412"/>
      <c r="AD677" s="412"/>
      <c r="AE677" s="412"/>
      <c r="AF677" s="412"/>
      <c r="AG677" s="412"/>
      <c r="AH677" s="412"/>
      <c r="AI677" s="412"/>
      <c r="AJ677" s="412">
        <f t="shared" si="32"/>
        <v>600</v>
      </c>
      <c r="AK677" s="198"/>
      <c r="AL677" s="250" t="s">
        <v>2067</v>
      </c>
    </row>
    <row r="678" spans="1:38" ht="14.1" customHeight="1" x14ac:dyDescent="0.2">
      <c r="A678" t="s">
        <v>884</v>
      </c>
      <c r="B678" s="193">
        <v>4323</v>
      </c>
      <c r="C678" s="194" t="s">
        <v>853</v>
      </c>
      <c r="D678" s="229" t="s">
        <v>1486</v>
      </c>
      <c r="E678" s="229" t="s">
        <v>93</v>
      </c>
      <c r="F678" s="240">
        <v>300</v>
      </c>
      <c r="G678" s="196">
        <v>1</v>
      </c>
      <c r="H678" s="195">
        <v>300</v>
      </c>
      <c r="I678" s="197">
        <v>41322</v>
      </c>
      <c r="J678" s="197" t="str">
        <f t="shared" si="33"/>
        <v>ok</v>
      </c>
      <c r="K678" s="413"/>
      <c r="L678" s="413"/>
      <c r="M678" s="413"/>
      <c r="N678" s="413"/>
      <c r="O678" s="413"/>
      <c r="P678" s="413"/>
      <c r="Q678" s="413"/>
      <c r="R678" s="413"/>
      <c r="S678" s="413"/>
      <c r="T678" s="413"/>
      <c r="U678" s="413"/>
      <c r="V678" s="413"/>
      <c r="W678" s="413">
        <f t="shared" si="31"/>
        <v>0</v>
      </c>
      <c r="X678" s="412"/>
      <c r="Y678" s="412">
        <v>300</v>
      </c>
      <c r="Z678" s="412"/>
      <c r="AA678" s="412"/>
      <c r="AB678" s="412"/>
      <c r="AC678" s="412"/>
      <c r="AD678" s="412"/>
      <c r="AE678" s="412"/>
      <c r="AF678" s="412"/>
      <c r="AG678" s="412"/>
      <c r="AH678" s="412"/>
      <c r="AI678" s="412"/>
      <c r="AJ678" s="412">
        <f t="shared" si="32"/>
        <v>300</v>
      </c>
      <c r="AK678" s="198"/>
      <c r="AL678" s="250" t="s">
        <v>2067</v>
      </c>
    </row>
    <row r="679" spans="1:38" ht="14.1" customHeight="1" x14ac:dyDescent="0.2">
      <c r="A679" t="s">
        <v>888</v>
      </c>
      <c r="B679" s="193">
        <v>4324</v>
      </c>
      <c r="C679" s="194" t="s">
        <v>949</v>
      </c>
      <c r="D679" s="229" t="s">
        <v>1423</v>
      </c>
      <c r="E679" s="229" t="s">
        <v>414</v>
      </c>
      <c r="F679" s="240">
        <v>200</v>
      </c>
      <c r="G679" s="196">
        <v>1</v>
      </c>
      <c r="H679" s="195">
        <v>400</v>
      </c>
      <c r="I679" s="197">
        <v>41322</v>
      </c>
      <c r="J679" s="197" t="str">
        <f t="shared" si="33"/>
        <v>ok</v>
      </c>
      <c r="K679" s="413"/>
      <c r="L679" s="413"/>
      <c r="M679" s="413"/>
      <c r="N679" s="413"/>
      <c r="O679" s="413"/>
      <c r="P679" s="413"/>
      <c r="Q679" s="413"/>
      <c r="R679" s="413"/>
      <c r="S679" s="413"/>
      <c r="T679" s="413"/>
      <c r="U679" s="413"/>
      <c r="V679" s="413"/>
      <c r="W679" s="413">
        <f t="shared" si="31"/>
        <v>0</v>
      </c>
      <c r="X679" s="412"/>
      <c r="Y679" s="412">
        <v>200</v>
      </c>
      <c r="Z679" s="412">
        <v>200</v>
      </c>
      <c r="AA679" s="412"/>
      <c r="AB679" s="412"/>
      <c r="AC679" s="412"/>
      <c r="AD679" s="412"/>
      <c r="AE679" s="412"/>
      <c r="AF679" s="412"/>
      <c r="AG679" s="412"/>
      <c r="AH679" s="412"/>
      <c r="AI679" s="412"/>
      <c r="AJ679" s="412">
        <f t="shared" si="32"/>
        <v>400</v>
      </c>
      <c r="AK679" s="198"/>
      <c r="AL679" s="250" t="s">
        <v>2067</v>
      </c>
    </row>
    <row r="680" spans="1:38" ht="14.1" customHeight="1" x14ac:dyDescent="0.2">
      <c r="A680" t="s">
        <v>884</v>
      </c>
      <c r="B680" s="193">
        <v>4325</v>
      </c>
      <c r="C680" s="194" t="s">
        <v>800</v>
      </c>
      <c r="D680" s="229" t="s">
        <v>1417</v>
      </c>
      <c r="E680" s="229" t="s">
        <v>17</v>
      </c>
      <c r="F680" s="240">
        <v>300</v>
      </c>
      <c r="G680" s="196">
        <v>5</v>
      </c>
      <c r="H680" s="195">
        <v>20</v>
      </c>
      <c r="I680" s="197">
        <v>41322</v>
      </c>
      <c r="J680" s="197" t="str">
        <f t="shared" si="33"/>
        <v>ok</v>
      </c>
      <c r="K680" s="413"/>
      <c r="L680" s="413"/>
      <c r="M680" s="413"/>
      <c r="N680" s="413"/>
      <c r="O680" s="413"/>
      <c r="P680" s="413"/>
      <c r="Q680" s="413"/>
      <c r="R680" s="413"/>
      <c r="S680" s="413"/>
      <c r="T680" s="413"/>
      <c r="U680" s="413"/>
      <c r="V680" s="413"/>
      <c r="W680" s="413">
        <f t="shared" si="31"/>
        <v>0</v>
      </c>
      <c r="X680" s="412"/>
      <c r="Y680" s="412"/>
      <c r="Z680" s="412"/>
      <c r="AA680" s="412"/>
      <c r="AB680" s="412"/>
      <c r="AC680" s="412"/>
      <c r="AD680" s="412"/>
      <c r="AE680" s="412"/>
      <c r="AF680" s="412"/>
      <c r="AG680" s="412"/>
      <c r="AH680" s="412"/>
      <c r="AI680" s="412"/>
      <c r="AJ680" s="412">
        <f t="shared" si="32"/>
        <v>0</v>
      </c>
      <c r="AK680" s="198"/>
      <c r="AL680" s="250" t="s">
        <v>2068</v>
      </c>
    </row>
    <row r="681" spans="1:38" ht="14.1" customHeight="1" x14ac:dyDescent="0.2">
      <c r="A681" t="s">
        <v>888</v>
      </c>
      <c r="B681" s="193">
        <v>4326</v>
      </c>
      <c r="C681" s="194" t="s">
        <v>1180</v>
      </c>
      <c r="D681" s="229" t="s">
        <v>1400</v>
      </c>
      <c r="E681" s="229" t="s">
        <v>418</v>
      </c>
      <c r="F681" s="240">
        <v>300</v>
      </c>
      <c r="G681" s="196">
        <v>1</v>
      </c>
      <c r="H681" s="195">
        <v>300</v>
      </c>
      <c r="I681" s="197">
        <v>41322</v>
      </c>
      <c r="J681" s="197" t="str">
        <f t="shared" si="33"/>
        <v>ok</v>
      </c>
      <c r="K681" s="413"/>
      <c r="L681" s="413"/>
      <c r="M681" s="413"/>
      <c r="N681" s="413"/>
      <c r="O681" s="413"/>
      <c r="P681" s="413"/>
      <c r="Q681" s="413"/>
      <c r="R681" s="413"/>
      <c r="S681" s="413"/>
      <c r="T681" s="413"/>
      <c r="U681" s="413"/>
      <c r="V681" s="413"/>
      <c r="W681" s="413">
        <f t="shared" si="31"/>
        <v>0</v>
      </c>
      <c r="X681" s="412">
        <v>300</v>
      </c>
      <c r="Y681" s="412"/>
      <c r="Z681" s="412"/>
      <c r="AA681" s="412"/>
      <c r="AB681" s="412"/>
      <c r="AC681" s="412"/>
      <c r="AD681" s="412"/>
      <c r="AE681" s="412"/>
      <c r="AF681" s="412"/>
      <c r="AG681" s="412"/>
      <c r="AH681" s="412"/>
      <c r="AI681" s="412"/>
      <c r="AJ681" s="412">
        <f t="shared" si="32"/>
        <v>300</v>
      </c>
      <c r="AK681" s="198"/>
      <c r="AL681" s="250" t="s">
        <v>2067</v>
      </c>
    </row>
    <row r="682" spans="1:38" ht="14.1" customHeight="1" x14ac:dyDescent="0.2">
      <c r="A682" t="s">
        <v>888</v>
      </c>
      <c r="B682" s="193">
        <v>4326</v>
      </c>
      <c r="C682" s="194" t="s">
        <v>1180</v>
      </c>
      <c r="D682" s="229" t="s">
        <v>1400</v>
      </c>
      <c r="E682" s="229" t="s">
        <v>418</v>
      </c>
      <c r="F682" s="240">
        <v>300</v>
      </c>
      <c r="G682" s="196">
        <v>5</v>
      </c>
      <c r="H682" s="195">
        <v>20</v>
      </c>
      <c r="I682" s="197">
        <v>41322</v>
      </c>
      <c r="J682" s="197" t="str">
        <f t="shared" si="33"/>
        <v>ok</v>
      </c>
      <c r="K682" s="413"/>
      <c r="L682" s="413"/>
      <c r="M682" s="413"/>
      <c r="N682" s="413"/>
      <c r="O682" s="413"/>
      <c r="P682" s="413"/>
      <c r="Q682" s="413"/>
      <c r="R682" s="413"/>
      <c r="S682" s="413"/>
      <c r="T682" s="413"/>
      <c r="U682" s="413"/>
      <c r="V682" s="413"/>
      <c r="W682" s="413">
        <f t="shared" si="31"/>
        <v>0</v>
      </c>
      <c r="X682" s="412"/>
      <c r="Y682" s="412"/>
      <c r="Z682" s="412"/>
      <c r="AA682" s="412"/>
      <c r="AB682" s="412"/>
      <c r="AC682" s="412"/>
      <c r="AD682" s="412"/>
      <c r="AE682" s="412"/>
      <c r="AF682" s="412"/>
      <c r="AG682" s="412"/>
      <c r="AH682" s="412"/>
      <c r="AI682" s="412"/>
      <c r="AJ682" s="412">
        <f t="shared" si="32"/>
        <v>0</v>
      </c>
      <c r="AK682" s="198"/>
      <c r="AL682" s="250" t="s">
        <v>2068</v>
      </c>
    </row>
    <row r="683" spans="1:38" ht="14.1" customHeight="1" x14ac:dyDescent="0.2">
      <c r="A683" t="s">
        <v>890</v>
      </c>
      <c r="B683" s="193">
        <v>4327</v>
      </c>
      <c r="C683" s="194" t="s">
        <v>1037</v>
      </c>
      <c r="D683" s="229" t="s">
        <v>1612</v>
      </c>
      <c r="E683" s="229" t="s">
        <v>543</v>
      </c>
      <c r="F683" s="240">
        <v>300</v>
      </c>
      <c r="G683" s="196">
        <v>1</v>
      </c>
      <c r="H683" s="195">
        <v>900</v>
      </c>
      <c r="I683" s="197">
        <v>41322</v>
      </c>
      <c r="J683" s="197" t="str">
        <f t="shared" si="33"/>
        <v>ok</v>
      </c>
      <c r="K683" s="413"/>
      <c r="L683" s="413"/>
      <c r="M683" s="413"/>
      <c r="N683" s="413"/>
      <c r="O683" s="413"/>
      <c r="P683" s="413"/>
      <c r="Q683" s="413"/>
      <c r="R683" s="413"/>
      <c r="S683" s="413"/>
      <c r="T683" s="413"/>
      <c r="U683" s="413"/>
      <c r="V683" s="413"/>
      <c r="W683" s="413">
        <f t="shared" si="31"/>
        <v>0</v>
      </c>
      <c r="X683" s="412">
        <v>300</v>
      </c>
      <c r="Y683" s="412">
        <v>300</v>
      </c>
      <c r="Z683" s="412">
        <v>300</v>
      </c>
      <c r="AA683" s="412"/>
      <c r="AB683" s="412"/>
      <c r="AC683" s="412"/>
      <c r="AD683" s="412"/>
      <c r="AE683" s="412"/>
      <c r="AF683" s="412"/>
      <c r="AG683" s="412"/>
      <c r="AH683" s="412"/>
      <c r="AI683" s="412"/>
      <c r="AJ683" s="412">
        <f t="shared" si="32"/>
        <v>900</v>
      </c>
      <c r="AK683" s="198"/>
      <c r="AL683" s="250" t="s">
        <v>2067</v>
      </c>
    </row>
    <row r="684" spans="1:38" ht="14.1" customHeight="1" x14ac:dyDescent="0.2">
      <c r="A684" t="s">
        <v>888</v>
      </c>
      <c r="B684" s="193">
        <v>4328</v>
      </c>
      <c r="C684" s="194" t="s">
        <v>935</v>
      </c>
      <c r="D684" s="229" t="s">
        <v>1613</v>
      </c>
      <c r="E684" s="229" t="s">
        <v>721</v>
      </c>
      <c r="F684" s="240">
        <v>300</v>
      </c>
      <c r="G684" s="196">
        <v>1</v>
      </c>
      <c r="H684" s="195">
        <v>900</v>
      </c>
      <c r="I684" s="197">
        <v>41322</v>
      </c>
      <c r="J684" s="197" t="str">
        <f t="shared" si="33"/>
        <v>ok</v>
      </c>
      <c r="K684" s="413"/>
      <c r="L684" s="413"/>
      <c r="M684" s="413"/>
      <c r="N684" s="413"/>
      <c r="O684" s="413"/>
      <c r="P684" s="413"/>
      <c r="Q684" s="413"/>
      <c r="R684" s="413"/>
      <c r="S684" s="413"/>
      <c r="T684" s="413"/>
      <c r="U684" s="413"/>
      <c r="V684" s="413"/>
      <c r="W684" s="413">
        <f t="shared" si="31"/>
        <v>0</v>
      </c>
      <c r="X684" s="412">
        <v>300</v>
      </c>
      <c r="Y684" s="412">
        <v>300</v>
      </c>
      <c r="Z684" s="412">
        <v>300</v>
      </c>
      <c r="AA684" s="412"/>
      <c r="AB684" s="412"/>
      <c r="AC684" s="412"/>
      <c r="AD684" s="412"/>
      <c r="AE684" s="412"/>
      <c r="AF684" s="412"/>
      <c r="AG684" s="412"/>
      <c r="AH684" s="412"/>
      <c r="AI684" s="412"/>
      <c r="AJ684" s="412">
        <f t="shared" si="32"/>
        <v>900</v>
      </c>
      <c r="AK684" s="198"/>
      <c r="AL684" s="250" t="s">
        <v>2067</v>
      </c>
    </row>
    <row r="685" spans="1:38" ht="14.1" customHeight="1" x14ac:dyDescent="0.2">
      <c r="A685" t="s">
        <v>888</v>
      </c>
      <c r="B685" s="193">
        <v>4329</v>
      </c>
      <c r="C685" s="194" t="s">
        <v>935</v>
      </c>
      <c r="D685" s="229" t="s">
        <v>1613</v>
      </c>
      <c r="E685" s="229" t="s">
        <v>721</v>
      </c>
      <c r="F685" s="240">
        <v>300</v>
      </c>
      <c r="G685" s="196">
        <v>5</v>
      </c>
      <c r="H685" s="195">
        <v>20</v>
      </c>
      <c r="I685" s="197">
        <v>41322</v>
      </c>
      <c r="J685" s="197" t="str">
        <f t="shared" si="33"/>
        <v>ok</v>
      </c>
      <c r="K685" s="413"/>
      <c r="L685" s="413"/>
      <c r="M685" s="413"/>
      <c r="N685" s="413"/>
      <c r="O685" s="413"/>
      <c r="P685" s="413"/>
      <c r="Q685" s="413"/>
      <c r="R685" s="413"/>
      <c r="S685" s="413"/>
      <c r="T685" s="413"/>
      <c r="U685" s="413"/>
      <c r="V685" s="413"/>
      <c r="W685" s="413">
        <f t="shared" si="31"/>
        <v>0</v>
      </c>
      <c r="X685" s="412"/>
      <c r="Y685" s="412"/>
      <c r="Z685" s="412"/>
      <c r="AA685" s="412"/>
      <c r="AB685" s="412"/>
      <c r="AC685" s="412"/>
      <c r="AD685" s="412"/>
      <c r="AE685" s="412"/>
      <c r="AF685" s="412"/>
      <c r="AG685" s="412"/>
      <c r="AH685" s="412"/>
      <c r="AI685" s="412"/>
      <c r="AJ685" s="412">
        <f t="shared" si="32"/>
        <v>0</v>
      </c>
      <c r="AK685" s="198"/>
      <c r="AL685" s="250" t="s">
        <v>2068</v>
      </c>
    </row>
    <row r="686" spans="1:38" ht="14.1" customHeight="1" x14ac:dyDescent="0.2">
      <c r="A686" t="s">
        <v>888</v>
      </c>
      <c r="B686" s="193">
        <v>4330</v>
      </c>
      <c r="C686" s="194" t="s">
        <v>907</v>
      </c>
      <c r="D686" s="229" t="s">
        <v>1614</v>
      </c>
      <c r="E686" s="229" t="s">
        <v>337</v>
      </c>
      <c r="F686" s="240">
        <v>150</v>
      </c>
      <c r="G686" s="196">
        <v>1</v>
      </c>
      <c r="H686" s="195">
        <v>450</v>
      </c>
      <c r="I686" s="197">
        <v>41322</v>
      </c>
      <c r="J686" s="197" t="str">
        <f t="shared" si="33"/>
        <v>ok</v>
      </c>
      <c r="K686" s="413"/>
      <c r="L686" s="413"/>
      <c r="M686" s="413"/>
      <c r="N686" s="413"/>
      <c r="O686" s="413"/>
      <c r="P686" s="413"/>
      <c r="Q686" s="413"/>
      <c r="R686" s="413"/>
      <c r="S686" s="413"/>
      <c r="T686" s="413"/>
      <c r="U686" s="413"/>
      <c r="V686" s="413"/>
      <c r="W686" s="413">
        <f t="shared" si="31"/>
        <v>0</v>
      </c>
      <c r="X686" s="412"/>
      <c r="Y686" s="412">
        <v>150</v>
      </c>
      <c r="Z686" s="412">
        <v>150</v>
      </c>
      <c r="AA686" s="412">
        <v>150</v>
      </c>
      <c r="AB686" s="412"/>
      <c r="AC686" s="412"/>
      <c r="AD686" s="412"/>
      <c r="AE686" s="412"/>
      <c r="AF686" s="412"/>
      <c r="AG686" s="412"/>
      <c r="AH686" s="412"/>
      <c r="AI686" s="412"/>
      <c r="AJ686" s="412">
        <f t="shared" si="32"/>
        <v>450</v>
      </c>
      <c r="AK686" s="198"/>
      <c r="AL686" s="250" t="s">
        <v>2067</v>
      </c>
    </row>
    <row r="687" spans="1:38" ht="14.1" customHeight="1" x14ac:dyDescent="0.2">
      <c r="A687" t="s">
        <v>884</v>
      </c>
      <c r="B687" s="193">
        <v>4331</v>
      </c>
      <c r="C687" s="194" t="s">
        <v>805</v>
      </c>
      <c r="D687" s="229" t="s">
        <v>1615</v>
      </c>
      <c r="E687" s="229" t="s">
        <v>22</v>
      </c>
      <c r="F687" s="240">
        <v>200</v>
      </c>
      <c r="G687" s="196">
        <v>1</v>
      </c>
      <c r="H687" s="195">
        <v>800</v>
      </c>
      <c r="I687" s="197">
        <v>41322</v>
      </c>
      <c r="J687" s="197" t="str">
        <f t="shared" si="33"/>
        <v>ok</v>
      </c>
      <c r="K687" s="413"/>
      <c r="L687" s="413"/>
      <c r="M687" s="413"/>
      <c r="N687" s="413"/>
      <c r="O687" s="413"/>
      <c r="P687" s="413"/>
      <c r="Q687" s="413"/>
      <c r="R687" s="413"/>
      <c r="S687" s="413"/>
      <c r="T687" s="413"/>
      <c r="U687" s="413"/>
      <c r="V687" s="413">
        <v>200</v>
      </c>
      <c r="W687" s="413">
        <f t="shared" si="31"/>
        <v>200</v>
      </c>
      <c r="X687" s="412">
        <v>200</v>
      </c>
      <c r="Y687" s="412">
        <v>200</v>
      </c>
      <c r="Z687" s="412">
        <v>200</v>
      </c>
      <c r="AA687" s="412"/>
      <c r="AB687" s="412"/>
      <c r="AC687" s="412"/>
      <c r="AD687" s="412"/>
      <c r="AE687" s="412"/>
      <c r="AF687" s="412"/>
      <c r="AG687" s="412"/>
      <c r="AH687" s="412"/>
      <c r="AI687" s="412"/>
      <c r="AJ687" s="412">
        <f t="shared" si="32"/>
        <v>600</v>
      </c>
      <c r="AK687" s="198" t="s">
        <v>1265</v>
      </c>
      <c r="AL687" s="250" t="s">
        <v>2067</v>
      </c>
    </row>
    <row r="688" spans="1:38" ht="14.1" customHeight="1" x14ac:dyDescent="0.2">
      <c r="A688" t="s">
        <v>887</v>
      </c>
      <c r="B688" s="193">
        <v>4332</v>
      </c>
      <c r="C688" s="194" t="s">
        <v>905</v>
      </c>
      <c r="D688" s="229" t="s">
        <v>1524</v>
      </c>
      <c r="E688" s="229" t="s">
        <v>669</v>
      </c>
      <c r="F688" s="240">
        <v>150</v>
      </c>
      <c r="G688" s="196">
        <v>1</v>
      </c>
      <c r="H688" s="195">
        <v>150</v>
      </c>
      <c r="I688" s="197">
        <v>41322</v>
      </c>
      <c r="J688" s="197" t="str">
        <f t="shared" si="33"/>
        <v>ok</v>
      </c>
      <c r="K688" s="413"/>
      <c r="L688" s="413"/>
      <c r="M688" s="413"/>
      <c r="N688" s="413"/>
      <c r="O688" s="413"/>
      <c r="P688" s="413"/>
      <c r="Q688" s="413"/>
      <c r="R688" s="413"/>
      <c r="S688" s="413"/>
      <c r="T688" s="413"/>
      <c r="U688" s="413"/>
      <c r="V688" s="413"/>
      <c r="W688" s="413">
        <f t="shared" si="31"/>
        <v>0</v>
      </c>
      <c r="X688" s="412"/>
      <c r="Y688" s="412">
        <v>150</v>
      </c>
      <c r="Z688" s="412"/>
      <c r="AA688" s="412"/>
      <c r="AB688" s="412"/>
      <c r="AC688" s="412"/>
      <c r="AD688" s="412"/>
      <c r="AE688" s="412"/>
      <c r="AF688" s="412"/>
      <c r="AG688" s="412"/>
      <c r="AH688" s="412"/>
      <c r="AI688" s="412"/>
      <c r="AJ688" s="412">
        <f t="shared" si="32"/>
        <v>150</v>
      </c>
      <c r="AK688" s="198"/>
      <c r="AL688" s="250" t="s">
        <v>2067</v>
      </c>
    </row>
    <row r="689" spans="1:38" ht="14.1" customHeight="1" x14ac:dyDescent="0.2">
      <c r="A689" t="s">
        <v>894</v>
      </c>
      <c r="B689" s="193">
        <v>4333</v>
      </c>
      <c r="C689" s="194" t="s">
        <v>1157</v>
      </c>
      <c r="D689" s="229" t="s">
        <v>1487</v>
      </c>
      <c r="E689" s="229" t="s">
        <v>1224</v>
      </c>
      <c r="F689" s="240">
        <v>300</v>
      </c>
      <c r="G689" s="196">
        <v>1</v>
      </c>
      <c r="H689" s="195">
        <v>300</v>
      </c>
      <c r="I689" s="197">
        <v>41322</v>
      </c>
      <c r="J689" s="197" t="str">
        <f t="shared" si="33"/>
        <v>ok</v>
      </c>
      <c r="K689" s="413"/>
      <c r="L689" s="413"/>
      <c r="M689" s="413"/>
      <c r="N689" s="413"/>
      <c r="O689" s="413"/>
      <c r="P689" s="413"/>
      <c r="Q689" s="413"/>
      <c r="R689" s="413"/>
      <c r="S689" s="413"/>
      <c r="T689" s="413"/>
      <c r="U689" s="413"/>
      <c r="V689" s="413"/>
      <c r="W689" s="413">
        <f t="shared" si="31"/>
        <v>0</v>
      </c>
      <c r="X689" s="412"/>
      <c r="Y689" s="412">
        <v>300</v>
      </c>
      <c r="Z689" s="412"/>
      <c r="AA689" s="412"/>
      <c r="AB689" s="412"/>
      <c r="AC689" s="412"/>
      <c r="AD689" s="412"/>
      <c r="AE689" s="412"/>
      <c r="AF689" s="412"/>
      <c r="AG689" s="412"/>
      <c r="AH689" s="412"/>
      <c r="AI689" s="412"/>
      <c r="AJ689" s="412">
        <f t="shared" si="32"/>
        <v>300</v>
      </c>
      <c r="AK689" s="198"/>
      <c r="AL689" s="250" t="s">
        <v>2067</v>
      </c>
    </row>
    <row r="690" spans="1:38" ht="14.1" customHeight="1" x14ac:dyDescent="0.2">
      <c r="A690" t="s">
        <v>893</v>
      </c>
      <c r="B690" s="193">
        <v>4334</v>
      </c>
      <c r="C690" s="194" t="s">
        <v>1082</v>
      </c>
      <c r="D690" s="229" t="s">
        <v>1544</v>
      </c>
      <c r="E690" s="229" t="s">
        <v>204</v>
      </c>
      <c r="F690" s="240">
        <v>300</v>
      </c>
      <c r="G690" s="196">
        <v>1</v>
      </c>
      <c r="H690" s="195">
        <v>300</v>
      </c>
      <c r="I690" s="197">
        <v>41322</v>
      </c>
      <c r="J690" s="197" t="str">
        <f t="shared" si="33"/>
        <v>ok</v>
      </c>
      <c r="K690" s="413"/>
      <c r="L690" s="413"/>
      <c r="M690" s="413"/>
      <c r="N690" s="413"/>
      <c r="O690" s="413"/>
      <c r="P690" s="413"/>
      <c r="Q690" s="413"/>
      <c r="R690" s="413"/>
      <c r="S690" s="413"/>
      <c r="T690" s="413"/>
      <c r="U690" s="413"/>
      <c r="V690" s="413"/>
      <c r="W690" s="413">
        <f t="shared" si="31"/>
        <v>0</v>
      </c>
      <c r="X690" s="412"/>
      <c r="Y690" s="412">
        <v>300</v>
      </c>
      <c r="Z690" s="412"/>
      <c r="AA690" s="412"/>
      <c r="AB690" s="412"/>
      <c r="AC690" s="412"/>
      <c r="AD690" s="412"/>
      <c r="AE690" s="412"/>
      <c r="AF690" s="412"/>
      <c r="AG690" s="412"/>
      <c r="AH690" s="412"/>
      <c r="AI690" s="412"/>
      <c r="AJ690" s="412">
        <f t="shared" si="32"/>
        <v>300</v>
      </c>
      <c r="AK690" s="198"/>
      <c r="AL690" s="250" t="s">
        <v>2067</v>
      </c>
    </row>
    <row r="691" spans="1:38" ht="14.1" customHeight="1" x14ac:dyDescent="0.2">
      <c r="A691" t="s">
        <v>884</v>
      </c>
      <c r="B691" s="193">
        <v>4335</v>
      </c>
      <c r="C691" s="194" t="s">
        <v>858</v>
      </c>
      <c r="D691" s="229" t="s">
        <v>1527</v>
      </c>
      <c r="E691" s="229" t="s">
        <v>103</v>
      </c>
      <c r="F691" s="240">
        <v>300</v>
      </c>
      <c r="G691" s="196">
        <v>1</v>
      </c>
      <c r="H691" s="195">
        <v>300</v>
      </c>
      <c r="I691" s="197">
        <v>41322</v>
      </c>
      <c r="J691" s="197" t="str">
        <f t="shared" si="33"/>
        <v>ok</v>
      </c>
      <c r="K691" s="413"/>
      <c r="L691" s="413"/>
      <c r="M691" s="413"/>
      <c r="N691" s="413"/>
      <c r="O691" s="413"/>
      <c r="P691" s="413"/>
      <c r="Q691" s="413"/>
      <c r="R691" s="413"/>
      <c r="S691" s="413"/>
      <c r="T691" s="413"/>
      <c r="U691" s="413"/>
      <c r="V691" s="413"/>
      <c r="W691" s="413">
        <f t="shared" si="31"/>
        <v>0</v>
      </c>
      <c r="X691" s="412"/>
      <c r="Y691" s="412">
        <v>300</v>
      </c>
      <c r="Z691" s="412"/>
      <c r="AA691" s="412"/>
      <c r="AB691" s="412"/>
      <c r="AC691" s="412"/>
      <c r="AD691" s="412"/>
      <c r="AE691" s="412"/>
      <c r="AF691" s="412"/>
      <c r="AG691" s="412"/>
      <c r="AH691" s="412"/>
      <c r="AI691" s="412"/>
      <c r="AJ691" s="412">
        <f t="shared" si="32"/>
        <v>300</v>
      </c>
      <c r="AK691" s="198"/>
      <c r="AL691" s="250" t="s">
        <v>2067</v>
      </c>
    </row>
    <row r="692" spans="1:38" ht="14.1" customHeight="1" x14ac:dyDescent="0.2">
      <c r="A692" t="s">
        <v>884</v>
      </c>
      <c r="B692" s="193">
        <v>4336</v>
      </c>
      <c r="C692" s="194" t="s">
        <v>792</v>
      </c>
      <c r="D692" s="229" t="s">
        <v>1517</v>
      </c>
      <c r="E692" s="229" t="s">
        <v>3</v>
      </c>
      <c r="F692" s="240">
        <v>100</v>
      </c>
      <c r="G692" s="196">
        <v>1</v>
      </c>
      <c r="H692" s="195">
        <v>100</v>
      </c>
      <c r="I692" s="197">
        <v>41322</v>
      </c>
      <c r="J692" s="197" t="str">
        <f t="shared" si="33"/>
        <v>ok</v>
      </c>
      <c r="K692" s="413"/>
      <c r="L692" s="413"/>
      <c r="M692" s="413"/>
      <c r="N692" s="413"/>
      <c r="O692" s="413"/>
      <c r="P692" s="413"/>
      <c r="Q692" s="413"/>
      <c r="R692" s="413"/>
      <c r="S692" s="413"/>
      <c r="T692" s="413"/>
      <c r="U692" s="413"/>
      <c r="V692" s="413"/>
      <c r="W692" s="413">
        <f t="shared" si="31"/>
        <v>0</v>
      </c>
      <c r="X692" s="412"/>
      <c r="Y692" s="412">
        <v>100</v>
      </c>
      <c r="Z692" s="412"/>
      <c r="AA692" s="412"/>
      <c r="AB692" s="412"/>
      <c r="AC692" s="412"/>
      <c r="AD692" s="412"/>
      <c r="AE692" s="412"/>
      <c r="AF692" s="412"/>
      <c r="AG692" s="412"/>
      <c r="AH692" s="412"/>
      <c r="AI692" s="412"/>
      <c r="AJ692" s="412">
        <f t="shared" si="32"/>
        <v>100</v>
      </c>
      <c r="AK692" s="198"/>
      <c r="AL692" s="250" t="s">
        <v>2067</v>
      </c>
    </row>
    <row r="693" spans="1:38" ht="14.1" customHeight="1" x14ac:dyDescent="0.2">
      <c r="A693" t="s">
        <v>884</v>
      </c>
      <c r="B693" s="193">
        <v>4337</v>
      </c>
      <c r="C693" s="194" t="s">
        <v>794</v>
      </c>
      <c r="D693" s="229" t="s">
        <v>1518</v>
      </c>
      <c r="E693" s="229" t="s">
        <v>6</v>
      </c>
      <c r="F693" s="240">
        <v>100</v>
      </c>
      <c r="G693" s="196">
        <v>1</v>
      </c>
      <c r="H693" s="195">
        <v>100</v>
      </c>
      <c r="I693" s="197">
        <v>41322</v>
      </c>
      <c r="J693" s="197" t="str">
        <f t="shared" si="33"/>
        <v>ok</v>
      </c>
      <c r="K693" s="413"/>
      <c r="L693" s="413"/>
      <c r="M693" s="413"/>
      <c r="N693" s="413"/>
      <c r="O693" s="413"/>
      <c r="P693" s="413"/>
      <c r="Q693" s="413"/>
      <c r="R693" s="413"/>
      <c r="S693" s="413"/>
      <c r="T693" s="413"/>
      <c r="U693" s="413"/>
      <c r="V693" s="413"/>
      <c r="W693" s="413">
        <f t="shared" si="31"/>
        <v>0</v>
      </c>
      <c r="X693" s="412"/>
      <c r="Y693" s="412">
        <v>100</v>
      </c>
      <c r="Z693" s="412"/>
      <c r="AA693" s="412"/>
      <c r="AB693" s="412"/>
      <c r="AC693" s="412"/>
      <c r="AD693" s="412"/>
      <c r="AE693" s="412"/>
      <c r="AF693" s="412"/>
      <c r="AG693" s="412"/>
      <c r="AH693" s="412"/>
      <c r="AI693" s="412"/>
      <c r="AJ693" s="412">
        <f t="shared" si="32"/>
        <v>100</v>
      </c>
      <c r="AK693" s="198"/>
      <c r="AL693" s="250" t="s">
        <v>2067</v>
      </c>
    </row>
    <row r="694" spans="1:38" ht="14.1" customHeight="1" x14ac:dyDescent="0.2">
      <c r="A694" t="s">
        <v>890</v>
      </c>
      <c r="B694" s="193">
        <v>4338</v>
      </c>
      <c r="C694" s="194" t="s">
        <v>978</v>
      </c>
      <c r="D694" s="229" t="s">
        <v>1616</v>
      </c>
      <c r="E694" s="229" t="s">
        <v>726</v>
      </c>
      <c r="F694" s="240">
        <v>250</v>
      </c>
      <c r="G694" s="196">
        <v>1</v>
      </c>
      <c r="H694" s="195">
        <v>500</v>
      </c>
      <c r="I694" s="197">
        <v>41322</v>
      </c>
      <c r="J694" s="197" t="str">
        <f t="shared" si="33"/>
        <v>ok</v>
      </c>
      <c r="K694" s="413"/>
      <c r="L694" s="413"/>
      <c r="M694" s="413"/>
      <c r="N694" s="413"/>
      <c r="O694" s="413"/>
      <c r="P694" s="413"/>
      <c r="Q694" s="413"/>
      <c r="R694" s="413"/>
      <c r="S694" s="413"/>
      <c r="T694" s="413"/>
      <c r="U694" s="413"/>
      <c r="V694" s="413"/>
      <c r="W694" s="413">
        <f t="shared" si="31"/>
        <v>0</v>
      </c>
      <c r="X694" s="412"/>
      <c r="Y694" s="412">
        <v>250</v>
      </c>
      <c r="Z694" s="412">
        <v>250</v>
      </c>
      <c r="AA694" s="412"/>
      <c r="AB694" s="412"/>
      <c r="AC694" s="412"/>
      <c r="AD694" s="412"/>
      <c r="AE694" s="412"/>
      <c r="AF694" s="412"/>
      <c r="AG694" s="412"/>
      <c r="AH694" s="412"/>
      <c r="AI694" s="412"/>
      <c r="AJ694" s="412">
        <f t="shared" si="32"/>
        <v>500</v>
      </c>
      <c r="AK694" s="198"/>
      <c r="AL694" s="250" t="s">
        <v>2067</v>
      </c>
    </row>
    <row r="695" spans="1:38" ht="14.1" customHeight="1" x14ac:dyDescent="0.2">
      <c r="A695" t="s">
        <v>890</v>
      </c>
      <c r="B695" s="193">
        <v>4339</v>
      </c>
      <c r="C695" s="194" t="s">
        <v>1028</v>
      </c>
      <c r="D695" s="229" t="s">
        <v>1617</v>
      </c>
      <c r="E695" s="229" t="s">
        <v>732</v>
      </c>
      <c r="F695" s="240">
        <v>300</v>
      </c>
      <c r="G695" s="196">
        <v>1</v>
      </c>
      <c r="H695" s="195">
        <v>1200</v>
      </c>
      <c r="I695" s="197">
        <v>41322</v>
      </c>
      <c r="J695" s="197" t="str">
        <f t="shared" si="33"/>
        <v>ok</v>
      </c>
      <c r="K695" s="413"/>
      <c r="L695" s="413"/>
      <c r="M695" s="413"/>
      <c r="N695" s="413"/>
      <c r="O695" s="413"/>
      <c r="P695" s="413"/>
      <c r="Q695" s="413"/>
      <c r="R695" s="413"/>
      <c r="S695" s="413"/>
      <c r="T695" s="413"/>
      <c r="U695" s="413">
        <v>300</v>
      </c>
      <c r="V695" s="413">
        <v>300</v>
      </c>
      <c r="W695" s="413">
        <f t="shared" si="31"/>
        <v>600</v>
      </c>
      <c r="X695" s="412">
        <v>300</v>
      </c>
      <c r="Y695" s="412">
        <v>300</v>
      </c>
      <c r="Z695" s="412"/>
      <c r="AA695" s="412"/>
      <c r="AB695" s="412"/>
      <c r="AC695" s="412"/>
      <c r="AD695" s="412"/>
      <c r="AE695" s="412"/>
      <c r="AF695" s="412"/>
      <c r="AG695" s="412"/>
      <c r="AH695" s="412"/>
      <c r="AI695" s="412"/>
      <c r="AJ695" s="412">
        <f t="shared" si="32"/>
        <v>600</v>
      </c>
      <c r="AK695" s="198" t="s">
        <v>1259</v>
      </c>
      <c r="AL695" s="250" t="s">
        <v>2067</v>
      </c>
    </row>
    <row r="696" spans="1:38" ht="14.1" customHeight="1" x14ac:dyDescent="0.2">
      <c r="A696" t="s">
        <v>890</v>
      </c>
      <c r="B696" s="193">
        <v>4340</v>
      </c>
      <c r="C696" s="194" t="s">
        <v>1045</v>
      </c>
      <c r="D696" s="229" t="s">
        <v>1435</v>
      </c>
      <c r="E696" s="229" t="s">
        <v>557</v>
      </c>
      <c r="F696" s="240">
        <v>300</v>
      </c>
      <c r="G696" s="196">
        <v>1</v>
      </c>
      <c r="H696" s="195">
        <v>300</v>
      </c>
      <c r="I696" s="197">
        <v>41322</v>
      </c>
      <c r="J696" s="197" t="str">
        <f t="shared" si="33"/>
        <v>ok</v>
      </c>
      <c r="K696" s="413"/>
      <c r="L696" s="413"/>
      <c r="M696" s="413"/>
      <c r="N696" s="413"/>
      <c r="O696" s="413"/>
      <c r="P696" s="413"/>
      <c r="Q696" s="413"/>
      <c r="R696" s="413"/>
      <c r="S696" s="413"/>
      <c r="T696" s="413"/>
      <c r="U696" s="413"/>
      <c r="V696" s="413"/>
      <c r="W696" s="413">
        <f t="shared" si="31"/>
        <v>0</v>
      </c>
      <c r="X696" s="412"/>
      <c r="Y696" s="412">
        <v>300</v>
      </c>
      <c r="Z696" s="412"/>
      <c r="AA696" s="412"/>
      <c r="AB696" s="412"/>
      <c r="AC696" s="412"/>
      <c r="AD696" s="412"/>
      <c r="AE696" s="412"/>
      <c r="AF696" s="412"/>
      <c r="AG696" s="412"/>
      <c r="AH696" s="412"/>
      <c r="AI696" s="412"/>
      <c r="AJ696" s="412">
        <f t="shared" si="32"/>
        <v>300</v>
      </c>
      <c r="AK696" s="198"/>
      <c r="AL696" s="250" t="s">
        <v>2067</v>
      </c>
    </row>
    <row r="697" spans="1:38" ht="14.1" customHeight="1" x14ac:dyDescent="0.2">
      <c r="A697" t="s">
        <v>890</v>
      </c>
      <c r="B697" s="193">
        <v>4340</v>
      </c>
      <c r="C697" s="194" t="s">
        <v>1045</v>
      </c>
      <c r="D697" s="229" t="s">
        <v>1435</v>
      </c>
      <c r="E697" s="229" t="s">
        <v>557</v>
      </c>
      <c r="F697" s="240">
        <v>300</v>
      </c>
      <c r="G697" s="196">
        <v>5</v>
      </c>
      <c r="H697" s="195">
        <v>40</v>
      </c>
      <c r="I697" s="197">
        <v>41322</v>
      </c>
      <c r="J697" s="197" t="str">
        <f t="shared" si="33"/>
        <v>ok</v>
      </c>
      <c r="K697" s="413"/>
      <c r="L697" s="413"/>
      <c r="M697" s="413"/>
      <c r="N697" s="413"/>
      <c r="O697" s="413"/>
      <c r="P697" s="413"/>
      <c r="Q697" s="413"/>
      <c r="R697" s="413"/>
      <c r="S697" s="413"/>
      <c r="T697" s="413"/>
      <c r="U697" s="413"/>
      <c r="V697" s="413"/>
      <c r="W697" s="413">
        <f t="shared" si="31"/>
        <v>0</v>
      </c>
      <c r="X697" s="412"/>
      <c r="Y697" s="412"/>
      <c r="Z697" s="412"/>
      <c r="AA697" s="412"/>
      <c r="AB697" s="412"/>
      <c r="AC697" s="412"/>
      <c r="AD697" s="412"/>
      <c r="AE697" s="412"/>
      <c r="AF697" s="412"/>
      <c r="AG697" s="412"/>
      <c r="AH697" s="412"/>
      <c r="AI697" s="412"/>
      <c r="AJ697" s="412">
        <f t="shared" si="32"/>
        <v>0</v>
      </c>
      <c r="AK697" s="198"/>
      <c r="AL697" s="250" t="s">
        <v>2068</v>
      </c>
    </row>
    <row r="698" spans="1:38" ht="14.1" customHeight="1" x14ac:dyDescent="0.2">
      <c r="A698" t="s">
        <v>890</v>
      </c>
      <c r="B698" s="193">
        <v>4341</v>
      </c>
      <c r="C698" s="194" t="s">
        <v>998</v>
      </c>
      <c r="D698" s="229" t="s">
        <v>1562</v>
      </c>
      <c r="E698" s="229" t="s">
        <v>487</v>
      </c>
      <c r="F698" s="240">
        <v>300</v>
      </c>
      <c r="G698" s="196">
        <v>1</v>
      </c>
      <c r="H698" s="195">
        <v>300</v>
      </c>
      <c r="I698" s="197">
        <v>41322</v>
      </c>
      <c r="J698" s="197" t="str">
        <f t="shared" si="33"/>
        <v>ok</v>
      </c>
      <c r="K698" s="413"/>
      <c r="L698" s="413"/>
      <c r="M698" s="413"/>
      <c r="N698" s="413"/>
      <c r="O698" s="413"/>
      <c r="P698" s="413"/>
      <c r="Q698" s="413"/>
      <c r="R698" s="413"/>
      <c r="S698" s="413"/>
      <c r="T698" s="413"/>
      <c r="U698" s="413"/>
      <c r="V698" s="413"/>
      <c r="W698" s="413">
        <f t="shared" si="31"/>
        <v>0</v>
      </c>
      <c r="X698" s="412"/>
      <c r="Y698" s="412">
        <v>300</v>
      </c>
      <c r="Z698" s="412"/>
      <c r="AA698" s="412"/>
      <c r="AB698" s="412"/>
      <c r="AC698" s="412"/>
      <c r="AD698" s="412"/>
      <c r="AE698" s="412"/>
      <c r="AF698" s="412"/>
      <c r="AG698" s="412"/>
      <c r="AH698" s="412"/>
      <c r="AI698" s="412"/>
      <c r="AJ698" s="412">
        <f t="shared" si="32"/>
        <v>300</v>
      </c>
      <c r="AK698" s="198"/>
      <c r="AL698" s="250" t="s">
        <v>2067</v>
      </c>
    </row>
    <row r="699" spans="1:38" ht="14.1" customHeight="1" x14ac:dyDescent="0.2">
      <c r="A699" t="s">
        <v>888</v>
      </c>
      <c r="B699" s="193">
        <v>4342</v>
      </c>
      <c r="C699" s="194" t="s">
        <v>944</v>
      </c>
      <c r="D699" s="229" t="s">
        <v>1525</v>
      </c>
      <c r="E699" s="229" t="s">
        <v>405</v>
      </c>
      <c r="F699" s="240">
        <v>300</v>
      </c>
      <c r="G699" s="196">
        <v>1</v>
      </c>
      <c r="H699" s="195">
        <v>300</v>
      </c>
      <c r="I699" s="197">
        <v>41322</v>
      </c>
      <c r="J699" s="197" t="str">
        <f t="shared" si="33"/>
        <v>ok</v>
      </c>
      <c r="K699" s="413"/>
      <c r="L699" s="413"/>
      <c r="M699" s="413"/>
      <c r="N699" s="413"/>
      <c r="O699" s="413"/>
      <c r="P699" s="413"/>
      <c r="Q699" s="413"/>
      <c r="R699" s="413"/>
      <c r="S699" s="413"/>
      <c r="T699" s="413"/>
      <c r="U699" s="413"/>
      <c r="V699" s="413"/>
      <c r="W699" s="413">
        <f t="shared" si="31"/>
        <v>0</v>
      </c>
      <c r="X699" s="412"/>
      <c r="Y699" s="412">
        <v>300</v>
      </c>
      <c r="Z699" s="412"/>
      <c r="AA699" s="412"/>
      <c r="AB699" s="412"/>
      <c r="AC699" s="412"/>
      <c r="AD699" s="412"/>
      <c r="AE699" s="412"/>
      <c r="AF699" s="412"/>
      <c r="AG699" s="412"/>
      <c r="AH699" s="412"/>
      <c r="AI699" s="412"/>
      <c r="AJ699" s="412">
        <f t="shared" si="32"/>
        <v>300</v>
      </c>
      <c r="AK699" s="198"/>
      <c r="AL699" s="250" t="s">
        <v>2067</v>
      </c>
    </row>
    <row r="700" spans="1:38" ht="14.1" customHeight="1" x14ac:dyDescent="0.2">
      <c r="A700" t="s">
        <v>890</v>
      </c>
      <c r="B700" s="193">
        <v>4343</v>
      </c>
      <c r="C700" s="194" t="s">
        <v>787</v>
      </c>
      <c r="D700" s="229" t="s">
        <v>1618</v>
      </c>
      <c r="E700" s="229" t="s">
        <v>532</v>
      </c>
      <c r="F700" s="240">
        <v>300</v>
      </c>
      <c r="G700" s="196">
        <v>1</v>
      </c>
      <c r="H700" s="195">
        <v>600</v>
      </c>
      <c r="I700" s="197">
        <v>41322</v>
      </c>
      <c r="J700" s="197" t="str">
        <f t="shared" si="33"/>
        <v>ok</v>
      </c>
      <c r="K700" s="413"/>
      <c r="L700" s="413"/>
      <c r="M700" s="413"/>
      <c r="N700" s="413"/>
      <c r="O700" s="413"/>
      <c r="P700" s="413"/>
      <c r="Q700" s="413"/>
      <c r="R700" s="413"/>
      <c r="S700" s="413"/>
      <c r="T700" s="413"/>
      <c r="U700" s="413"/>
      <c r="V700" s="413"/>
      <c r="W700" s="413">
        <f t="shared" si="31"/>
        <v>0</v>
      </c>
      <c r="X700" s="412">
        <v>300</v>
      </c>
      <c r="Y700" s="412">
        <v>300</v>
      </c>
      <c r="Z700" s="412"/>
      <c r="AA700" s="412"/>
      <c r="AB700" s="412"/>
      <c r="AC700" s="412"/>
      <c r="AD700" s="412"/>
      <c r="AE700" s="412"/>
      <c r="AF700" s="412"/>
      <c r="AG700" s="412"/>
      <c r="AH700" s="412"/>
      <c r="AI700" s="412"/>
      <c r="AJ700" s="412">
        <f t="shared" si="32"/>
        <v>600</v>
      </c>
      <c r="AK700" s="198"/>
      <c r="AL700" s="250" t="s">
        <v>2067</v>
      </c>
    </row>
    <row r="701" spans="1:38" ht="14.1" customHeight="1" x14ac:dyDescent="0.2">
      <c r="A701" t="s">
        <v>894</v>
      </c>
      <c r="B701" s="193">
        <v>4344</v>
      </c>
      <c r="C701" s="194" t="s">
        <v>1166</v>
      </c>
      <c r="D701" s="229" t="s">
        <v>1498</v>
      </c>
      <c r="E701" s="229" t="s">
        <v>615</v>
      </c>
      <c r="F701" s="240">
        <v>300</v>
      </c>
      <c r="G701" s="196">
        <v>1</v>
      </c>
      <c r="H701" s="195">
        <v>300</v>
      </c>
      <c r="I701" s="197">
        <v>41322</v>
      </c>
      <c r="J701" s="197" t="str">
        <f t="shared" si="33"/>
        <v>ok</v>
      </c>
      <c r="K701" s="413"/>
      <c r="L701" s="413"/>
      <c r="M701" s="413"/>
      <c r="N701" s="413"/>
      <c r="O701" s="413"/>
      <c r="P701" s="413"/>
      <c r="Q701" s="413"/>
      <c r="R701" s="413"/>
      <c r="S701" s="413"/>
      <c r="T701" s="413"/>
      <c r="U701" s="413"/>
      <c r="V701" s="413"/>
      <c r="W701" s="413">
        <f t="shared" si="31"/>
        <v>0</v>
      </c>
      <c r="X701" s="412"/>
      <c r="Y701" s="412">
        <v>300</v>
      </c>
      <c r="Z701" s="412"/>
      <c r="AA701" s="412"/>
      <c r="AB701" s="412"/>
      <c r="AC701" s="412"/>
      <c r="AD701" s="412"/>
      <c r="AE701" s="412"/>
      <c r="AF701" s="412"/>
      <c r="AG701" s="412"/>
      <c r="AH701" s="412"/>
      <c r="AI701" s="412"/>
      <c r="AJ701" s="412">
        <f t="shared" si="32"/>
        <v>300</v>
      </c>
      <c r="AK701" s="198"/>
      <c r="AL701" s="250" t="s">
        <v>2067</v>
      </c>
    </row>
    <row r="702" spans="1:38" ht="14.1" customHeight="1" x14ac:dyDescent="0.2">
      <c r="A702" t="s">
        <v>890</v>
      </c>
      <c r="B702" s="193">
        <v>4345</v>
      </c>
      <c r="C702" s="194" t="s">
        <v>1027</v>
      </c>
      <c r="D702" s="229" t="s">
        <v>1565</v>
      </c>
      <c r="E702" s="229" t="s">
        <v>527</v>
      </c>
      <c r="F702" s="240">
        <v>300</v>
      </c>
      <c r="G702" s="196">
        <v>1</v>
      </c>
      <c r="H702" s="195">
        <v>300</v>
      </c>
      <c r="I702" s="197">
        <v>41322</v>
      </c>
      <c r="J702" s="197" t="str">
        <f t="shared" si="33"/>
        <v>ok</v>
      </c>
      <c r="K702" s="413"/>
      <c r="L702" s="413"/>
      <c r="M702" s="413"/>
      <c r="N702" s="413"/>
      <c r="O702" s="413"/>
      <c r="P702" s="413"/>
      <c r="Q702" s="413"/>
      <c r="R702" s="413"/>
      <c r="S702" s="413"/>
      <c r="T702" s="413"/>
      <c r="U702" s="413"/>
      <c r="V702" s="413"/>
      <c r="W702" s="413">
        <f t="shared" si="31"/>
        <v>0</v>
      </c>
      <c r="X702" s="412"/>
      <c r="Y702" s="412">
        <v>300</v>
      </c>
      <c r="Z702" s="412"/>
      <c r="AA702" s="412"/>
      <c r="AB702" s="412"/>
      <c r="AC702" s="412"/>
      <c r="AD702" s="412"/>
      <c r="AE702" s="412"/>
      <c r="AF702" s="412"/>
      <c r="AG702" s="412"/>
      <c r="AH702" s="412"/>
      <c r="AI702" s="412"/>
      <c r="AJ702" s="412">
        <f t="shared" si="32"/>
        <v>300</v>
      </c>
      <c r="AK702" s="198"/>
      <c r="AL702" s="250" t="s">
        <v>2067</v>
      </c>
    </row>
    <row r="703" spans="1:38" ht="14.1" customHeight="1" x14ac:dyDescent="0.2">
      <c r="A703" t="s">
        <v>884</v>
      </c>
      <c r="B703" s="193">
        <v>4346</v>
      </c>
      <c r="C703" s="194" t="s">
        <v>845</v>
      </c>
      <c r="D703" s="229" t="s">
        <v>1619</v>
      </c>
      <c r="E703" s="229" t="s">
        <v>84</v>
      </c>
      <c r="F703" s="240">
        <v>300</v>
      </c>
      <c r="G703" s="196">
        <v>1</v>
      </c>
      <c r="H703" s="195">
        <v>600</v>
      </c>
      <c r="I703" s="197">
        <v>41322</v>
      </c>
      <c r="J703" s="197" t="str">
        <f t="shared" si="33"/>
        <v>ok</v>
      </c>
      <c r="K703" s="413"/>
      <c r="L703" s="413"/>
      <c r="M703" s="413"/>
      <c r="N703" s="413"/>
      <c r="O703" s="413"/>
      <c r="P703" s="413"/>
      <c r="Q703" s="413"/>
      <c r="R703" s="413"/>
      <c r="S703" s="413"/>
      <c r="T703" s="413"/>
      <c r="U703" s="413"/>
      <c r="V703" s="413"/>
      <c r="W703" s="413">
        <f t="shared" si="31"/>
        <v>0</v>
      </c>
      <c r="X703" s="412">
        <v>300</v>
      </c>
      <c r="Y703" s="412">
        <v>300</v>
      </c>
      <c r="Z703" s="412"/>
      <c r="AA703" s="412"/>
      <c r="AB703" s="412"/>
      <c r="AC703" s="412"/>
      <c r="AD703" s="412"/>
      <c r="AE703" s="412"/>
      <c r="AF703" s="412"/>
      <c r="AG703" s="412"/>
      <c r="AH703" s="412"/>
      <c r="AI703" s="412"/>
      <c r="AJ703" s="412">
        <f t="shared" si="32"/>
        <v>600</v>
      </c>
      <c r="AK703" s="198"/>
      <c r="AL703" s="250" t="s">
        <v>2067</v>
      </c>
    </row>
    <row r="704" spans="1:38" ht="14.1" customHeight="1" x14ac:dyDescent="0.2">
      <c r="A704" t="s">
        <v>884</v>
      </c>
      <c r="B704" s="193">
        <v>4347</v>
      </c>
      <c r="C704" s="194" t="s">
        <v>801</v>
      </c>
      <c r="D704" s="229" t="s">
        <v>1529</v>
      </c>
      <c r="E704" s="229" t="s">
        <v>704</v>
      </c>
      <c r="F704" s="240">
        <v>300</v>
      </c>
      <c r="G704" s="196">
        <v>1</v>
      </c>
      <c r="H704" s="195">
        <v>300</v>
      </c>
      <c r="I704" s="197">
        <v>41322</v>
      </c>
      <c r="J704" s="197" t="str">
        <f t="shared" si="33"/>
        <v>ok</v>
      </c>
      <c r="K704" s="413"/>
      <c r="L704" s="413"/>
      <c r="M704" s="413"/>
      <c r="N704" s="413"/>
      <c r="O704" s="413"/>
      <c r="P704" s="413"/>
      <c r="Q704" s="413"/>
      <c r="R704" s="413"/>
      <c r="S704" s="413"/>
      <c r="T704" s="413"/>
      <c r="U704" s="413"/>
      <c r="V704" s="413"/>
      <c r="W704" s="413">
        <f t="shared" si="31"/>
        <v>0</v>
      </c>
      <c r="X704" s="412"/>
      <c r="Y704" s="412">
        <v>300</v>
      </c>
      <c r="Z704" s="412"/>
      <c r="AA704" s="412"/>
      <c r="AB704" s="412"/>
      <c r="AC704" s="412"/>
      <c r="AD704" s="412"/>
      <c r="AE704" s="412"/>
      <c r="AF704" s="412"/>
      <c r="AG704" s="412"/>
      <c r="AH704" s="412"/>
      <c r="AI704" s="412"/>
      <c r="AJ704" s="412">
        <f t="shared" si="32"/>
        <v>300</v>
      </c>
      <c r="AK704" s="198"/>
      <c r="AL704" s="250" t="s">
        <v>2067</v>
      </c>
    </row>
    <row r="705" spans="1:39" ht="14.1" customHeight="1" x14ac:dyDescent="0.2">
      <c r="A705" t="s">
        <v>893</v>
      </c>
      <c r="B705" s="193">
        <v>4348</v>
      </c>
      <c r="C705" s="194" t="s">
        <v>1131</v>
      </c>
      <c r="D705" s="229" t="s">
        <v>1373</v>
      </c>
      <c r="E705" s="229" t="s">
        <v>299</v>
      </c>
      <c r="F705" s="240">
        <v>300</v>
      </c>
      <c r="G705" s="196">
        <v>1</v>
      </c>
      <c r="H705" s="195">
        <v>300</v>
      </c>
      <c r="I705" s="197">
        <v>41322</v>
      </c>
      <c r="J705" s="197" t="str">
        <f t="shared" si="33"/>
        <v>ok</v>
      </c>
      <c r="K705" s="413"/>
      <c r="L705" s="413"/>
      <c r="M705" s="413"/>
      <c r="N705" s="413"/>
      <c r="O705" s="413"/>
      <c r="P705" s="413"/>
      <c r="Q705" s="413"/>
      <c r="R705" s="413"/>
      <c r="S705" s="413"/>
      <c r="T705" s="413"/>
      <c r="U705" s="413"/>
      <c r="V705" s="413"/>
      <c r="W705" s="413">
        <f t="shared" si="31"/>
        <v>0</v>
      </c>
      <c r="X705" s="412"/>
      <c r="Y705" s="412">
        <v>300</v>
      </c>
      <c r="Z705" s="412"/>
      <c r="AA705" s="412"/>
      <c r="AB705" s="412"/>
      <c r="AC705" s="412"/>
      <c r="AD705" s="412"/>
      <c r="AE705" s="412"/>
      <c r="AF705" s="412"/>
      <c r="AG705" s="412"/>
      <c r="AH705" s="412"/>
      <c r="AI705" s="412"/>
      <c r="AJ705" s="412">
        <f t="shared" si="32"/>
        <v>300</v>
      </c>
      <c r="AK705" s="198"/>
      <c r="AL705" s="250" t="s">
        <v>2067</v>
      </c>
    </row>
    <row r="706" spans="1:39" ht="14.1" customHeight="1" x14ac:dyDescent="0.2">
      <c r="A706" t="s">
        <v>893</v>
      </c>
      <c r="B706" s="193">
        <v>4349</v>
      </c>
      <c r="C706" s="194" t="s">
        <v>1125</v>
      </c>
      <c r="D706" s="229" t="s">
        <v>1543</v>
      </c>
      <c r="E706" s="229" t="s">
        <v>286</v>
      </c>
      <c r="F706" s="240">
        <v>300</v>
      </c>
      <c r="G706" s="196">
        <v>1</v>
      </c>
      <c r="H706" s="195">
        <v>300</v>
      </c>
      <c r="I706" s="197">
        <v>41322</v>
      </c>
      <c r="J706" s="197" t="str">
        <f t="shared" si="33"/>
        <v>ok</v>
      </c>
      <c r="K706" s="413"/>
      <c r="L706" s="413"/>
      <c r="M706" s="413"/>
      <c r="N706" s="413"/>
      <c r="O706" s="413"/>
      <c r="P706" s="413"/>
      <c r="Q706" s="413"/>
      <c r="R706" s="413"/>
      <c r="S706" s="413"/>
      <c r="T706" s="413"/>
      <c r="U706" s="413"/>
      <c r="V706" s="413"/>
      <c r="W706" s="413">
        <f t="shared" si="31"/>
        <v>0</v>
      </c>
      <c r="X706" s="412"/>
      <c r="Y706" s="412">
        <v>300</v>
      </c>
      <c r="Z706" s="412"/>
      <c r="AA706" s="412"/>
      <c r="AB706" s="412"/>
      <c r="AC706" s="412"/>
      <c r="AD706" s="412"/>
      <c r="AE706" s="412"/>
      <c r="AF706" s="412"/>
      <c r="AG706" s="412"/>
      <c r="AH706" s="412"/>
      <c r="AI706" s="412"/>
      <c r="AJ706" s="412">
        <f t="shared" si="32"/>
        <v>300</v>
      </c>
      <c r="AK706" s="198"/>
      <c r="AL706" s="250" t="s">
        <v>2067</v>
      </c>
    </row>
    <row r="707" spans="1:39" ht="14.1" customHeight="1" x14ac:dyDescent="0.2">
      <c r="A707" t="s">
        <v>893</v>
      </c>
      <c r="B707" s="193">
        <v>4350</v>
      </c>
      <c r="C707" s="194" t="s">
        <v>1136</v>
      </c>
      <c r="D707" s="229" t="s">
        <v>1502</v>
      </c>
      <c r="E707" s="229" t="s">
        <v>308</v>
      </c>
      <c r="F707" s="240">
        <v>300</v>
      </c>
      <c r="G707" s="196">
        <v>1</v>
      </c>
      <c r="H707" s="195">
        <v>300</v>
      </c>
      <c r="I707" s="197">
        <v>41323</v>
      </c>
      <c r="J707" s="197" t="str">
        <f t="shared" si="33"/>
        <v>ok</v>
      </c>
      <c r="K707" s="413"/>
      <c r="L707" s="413"/>
      <c r="M707" s="413"/>
      <c r="N707" s="413"/>
      <c r="O707" s="413"/>
      <c r="P707" s="413"/>
      <c r="Q707" s="413"/>
      <c r="R707" s="413"/>
      <c r="S707" s="413"/>
      <c r="T707" s="413"/>
      <c r="U707" s="413"/>
      <c r="V707" s="413"/>
      <c r="W707" s="413">
        <f t="shared" si="31"/>
        <v>0</v>
      </c>
      <c r="X707" s="412"/>
      <c r="Y707" s="412">
        <v>300</v>
      </c>
      <c r="Z707" s="412"/>
      <c r="AA707" s="412"/>
      <c r="AB707" s="412"/>
      <c r="AC707" s="412"/>
      <c r="AD707" s="412"/>
      <c r="AE707" s="412"/>
      <c r="AF707" s="412"/>
      <c r="AG707" s="412"/>
      <c r="AH707" s="412"/>
      <c r="AI707" s="412"/>
      <c r="AJ707" s="412">
        <f t="shared" si="32"/>
        <v>300</v>
      </c>
      <c r="AK707" s="198"/>
      <c r="AL707" s="250" t="s">
        <v>2067</v>
      </c>
    </row>
    <row r="708" spans="1:39" ht="14.1" customHeight="1" x14ac:dyDescent="0.2">
      <c r="A708" t="s">
        <v>893</v>
      </c>
      <c r="B708" s="193">
        <v>4351</v>
      </c>
      <c r="C708" s="194" t="s">
        <v>1144</v>
      </c>
      <c r="D708" s="229" t="s">
        <v>1605</v>
      </c>
      <c r="E708" s="229" t="s">
        <v>1223</v>
      </c>
      <c r="F708" s="240">
        <v>300</v>
      </c>
      <c r="G708" s="196">
        <v>1</v>
      </c>
      <c r="H708" s="195">
        <v>1800</v>
      </c>
      <c r="I708" s="197">
        <v>41323</v>
      </c>
      <c r="J708" s="197" t="str">
        <f t="shared" si="33"/>
        <v>ok</v>
      </c>
      <c r="K708" s="413"/>
      <c r="L708" s="413"/>
      <c r="M708" s="413"/>
      <c r="N708" s="413"/>
      <c r="O708" s="413"/>
      <c r="P708" s="413"/>
      <c r="Q708" s="413"/>
      <c r="R708" s="413"/>
      <c r="S708" s="413"/>
      <c r="T708" s="413"/>
      <c r="U708" s="413"/>
      <c r="V708" s="413"/>
      <c r="W708" s="413">
        <f t="shared" si="31"/>
        <v>0</v>
      </c>
      <c r="X708" s="412"/>
      <c r="Y708" s="412"/>
      <c r="Z708" s="412"/>
      <c r="AA708" s="412"/>
      <c r="AB708" s="412"/>
      <c r="AC708" s="412">
        <v>300</v>
      </c>
      <c r="AD708" s="412">
        <v>300</v>
      </c>
      <c r="AE708" s="412">
        <v>300</v>
      </c>
      <c r="AF708" s="412">
        <v>300</v>
      </c>
      <c r="AG708" s="412">
        <v>300</v>
      </c>
      <c r="AH708" s="412">
        <v>300</v>
      </c>
      <c r="AI708" s="412"/>
      <c r="AJ708" s="412">
        <f t="shared" si="32"/>
        <v>1800</v>
      </c>
      <c r="AK708" s="198"/>
      <c r="AL708" s="250" t="s">
        <v>2067</v>
      </c>
      <c r="AM708" s="158"/>
    </row>
    <row r="709" spans="1:39" ht="14.1" customHeight="1" x14ac:dyDescent="0.2">
      <c r="A709" t="s">
        <v>890</v>
      </c>
      <c r="B709" s="193">
        <v>4352</v>
      </c>
      <c r="C709" s="194" t="s">
        <v>1005</v>
      </c>
      <c r="D709" s="229" t="s">
        <v>1620</v>
      </c>
      <c r="E709" s="229" t="s">
        <v>497</v>
      </c>
      <c r="F709" s="240">
        <v>300</v>
      </c>
      <c r="G709" s="196">
        <v>1</v>
      </c>
      <c r="H709" s="195">
        <v>600</v>
      </c>
      <c r="I709" s="197">
        <v>41326</v>
      </c>
      <c r="J709" s="197" t="str">
        <f t="shared" si="33"/>
        <v>ok</v>
      </c>
      <c r="K709" s="413"/>
      <c r="L709" s="413"/>
      <c r="M709" s="413"/>
      <c r="N709" s="413"/>
      <c r="O709" s="413"/>
      <c r="P709" s="413"/>
      <c r="Q709" s="413"/>
      <c r="R709" s="413"/>
      <c r="S709" s="413"/>
      <c r="T709" s="413"/>
      <c r="U709" s="413"/>
      <c r="V709" s="413"/>
      <c r="W709" s="413">
        <f t="shared" si="31"/>
        <v>0</v>
      </c>
      <c r="X709" s="412">
        <v>300</v>
      </c>
      <c r="Y709" s="412">
        <v>300</v>
      </c>
      <c r="Z709" s="412"/>
      <c r="AA709" s="412"/>
      <c r="AB709" s="412"/>
      <c r="AC709" s="412"/>
      <c r="AD709" s="412"/>
      <c r="AE709" s="412"/>
      <c r="AF709" s="412"/>
      <c r="AG709" s="412"/>
      <c r="AH709" s="412"/>
      <c r="AI709" s="412"/>
      <c r="AJ709" s="412">
        <f t="shared" si="32"/>
        <v>600</v>
      </c>
      <c r="AK709" s="198"/>
      <c r="AL709" s="250" t="s">
        <v>2067</v>
      </c>
    </row>
    <row r="710" spans="1:39" ht="14.1" customHeight="1" x14ac:dyDescent="0.2">
      <c r="A710" t="s">
        <v>884</v>
      </c>
      <c r="B710" s="193">
        <v>4353</v>
      </c>
      <c r="C710" s="194" t="s">
        <v>859</v>
      </c>
      <c r="D710" s="229" t="s">
        <v>1404</v>
      </c>
      <c r="E710" s="229" t="s">
        <v>105</v>
      </c>
      <c r="F710" s="240">
        <v>150</v>
      </c>
      <c r="G710" s="196">
        <v>3</v>
      </c>
      <c r="H710" s="195">
        <v>150</v>
      </c>
      <c r="I710" s="197">
        <v>41326</v>
      </c>
      <c r="J710" s="197" t="str">
        <f t="shared" si="33"/>
        <v>ok</v>
      </c>
      <c r="K710" s="413"/>
      <c r="L710" s="413"/>
      <c r="M710" s="413"/>
      <c r="N710" s="413"/>
      <c r="O710" s="413"/>
      <c r="P710" s="413"/>
      <c r="Q710" s="413"/>
      <c r="R710" s="413"/>
      <c r="S710" s="413"/>
      <c r="T710" s="413"/>
      <c r="U710" s="413"/>
      <c r="V710" s="413"/>
      <c r="W710" s="413">
        <f t="shared" si="31"/>
        <v>0</v>
      </c>
      <c r="X710" s="412"/>
      <c r="Y710" s="412"/>
      <c r="Z710" s="412"/>
      <c r="AA710" s="412"/>
      <c r="AB710" s="412"/>
      <c r="AC710" s="412"/>
      <c r="AD710" s="412"/>
      <c r="AE710" s="412"/>
      <c r="AF710" s="412"/>
      <c r="AG710" s="412"/>
      <c r="AH710" s="412"/>
      <c r="AI710" s="412"/>
      <c r="AJ710" s="412">
        <f t="shared" si="32"/>
        <v>0</v>
      </c>
      <c r="AK710" s="198"/>
      <c r="AL710" s="250" t="s">
        <v>2068</v>
      </c>
    </row>
    <row r="711" spans="1:39" ht="14.1" customHeight="1" x14ac:dyDescent="0.2">
      <c r="A711" t="s">
        <v>892</v>
      </c>
      <c r="B711" s="193">
        <v>4354</v>
      </c>
      <c r="C711" s="194" t="s">
        <v>1057</v>
      </c>
      <c r="D711" s="229" t="s">
        <v>1548</v>
      </c>
      <c r="E711" s="229" t="s">
        <v>46</v>
      </c>
      <c r="F711" s="240">
        <v>300</v>
      </c>
      <c r="G711" s="196">
        <v>1</v>
      </c>
      <c r="H711" s="195">
        <v>300</v>
      </c>
      <c r="I711" s="197">
        <v>41326</v>
      </c>
      <c r="J711" s="197" t="str">
        <f t="shared" si="33"/>
        <v>ok</v>
      </c>
      <c r="K711" s="413"/>
      <c r="L711" s="413"/>
      <c r="M711" s="413"/>
      <c r="N711" s="413"/>
      <c r="O711" s="413"/>
      <c r="P711" s="413"/>
      <c r="Q711" s="413"/>
      <c r="R711" s="413"/>
      <c r="S711" s="413"/>
      <c r="T711" s="413"/>
      <c r="U711" s="413"/>
      <c r="V711" s="413"/>
      <c r="W711" s="413">
        <f t="shared" ref="W711:W774" si="34">SUM(K711:V711)</f>
        <v>0</v>
      </c>
      <c r="X711" s="412"/>
      <c r="Y711" s="412">
        <v>300</v>
      </c>
      <c r="Z711" s="412"/>
      <c r="AA711" s="412"/>
      <c r="AB711" s="412"/>
      <c r="AC711" s="412"/>
      <c r="AD711" s="412"/>
      <c r="AE711" s="412"/>
      <c r="AF711" s="412"/>
      <c r="AG711" s="412"/>
      <c r="AH711" s="412"/>
      <c r="AI711" s="412"/>
      <c r="AJ711" s="412">
        <f t="shared" ref="AJ711:AJ774" si="35">SUM(X711:AI711)</f>
        <v>300</v>
      </c>
      <c r="AK711" s="198"/>
      <c r="AL711" s="250" t="s">
        <v>2067</v>
      </c>
    </row>
    <row r="712" spans="1:39" ht="14.1" customHeight="1" x14ac:dyDescent="0.2">
      <c r="A712" t="s">
        <v>884</v>
      </c>
      <c r="B712" s="193">
        <v>4355</v>
      </c>
      <c r="C712" s="194" t="s">
        <v>882</v>
      </c>
      <c r="D712" s="229" t="s">
        <v>1500</v>
      </c>
      <c r="E712" s="229" t="s">
        <v>1210</v>
      </c>
      <c r="F712" s="240">
        <v>300</v>
      </c>
      <c r="G712" s="196">
        <v>1</v>
      </c>
      <c r="H712" s="195">
        <v>1500</v>
      </c>
      <c r="I712" s="197">
        <v>41327</v>
      </c>
      <c r="J712" s="197" t="str">
        <f t="shared" si="33"/>
        <v>ok</v>
      </c>
      <c r="K712" s="413"/>
      <c r="L712" s="413"/>
      <c r="M712" s="413"/>
      <c r="N712" s="413"/>
      <c r="O712" s="413"/>
      <c r="P712" s="413"/>
      <c r="Q712" s="413"/>
      <c r="R712" s="413"/>
      <c r="S712" s="413"/>
      <c r="T712" s="413"/>
      <c r="U712" s="413"/>
      <c r="V712" s="413"/>
      <c r="W712" s="413">
        <f t="shared" si="34"/>
        <v>0</v>
      </c>
      <c r="X712" s="412"/>
      <c r="Y712" s="412"/>
      <c r="Z712" s="412"/>
      <c r="AA712" s="412"/>
      <c r="AB712" s="412"/>
      <c r="AC712" s="412"/>
      <c r="AD712" s="412">
        <v>300</v>
      </c>
      <c r="AE712" s="412">
        <v>300</v>
      </c>
      <c r="AF712" s="412">
        <v>300</v>
      </c>
      <c r="AG712" s="412">
        <v>300</v>
      </c>
      <c r="AH712" s="412">
        <v>300</v>
      </c>
      <c r="AI712" s="412"/>
      <c r="AJ712" s="412">
        <f t="shared" si="35"/>
        <v>1500</v>
      </c>
      <c r="AK712" s="198"/>
      <c r="AL712" s="250" t="s">
        <v>2067</v>
      </c>
      <c r="AM712" s="158"/>
    </row>
    <row r="713" spans="1:39" ht="14.1" customHeight="1" x14ac:dyDescent="0.2">
      <c r="A713" t="s">
        <v>884</v>
      </c>
      <c r="B713" s="193">
        <v>4356</v>
      </c>
      <c r="C713" s="194" t="s">
        <v>828</v>
      </c>
      <c r="D713" s="229" t="s">
        <v>1621</v>
      </c>
      <c r="E713" s="229" t="s">
        <v>59</v>
      </c>
      <c r="F713" s="240">
        <v>300</v>
      </c>
      <c r="G713" s="196">
        <v>1</v>
      </c>
      <c r="H713" s="195">
        <v>900</v>
      </c>
      <c r="I713" s="197">
        <v>41327</v>
      </c>
      <c r="J713" s="197" t="str">
        <f t="shared" si="33"/>
        <v>ok</v>
      </c>
      <c r="K713" s="413"/>
      <c r="L713" s="413"/>
      <c r="M713" s="413"/>
      <c r="N713" s="413"/>
      <c r="O713" s="413"/>
      <c r="P713" s="413"/>
      <c r="Q713" s="413"/>
      <c r="R713" s="413"/>
      <c r="S713" s="413"/>
      <c r="T713" s="413"/>
      <c r="U713" s="413"/>
      <c r="V713" s="413"/>
      <c r="W713" s="413">
        <f t="shared" si="34"/>
        <v>0</v>
      </c>
      <c r="X713" s="412">
        <v>300</v>
      </c>
      <c r="Y713" s="412">
        <v>300</v>
      </c>
      <c r="Z713" s="412">
        <v>300</v>
      </c>
      <c r="AA713" s="412"/>
      <c r="AB713" s="412"/>
      <c r="AC713" s="412"/>
      <c r="AD713" s="412"/>
      <c r="AE713" s="412"/>
      <c r="AF713" s="412"/>
      <c r="AG713" s="412"/>
      <c r="AH713" s="412"/>
      <c r="AI713" s="412"/>
      <c r="AJ713" s="412">
        <f t="shared" si="35"/>
        <v>900</v>
      </c>
      <c r="AK713" s="198"/>
      <c r="AL713" s="250" t="s">
        <v>2067</v>
      </c>
    </row>
    <row r="714" spans="1:39" ht="14.1" customHeight="1" x14ac:dyDescent="0.2">
      <c r="A714" t="s">
        <v>890</v>
      </c>
      <c r="B714" s="193">
        <v>4357</v>
      </c>
      <c r="C714" s="194" t="s">
        <v>984</v>
      </c>
      <c r="D714" s="229" t="s">
        <v>1454</v>
      </c>
      <c r="E714" s="229" t="s">
        <v>1184</v>
      </c>
      <c r="F714" s="240">
        <v>300</v>
      </c>
      <c r="G714" s="196">
        <v>3</v>
      </c>
      <c r="H714" s="195">
        <v>150</v>
      </c>
      <c r="I714" s="197">
        <v>41327</v>
      </c>
      <c r="J714" s="197" t="str">
        <f t="shared" si="33"/>
        <v>ok</v>
      </c>
      <c r="K714" s="413"/>
      <c r="L714" s="413"/>
      <c r="M714" s="413"/>
      <c r="N714" s="413"/>
      <c r="O714" s="413"/>
      <c r="P714" s="413"/>
      <c r="Q714" s="413"/>
      <c r="R714" s="413"/>
      <c r="S714" s="413"/>
      <c r="T714" s="413"/>
      <c r="U714" s="413"/>
      <c r="V714" s="413"/>
      <c r="W714" s="413">
        <f t="shared" si="34"/>
        <v>0</v>
      </c>
      <c r="X714" s="412"/>
      <c r="Y714" s="412"/>
      <c r="Z714" s="412"/>
      <c r="AA714" s="412"/>
      <c r="AB714" s="412"/>
      <c r="AC714" s="412"/>
      <c r="AD714" s="412"/>
      <c r="AE714" s="412"/>
      <c r="AF714" s="412"/>
      <c r="AG714" s="412"/>
      <c r="AH714" s="412"/>
      <c r="AI714" s="412"/>
      <c r="AJ714" s="412">
        <f t="shared" si="35"/>
        <v>0</v>
      </c>
      <c r="AK714" s="198"/>
      <c r="AL714" s="250" t="s">
        <v>2068</v>
      </c>
    </row>
    <row r="715" spans="1:39" ht="14.1" customHeight="1" x14ac:dyDescent="0.2">
      <c r="A715" t="s">
        <v>891</v>
      </c>
      <c r="B715" s="193">
        <v>4358</v>
      </c>
      <c r="C715" s="194" t="s">
        <v>1048</v>
      </c>
      <c r="D715" s="229" t="s">
        <v>1622</v>
      </c>
      <c r="E715" s="229" t="s">
        <v>735</v>
      </c>
      <c r="F715" s="240">
        <v>300</v>
      </c>
      <c r="G715" s="196">
        <v>1</v>
      </c>
      <c r="H715" s="195">
        <v>1200</v>
      </c>
      <c r="I715" s="197">
        <v>41329</v>
      </c>
      <c r="J715" s="197" t="str">
        <f t="shared" si="33"/>
        <v>ok</v>
      </c>
      <c r="K715" s="413"/>
      <c r="L715" s="413"/>
      <c r="M715" s="413"/>
      <c r="N715" s="413"/>
      <c r="O715" s="413"/>
      <c r="P715" s="413"/>
      <c r="Q715" s="413"/>
      <c r="R715" s="413"/>
      <c r="S715" s="413"/>
      <c r="T715" s="413"/>
      <c r="U715" s="413"/>
      <c r="V715" s="413"/>
      <c r="W715" s="413">
        <f t="shared" si="34"/>
        <v>0</v>
      </c>
      <c r="X715" s="412">
        <v>300</v>
      </c>
      <c r="Y715" s="412">
        <v>300</v>
      </c>
      <c r="Z715" s="412">
        <v>300</v>
      </c>
      <c r="AA715" s="412">
        <v>300</v>
      </c>
      <c r="AB715" s="412"/>
      <c r="AC715" s="412"/>
      <c r="AD715" s="412"/>
      <c r="AE715" s="412"/>
      <c r="AF715" s="412"/>
      <c r="AG715" s="412"/>
      <c r="AH715" s="412"/>
      <c r="AI715" s="412"/>
      <c r="AJ715" s="412">
        <f t="shared" si="35"/>
        <v>1200</v>
      </c>
      <c r="AK715" s="198"/>
      <c r="AL715" s="250" t="s">
        <v>2067</v>
      </c>
    </row>
    <row r="716" spans="1:39" ht="14.1" customHeight="1" x14ac:dyDescent="0.2">
      <c r="A716" t="s">
        <v>892</v>
      </c>
      <c r="B716" s="193">
        <v>4359</v>
      </c>
      <c r="C716" s="194" t="s">
        <v>1060</v>
      </c>
      <c r="D716" s="229" t="s">
        <v>1460</v>
      </c>
      <c r="E716" s="229" t="s">
        <v>737</v>
      </c>
      <c r="F716" s="240">
        <v>300</v>
      </c>
      <c r="G716" s="196">
        <v>1</v>
      </c>
      <c r="H716" s="195">
        <v>600</v>
      </c>
      <c r="I716" s="197">
        <v>41329</v>
      </c>
      <c r="J716" s="197" t="str">
        <f t="shared" si="33"/>
        <v>ok</v>
      </c>
      <c r="K716" s="413"/>
      <c r="L716" s="413"/>
      <c r="M716" s="413"/>
      <c r="N716" s="413"/>
      <c r="O716" s="413"/>
      <c r="P716" s="413"/>
      <c r="Q716" s="413"/>
      <c r="R716" s="413"/>
      <c r="S716" s="413"/>
      <c r="T716" s="413"/>
      <c r="U716" s="413"/>
      <c r="V716" s="413"/>
      <c r="W716" s="413">
        <f t="shared" si="34"/>
        <v>0</v>
      </c>
      <c r="X716" s="412"/>
      <c r="Y716" s="412">
        <v>300</v>
      </c>
      <c r="Z716" s="412">
        <v>300</v>
      </c>
      <c r="AA716" s="412"/>
      <c r="AB716" s="412"/>
      <c r="AC716" s="412"/>
      <c r="AD716" s="412"/>
      <c r="AE716" s="412"/>
      <c r="AF716" s="412"/>
      <c r="AG716" s="412"/>
      <c r="AH716" s="412"/>
      <c r="AI716" s="412"/>
      <c r="AJ716" s="412">
        <f t="shared" si="35"/>
        <v>600</v>
      </c>
      <c r="AK716" s="198"/>
      <c r="AL716" s="250" t="s">
        <v>2067</v>
      </c>
    </row>
    <row r="717" spans="1:39" ht="14.1" customHeight="1" x14ac:dyDescent="0.2">
      <c r="A717" t="s">
        <v>888</v>
      </c>
      <c r="B717" s="193">
        <v>4360</v>
      </c>
      <c r="C717" s="194" t="s">
        <v>926</v>
      </c>
      <c r="D717" s="229" t="s">
        <v>1389</v>
      </c>
      <c r="E717" s="229" t="s">
        <v>375</v>
      </c>
      <c r="F717" s="240">
        <v>300</v>
      </c>
      <c r="G717" s="196">
        <v>1</v>
      </c>
      <c r="H717" s="195">
        <v>600</v>
      </c>
      <c r="I717" s="197">
        <v>41329</v>
      </c>
      <c r="J717" s="197" t="str">
        <f t="shared" si="33"/>
        <v>ok</v>
      </c>
      <c r="K717" s="413"/>
      <c r="L717" s="413"/>
      <c r="M717" s="413"/>
      <c r="N717" s="413"/>
      <c r="O717" s="413"/>
      <c r="P717" s="413"/>
      <c r="Q717" s="413"/>
      <c r="R717" s="413"/>
      <c r="S717" s="413"/>
      <c r="T717" s="413"/>
      <c r="U717" s="413"/>
      <c r="V717" s="413">
        <v>300</v>
      </c>
      <c r="W717" s="413">
        <f t="shared" si="34"/>
        <v>300</v>
      </c>
      <c r="X717" s="412">
        <v>300</v>
      </c>
      <c r="Y717" s="412"/>
      <c r="Z717" s="412"/>
      <c r="AA717" s="412"/>
      <c r="AB717" s="412"/>
      <c r="AC717" s="412"/>
      <c r="AD717" s="412"/>
      <c r="AE717" s="412"/>
      <c r="AF717" s="412"/>
      <c r="AG717" s="412"/>
      <c r="AH717" s="412"/>
      <c r="AI717" s="412"/>
      <c r="AJ717" s="412">
        <f t="shared" si="35"/>
        <v>300</v>
      </c>
      <c r="AK717" s="198" t="s">
        <v>1258</v>
      </c>
      <c r="AL717" s="250" t="s">
        <v>2067</v>
      </c>
    </row>
    <row r="718" spans="1:39" ht="14.1" customHeight="1" x14ac:dyDescent="0.2">
      <c r="A718" t="s">
        <v>890</v>
      </c>
      <c r="B718" s="193">
        <v>4361</v>
      </c>
      <c r="C718" s="194" t="s">
        <v>1006</v>
      </c>
      <c r="D718" s="229" t="s">
        <v>1370</v>
      </c>
      <c r="E718" s="229" t="s">
        <v>1217</v>
      </c>
      <c r="F718" s="240">
        <v>300</v>
      </c>
      <c r="G718" s="196">
        <v>2</v>
      </c>
      <c r="H718" s="195">
        <v>500</v>
      </c>
      <c r="I718" s="197">
        <v>41329</v>
      </c>
      <c r="J718" s="197" t="str">
        <f t="shared" ref="J718:J781" si="36">IF(OR(G718&lt;&gt;1,SUM(W718,AJ718)=H718),"ok","error")</f>
        <v>ok</v>
      </c>
      <c r="K718" s="413"/>
      <c r="L718" s="413"/>
      <c r="M718" s="413"/>
      <c r="N718" s="413"/>
      <c r="O718" s="413"/>
      <c r="P718" s="413"/>
      <c r="Q718" s="413"/>
      <c r="R718" s="413"/>
      <c r="S718" s="413"/>
      <c r="T718" s="413"/>
      <c r="U718" s="413"/>
      <c r="V718" s="413"/>
      <c r="W718" s="413">
        <f t="shared" si="34"/>
        <v>0</v>
      </c>
      <c r="X718" s="412"/>
      <c r="Y718" s="412"/>
      <c r="Z718" s="412"/>
      <c r="AA718" s="412"/>
      <c r="AB718" s="412"/>
      <c r="AC718" s="412"/>
      <c r="AD718" s="412"/>
      <c r="AE718" s="412"/>
      <c r="AF718" s="412"/>
      <c r="AG718" s="412"/>
      <c r="AH718" s="412"/>
      <c r="AI718" s="412"/>
      <c r="AJ718" s="412">
        <f t="shared" si="35"/>
        <v>0</v>
      </c>
      <c r="AK718" s="198"/>
      <c r="AL718" s="250" t="s">
        <v>2068</v>
      </c>
    </row>
    <row r="719" spans="1:39" ht="14.1" customHeight="1" x14ac:dyDescent="0.2">
      <c r="A719" t="s">
        <v>894</v>
      </c>
      <c r="B719" s="193">
        <v>4362</v>
      </c>
      <c r="C719" s="194" t="s">
        <v>1175</v>
      </c>
      <c r="D719" s="229" t="s">
        <v>1623</v>
      </c>
      <c r="E719" s="229" t="s">
        <v>632</v>
      </c>
      <c r="F719" s="240">
        <v>300</v>
      </c>
      <c r="G719" s="196">
        <v>1</v>
      </c>
      <c r="H719" s="195">
        <v>600</v>
      </c>
      <c r="I719" s="197">
        <v>41329</v>
      </c>
      <c r="J719" s="197" t="str">
        <f t="shared" si="36"/>
        <v>ok</v>
      </c>
      <c r="K719" s="413"/>
      <c r="L719" s="413"/>
      <c r="M719" s="413"/>
      <c r="N719" s="413"/>
      <c r="O719" s="413"/>
      <c r="P719" s="413"/>
      <c r="Q719" s="413"/>
      <c r="R719" s="413"/>
      <c r="S719" s="413"/>
      <c r="T719" s="413"/>
      <c r="U719" s="413"/>
      <c r="V719" s="413"/>
      <c r="W719" s="413">
        <f t="shared" si="34"/>
        <v>0</v>
      </c>
      <c r="X719" s="412">
        <v>300</v>
      </c>
      <c r="Y719" s="412">
        <v>300</v>
      </c>
      <c r="Z719" s="412"/>
      <c r="AA719" s="412"/>
      <c r="AB719" s="412"/>
      <c r="AC719" s="412"/>
      <c r="AD719" s="412"/>
      <c r="AE719" s="412"/>
      <c r="AF719" s="412"/>
      <c r="AG719" s="412"/>
      <c r="AH719" s="412"/>
      <c r="AI719" s="412"/>
      <c r="AJ719" s="412">
        <f t="shared" si="35"/>
        <v>600</v>
      </c>
      <c r="AK719" s="198"/>
      <c r="AL719" s="250" t="s">
        <v>2067</v>
      </c>
    </row>
    <row r="720" spans="1:39" ht="14.1" customHeight="1" x14ac:dyDescent="0.2">
      <c r="A720" t="s">
        <v>894</v>
      </c>
      <c r="B720" s="193">
        <v>4363</v>
      </c>
      <c r="C720" s="194" t="s">
        <v>1175</v>
      </c>
      <c r="D720" s="229" t="s">
        <v>1623</v>
      </c>
      <c r="E720" s="229" t="s">
        <v>632</v>
      </c>
      <c r="F720" s="240">
        <v>300</v>
      </c>
      <c r="G720" s="196">
        <v>2</v>
      </c>
      <c r="H720" s="195">
        <v>300</v>
      </c>
      <c r="I720" s="197">
        <v>41329</v>
      </c>
      <c r="J720" s="197" t="str">
        <f t="shared" si="36"/>
        <v>ok</v>
      </c>
      <c r="K720" s="413"/>
      <c r="L720" s="413"/>
      <c r="M720" s="413"/>
      <c r="N720" s="413"/>
      <c r="O720" s="413"/>
      <c r="P720" s="413"/>
      <c r="Q720" s="413"/>
      <c r="R720" s="413"/>
      <c r="S720" s="413"/>
      <c r="T720" s="413"/>
      <c r="U720" s="413"/>
      <c r="V720" s="413"/>
      <c r="W720" s="413">
        <f t="shared" si="34"/>
        <v>0</v>
      </c>
      <c r="X720" s="412"/>
      <c r="Y720" s="412"/>
      <c r="Z720" s="412"/>
      <c r="AA720" s="412"/>
      <c r="AB720" s="412"/>
      <c r="AC720" s="412"/>
      <c r="AD720" s="412"/>
      <c r="AE720" s="412"/>
      <c r="AF720" s="412"/>
      <c r="AG720" s="412"/>
      <c r="AH720" s="412"/>
      <c r="AI720" s="412"/>
      <c r="AJ720" s="412">
        <f t="shared" si="35"/>
        <v>0</v>
      </c>
      <c r="AK720" s="198"/>
      <c r="AL720" s="250" t="s">
        <v>2068</v>
      </c>
    </row>
    <row r="721" spans="1:39" ht="14.1" customHeight="1" x14ac:dyDescent="0.2">
      <c r="A721" t="s">
        <v>890</v>
      </c>
      <c r="B721" s="193">
        <v>4364</v>
      </c>
      <c r="C721" s="194" t="s">
        <v>992</v>
      </c>
      <c r="D721" s="229" t="s">
        <v>1624</v>
      </c>
      <c r="E721" s="229" t="s">
        <v>727</v>
      </c>
      <c r="F721" s="240">
        <v>300</v>
      </c>
      <c r="G721" s="196">
        <v>1</v>
      </c>
      <c r="H721" s="195">
        <v>300</v>
      </c>
      <c r="I721" s="197">
        <v>41329</v>
      </c>
      <c r="J721" s="197" t="str">
        <f t="shared" si="36"/>
        <v>ok</v>
      </c>
      <c r="K721" s="413"/>
      <c r="L721" s="413"/>
      <c r="M721" s="413"/>
      <c r="N721" s="413"/>
      <c r="O721" s="413"/>
      <c r="P721" s="413"/>
      <c r="Q721" s="413"/>
      <c r="R721" s="413"/>
      <c r="S721" s="413"/>
      <c r="T721" s="413"/>
      <c r="U721" s="413"/>
      <c r="V721" s="413"/>
      <c r="W721" s="413">
        <f t="shared" si="34"/>
        <v>0</v>
      </c>
      <c r="X721" s="412">
        <v>300</v>
      </c>
      <c r="Y721" s="412"/>
      <c r="Z721" s="412"/>
      <c r="AA721" s="412"/>
      <c r="AB721" s="412"/>
      <c r="AC721" s="412"/>
      <c r="AD721" s="412"/>
      <c r="AE721" s="412"/>
      <c r="AF721" s="412"/>
      <c r="AG721" s="412"/>
      <c r="AH721" s="412"/>
      <c r="AI721" s="412"/>
      <c r="AJ721" s="412">
        <f t="shared" si="35"/>
        <v>300</v>
      </c>
      <c r="AK721" s="198"/>
      <c r="AL721" s="250" t="s">
        <v>2067</v>
      </c>
    </row>
    <row r="722" spans="1:39" ht="14.1" customHeight="1" x14ac:dyDescent="0.2">
      <c r="A722" t="s">
        <v>893</v>
      </c>
      <c r="B722" s="193">
        <v>4365</v>
      </c>
      <c r="C722" s="194" t="s">
        <v>1108</v>
      </c>
      <c r="D722" s="229" t="s">
        <v>1466</v>
      </c>
      <c r="E722" s="229" t="s">
        <v>257</v>
      </c>
      <c r="F722" s="240">
        <v>300</v>
      </c>
      <c r="G722" s="196">
        <v>1</v>
      </c>
      <c r="H722" s="195">
        <v>300</v>
      </c>
      <c r="I722" s="197">
        <v>41329</v>
      </c>
      <c r="J722" s="197" t="str">
        <f t="shared" si="36"/>
        <v>ok</v>
      </c>
      <c r="K722" s="413"/>
      <c r="L722" s="413"/>
      <c r="M722" s="413"/>
      <c r="N722" s="413"/>
      <c r="O722" s="413"/>
      <c r="P722" s="413"/>
      <c r="Q722" s="413"/>
      <c r="R722" s="413"/>
      <c r="S722" s="413"/>
      <c r="T722" s="413"/>
      <c r="U722" s="413"/>
      <c r="V722" s="413"/>
      <c r="W722" s="413">
        <f t="shared" si="34"/>
        <v>0</v>
      </c>
      <c r="X722" s="412"/>
      <c r="Y722" s="412">
        <v>300</v>
      </c>
      <c r="Z722" s="412"/>
      <c r="AA722" s="412"/>
      <c r="AB722" s="412"/>
      <c r="AC722" s="412"/>
      <c r="AD722" s="412"/>
      <c r="AE722" s="412"/>
      <c r="AF722" s="412"/>
      <c r="AG722" s="412"/>
      <c r="AH722" s="412"/>
      <c r="AI722" s="412"/>
      <c r="AJ722" s="412">
        <f t="shared" si="35"/>
        <v>300</v>
      </c>
      <c r="AK722" s="198"/>
      <c r="AL722" s="250" t="s">
        <v>2067</v>
      </c>
    </row>
    <row r="723" spans="1:39" ht="14.1" customHeight="1" x14ac:dyDescent="0.2">
      <c r="A723" t="s">
        <v>893</v>
      </c>
      <c r="B723" s="193">
        <v>4366</v>
      </c>
      <c r="C723" s="194" t="s">
        <v>1135</v>
      </c>
      <c r="D723" s="229" t="s">
        <v>1625</v>
      </c>
      <c r="E723" s="229" t="s">
        <v>1266</v>
      </c>
      <c r="F723" s="240">
        <v>300</v>
      </c>
      <c r="G723" s="196">
        <v>1</v>
      </c>
      <c r="H723" s="195">
        <v>600</v>
      </c>
      <c r="I723" s="197">
        <v>41329</v>
      </c>
      <c r="J723" s="197" t="str">
        <f t="shared" si="36"/>
        <v>ok</v>
      </c>
      <c r="K723" s="413"/>
      <c r="L723" s="413"/>
      <c r="M723" s="413"/>
      <c r="N723" s="413"/>
      <c r="O723" s="413"/>
      <c r="P723" s="413"/>
      <c r="Q723" s="413"/>
      <c r="R723" s="413"/>
      <c r="S723" s="413"/>
      <c r="T723" s="413"/>
      <c r="U723" s="413"/>
      <c r="V723" s="413"/>
      <c r="W723" s="413">
        <f t="shared" si="34"/>
        <v>0</v>
      </c>
      <c r="X723" s="412">
        <v>300</v>
      </c>
      <c r="Y723" s="412">
        <v>300</v>
      </c>
      <c r="Z723" s="412"/>
      <c r="AA723" s="412"/>
      <c r="AB723" s="412"/>
      <c r="AC723" s="412"/>
      <c r="AD723" s="412"/>
      <c r="AE723" s="412"/>
      <c r="AF723" s="412"/>
      <c r="AG723" s="412"/>
      <c r="AH723" s="412"/>
      <c r="AI723" s="412"/>
      <c r="AJ723" s="412">
        <f t="shared" si="35"/>
        <v>600</v>
      </c>
      <c r="AK723" s="198"/>
      <c r="AL723" s="250" t="s">
        <v>2067</v>
      </c>
    </row>
    <row r="724" spans="1:39" ht="14.1" customHeight="1" x14ac:dyDescent="0.2">
      <c r="A724" t="s">
        <v>893</v>
      </c>
      <c r="B724" s="193">
        <v>4366</v>
      </c>
      <c r="C724" s="194" t="s">
        <v>1135</v>
      </c>
      <c r="D724" s="229" t="s">
        <v>1625</v>
      </c>
      <c r="E724" s="229" t="s">
        <v>1266</v>
      </c>
      <c r="F724" s="240">
        <v>300</v>
      </c>
      <c r="G724" s="196">
        <v>2</v>
      </c>
      <c r="H724" s="195">
        <v>300</v>
      </c>
      <c r="I724" s="197">
        <v>41329</v>
      </c>
      <c r="J724" s="197" t="str">
        <f t="shared" si="36"/>
        <v>ok</v>
      </c>
      <c r="K724" s="413"/>
      <c r="L724" s="413"/>
      <c r="M724" s="413"/>
      <c r="N724" s="413"/>
      <c r="O724" s="413"/>
      <c r="P724" s="413"/>
      <c r="Q724" s="413"/>
      <c r="R724" s="413"/>
      <c r="S724" s="413"/>
      <c r="T724" s="413"/>
      <c r="U724" s="413"/>
      <c r="V724" s="413"/>
      <c r="W724" s="413">
        <f t="shared" si="34"/>
        <v>0</v>
      </c>
      <c r="X724" s="412"/>
      <c r="Y724" s="412"/>
      <c r="Z724" s="412"/>
      <c r="AA724" s="412"/>
      <c r="AB724" s="412"/>
      <c r="AC724" s="412"/>
      <c r="AD724" s="412"/>
      <c r="AE724" s="412"/>
      <c r="AF724" s="412"/>
      <c r="AG724" s="412"/>
      <c r="AH724" s="412"/>
      <c r="AI724" s="412"/>
      <c r="AJ724" s="412">
        <f t="shared" si="35"/>
        <v>0</v>
      </c>
      <c r="AK724" s="198"/>
      <c r="AL724" s="250" t="s">
        <v>2068</v>
      </c>
    </row>
    <row r="725" spans="1:39" ht="14.1" customHeight="1" x14ac:dyDescent="0.2">
      <c r="A725" t="s">
        <v>894</v>
      </c>
      <c r="B725" s="193">
        <v>4367</v>
      </c>
      <c r="C725" s="194" t="s">
        <v>1160</v>
      </c>
      <c r="D725" s="229" t="s">
        <v>1608</v>
      </c>
      <c r="E725" s="229" t="s">
        <v>1275</v>
      </c>
      <c r="F725" s="240">
        <v>300</v>
      </c>
      <c r="G725" s="196">
        <v>3</v>
      </c>
      <c r="H725" s="195">
        <v>150</v>
      </c>
      <c r="I725" s="197">
        <v>41329</v>
      </c>
      <c r="J725" s="197" t="str">
        <f t="shared" si="36"/>
        <v>ok</v>
      </c>
      <c r="K725" s="413"/>
      <c r="L725" s="413"/>
      <c r="M725" s="413"/>
      <c r="N725" s="413"/>
      <c r="O725" s="413"/>
      <c r="P725" s="413"/>
      <c r="Q725" s="413"/>
      <c r="R725" s="413"/>
      <c r="S725" s="413"/>
      <c r="T725" s="413"/>
      <c r="U725" s="413"/>
      <c r="V725" s="413"/>
      <c r="W725" s="413">
        <f t="shared" si="34"/>
        <v>0</v>
      </c>
      <c r="X725" s="412"/>
      <c r="Y725" s="412"/>
      <c r="Z725" s="412"/>
      <c r="AA725" s="412"/>
      <c r="AB725" s="412"/>
      <c r="AC725" s="412"/>
      <c r="AD725" s="412"/>
      <c r="AE725" s="412"/>
      <c r="AF725" s="412"/>
      <c r="AG725" s="412"/>
      <c r="AH725" s="412"/>
      <c r="AI725" s="412"/>
      <c r="AJ725" s="412">
        <f t="shared" si="35"/>
        <v>0</v>
      </c>
      <c r="AK725" s="198"/>
      <c r="AL725" s="250" t="s">
        <v>2068</v>
      </c>
    </row>
    <row r="726" spans="1:39" ht="14.1" customHeight="1" x14ac:dyDescent="0.2">
      <c r="A726" t="s">
        <v>893</v>
      </c>
      <c r="B726" s="193">
        <v>4368</v>
      </c>
      <c r="C726" s="194" t="s">
        <v>778</v>
      </c>
      <c r="D726" s="229" t="s">
        <v>1573</v>
      </c>
      <c r="E726" s="229" t="s">
        <v>715</v>
      </c>
      <c r="F726" s="240">
        <v>300</v>
      </c>
      <c r="G726" s="196">
        <v>1</v>
      </c>
      <c r="H726" s="195">
        <v>300</v>
      </c>
      <c r="I726" s="197">
        <v>41329</v>
      </c>
      <c r="J726" s="197" t="str">
        <f t="shared" si="36"/>
        <v>ok</v>
      </c>
      <c r="K726" s="413"/>
      <c r="L726" s="413"/>
      <c r="M726" s="413"/>
      <c r="N726" s="413"/>
      <c r="O726" s="413"/>
      <c r="P726" s="413"/>
      <c r="Q726" s="413"/>
      <c r="R726" s="413"/>
      <c r="S726" s="413"/>
      <c r="T726" s="413"/>
      <c r="U726" s="413"/>
      <c r="V726" s="413"/>
      <c r="W726" s="413">
        <f t="shared" si="34"/>
        <v>0</v>
      </c>
      <c r="X726" s="412"/>
      <c r="Y726" s="412"/>
      <c r="Z726" s="412">
        <v>300</v>
      </c>
      <c r="AA726" s="412"/>
      <c r="AB726" s="412"/>
      <c r="AC726" s="412"/>
      <c r="AD726" s="412"/>
      <c r="AE726" s="412"/>
      <c r="AF726" s="412"/>
      <c r="AG726" s="412"/>
      <c r="AH726" s="412"/>
      <c r="AI726" s="412"/>
      <c r="AJ726" s="412">
        <f t="shared" si="35"/>
        <v>300</v>
      </c>
      <c r="AK726" s="198"/>
      <c r="AL726" s="250" t="s">
        <v>2067</v>
      </c>
    </row>
    <row r="727" spans="1:39" ht="14.1" customHeight="1" x14ac:dyDescent="0.2">
      <c r="A727" t="s">
        <v>893</v>
      </c>
      <c r="B727" s="193">
        <v>4369</v>
      </c>
      <c r="C727" s="194" t="s">
        <v>1139</v>
      </c>
      <c r="D727" s="229" t="s">
        <v>1528</v>
      </c>
      <c r="E727" s="229" t="s">
        <v>313</v>
      </c>
      <c r="F727" s="240">
        <v>300</v>
      </c>
      <c r="G727" s="196">
        <v>1</v>
      </c>
      <c r="H727" s="195">
        <v>300</v>
      </c>
      <c r="I727" s="197">
        <v>41329</v>
      </c>
      <c r="J727" s="197" t="str">
        <f t="shared" si="36"/>
        <v>ok</v>
      </c>
      <c r="K727" s="413"/>
      <c r="L727" s="413"/>
      <c r="M727" s="413"/>
      <c r="N727" s="413"/>
      <c r="O727" s="413"/>
      <c r="P727" s="413"/>
      <c r="Q727" s="413"/>
      <c r="R727" s="413"/>
      <c r="S727" s="413"/>
      <c r="T727" s="413"/>
      <c r="U727" s="413"/>
      <c r="V727" s="413"/>
      <c r="W727" s="413">
        <f t="shared" si="34"/>
        <v>0</v>
      </c>
      <c r="X727" s="412"/>
      <c r="Y727" s="412">
        <v>300</v>
      </c>
      <c r="Z727" s="412"/>
      <c r="AA727" s="412"/>
      <c r="AB727" s="412"/>
      <c r="AC727" s="412"/>
      <c r="AD727" s="412"/>
      <c r="AE727" s="412"/>
      <c r="AF727" s="412"/>
      <c r="AG727" s="412"/>
      <c r="AH727" s="412"/>
      <c r="AI727" s="412"/>
      <c r="AJ727" s="412">
        <f t="shared" si="35"/>
        <v>300</v>
      </c>
      <c r="AK727" s="198"/>
      <c r="AL727" s="250" t="s">
        <v>2067</v>
      </c>
    </row>
    <row r="728" spans="1:39" ht="14.1" customHeight="1" x14ac:dyDescent="0.2">
      <c r="A728" t="s">
        <v>888</v>
      </c>
      <c r="B728" s="193">
        <v>4370</v>
      </c>
      <c r="C728" s="194" t="s">
        <v>937</v>
      </c>
      <c r="D728" s="229" t="s">
        <v>1535</v>
      </c>
      <c r="E728" s="229" t="s">
        <v>392</v>
      </c>
      <c r="F728" s="240">
        <v>300</v>
      </c>
      <c r="G728" s="196">
        <v>1</v>
      </c>
      <c r="H728" s="195">
        <v>600</v>
      </c>
      <c r="I728" s="197">
        <v>41329</v>
      </c>
      <c r="J728" s="197" t="str">
        <f t="shared" si="36"/>
        <v>ok</v>
      </c>
      <c r="K728" s="413"/>
      <c r="L728" s="413"/>
      <c r="M728" s="413"/>
      <c r="N728" s="413"/>
      <c r="O728" s="413"/>
      <c r="P728" s="413"/>
      <c r="Q728" s="413"/>
      <c r="R728" s="413"/>
      <c r="S728" s="413"/>
      <c r="T728" s="413"/>
      <c r="U728" s="413"/>
      <c r="V728" s="413"/>
      <c r="W728" s="413">
        <f t="shared" si="34"/>
        <v>0</v>
      </c>
      <c r="X728" s="412">
        <v>300</v>
      </c>
      <c r="Y728" s="412">
        <v>300</v>
      </c>
      <c r="Z728" s="412"/>
      <c r="AA728" s="412"/>
      <c r="AB728" s="412"/>
      <c r="AC728" s="412"/>
      <c r="AD728" s="412"/>
      <c r="AE728" s="412"/>
      <c r="AF728" s="412"/>
      <c r="AG728" s="412"/>
      <c r="AH728" s="412"/>
      <c r="AI728" s="412"/>
      <c r="AJ728" s="412">
        <f t="shared" si="35"/>
        <v>600</v>
      </c>
      <c r="AK728" s="198"/>
      <c r="AL728" s="250" t="s">
        <v>2067</v>
      </c>
    </row>
    <row r="729" spans="1:39" ht="14.1" customHeight="1" x14ac:dyDescent="0.2">
      <c r="A729" t="s">
        <v>888</v>
      </c>
      <c r="B729" s="193">
        <v>4370</v>
      </c>
      <c r="C729" s="194" t="s">
        <v>937</v>
      </c>
      <c r="D729" s="229" t="s">
        <v>1535</v>
      </c>
      <c r="E729" s="229" t="s">
        <v>392</v>
      </c>
      <c r="F729" s="240">
        <v>300</v>
      </c>
      <c r="G729" s="196">
        <v>3</v>
      </c>
      <c r="H729" s="195">
        <v>150</v>
      </c>
      <c r="I729" s="197">
        <v>41329</v>
      </c>
      <c r="J729" s="197" t="str">
        <f t="shared" si="36"/>
        <v>ok</v>
      </c>
      <c r="K729" s="413"/>
      <c r="L729" s="413"/>
      <c r="M729" s="413"/>
      <c r="N729" s="413"/>
      <c r="O729" s="413"/>
      <c r="P729" s="413"/>
      <c r="Q729" s="413"/>
      <c r="R729" s="413"/>
      <c r="S729" s="413"/>
      <c r="T729" s="413"/>
      <c r="U729" s="413"/>
      <c r="V729" s="413"/>
      <c r="W729" s="413">
        <f t="shared" si="34"/>
        <v>0</v>
      </c>
      <c r="X729" s="412"/>
      <c r="Y729" s="412"/>
      <c r="Z729" s="412"/>
      <c r="AA729" s="412"/>
      <c r="AB729" s="412"/>
      <c r="AC729" s="412"/>
      <c r="AD729" s="412"/>
      <c r="AE729" s="412"/>
      <c r="AF729" s="412"/>
      <c r="AG729" s="412"/>
      <c r="AH729" s="412"/>
      <c r="AI729" s="412"/>
      <c r="AJ729" s="412">
        <f t="shared" si="35"/>
        <v>0</v>
      </c>
      <c r="AK729" s="198"/>
      <c r="AL729" s="250" t="s">
        <v>2068</v>
      </c>
    </row>
    <row r="730" spans="1:39" ht="14.1" customHeight="1" x14ac:dyDescent="0.2">
      <c r="A730" t="s">
        <v>888</v>
      </c>
      <c r="B730" s="193">
        <v>4371</v>
      </c>
      <c r="C730" s="194" t="s">
        <v>928</v>
      </c>
      <c r="D730" s="229" t="s">
        <v>1393</v>
      </c>
      <c r="E730" s="229" t="s">
        <v>719</v>
      </c>
      <c r="F730" s="240">
        <v>300</v>
      </c>
      <c r="G730" s="196">
        <v>1</v>
      </c>
      <c r="H730" s="195">
        <v>600</v>
      </c>
      <c r="I730" s="197">
        <v>41329</v>
      </c>
      <c r="J730" s="197" t="str">
        <f t="shared" si="36"/>
        <v>ok</v>
      </c>
      <c r="K730" s="413"/>
      <c r="L730" s="413"/>
      <c r="M730" s="413"/>
      <c r="N730" s="413"/>
      <c r="O730" s="413"/>
      <c r="P730" s="413"/>
      <c r="Q730" s="413"/>
      <c r="R730" s="413"/>
      <c r="S730" s="413"/>
      <c r="T730" s="413"/>
      <c r="U730" s="413"/>
      <c r="V730" s="413"/>
      <c r="W730" s="413">
        <f t="shared" si="34"/>
        <v>0</v>
      </c>
      <c r="X730" s="412"/>
      <c r="Y730" s="412">
        <v>300</v>
      </c>
      <c r="Z730" s="412">
        <v>300</v>
      </c>
      <c r="AA730" s="412"/>
      <c r="AB730" s="412"/>
      <c r="AC730" s="412"/>
      <c r="AD730" s="412"/>
      <c r="AE730" s="412"/>
      <c r="AF730" s="412"/>
      <c r="AG730" s="412"/>
      <c r="AH730" s="412"/>
      <c r="AI730" s="412"/>
      <c r="AJ730" s="412">
        <f t="shared" si="35"/>
        <v>600</v>
      </c>
      <c r="AK730" s="198"/>
      <c r="AL730" s="250" t="s">
        <v>2067</v>
      </c>
    </row>
    <row r="731" spans="1:39" ht="14.1" customHeight="1" x14ac:dyDescent="0.2">
      <c r="A731" t="s">
        <v>893</v>
      </c>
      <c r="B731" s="193">
        <v>4372</v>
      </c>
      <c r="C731" s="194" t="s">
        <v>1073</v>
      </c>
      <c r="D731" s="229" t="s">
        <v>1626</v>
      </c>
      <c r="E731" s="229" t="s">
        <v>711</v>
      </c>
      <c r="F731" s="240">
        <v>300</v>
      </c>
      <c r="G731" s="196">
        <v>1</v>
      </c>
      <c r="H731" s="195">
        <v>600</v>
      </c>
      <c r="I731" s="197">
        <v>41329</v>
      </c>
      <c r="J731" s="197" t="str">
        <f t="shared" si="36"/>
        <v>ok</v>
      </c>
      <c r="K731" s="413"/>
      <c r="L731" s="413"/>
      <c r="M731" s="413"/>
      <c r="N731" s="413"/>
      <c r="O731" s="413"/>
      <c r="P731" s="413"/>
      <c r="Q731" s="413"/>
      <c r="R731" s="413"/>
      <c r="S731" s="413"/>
      <c r="T731" s="413"/>
      <c r="U731" s="413"/>
      <c r="V731" s="413">
        <v>300</v>
      </c>
      <c r="W731" s="413">
        <f t="shared" si="34"/>
        <v>300</v>
      </c>
      <c r="X731" s="412">
        <v>300</v>
      </c>
      <c r="Y731" s="412"/>
      <c r="Z731" s="412"/>
      <c r="AA731" s="412"/>
      <c r="AB731" s="412"/>
      <c r="AC731" s="412"/>
      <c r="AD731" s="412"/>
      <c r="AE731" s="412"/>
      <c r="AF731" s="412"/>
      <c r="AG731" s="412"/>
      <c r="AH731" s="412"/>
      <c r="AI731" s="412"/>
      <c r="AJ731" s="412">
        <f t="shared" si="35"/>
        <v>300</v>
      </c>
      <c r="AK731" s="198" t="s">
        <v>1258</v>
      </c>
      <c r="AL731" s="250" t="s">
        <v>2067</v>
      </c>
    </row>
    <row r="732" spans="1:39" ht="14.1" customHeight="1" x14ac:dyDescent="0.2">
      <c r="A732" t="s">
        <v>890</v>
      </c>
      <c r="B732" s="193">
        <v>4373</v>
      </c>
      <c r="C732" s="194" t="s">
        <v>991</v>
      </c>
      <c r="D732" s="229" t="s">
        <v>1456</v>
      </c>
      <c r="E732" s="229" t="s">
        <v>480</v>
      </c>
      <c r="F732" s="240">
        <v>300</v>
      </c>
      <c r="G732" s="196">
        <v>1</v>
      </c>
      <c r="H732" s="195">
        <v>300</v>
      </c>
      <c r="I732" s="197">
        <v>41329</v>
      </c>
      <c r="J732" s="197" t="str">
        <f t="shared" si="36"/>
        <v>ok</v>
      </c>
      <c r="K732" s="413"/>
      <c r="L732" s="413"/>
      <c r="M732" s="413"/>
      <c r="N732" s="413"/>
      <c r="O732" s="413"/>
      <c r="P732" s="413"/>
      <c r="Q732" s="413"/>
      <c r="R732" s="413"/>
      <c r="S732" s="413"/>
      <c r="T732" s="413"/>
      <c r="U732" s="413"/>
      <c r="V732" s="413"/>
      <c r="W732" s="413">
        <f t="shared" si="34"/>
        <v>0</v>
      </c>
      <c r="X732" s="412"/>
      <c r="Y732" s="412">
        <v>300</v>
      </c>
      <c r="Z732" s="412"/>
      <c r="AA732" s="412"/>
      <c r="AB732" s="412"/>
      <c r="AC732" s="412"/>
      <c r="AD732" s="412"/>
      <c r="AE732" s="412"/>
      <c r="AF732" s="412"/>
      <c r="AG732" s="412"/>
      <c r="AH732" s="412"/>
      <c r="AI732" s="412"/>
      <c r="AJ732" s="412">
        <f t="shared" si="35"/>
        <v>300</v>
      </c>
      <c r="AK732" s="198"/>
      <c r="AL732" s="250" t="s">
        <v>2067</v>
      </c>
    </row>
    <row r="733" spans="1:39" ht="14.1" customHeight="1" x14ac:dyDescent="0.2">
      <c r="A733" t="s">
        <v>890</v>
      </c>
      <c r="B733" s="193">
        <v>4374</v>
      </c>
      <c r="C733" s="194" t="s">
        <v>1039</v>
      </c>
      <c r="D733" s="229" t="s">
        <v>1627</v>
      </c>
      <c r="E733" s="229" t="s">
        <v>547</v>
      </c>
      <c r="F733" s="240">
        <v>300</v>
      </c>
      <c r="G733" s="196">
        <v>1</v>
      </c>
      <c r="H733" s="195">
        <v>900</v>
      </c>
      <c r="I733" s="197">
        <v>41329</v>
      </c>
      <c r="J733" s="197" t="str">
        <f t="shared" si="36"/>
        <v>ok</v>
      </c>
      <c r="K733" s="413"/>
      <c r="L733" s="413"/>
      <c r="M733" s="413"/>
      <c r="N733" s="413"/>
      <c r="O733" s="413"/>
      <c r="P733" s="413"/>
      <c r="Q733" s="413"/>
      <c r="R733" s="413"/>
      <c r="S733" s="413"/>
      <c r="T733" s="413"/>
      <c r="U733" s="413"/>
      <c r="V733" s="413"/>
      <c r="W733" s="413">
        <f t="shared" si="34"/>
        <v>0</v>
      </c>
      <c r="X733" s="412">
        <v>300</v>
      </c>
      <c r="Y733" s="412">
        <v>300</v>
      </c>
      <c r="Z733" s="412">
        <v>300</v>
      </c>
      <c r="AA733" s="412"/>
      <c r="AB733" s="412"/>
      <c r="AC733" s="412"/>
      <c r="AD733" s="412"/>
      <c r="AE733" s="412"/>
      <c r="AF733" s="412"/>
      <c r="AG733" s="412"/>
      <c r="AH733" s="412"/>
      <c r="AI733" s="412"/>
      <c r="AJ733" s="412">
        <f t="shared" si="35"/>
        <v>900</v>
      </c>
      <c r="AK733" s="198"/>
      <c r="AL733" s="250" t="s">
        <v>2067</v>
      </c>
    </row>
    <row r="734" spans="1:39" ht="14.1" customHeight="1" x14ac:dyDescent="0.2">
      <c r="A734" t="s">
        <v>884</v>
      </c>
      <c r="B734" s="193">
        <v>4375</v>
      </c>
      <c r="C734" s="194" t="s">
        <v>837</v>
      </c>
      <c r="D734" s="229" t="s">
        <v>1628</v>
      </c>
      <c r="E734" s="229" t="s">
        <v>75</v>
      </c>
      <c r="F734" s="240">
        <v>300</v>
      </c>
      <c r="G734" s="196">
        <v>1</v>
      </c>
      <c r="H734" s="195">
        <v>600</v>
      </c>
      <c r="I734" s="197">
        <v>41329</v>
      </c>
      <c r="J734" s="197" t="str">
        <f t="shared" si="36"/>
        <v>ok</v>
      </c>
      <c r="K734" s="413"/>
      <c r="L734" s="413"/>
      <c r="M734" s="413"/>
      <c r="N734" s="413"/>
      <c r="O734" s="413"/>
      <c r="P734" s="413"/>
      <c r="Q734" s="413"/>
      <c r="R734" s="413"/>
      <c r="S734" s="413"/>
      <c r="T734" s="413"/>
      <c r="U734" s="413"/>
      <c r="V734" s="413"/>
      <c r="W734" s="413">
        <f t="shared" si="34"/>
        <v>0</v>
      </c>
      <c r="X734" s="412">
        <v>300</v>
      </c>
      <c r="Y734" s="412">
        <v>300</v>
      </c>
      <c r="Z734" s="412"/>
      <c r="AA734" s="412"/>
      <c r="AB734" s="412"/>
      <c r="AC734" s="412"/>
      <c r="AD734" s="412"/>
      <c r="AE734" s="412"/>
      <c r="AF734" s="412"/>
      <c r="AG734" s="412"/>
      <c r="AH734" s="412"/>
      <c r="AI734" s="412"/>
      <c r="AJ734" s="412">
        <f t="shared" si="35"/>
        <v>600</v>
      </c>
      <c r="AK734" s="198"/>
      <c r="AL734" s="250" t="s">
        <v>2067</v>
      </c>
    </row>
    <row r="735" spans="1:39" ht="14.1" customHeight="1" x14ac:dyDescent="0.2">
      <c r="A735" t="s">
        <v>894</v>
      </c>
      <c r="B735" s="193">
        <v>4376</v>
      </c>
      <c r="C735" s="194" t="s">
        <v>1161</v>
      </c>
      <c r="D735" s="229" t="s">
        <v>1582</v>
      </c>
      <c r="E735" s="229" t="s">
        <v>605</v>
      </c>
      <c r="F735" s="240">
        <v>300</v>
      </c>
      <c r="G735" s="196">
        <v>1</v>
      </c>
      <c r="H735" s="195">
        <v>300</v>
      </c>
      <c r="I735" s="197">
        <v>41329</v>
      </c>
      <c r="J735" s="197" t="str">
        <f t="shared" si="36"/>
        <v>ok</v>
      </c>
      <c r="K735" s="413"/>
      <c r="L735" s="413"/>
      <c r="M735" s="413"/>
      <c r="N735" s="413"/>
      <c r="O735" s="413"/>
      <c r="P735" s="413"/>
      <c r="Q735" s="413"/>
      <c r="R735" s="413"/>
      <c r="S735" s="413"/>
      <c r="T735" s="413"/>
      <c r="U735" s="413"/>
      <c r="V735" s="413"/>
      <c r="W735" s="413">
        <f t="shared" si="34"/>
        <v>0</v>
      </c>
      <c r="X735" s="412"/>
      <c r="Y735" s="412"/>
      <c r="Z735" s="412">
        <v>300</v>
      </c>
      <c r="AA735" s="412"/>
      <c r="AB735" s="412"/>
      <c r="AC735" s="412"/>
      <c r="AD735" s="412"/>
      <c r="AE735" s="412"/>
      <c r="AF735" s="412"/>
      <c r="AG735" s="412"/>
      <c r="AH735" s="412"/>
      <c r="AI735" s="412"/>
      <c r="AJ735" s="412">
        <f t="shared" si="35"/>
        <v>300</v>
      </c>
      <c r="AK735" s="198"/>
      <c r="AL735" s="250" t="s">
        <v>2067</v>
      </c>
    </row>
    <row r="736" spans="1:39" ht="14.1" customHeight="1" x14ac:dyDescent="0.2">
      <c r="A736" t="s">
        <v>893</v>
      </c>
      <c r="B736" s="193">
        <v>4377</v>
      </c>
      <c r="C736" s="194" t="s">
        <v>1072</v>
      </c>
      <c r="D736" s="229" t="s">
        <v>1629</v>
      </c>
      <c r="E736" s="229" t="s">
        <v>186</v>
      </c>
      <c r="F736" s="240">
        <v>300</v>
      </c>
      <c r="G736" s="196">
        <v>1</v>
      </c>
      <c r="H736" s="195">
        <v>3300</v>
      </c>
      <c r="I736" s="197">
        <v>41329</v>
      </c>
      <c r="J736" s="197" t="str">
        <f t="shared" si="36"/>
        <v>ok</v>
      </c>
      <c r="K736" s="413"/>
      <c r="L736" s="413"/>
      <c r="M736" s="413"/>
      <c r="N736" s="413"/>
      <c r="O736" s="413"/>
      <c r="P736" s="413"/>
      <c r="Q736" s="413"/>
      <c r="R736" s="413"/>
      <c r="S736" s="413"/>
      <c r="T736" s="413"/>
      <c r="U736" s="413"/>
      <c r="V736" s="413"/>
      <c r="W736" s="413">
        <f t="shared" si="34"/>
        <v>0</v>
      </c>
      <c r="X736" s="412">
        <v>300</v>
      </c>
      <c r="Y736" s="412">
        <v>300</v>
      </c>
      <c r="Z736" s="412">
        <v>300</v>
      </c>
      <c r="AA736" s="412">
        <v>300</v>
      </c>
      <c r="AB736" s="412">
        <v>300</v>
      </c>
      <c r="AC736" s="412">
        <v>300</v>
      </c>
      <c r="AD736" s="412">
        <v>300</v>
      </c>
      <c r="AE736" s="412">
        <v>300</v>
      </c>
      <c r="AF736" s="412">
        <v>300</v>
      </c>
      <c r="AG736" s="412">
        <v>300</v>
      </c>
      <c r="AH736" s="412">
        <v>300</v>
      </c>
      <c r="AI736" s="412"/>
      <c r="AJ736" s="412">
        <f t="shared" si="35"/>
        <v>3300</v>
      </c>
      <c r="AK736" s="198" t="s">
        <v>1246</v>
      </c>
      <c r="AL736" s="250" t="s">
        <v>2067</v>
      </c>
      <c r="AM736" s="158"/>
    </row>
    <row r="737" spans="1:38" ht="14.1" customHeight="1" x14ac:dyDescent="0.2">
      <c r="A737" t="s">
        <v>890</v>
      </c>
      <c r="B737" s="193">
        <v>4378</v>
      </c>
      <c r="C737" s="194" t="s">
        <v>990</v>
      </c>
      <c r="D737" s="229" t="s">
        <v>1542</v>
      </c>
      <c r="E737" s="229" t="s">
        <v>449</v>
      </c>
      <c r="F737" s="240">
        <v>150</v>
      </c>
      <c r="G737" s="196">
        <v>1</v>
      </c>
      <c r="H737" s="195">
        <v>150</v>
      </c>
      <c r="I737" s="197">
        <v>41329</v>
      </c>
      <c r="J737" s="197" t="str">
        <f t="shared" si="36"/>
        <v>ok</v>
      </c>
      <c r="K737" s="413"/>
      <c r="L737" s="413"/>
      <c r="M737" s="413"/>
      <c r="N737" s="413"/>
      <c r="O737" s="413"/>
      <c r="P737" s="413"/>
      <c r="Q737" s="413"/>
      <c r="R737" s="413"/>
      <c r="S737" s="413"/>
      <c r="T737" s="413"/>
      <c r="U737" s="413"/>
      <c r="V737" s="413"/>
      <c r="W737" s="413">
        <f t="shared" si="34"/>
        <v>0</v>
      </c>
      <c r="X737" s="412"/>
      <c r="Y737" s="412">
        <v>150</v>
      </c>
      <c r="Z737" s="412"/>
      <c r="AA737" s="412"/>
      <c r="AB737" s="412"/>
      <c r="AC737" s="412"/>
      <c r="AD737" s="412"/>
      <c r="AE737" s="412"/>
      <c r="AF737" s="412"/>
      <c r="AG737" s="412"/>
      <c r="AH737" s="412"/>
      <c r="AI737" s="412"/>
      <c r="AJ737" s="412">
        <f t="shared" si="35"/>
        <v>150</v>
      </c>
      <c r="AK737" s="198"/>
      <c r="AL737" s="250" t="s">
        <v>2067</v>
      </c>
    </row>
    <row r="738" spans="1:38" ht="14.1" customHeight="1" x14ac:dyDescent="0.2">
      <c r="A738" t="s">
        <v>893</v>
      </c>
      <c r="B738" s="193">
        <v>4379</v>
      </c>
      <c r="C738" s="194" t="s">
        <v>1112</v>
      </c>
      <c r="D738" s="229" t="s">
        <v>1566</v>
      </c>
      <c r="E738" s="229" t="s">
        <v>263</v>
      </c>
      <c r="F738" s="240">
        <v>300</v>
      </c>
      <c r="G738" s="196">
        <v>1</v>
      </c>
      <c r="H738" s="195">
        <v>300</v>
      </c>
      <c r="I738" s="197">
        <v>41329</v>
      </c>
      <c r="J738" s="197" t="str">
        <f t="shared" si="36"/>
        <v>ok</v>
      </c>
      <c r="K738" s="413"/>
      <c r="L738" s="413"/>
      <c r="M738" s="413"/>
      <c r="N738" s="413"/>
      <c r="O738" s="413"/>
      <c r="P738" s="413"/>
      <c r="Q738" s="413"/>
      <c r="R738" s="413"/>
      <c r="S738" s="413"/>
      <c r="T738" s="413"/>
      <c r="U738" s="413"/>
      <c r="V738" s="413"/>
      <c r="W738" s="413">
        <f t="shared" si="34"/>
        <v>0</v>
      </c>
      <c r="X738" s="412"/>
      <c r="Y738" s="412"/>
      <c r="Z738" s="412">
        <v>300</v>
      </c>
      <c r="AA738" s="412"/>
      <c r="AB738" s="412"/>
      <c r="AC738" s="412"/>
      <c r="AD738" s="412"/>
      <c r="AE738" s="412"/>
      <c r="AF738" s="412"/>
      <c r="AG738" s="412"/>
      <c r="AH738" s="412"/>
      <c r="AI738" s="412"/>
      <c r="AJ738" s="412">
        <f t="shared" si="35"/>
        <v>300</v>
      </c>
      <c r="AK738" s="198"/>
      <c r="AL738" s="250" t="s">
        <v>2067</v>
      </c>
    </row>
    <row r="739" spans="1:38" ht="14.1" customHeight="1" x14ac:dyDescent="0.2">
      <c r="A739" t="s">
        <v>890</v>
      </c>
      <c r="B739" s="199">
        <v>4380</v>
      </c>
      <c r="C739" s="200" t="s">
        <v>1035</v>
      </c>
      <c r="D739" s="231" t="s">
        <v>1521</v>
      </c>
      <c r="E739" s="231" t="s">
        <v>540</v>
      </c>
      <c r="F739" s="241">
        <v>300</v>
      </c>
      <c r="G739" s="202">
        <v>1</v>
      </c>
      <c r="H739" s="201">
        <v>300</v>
      </c>
      <c r="I739" s="203">
        <v>41329</v>
      </c>
      <c r="J739" s="197" t="str">
        <f t="shared" si="36"/>
        <v>ok</v>
      </c>
      <c r="K739" s="415"/>
      <c r="L739" s="415"/>
      <c r="M739" s="415"/>
      <c r="N739" s="415"/>
      <c r="O739" s="415"/>
      <c r="P739" s="415"/>
      <c r="Q739" s="415"/>
      <c r="R739" s="415"/>
      <c r="S739" s="415"/>
      <c r="T739" s="415"/>
      <c r="U739" s="415"/>
      <c r="V739" s="415"/>
      <c r="W739" s="413">
        <f t="shared" si="34"/>
        <v>0</v>
      </c>
      <c r="X739" s="412"/>
      <c r="Y739" s="412">
        <v>300</v>
      </c>
      <c r="Z739" s="412"/>
      <c r="AA739" s="412"/>
      <c r="AB739" s="412"/>
      <c r="AC739" s="412"/>
      <c r="AD739" s="412"/>
      <c r="AE739" s="412"/>
      <c r="AF739" s="412"/>
      <c r="AG739" s="412"/>
      <c r="AH739" s="412"/>
      <c r="AI739" s="412"/>
      <c r="AJ739" s="412">
        <f t="shared" si="35"/>
        <v>300</v>
      </c>
      <c r="AK739" s="204"/>
      <c r="AL739" s="250" t="s">
        <v>2067</v>
      </c>
    </row>
    <row r="740" spans="1:38" ht="14.1" customHeight="1" x14ac:dyDescent="0.2">
      <c r="A740" t="s">
        <v>889</v>
      </c>
      <c r="B740" s="374" t="s">
        <v>1984</v>
      </c>
      <c r="C740" s="178" t="s">
        <v>973</v>
      </c>
      <c r="D740" s="370" t="s">
        <v>1855</v>
      </c>
      <c r="E740" s="370" t="s">
        <v>645</v>
      </c>
      <c r="F740" s="371">
        <v>1000</v>
      </c>
      <c r="G740" s="376">
        <v>1</v>
      </c>
      <c r="H740" s="377">
        <v>1000</v>
      </c>
      <c r="I740" s="378">
        <v>41333</v>
      </c>
      <c r="J740" s="197" t="str">
        <f t="shared" si="36"/>
        <v>ok</v>
      </c>
      <c r="K740" s="416"/>
      <c r="L740" s="416"/>
      <c r="M740" s="416"/>
      <c r="N740" s="416"/>
      <c r="O740" s="416"/>
      <c r="P740" s="416"/>
      <c r="Q740" s="416"/>
      <c r="R740" s="416"/>
      <c r="S740" s="416"/>
      <c r="T740" s="416"/>
      <c r="U740" s="416"/>
      <c r="V740" s="416"/>
      <c r="W740" s="413">
        <f t="shared" si="34"/>
        <v>0</v>
      </c>
      <c r="X740" s="412"/>
      <c r="Y740" s="412">
        <v>1000</v>
      </c>
      <c r="Z740" s="412"/>
      <c r="AA740" s="412"/>
      <c r="AB740" s="412"/>
      <c r="AC740" s="412"/>
      <c r="AD740" s="412"/>
      <c r="AE740" s="412"/>
      <c r="AF740" s="412"/>
      <c r="AG740" s="412"/>
      <c r="AH740" s="412"/>
      <c r="AI740" s="412"/>
      <c r="AJ740" s="412">
        <f t="shared" si="35"/>
        <v>1000</v>
      </c>
      <c r="AK740" s="379"/>
      <c r="AL740" s="250" t="s">
        <v>2067</v>
      </c>
    </row>
    <row r="741" spans="1:38" ht="21.95" customHeight="1" x14ac:dyDescent="0.2">
      <c r="B741" s="126" t="s">
        <v>756</v>
      </c>
      <c r="C741" s="126" t="s">
        <v>903</v>
      </c>
      <c r="D741" s="126" t="s">
        <v>885</v>
      </c>
      <c r="E741" s="126" t="s">
        <v>689</v>
      </c>
      <c r="F741" s="235" t="s">
        <v>702</v>
      </c>
      <c r="G741" s="126" t="s">
        <v>1182</v>
      </c>
      <c r="H741" s="126" t="s">
        <v>757</v>
      </c>
      <c r="I741" s="126" t="s">
        <v>758</v>
      </c>
      <c r="J741" s="126" t="s">
        <v>2069</v>
      </c>
      <c r="K741" s="126" t="s">
        <v>690</v>
      </c>
      <c r="L741" s="126" t="s">
        <v>691</v>
      </c>
      <c r="M741" s="126" t="s">
        <v>692</v>
      </c>
      <c r="N741" s="126" t="s">
        <v>693</v>
      </c>
      <c r="O741" s="126" t="s">
        <v>694</v>
      </c>
      <c r="P741" s="126" t="s">
        <v>695</v>
      </c>
      <c r="Q741" s="126" t="s">
        <v>696</v>
      </c>
      <c r="R741" s="126" t="s">
        <v>697</v>
      </c>
      <c r="S741" s="126" t="s">
        <v>698</v>
      </c>
      <c r="T741" s="126" t="s">
        <v>699</v>
      </c>
      <c r="U741" s="126" t="s">
        <v>700</v>
      </c>
      <c r="V741" s="126" t="s">
        <v>701</v>
      </c>
      <c r="W741" s="248" t="s">
        <v>1715</v>
      </c>
      <c r="X741" s="126" t="s">
        <v>690</v>
      </c>
      <c r="Y741" s="126" t="s">
        <v>691</v>
      </c>
      <c r="Z741" s="126" t="s">
        <v>692</v>
      </c>
      <c r="AA741" s="126" t="s">
        <v>693</v>
      </c>
      <c r="AB741" s="126" t="s">
        <v>694</v>
      </c>
      <c r="AC741" s="126" t="s">
        <v>695</v>
      </c>
      <c r="AD741" s="126" t="s">
        <v>696</v>
      </c>
      <c r="AE741" s="126" t="s">
        <v>697</v>
      </c>
      <c r="AF741" s="126" t="s">
        <v>698</v>
      </c>
      <c r="AG741" s="126" t="s">
        <v>699</v>
      </c>
      <c r="AH741" s="126" t="s">
        <v>700</v>
      </c>
      <c r="AI741" s="126" t="s">
        <v>701</v>
      </c>
      <c r="AJ741" s="248" t="s">
        <v>1834</v>
      </c>
      <c r="AK741" s="126" t="s">
        <v>759</v>
      </c>
      <c r="AL741" s="250" t="e">
        <v>#VALUE!</v>
      </c>
    </row>
    <row r="742" spans="1:38" ht="14.1" customHeight="1" x14ac:dyDescent="0.2">
      <c r="A742" t="s">
        <v>893</v>
      </c>
      <c r="B742" s="187">
        <v>4381</v>
      </c>
      <c r="C742" s="188" t="s">
        <v>1071</v>
      </c>
      <c r="D742" s="232" t="s">
        <v>1547</v>
      </c>
      <c r="E742" s="232" t="s">
        <v>1255</v>
      </c>
      <c r="F742" s="239">
        <v>300</v>
      </c>
      <c r="G742" s="190">
        <v>1</v>
      </c>
      <c r="H742" s="189">
        <v>300</v>
      </c>
      <c r="I742" s="191">
        <v>41334</v>
      </c>
      <c r="J742" s="197" t="str">
        <f t="shared" si="36"/>
        <v>ok</v>
      </c>
      <c r="K742" s="418"/>
      <c r="L742" s="418"/>
      <c r="M742" s="418"/>
      <c r="N742" s="418"/>
      <c r="O742" s="418"/>
      <c r="P742" s="418"/>
      <c r="Q742" s="418"/>
      <c r="R742" s="418"/>
      <c r="S742" s="418"/>
      <c r="T742" s="418"/>
      <c r="U742" s="418"/>
      <c r="V742" s="418"/>
      <c r="W742" s="419">
        <f t="shared" si="34"/>
        <v>0</v>
      </c>
      <c r="X742" s="420"/>
      <c r="Y742" s="420">
        <v>300</v>
      </c>
      <c r="Z742" s="420"/>
      <c r="AA742" s="420"/>
      <c r="AB742" s="420"/>
      <c r="AC742" s="420"/>
      <c r="AD742" s="420"/>
      <c r="AE742" s="420"/>
      <c r="AF742" s="420"/>
      <c r="AG742" s="420"/>
      <c r="AH742" s="420"/>
      <c r="AI742" s="420"/>
      <c r="AJ742" s="420">
        <f t="shared" si="35"/>
        <v>300</v>
      </c>
      <c r="AK742" s="192"/>
      <c r="AL742" s="250" t="s">
        <v>2067</v>
      </c>
    </row>
    <row r="743" spans="1:38" ht="14.1" customHeight="1" x14ac:dyDescent="0.2">
      <c r="A743" t="s">
        <v>891</v>
      </c>
      <c r="B743" s="193">
        <v>4382</v>
      </c>
      <c r="C743" s="194" t="s">
        <v>1051</v>
      </c>
      <c r="D743" s="229" t="s">
        <v>1442</v>
      </c>
      <c r="E743" s="229" t="s">
        <v>651</v>
      </c>
      <c r="F743" s="240">
        <v>300</v>
      </c>
      <c r="G743" s="196">
        <v>1</v>
      </c>
      <c r="H743" s="195">
        <v>300</v>
      </c>
      <c r="I743" s="197">
        <v>41334</v>
      </c>
      <c r="J743" s="197" t="str">
        <f t="shared" si="36"/>
        <v>ok</v>
      </c>
      <c r="K743" s="419"/>
      <c r="L743" s="419"/>
      <c r="M743" s="419"/>
      <c r="N743" s="419"/>
      <c r="O743" s="419"/>
      <c r="P743" s="419"/>
      <c r="Q743" s="419"/>
      <c r="R743" s="419"/>
      <c r="S743" s="419"/>
      <c r="T743" s="419"/>
      <c r="U743" s="419"/>
      <c r="V743" s="419"/>
      <c r="W743" s="419">
        <f t="shared" si="34"/>
        <v>0</v>
      </c>
      <c r="X743" s="412"/>
      <c r="Y743" s="412">
        <v>300</v>
      </c>
      <c r="Z743" s="412"/>
      <c r="AA743" s="412"/>
      <c r="AB743" s="412"/>
      <c r="AC743" s="412"/>
      <c r="AD743" s="412"/>
      <c r="AE743" s="412"/>
      <c r="AF743" s="412"/>
      <c r="AG743" s="412"/>
      <c r="AH743" s="412"/>
      <c r="AI743" s="412"/>
      <c r="AJ743" s="412">
        <f t="shared" si="35"/>
        <v>300</v>
      </c>
      <c r="AK743" s="198"/>
      <c r="AL743" s="250" t="s">
        <v>2067</v>
      </c>
    </row>
    <row r="744" spans="1:38" ht="14.1" customHeight="1" x14ac:dyDescent="0.2">
      <c r="A744" t="s">
        <v>888</v>
      </c>
      <c r="B744" s="193">
        <v>4383</v>
      </c>
      <c r="C744" s="194" t="s">
        <v>1333</v>
      </c>
      <c r="D744" s="229" t="s">
        <v>1445</v>
      </c>
      <c r="E744" s="229" t="s">
        <v>1304</v>
      </c>
      <c r="F744" s="240">
        <v>300</v>
      </c>
      <c r="G744" s="196">
        <v>1</v>
      </c>
      <c r="H744" s="195">
        <v>600</v>
      </c>
      <c r="I744" s="197">
        <v>41334</v>
      </c>
      <c r="J744" s="197" t="str">
        <f t="shared" si="36"/>
        <v>ok</v>
      </c>
      <c r="K744" s="419"/>
      <c r="L744" s="419"/>
      <c r="M744" s="419"/>
      <c r="N744" s="419"/>
      <c r="O744" s="419"/>
      <c r="P744" s="419"/>
      <c r="Q744" s="419"/>
      <c r="R744" s="419"/>
      <c r="S744" s="419"/>
      <c r="T744" s="419"/>
      <c r="U744" s="419"/>
      <c r="V744" s="419"/>
      <c r="W744" s="419">
        <f t="shared" si="34"/>
        <v>0</v>
      </c>
      <c r="X744" s="412">
        <v>300</v>
      </c>
      <c r="Y744" s="412">
        <v>300</v>
      </c>
      <c r="Z744" s="412"/>
      <c r="AA744" s="412"/>
      <c r="AB744" s="412"/>
      <c r="AC744" s="412"/>
      <c r="AD744" s="412"/>
      <c r="AE744" s="412"/>
      <c r="AF744" s="412"/>
      <c r="AG744" s="412"/>
      <c r="AH744" s="412"/>
      <c r="AI744" s="412"/>
      <c r="AJ744" s="412">
        <f t="shared" si="35"/>
        <v>600</v>
      </c>
      <c r="AK744" s="198"/>
      <c r="AL744" s="250" t="s">
        <v>2067</v>
      </c>
    </row>
    <row r="745" spans="1:38" ht="14.1" customHeight="1" x14ac:dyDescent="0.2">
      <c r="A745" t="s">
        <v>893</v>
      </c>
      <c r="B745" s="193">
        <v>4384</v>
      </c>
      <c r="C745" s="194" t="s">
        <v>1126</v>
      </c>
      <c r="D745" s="229" t="s">
        <v>1631</v>
      </c>
      <c r="E745" s="229" t="s">
        <v>288</v>
      </c>
      <c r="F745" s="240">
        <v>150</v>
      </c>
      <c r="G745" s="196">
        <v>1</v>
      </c>
      <c r="H745" s="195">
        <v>450</v>
      </c>
      <c r="I745" s="197">
        <v>41334</v>
      </c>
      <c r="J745" s="197" t="str">
        <f t="shared" si="36"/>
        <v>ok</v>
      </c>
      <c r="K745" s="419"/>
      <c r="L745" s="419"/>
      <c r="M745" s="419"/>
      <c r="N745" s="419"/>
      <c r="O745" s="419"/>
      <c r="P745" s="419"/>
      <c r="Q745" s="419"/>
      <c r="R745" s="419"/>
      <c r="S745" s="419"/>
      <c r="T745" s="419"/>
      <c r="U745" s="419"/>
      <c r="V745" s="419"/>
      <c r="W745" s="419">
        <f t="shared" si="34"/>
        <v>0</v>
      </c>
      <c r="X745" s="412">
        <v>150</v>
      </c>
      <c r="Y745" s="412">
        <v>150</v>
      </c>
      <c r="Z745" s="412">
        <v>150</v>
      </c>
      <c r="AA745" s="412"/>
      <c r="AB745" s="412"/>
      <c r="AC745" s="412"/>
      <c r="AD745" s="412"/>
      <c r="AE745" s="412"/>
      <c r="AF745" s="412"/>
      <c r="AG745" s="412"/>
      <c r="AH745" s="412"/>
      <c r="AI745" s="412"/>
      <c r="AJ745" s="412">
        <f t="shared" si="35"/>
        <v>450</v>
      </c>
      <c r="AK745" s="198"/>
      <c r="AL745" s="250" t="s">
        <v>2067</v>
      </c>
    </row>
    <row r="746" spans="1:38" ht="14.1" customHeight="1" x14ac:dyDescent="0.2">
      <c r="A746" t="s">
        <v>893</v>
      </c>
      <c r="B746" s="193">
        <v>4384</v>
      </c>
      <c r="C746" s="194" t="s">
        <v>1126</v>
      </c>
      <c r="D746" s="229" t="s">
        <v>1631</v>
      </c>
      <c r="E746" s="229" t="s">
        <v>288</v>
      </c>
      <c r="F746" s="240">
        <v>150</v>
      </c>
      <c r="G746" s="196">
        <v>4</v>
      </c>
      <c r="H746" s="195">
        <v>160</v>
      </c>
      <c r="I746" s="197">
        <v>41334</v>
      </c>
      <c r="J746" s="197" t="str">
        <f t="shared" si="36"/>
        <v>ok</v>
      </c>
      <c r="K746" s="419"/>
      <c r="L746" s="419"/>
      <c r="M746" s="419"/>
      <c r="N746" s="419"/>
      <c r="O746" s="419"/>
      <c r="P746" s="419"/>
      <c r="Q746" s="419"/>
      <c r="R746" s="419"/>
      <c r="S746" s="419"/>
      <c r="T746" s="419"/>
      <c r="U746" s="419"/>
      <c r="V746" s="419"/>
      <c r="W746" s="419">
        <f t="shared" si="34"/>
        <v>0</v>
      </c>
      <c r="X746" s="412"/>
      <c r="Y746" s="412"/>
      <c r="Z746" s="412"/>
      <c r="AA746" s="412"/>
      <c r="AB746" s="412"/>
      <c r="AC746" s="412"/>
      <c r="AD746" s="412"/>
      <c r="AE746" s="412"/>
      <c r="AF746" s="412"/>
      <c r="AG746" s="412"/>
      <c r="AH746" s="412"/>
      <c r="AI746" s="412"/>
      <c r="AJ746" s="412">
        <f t="shared" si="35"/>
        <v>0</v>
      </c>
      <c r="AK746" s="198"/>
      <c r="AL746" s="250" t="s">
        <v>2068</v>
      </c>
    </row>
    <row r="747" spans="1:38" ht="14.1" customHeight="1" x14ac:dyDescent="0.2">
      <c r="A747" t="s">
        <v>893</v>
      </c>
      <c r="B747" s="193">
        <v>4385</v>
      </c>
      <c r="C747" s="194" t="s">
        <v>1124</v>
      </c>
      <c r="D747" s="229" t="s">
        <v>1364</v>
      </c>
      <c r="E747" s="229" t="s">
        <v>1630</v>
      </c>
      <c r="F747" s="240">
        <v>300</v>
      </c>
      <c r="G747" s="196">
        <v>1</v>
      </c>
      <c r="H747" s="195">
        <v>300</v>
      </c>
      <c r="I747" s="197">
        <v>41335</v>
      </c>
      <c r="J747" s="197" t="str">
        <f t="shared" si="36"/>
        <v>ok</v>
      </c>
      <c r="K747" s="419"/>
      <c r="L747" s="419"/>
      <c r="M747" s="419"/>
      <c r="N747" s="419"/>
      <c r="O747" s="419"/>
      <c r="P747" s="419"/>
      <c r="Q747" s="419"/>
      <c r="R747" s="419"/>
      <c r="S747" s="419"/>
      <c r="T747" s="419"/>
      <c r="U747" s="419"/>
      <c r="V747" s="419"/>
      <c r="W747" s="419">
        <f t="shared" si="34"/>
        <v>0</v>
      </c>
      <c r="X747" s="412"/>
      <c r="Y747" s="412"/>
      <c r="Z747" s="412">
        <v>300</v>
      </c>
      <c r="AA747" s="412"/>
      <c r="AB747" s="412"/>
      <c r="AC747" s="412"/>
      <c r="AD747" s="412"/>
      <c r="AE747" s="412"/>
      <c r="AF747" s="412"/>
      <c r="AG747" s="412"/>
      <c r="AH747" s="412"/>
      <c r="AI747" s="412"/>
      <c r="AJ747" s="412">
        <f t="shared" si="35"/>
        <v>300</v>
      </c>
      <c r="AK747" s="198"/>
      <c r="AL747" s="250" t="s">
        <v>2067</v>
      </c>
    </row>
    <row r="748" spans="1:38" ht="14.1" customHeight="1" x14ac:dyDescent="0.2">
      <c r="A748" t="s">
        <v>890</v>
      </c>
      <c r="B748" s="193">
        <v>4386</v>
      </c>
      <c r="C748" s="194" t="s">
        <v>1009</v>
      </c>
      <c r="D748" s="229" t="s">
        <v>1632</v>
      </c>
      <c r="E748" s="229" t="s">
        <v>502</v>
      </c>
      <c r="F748" s="240">
        <v>300</v>
      </c>
      <c r="G748" s="196">
        <v>1</v>
      </c>
      <c r="H748" s="195">
        <v>900</v>
      </c>
      <c r="I748" s="197">
        <v>41336</v>
      </c>
      <c r="J748" s="197" t="str">
        <f t="shared" si="36"/>
        <v>ok</v>
      </c>
      <c r="K748" s="419"/>
      <c r="L748" s="419"/>
      <c r="M748" s="419"/>
      <c r="N748" s="419"/>
      <c r="O748" s="419"/>
      <c r="P748" s="419"/>
      <c r="Q748" s="419"/>
      <c r="R748" s="419"/>
      <c r="S748" s="419"/>
      <c r="T748" s="419"/>
      <c r="U748" s="419"/>
      <c r="V748" s="419"/>
      <c r="W748" s="419">
        <f t="shared" si="34"/>
        <v>0</v>
      </c>
      <c r="X748" s="412">
        <v>300</v>
      </c>
      <c r="Y748" s="412">
        <v>300</v>
      </c>
      <c r="Z748" s="412">
        <v>300</v>
      </c>
      <c r="AA748" s="412"/>
      <c r="AB748" s="412"/>
      <c r="AC748" s="412"/>
      <c r="AD748" s="412"/>
      <c r="AE748" s="412"/>
      <c r="AF748" s="412"/>
      <c r="AG748" s="412"/>
      <c r="AH748" s="412"/>
      <c r="AI748" s="412"/>
      <c r="AJ748" s="412">
        <f t="shared" si="35"/>
        <v>900</v>
      </c>
      <c r="AK748" s="198"/>
      <c r="AL748" s="250" t="s">
        <v>2067</v>
      </c>
    </row>
    <row r="749" spans="1:38" ht="14.1" customHeight="1" x14ac:dyDescent="0.2">
      <c r="A749" t="s">
        <v>890</v>
      </c>
      <c r="B749" s="193">
        <v>4387</v>
      </c>
      <c r="C749" s="194" t="s">
        <v>986</v>
      </c>
      <c r="D749" s="229" t="s">
        <v>1483</v>
      </c>
      <c r="E749" s="229" t="s">
        <v>473</v>
      </c>
      <c r="F749" s="240">
        <v>250</v>
      </c>
      <c r="G749" s="196">
        <v>1</v>
      </c>
      <c r="H749" s="195">
        <v>250</v>
      </c>
      <c r="I749" s="197">
        <v>41336</v>
      </c>
      <c r="J749" s="197" t="str">
        <f t="shared" si="36"/>
        <v>ok</v>
      </c>
      <c r="K749" s="419"/>
      <c r="L749" s="419"/>
      <c r="M749" s="419"/>
      <c r="N749" s="419"/>
      <c r="O749" s="419"/>
      <c r="P749" s="419"/>
      <c r="Q749" s="419"/>
      <c r="R749" s="419"/>
      <c r="S749" s="419"/>
      <c r="T749" s="419"/>
      <c r="U749" s="419"/>
      <c r="V749" s="419"/>
      <c r="W749" s="419">
        <f t="shared" si="34"/>
        <v>0</v>
      </c>
      <c r="X749" s="412"/>
      <c r="Y749" s="412"/>
      <c r="Z749" s="412">
        <v>250</v>
      </c>
      <c r="AA749" s="412"/>
      <c r="AB749" s="412"/>
      <c r="AC749" s="412"/>
      <c r="AD749" s="412"/>
      <c r="AE749" s="412"/>
      <c r="AF749" s="412"/>
      <c r="AG749" s="412"/>
      <c r="AH749" s="412"/>
      <c r="AI749" s="412"/>
      <c r="AJ749" s="412">
        <f t="shared" si="35"/>
        <v>250</v>
      </c>
      <c r="AK749" s="198"/>
      <c r="AL749" s="250" t="s">
        <v>2067</v>
      </c>
    </row>
    <row r="750" spans="1:38" ht="14.1" customHeight="1" x14ac:dyDescent="0.2">
      <c r="A750" t="s">
        <v>893</v>
      </c>
      <c r="B750" s="193">
        <v>4388</v>
      </c>
      <c r="C750" s="194" t="s">
        <v>773</v>
      </c>
      <c r="D750" s="229" t="s">
        <v>1537</v>
      </c>
      <c r="E750" s="229" t="s">
        <v>317</v>
      </c>
      <c r="F750" s="240">
        <v>300</v>
      </c>
      <c r="G750" s="196">
        <v>1</v>
      </c>
      <c r="H750" s="195">
        <v>300</v>
      </c>
      <c r="I750" s="197">
        <v>41336</v>
      </c>
      <c r="J750" s="197" t="str">
        <f t="shared" si="36"/>
        <v>ok</v>
      </c>
      <c r="K750" s="419"/>
      <c r="L750" s="419"/>
      <c r="M750" s="419"/>
      <c r="N750" s="419"/>
      <c r="O750" s="419"/>
      <c r="P750" s="419"/>
      <c r="Q750" s="419"/>
      <c r="R750" s="419"/>
      <c r="S750" s="419"/>
      <c r="T750" s="419"/>
      <c r="U750" s="419"/>
      <c r="V750" s="419"/>
      <c r="W750" s="419">
        <f t="shared" si="34"/>
        <v>0</v>
      </c>
      <c r="X750" s="412"/>
      <c r="Y750" s="412"/>
      <c r="Z750" s="412">
        <v>300</v>
      </c>
      <c r="AA750" s="412"/>
      <c r="AB750" s="412"/>
      <c r="AC750" s="412"/>
      <c r="AD750" s="412"/>
      <c r="AE750" s="412"/>
      <c r="AF750" s="412"/>
      <c r="AG750" s="412"/>
      <c r="AH750" s="412"/>
      <c r="AI750" s="412"/>
      <c r="AJ750" s="412">
        <f t="shared" si="35"/>
        <v>300</v>
      </c>
      <c r="AK750" s="198"/>
      <c r="AL750" s="250" t="s">
        <v>2067</v>
      </c>
    </row>
    <row r="751" spans="1:38" ht="14.1" customHeight="1" x14ac:dyDescent="0.2">
      <c r="A751" t="s">
        <v>893</v>
      </c>
      <c r="B751" s="193">
        <v>4389</v>
      </c>
      <c r="C751" s="194" t="s">
        <v>1079</v>
      </c>
      <c r="D751" s="229" t="s">
        <v>1552</v>
      </c>
      <c r="E751" s="229" t="s">
        <v>198</v>
      </c>
      <c r="F751" s="240">
        <v>150</v>
      </c>
      <c r="G751" s="196">
        <v>1</v>
      </c>
      <c r="H751" s="195">
        <v>150</v>
      </c>
      <c r="I751" s="197">
        <v>41336</v>
      </c>
      <c r="J751" s="197" t="str">
        <f t="shared" si="36"/>
        <v>ok</v>
      </c>
      <c r="K751" s="419"/>
      <c r="L751" s="419"/>
      <c r="M751" s="419"/>
      <c r="N751" s="419"/>
      <c r="O751" s="419"/>
      <c r="P751" s="419"/>
      <c r="Q751" s="419"/>
      <c r="R751" s="419"/>
      <c r="S751" s="419"/>
      <c r="T751" s="419"/>
      <c r="U751" s="419"/>
      <c r="V751" s="419"/>
      <c r="W751" s="419">
        <f t="shared" si="34"/>
        <v>0</v>
      </c>
      <c r="X751" s="412"/>
      <c r="Y751" s="412">
        <v>150</v>
      </c>
      <c r="Z751" s="412"/>
      <c r="AA751" s="412"/>
      <c r="AB751" s="412"/>
      <c r="AC751" s="412"/>
      <c r="AD751" s="412"/>
      <c r="AE751" s="412"/>
      <c r="AF751" s="412"/>
      <c r="AG751" s="412"/>
      <c r="AH751" s="412"/>
      <c r="AI751" s="412"/>
      <c r="AJ751" s="412">
        <f t="shared" si="35"/>
        <v>150</v>
      </c>
      <c r="AK751" s="198"/>
      <c r="AL751" s="250" t="s">
        <v>2067</v>
      </c>
    </row>
    <row r="752" spans="1:38" ht="14.1" customHeight="1" x14ac:dyDescent="0.2">
      <c r="A752" t="s">
        <v>884</v>
      </c>
      <c r="B752" s="193">
        <v>4390</v>
      </c>
      <c r="C752" s="194" t="s">
        <v>852</v>
      </c>
      <c r="D752" s="229" t="s">
        <v>1477</v>
      </c>
      <c r="E752" s="229" t="s">
        <v>92</v>
      </c>
      <c r="F752" s="240">
        <v>300</v>
      </c>
      <c r="G752" s="196">
        <v>1</v>
      </c>
      <c r="H752" s="195">
        <v>300</v>
      </c>
      <c r="I752" s="197">
        <v>41336</v>
      </c>
      <c r="J752" s="197" t="str">
        <f t="shared" si="36"/>
        <v>ok</v>
      </c>
      <c r="K752" s="419"/>
      <c r="L752" s="419"/>
      <c r="M752" s="419"/>
      <c r="N752" s="419"/>
      <c r="O752" s="419"/>
      <c r="P752" s="419"/>
      <c r="Q752" s="419"/>
      <c r="R752" s="419"/>
      <c r="S752" s="419"/>
      <c r="T752" s="419"/>
      <c r="U752" s="419"/>
      <c r="V752" s="419"/>
      <c r="W752" s="419">
        <f t="shared" si="34"/>
        <v>0</v>
      </c>
      <c r="X752" s="412"/>
      <c r="Y752" s="412"/>
      <c r="Z752" s="412">
        <v>300</v>
      </c>
      <c r="AA752" s="412"/>
      <c r="AB752" s="412"/>
      <c r="AC752" s="412"/>
      <c r="AD752" s="412"/>
      <c r="AE752" s="412"/>
      <c r="AF752" s="412"/>
      <c r="AG752" s="412"/>
      <c r="AH752" s="412"/>
      <c r="AI752" s="412"/>
      <c r="AJ752" s="412">
        <f t="shared" si="35"/>
        <v>300</v>
      </c>
      <c r="AK752" s="198"/>
      <c r="AL752" s="250" t="s">
        <v>2067</v>
      </c>
    </row>
    <row r="753" spans="1:38" ht="14.1" customHeight="1" x14ac:dyDescent="0.2">
      <c r="A753" t="s">
        <v>888</v>
      </c>
      <c r="B753" s="193">
        <v>4391</v>
      </c>
      <c r="C753" s="194" t="s">
        <v>926</v>
      </c>
      <c r="D753" s="229" t="s">
        <v>1389</v>
      </c>
      <c r="E753" s="229" t="s">
        <v>375</v>
      </c>
      <c r="F753" s="240">
        <v>300</v>
      </c>
      <c r="G753" s="196">
        <v>3</v>
      </c>
      <c r="H753" s="195">
        <v>150</v>
      </c>
      <c r="I753" s="197">
        <v>41336</v>
      </c>
      <c r="J753" s="197" t="str">
        <f t="shared" si="36"/>
        <v>ok</v>
      </c>
      <c r="K753" s="419"/>
      <c r="L753" s="419"/>
      <c r="M753" s="419"/>
      <c r="N753" s="419"/>
      <c r="O753" s="419"/>
      <c r="P753" s="419"/>
      <c r="Q753" s="419"/>
      <c r="R753" s="419"/>
      <c r="S753" s="419"/>
      <c r="T753" s="419"/>
      <c r="U753" s="419"/>
      <c r="V753" s="419"/>
      <c r="W753" s="419">
        <f t="shared" si="34"/>
        <v>0</v>
      </c>
      <c r="X753" s="412"/>
      <c r="Y753" s="412"/>
      <c r="Z753" s="412"/>
      <c r="AA753" s="412"/>
      <c r="AB753" s="412"/>
      <c r="AC753" s="412"/>
      <c r="AD753" s="412"/>
      <c r="AE753" s="412"/>
      <c r="AF753" s="412"/>
      <c r="AG753" s="412"/>
      <c r="AH753" s="412"/>
      <c r="AI753" s="412"/>
      <c r="AJ753" s="412">
        <f t="shared" si="35"/>
        <v>0</v>
      </c>
      <c r="AK753" s="198"/>
      <c r="AL753" s="250" t="s">
        <v>2068</v>
      </c>
    </row>
    <row r="754" spans="1:38" ht="14.1" customHeight="1" x14ac:dyDescent="0.2">
      <c r="A754" t="s">
        <v>892</v>
      </c>
      <c r="B754" s="193">
        <v>4392</v>
      </c>
      <c r="C754" s="194" t="s">
        <v>776</v>
      </c>
      <c r="D754" s="229" t="s">
        <v>1413</v>
      </c>
      <c r="E754" s="229" t="s">
        <v>736</v>
      </c>
      <c r="F754" s="240">
        <v>300</v>
      </c>
      <c r="G754" s="196">
        <v>1</v>
      </c>
      <c r="H754" s="195">
        <v>300</v>
      </c>
      <c r="I754" s="197">
        <v>41336</v>
      </c>
      <c r="J754" s="197" t="str">
        <f t="shared" si="36"/>
        <v>ok</v>
      </c>
      <c r="K754" s="419"/>
      <c r="L754" s="419"/>
      <c r="M754" s="419"/>
      <c r="N754" s="419"/>
      <c r="O754" s="419"/>
      <c r="P754" s="419"/>
      <c r="Q754" s="419"/>
      <c r="R754" s="419"/>
      <c r="S754" s="419"/>
      <c r="T754" s="419"/>
      <c r="U754" s="419"/>
      <c r="V754" s="419"/>
      <c r="W754" s="419">
        <f t="shared" si="34"/>
        <v>0</v>
      </c>
      <c r="X754" s="412"/>
      <c r="Y754" s="412"/>
      <c r="Z754" s="412">
        <v>300</v>
      </c>
      <c r="AA754" s="412"/>
      <c r="AB754" s="412"/>
      <c r="AC754" s="412"/>
      <c r="AD754" s="412"/>
      <c r="AE754" s="412"/>
      <c r="AF754" s="412"/>
      <c r="AG754" s="412"/>
      <c r="AH754" s="412"/>
      <c r="AI754" s="412"/>
      <c r="AJ754" s="412">
        <f t="shared" si="35"/>
        <v>300</v>
      </c>
      <c r="AK754" s="198"/>
      <c r="AL754" s="250" t="s">
        <v>2067</v>
      </c>
    </row>
    <row r="755" spans="1:38" ht="14.1" customHeight="1" x14ac:dyDescent="0.2">
      <c r="A755" t="s">
        <v>893</v>
      </c>
      <c r="B755" s="193">
        <v>4393</v>
      </c>
      <c r="C755" s="194" t="s">
        <v>1138</v>
      </c>
      <c r="D755" s="229" t="s">
        <v>1493</v>
      </c>
      <c r="E755" s="229" t="s">
        <v>1274</v>
      </c>
      <c r="F755" s="240">
        <v>300</v>
      </c>
      <c r="G755" s="196">
        <v>1</v>
      </c>
      <c r="H755" s="195">
        <v>600</v>
      </c>
      <c r="I755" s="197">
        <v>41336</v>
      </c>
      <c r="J755" s="197" t="str">
        <f t="shared" si="36"/>
        <v>ok</v>
      </c>
      <c r="K755" s="419"/>
      <c r="L755" s="419"/>
      <c r="M755" s="419"/>
      <c r="N755" s="419"/>
      <c r="O755" s="419"/>
      <c r="P755" s="419"/>
      <c r="Q755" s="419"/>
      <c r="R755" s="419"/>
      <c r="S755" s="419"/>
      <c r="T755" s="419"/>
      <c r="U755" s="419"/>
      <c r="V755" s="419"/>
      <c r="W755" s="419">
        <f t="shared" si="34"/>
        <v>0</v>
      </c>
      <c r="X755" s="412"/>
      <c r="Y755" s="412">
        <v>300</v>
      </c>
      <c r="Z755" s="412">
        <v>300</v>
      </c>
      <c r="AA755" s="412"/>
      <c r="AB755" s="412"/>
      <c r="AC755" s="412"/>
      <c r="AD755" s="412"/>
      <c r="AE755" s="412"/>
      <c r="AF755" s="412"/>
      <c r="AG755" s="412"/>
      <c r="AH755" s="412"/>
      <c r="AI755" s="412"/>
      <c r="AJ755" s="412">
        <f t="shared" si="35"/>
        <v>600</v>
      </c>
      <c r="AK755" s="198"/>
      <c r="AL755" s="250" t="s">
        <v>2067</v>
      </c>
    </row>
    <row r="756" spans="1:38" ht="14.1" customHeight="1" x14ac:dyDescent="0.2">
      <c r="A756" t="s">
        <v>884</v>
      </c>
      <c r="B756" s="193">
        <v>4394</v>
      </c>
      <c r="C756" s="194" t="s">
        <v>764</v>
      </c>
      <c r="D756" s="229" t="s">
        <v>1386</v>
      </c>
      <c r="E756" s="229" t="s">
        <v>133</v>
      </c>
      <c r="F756" s="240">
        <v>200</v>
      </c>
      <c r="G756" s="196">
        <v>1</v>
      </c>
      <c r="H756" s="195">
        <v>200</v>
      </c>
      <c r="I756" s="197">
        <v>41336</v>
      </c>
      <c r="J756" s="197" t="str">
        <f t="shared" si="36"/>
        <v>ok</v>
      </c>
      <c r="K756" s="419"/>
      <c r="L756" s="419"/>
      <c r="M756" s="419"/>
      <c r="N756" s="419"/>
      <c r="O756" s="419"/>
      <c r="P756" s="419"/>
      <c r="Q756" s="419"/>
      <c r="R756" s="419"/>
      <c r="S756" s="419"/>
      <c r="T756" s="419"/>
      <c r="U756" s="419"/>
      <c r="V756" s="419"/>
      <c r="W756" s="419">
        <f t="shared" si="34"/>
        <v>0</v>
      </c>
      <c r="X756" s="412"/>
      <c r="Y756" s="412"/>
      <c r="Z756" s="412">
        <v>200</v>
      </c>
      <c r="AA756" s="412"/>
      <c r="AB756" s="412"/>
      <c r="AC756" s="412"/>
      <c r="AD756" s="412"/>
      <c r="AE756" s="412"/>
      <c r="AF756" s="412"/>
      <c r="AG756" s="412"/>
      <c r="AH756" s="412"/>
      <c r="AI756" s="412"/>
      <c r="AJ756" s="412">
        <f t="shared" si="35"/>
        <v>200</v>
      </c>
      <c r="AK756" s="198"/>
      <c r="AL756" s="250" t="s">
        <v>2067</v>
      </c>
    </row>
    <row r="757" spans="1:38" ht="14.1" customHeight="1" x14ac:dyDescent="0.2">
      <c r="A757" t="s">
        <v>890</v>
      </c>
      <c r="B757" s="193">
        <v>4395</v>
      </c>
      <c r="C757" s="194" t="s">
        <v>1020</v>
      </c>
      <c r="D757" s="229" t="s">
        <v>1633</v>
      </c>
      <c r="E757" s="229" t="s">
        <v>519</v>
      </c>
      <c r="F757" s="240">
        <v>300</v>
      </c>
      <c r="G757" s="196">
        <v>1</v>
      </c>
      <c r="H757" s="195">
        <v>600</v>
      </c>
      <c r="I757" s="197">
        <v>41336</v>
      </c>
      <c r="J757" s="197" t="str">
        <f t="shared" si="36"/>
        <v>ok</v>
      </c>
      <c r="K757" s="419"/>
      <c r="L757" s="419"/>
      <c r="M757" s="419"/>
      <c r="N757" s="419"/>
      <c r="O757" s="419"/>
      <c r="P757" s="419"/>
      <c r="Q757" s="419"/>
      <c r="R757" s="419"/>
      <c r="S757" s="419"/>
      <c r="T757" s="419"/>
      <c r="U757" s="419">
        <v>300</v>
      </c>
      <c r="V757" s="419">
        <v>300</v>
      </c>
      <c r="W757" s="419">
        <f t="shared" si="34"/>
        <v>600</v>
      </c>
      <c r="X757" s="412"/>
      <c r="Y757" s="412"/>
      <c r="Z757" s="412"/>
      <c r="AA757" s="412"/>
      <c r="AB757" s="412"/>
      <c r="AC757" s="412"/>
      <c r="AD757" s="412"/>
      <c r="AE757" s="412"/>
      <c r="AF757" s="412"/>
      <c r="AG757" s="412"/>
      <c r="AH757" s="412"/>
      <c r="AI757" s="412"/>
      <c r="AJ757" s="412">
        <f t="shared" si="35"/>
        <v>0</v>
      </c>
      <c r="AK757" s="198" t="s">
        <v>1241</v>
      </c>
      <c r="AL757" s="250" t="s">
        <v>2067</v>
      </c>
    </row>
    <row r="758" spans="1:38" ht="14.1" customHeight="1" x14ac:dyDescent="0.2">
      <c r="A758" t="s">
        <v>884</v>
      </c>
      <c r="B758" s="193">
        <v>4396</v>
      </c>
      <c r="C758" s="194" t="s">
        <v>856</v>
      </c>
      <c r="D758" s="229" t="s">
        <v>1515</v>
      </c>
      <c r="E758" s="229" t="s">
        <v>99</v>
      </c>
      <c r="F758" s="240">
        <v>300</v>
      </c>
      <c r="G758" s="196">
        <v>1</v>
      </c>
      <c r="H758" s="195">
        <v>300</v>
      </c>
      <c r="I758" s="197">
        <v>41336</v>
      </c>
      <c r="J758" s="197" t="str">
        <f t="shared" si="36"/>
        <v>ok</v>
      </c>
      <c r="K758" s="419"/>
      <c r="L758" s="419"/>
      <c r="M758" s="419"/>
      <c r="N758" s="419"/>
      <c r="O758" s="419"/>
      <c r="P758" s="419"/>
      <c r="Q758" s="419"/>
      <c r="R758" s="419"/>
      <c r="S758" s="419"/>
      <c r="T758" s="419"/>
      <c r="U758" s="419"/>
      <c r="V758" s="419"/>
      <c r="W758" s="419">
        <f t="shared" si="34"/>
        <v>0</v>
      </c>
      <c r="X758" s="412"/>
      <c r="Y758" s="412">
        <v>300</v>
      </c>
      <c r="Z758" s="412"/>
      <c r="AA758" s="412"/>
      <c r="AB758" s="412"/>
      <c r="AC758" s="412"/>
      <c r="AD758" s="412"/>
      <c r="AE758" s="412"/>
      <c r="AF758" s="412"/>
      <c r="AG758" s="412"/>
      <c r="AH758" s="412"/>
      <c r="AI758" s="412"/>
      <c r="AJ758" s="412">
        <f t="shared" si="35"/>
        <v>300</v>
      </c>
      <c r="AK758" s="198"/>
      <c r="AL758" s="250" t="s">
        <v>2067</v>
      </c>
    </row>
    <row r="759" spans="1:38" ht="14.1" customHeight="1" x14ac:dyDescent="0.2">
      <c r="A759" t="s">
        <v>890</v>
      </c>
      <c r="B759" s="193">
        <v>4397</v>
      </c>
      <c r="C759" s="194" t="s">
        <v>770</v>
      </c>
      <c r="D759" s="229" t="s">
        <v>1438</v>
      </c>
      <c r="E759" s="229" t="s">
        <v>536</v>
      </c>
      <c r="F759" s="240">
        <v>300</v>
      </c>
      <c r="G759" s="196">
        <v>1</v>
      </c>
      <c r="H759" s="195">
        <v>300</v>
      </c>
      <c r="I759" s="197">
        <v>41336</v>
      </c>
      <c r="J759" s="197" t="str">
        <f t="shared" si="36"/>
        <v>ok</v>
      </c>
      <c r="K759" s="419"/>
      <c r="L759" s="419"/>
      <c r="M759" s="419"/>
      <c r="N759" s="419"/>
      <c r="O759" s="419"/>
      <c r="P759" s="419"/>
      <c r="Q759" s="419"/>
      <c r="R759" s="419"/>
      <c r="S759" s="419"/>
      <c r="T759" s="419"/>
      <c r="U759" s="419"/>
      <c r="V759" s="419"/>
      <c r="W759" s="419">
        <f t="shared" si="34"/>
        <v>0</v>
      </c>
      <c r="X759" s="412"/>
      <c r="Y759" s="412"/>
      <c r="Z759" s="412">
        <v>300</v>
      </c>
      <c r="AA759" s="412"/>
      <c r="AB759" s="412"/>
      <c r="AC759" s="412"/>
      <c r="AD759" s="412"/>
      <c r="AE759" s="412"/>
      <c r="AF759" s="412"/>
      <c r="AG759" s="412"/>
      <c r="AH759" s="412"/>
      <c r="AI759" s="412"/>
      <c r="AJ759" s="412">
        <f t="shared" si="35"/>
        <v>300</v>
      </c>
      <c r="AK759" s="198"/>
      <c r="AL759" s="250" t="s">
        <v>2067</v>
      </c>
    </row>
    <row r="760" spans="1:38" ht="14.1" customHeight="1" x14ac:dyDescent="0.2">
      <c r="B760" s="193">
        <v>4398</v>
      </c>
      <c r="C760" s="194"/>
      <c r="D760" s="229" t="s">
        <v>1362</v>
      </c>
      <c r="E760" s="229" t="s">
        <v>1362</v>
      </c>
      <c r="F760" s="240" t="s">
        <v>1362</v>
      </c>
      <c r="G760" s="196">
        <v>8</v>
      </c>
      <c r="H760" s="195"/>
      <c r="I760" s="197"/>
      <c r="J760" s="197" t="str">
        <f t="shared" si="36"/>
        <v>ok</v>
      </c>
      <c r="K760" s="419"/>
      <c r="L760" s="419"/>
      <c r="M760" s="419"/>
      <c r="N760" s="419"/>
      <c r="O760" s="419"/>
      <c r="P760" s="419"/>
      <c r="Q760" s="419"/>
      <c r="R760" s="419"/>
      <c r="S760" s="419"/>
      <c r="T760" s="419"/>
      <c r="U760" s="419"/>
      <c r="V760" s="419"/>
      <c r="W760" s="419">
        <f t="shared" si="34"/>
        <v>0</v>
      </c>
      <c r="X760" s="412"/>
      <c r="Y760" s="412"/>
      <c r="Z760" s="412"/>
      <c r="AA760" s="412"/>
      <c r="AB760" s="412"/>
      <c r="AC760" s="412"/>
      <c r="AD760" s="412"/>
      <c r="AE760" s="412"/>
      <c r="AF760" s="412"/>
      <c r="AG760" s="412"/>
      <c r="AH760" s="412"/>
      <c r="AI760" s="412"/>
      <c r="AJ760" s="412">
        <f t="shared" si="35"/>
        <v>0</v>
      </c>
      <c r="AK760" s="198" t="s">
        <v>755</v>
      </c>
      <c r="AL760" s="250" t="s">
        <v>2067</v>
      </c>
    </row>
    <row r="761" spans="1:38" ht="14.1" customHeight="1" x14ac:dyDescent="0.2">
      <c r="A761" t="s">
        <v>890</v>
      </c>
      <c r="B761" s="193">
        <v>4399</v>
      </c>
      <c r="C761" s="194" t="s">
        <v>787</v>
      </c>
      <c r="D761" s="229" t="s">
        <v>1618</v>
      </c>
      <c r="E761" s="229" t="s">
        <v>532</v>
      </c>
      <c r="F761" s="240">
        <v>300</v>
      </c>
      <c r="G761" s="196">
        <v>1</v>
      </c>
      <c r="H761" s="195">
        <v>300</v>
      </c>
      <c r="I761" s="197">
        <v>41336</v>
      </c>
      <c r="J761" s="197" t="str">
        <f t="shared" si="36"/>
        <v>ok</v>
      </c>
      <c r="K761" s="419"/>
      <c r="L761" s="419"/>
      <c r="M761" s="419"/>
      <c r="N761" s="419"/>
      <c r="O761" s="419"/>
      <c r="P761" s="419"/>
      <c r="Q761" s="419"/>
      <c r="R761" s="419"/>
      <c r="S761" s="419"/>
      <c r="T761" s="419"/>
      <c r="U761" s="419"/>
      <c r="V761" s="419"/>
      <c r="W761" s="419">
        <f t="shared" si="34"/>
        <v>0</v>
      </c>
      <c r="X761" s="412"/>
      <c r="Y761" s="412"/>
      <c r="Z761" s="412">
        <v>300</v>
      </c>
      <c r="AA761" s="412"/>
      <c r="AB761" s="412"/>
      <c r="AC761" s="412"/>
      <c r="AD761" s="412"/>
      <c r="AE761" s="412"/>
      <c r="AF761" s="412"/>
      <c r="AG761" s="412"/>
      <c r="AH761" s="412"/>
      <c r="AI761" s="412"/>
      <c r="AJ761" s="412">
        <f t="shared" si="35"/>
        <v>300</v>
      </c>
      <c r="AK761" s="198"/>
      <c r="AL761" s="250" t="s">
        <v>2067</v>
      </c>
    </row>
    <row r="762" spans="1:38" ht="14.1" customHeight="1" x14ac:dyDescent="0.2">
      <c r="A762" t="s">
        <v>884</v>
      </c>
      <c r="B762" s="193">
        <v>4400</v>
      </c>
      <c r="C762" s="194" t="s">
        <v>836</v>
      </c>
      <c r="D762" s="229" t="s">
        <v>1383</v>
      </c>
      <c r="E762" s="229" t="s">
        <v>73</v>
      </c>
      <c r="F762" s="240">
        <v>300</v>
      </c>
      <c r="G762" s="196">
        <v>1</v>
      </c>
      <c r="H762" s="195">
        <v>300</v>
      </c>
      <c r="I762" s="197">
        <v>41336</v>
      </c>
      <c r="J762" s="197" t="str">
        <f t="shared" si="36"/>
        <v>ok</v>
      </c>
      <c r="K762" s="419"/>
      <c r="L762" s="419"/>
      <c r="M762" s="419"/>
      <c r="N762" s="419"/>
      <c r="O762" s="419"/>
      <c r="P762" s="419"/>
      <c r="Q762" s="419"/>
      <c r="R762" s="419"/>
      <c r="S762" s="419"/>
      <c r="T762" s="419"/>
      <c r="U762" s="419"/>
      <c r="V762" s="419"/>
      <c r="W762" s="419">
        <f t="shared" si="34"/>
        <v>0</v>
      </c>
      <c r="X762" s="412"/>
      <c r="Y762" s="412"/>
      <c r="Z762" s="412">
        <v>300</v>
      </c>
      <c r="AA762" s="412"/>
      <c r="AB762" s="412"/>
      <c r="AC762" s="412"/>
      <c r="AD762" s="412"/>
      <c r="AE762" s="412"/>
      <c r="AF762" s="412"/>
      <c r="AG762" s="412"/>
      <c r="AH762" s="412"/>
      <c r="AI762" s="412"/>
      <c r="AJ762" s="412">
        <f t="shared" si="35"/>
        <v>300</v>
      </c>
      <c r="AK762" s="198"/>
      <c r="AL762" s="250" t="s">
        <v>2067</v>
      </c>
    </row>
    <row r="763" spans="1:38" ht="14.1" customHeight="1" x14ac:dyDescent="0.2">
      <c r="A763" t="s">
        <v>892</v>
      </c>
      <c r="B763" s="193">
        <v>4401</v>
      </c>
      <c r="C763" s="194" t="s">
        <v>776</v>
      </c>
      <c r="D763" s="229" t="s">
        <v>1413</v>
      </c>
      <c r="E763" s="229" t="s">
        <v>736</v>
      </c>
      <c r="F763" s="240">
        <v>300</v>
      </c>
      <c r="G763" s="196">
        <v>1</v>
      </c>
      <c r="H763" s="195">
        <v>300</v>
      </c>
      <c r="I763" s="197">
        <v>41336</v>
      </c>
      <c r="J763" s="197" t="str">
        <f t="shared" si="36"/>
        <v>ok</v>
      </c>
      <c r="K763" s="419"/>
      <c r="L763" s="419"/>
      <c r="M763" s="419"/>
      <c r="N763" s="419"/>
      <c r="O763" s="419"/>
      <c r="P763" s="419"/>
      <c r="Q763" s="419"/>
      <c r="R763" s="419"/>
      <c r="S763" s="419"/>
      <c r="T763" s="419"/>
      <c r="U763" s="419"/>
      <c r="V763" s="419"/>
      <c r="W763" s="419">
        <f t="shared" si="34"/>
        <v>0</v>
      </c>
      <c r="X763" s="412"/>
      <c r="Y763" s="412">
        <v>300</v>
      </c>
      <c r="Z763" s="412"/>
      <c r="AA763" s="412"/>
      <c r="AB763" s="412"/>
      <c r="AC763" s="412"/>
      <c r="AD763" s="412"/>
      <c r="AE763" s="412"/>
      <c r="AF763" s="412"/>
      <c r="AG763" s="412"/>
      <c r="AH763" s="412"/>
      <c r="AI763" s="412"/>
      <c r="AJ763" s="412">
        <f t="shared" si="35"/>
        <v>300</v>
      </c>
      <c r="AK763" s="198"/>
      <c r="AL763" s="250" t="s">
        <v>2067</v>
      </c>
    </row>
    <row r="764" spans="1:38" ht="14.1" customHeight="1" x14ac:dyDescent="0.2">
      <c r="A764" t="s">
        <v>890</v>
      </c>
      <c r="B764" s="193">
        <v>4402</v>
      </c>
      <c r="C764" s="194" t="s">
        <v>1029</v>
      </c>
      <c r="D764" s="229" t="s">
        <v>1482</v>
      </c>
      <c r="E764" s="229" t="s">
        <v>529</v>
      </c>
      <c r="F764" s="240">
        <v>300</v>
      </c>
      <c r="G764" s="196">
        <v>1</v>
      </c>
      <c r="H764" s="195">
        <v>300</v>
      </c>
      <c r="I764" s="197">
        <v>41336</v>
      </c>
      <c r="J764" s="197" t="str">
        <f t="shared" si="36"/>
        <v>ok</v>
      </c>
      <c r="K764" s="419"/>
      <c r="L764" s="419"/>
      <c r="M764" s="419"/>
      <c r="N764" s="419"/>
      <c r="O764" s="419"/>
      <c r="P764" s="419"/>
      <c r="Q764" s="419"/>
      <c r="R764" s="419"/>
      <c r="S764" s="419"/>
      <c r="T764" s="419"/>
      <c r="U764" s="419"/>
      <c r="V764" s="419"/>
      <c r="W764" s="419">
        <f t="shared" si="34"/>
        <v>0</v>
      </c>
      <c r="X764" s="412"/>
      <c r="Y764" s="412"/>
      <c r="Z764" s="412">
        <v>300</v>
      </c>
      <c r="AA764" s="412"/>
      <c r="AB764" s="412"/>
      <c r="AC764" s="412"/>
      <c r="AD764" s="412"/>
      <c r="AE764" s="412"/>
      <c r="AF764" s="412"/>
      <c r="AG764" s="412"/>
      <c r="AH764" s="412"/>
      <c r="AI764" s="412"/>
      <c r="AJ764" s="412">
        <f t="shared" si="35"/>
        <v>300</v>
      </c>
      <c r="AK764" s="198"/>
      <c r="AL764" s="250" t="s">
        <v>2067</v>
      </c>
    </row>
    <row r="765" spans="1:38" ht="14.1" customHeight="1" x14ac:dyDescent="0.2">
      <c r="A765" t="s">
        <v>892</v>
      </c>
      <c r="B765" s="193">
        <v>4403</v>
      </c>
      <c r="C765" s="194" t="s">
        <v>1181</v>
      </c>
      <c r="D765" s="229" t="s">
        <v>1425</v>
      </c>
      <c r="E765" s="229" t="s">
        <v>557</v>
      </c>
      <c r="F765" s="240">
        <v>300</v>
      </c>
      <c r="G765" s="196">
        <v>1</v>
      </c>
      <c r="H765" s="195">
        <v>300</v>
      </c>
      <c r="I765" s="197">
        <v>41336</v>
      </c>
      <c r="J765" s="197" t="str">
        <f t="shared" si="36"/>
        <v>ok</v>
      </c>
      <c r="K765" s="419"/>
      <c r="L765" s="419"/>
      <c r="M765" s="419"/>
      <c r="N765" s="419"/>
      <c r="O765" s="419"/>
      <c r="P765" s="419"/>
      <c r="Q765" s="419"/>
      <c r="R765" s="419"/>
      <c r="S765" s="419"/>
      <c r="T765" s="419"/>
      <c r="U765" s="419"/>
      <c r="V765" s="419"/>
      <c r="W765" s="419">
        <f t="shared" si="34"/>
        <v>0</v>
      </c>
      <c r="X765" s="412"/>
      <c r="Y765" s="412"/>
      <c r="Z765" s="412">
        <v>300</v>
      </c>
      <c r="AA765" s="412"/>
      <c r="AB765" s="412"/>
      <c r="AC765" s="412"/>
      <c r="AD765" s="412"/>
      <c r="AE765" s="412"/>
      <c r="AF765" s="412"/>
      <c r="AG765" s="412"/>
      <c r="AH765" s="412"/>
      <c r="AI765" s="412"/>
      <c r="AJ765" s="412">
        <f t="shared" si="35"/>
        <v>300</v>
      </c>
      <c r="AK765" s="198"/>
      <c r="AL765" s="250" t="s">
        <v>2067</v>
      </c>
    </row>
    <row r="766" spans="1:38" ht="14.1" customHeight="1" x14ac:dyDescent="0.2">
      <c r="A766" t="s">
        <v>893</v>
      </c>
      <c r="B766" s="193">
        <v>4404</v>
      </c>
      <c r="C766" s="194" t="s">
        <v>780</v>
      </c>
      <c r="D766" s="229" t="s">
        <v>1593</v>
      </c>
      <c r="E766" s="229" t="s">
        <v>294</v>
      </c>
      <c r="F766" s="240">
        <v>300</v>
      </c>
      <c r="G766" s="196">
        <v>1</v>
      </c>
      <c r="H766" s="195">
        <v>300</v>
      </c>
      <c r="I766" s="197">
        <v>41336</v>
      </c>
      <c r="J766" s="197" t="str">
        <f t="shared" si="36"/>
        <v>ok</v>
      </c>
      <c r="K766" s="419"/>
      <c r="L766" s="419"/>
      <c r="M766" s="419"/>
      <c r="N766" s="419"/>
      <c r="O766" s="419"/>
      <c r="P766" s="419"/>
      <c r="Q766" s="419"/>
      <c r="R766" s="419"/>
      <c r="S766" s="419"/>
      <c r="T766" s="419"/>
      <c r="U766" s="419"/>
      <c r="V766" s="419"/>
      <c r="W766" s="419">
        <f t="shared" si="34"/>
        <v>0</v>
      </c>
      <c r="X766" s="412"/>
      <c r="Y766" s="412"/>
      <c r="Z766" s="412">
        <v>300</v>
      </c>
      <c r="AA766" s="412"/>
      <c r="AB766" s="412"/>
      <c r="AC766" s="412"/>
      <c r="AD766" s="412"/>
      <c r="AE766" s="412"/>
      <c r="AF766" s="412"/>
      <c r="AG766" s="412"/>
      <c r="AH766" s="412"/>
      <c r="AI766" s="412"/>
      <c r="AJ766" s="412">
        <f t="shared" si="35"/>
        <v>300</v>
      </c>
      <c r="AK766" s="198"/>
      <c r="AL766" s="250" t="s">
        <v>2067</v>
      </c>
    </row>
    <row r="767" spans="1:38" ht="14.1" customHeight="1" x14ac:dyDescent="0.2">
      <c r="A767" t="s">
        <v>894</v>
      </c>
      <c r="B767" s="193">
        <v>4405</v>
      </c>
      <c r="C767" s="194" t="s">
        <v>1172</v>
      </c>
      <c r="D767" s="229" t="s">
        <v>1390</v>
      </c>
      <c r="E767" s="229" t="s">
        <v>626</v>
      </c>
      <c r="F767" s="240">
        <v>300</v>
      </c>
      <c r="G767" s="196">
        <v>1</v>
      </c>
      <c r="H767" s="195">
        <v>300</v>
      </c>
      <c r="I767" s="197">
        <v>41336</v>
      </c>
      <c r="J767" s="197" t="str">
        <f t="shared" si="36"/>
        <v>ok</v>
      </c>
      <c r="K767" s="419"/>
      <c r="L767" s="419"/>
      <c r="M767" s="419"/>
      <c r="N767" s="419"/>
      <c r="O767" s="419"/>
      <c r="P767" s="419"/>
      <c r="Q767" s="419"/>
      <c r="R767" s="419"/>
      <c r="S767" s="419"/>
      <c r="T767" s="419"/>
      <c r="U767" s="419"/>
      <c r="V767" s="419"/>
      <c r="W767" s="419">
        <f t="shared" si="34"/>
        <v>0</v>
      </c>
      <c r="X767" s="412"/>
      <c r="Y767" s="412"/>
      <c r="Z767" s="412">
        <v>300</v>
      </c>
      <c r="AA767" s="412"/>
      <c r="AB767" s="412"/>
      <c r="AC767" s="412"/>
      <c r="AD767" s="412"/>
      <c r="AE767" s="412"/>
      <c r="AF767" s="412"/>
      <c r="AG767" s="412"/>
      <c r="AH767" s="412"/>
      <c r="AI767" s="412"/>
      <c r="AJ767" s="412">
        <f t="shared" si="35"/>
        <v>300</v>
      </c>
      <c r="AK767" s="198"/>
      <c r="AL767" s="250" t="s">
        <v>2067</v>
      </c>
    </row>
    <row r="768" spans="1:38" ht="14.1" customHeight="1" x14ac:dyDescent="0.2">
      <c r="A768" t="s">
        <v>894</v>
      </c>
      <c r="B768" s="193">
        <v>4406</v>
      </c>
      <c r="C768" s="194" t="s">
        <v>1164</v>
      </c>
      <c r="D768" s="229" t="s">
        <v>1406</v>
      </c>
      <c r="E768" s="229" t="s">
        <v>612</v>
      </c>
      <c r="F768" s="240">
        <v>300</v>
      </c>
      <c r="G768" s="196">
        <v>1</v>
      </c>
      <c r="H768" s="195">
        <v>300</v>
      </c>
      <c r="I768" s="197">
        <v>41336</v>
      </c>
      <c r="J768" s="197" t="str">
        <f t="shared" si="36"/>
        <v>ok</v>
      </c>
      <c r="K768" s="419"/>
      <c r="L768" s="419"/>
      <c r="M768" s="419"/>
      <c r="N768" s="419"/>
      <c r="O768" s="419"/>
      <c r="P768" s="419"/>
      <c r="Q768" s="419"/>
      <c r="R768" s="419"/>
      <c r="S768" s="419"/>
      <c r="T768" s="419"/>
      <c r="U768" s="419"/>
      <c r="V768" s="419"/>
      <c r="W768" s="419">
        <f t="shared" si="34"/>
        <v>0</v>
      </c>
      <c r="X768" s="412"/>
      <c r="Y768" s="412"/>
      <c r="Z768" s="412">
        <v>300</v>
      </c>
      <c r="AA768" s="412"/>
      <c r="AB768" s="412"/>
      <c r="AC768" s="412"/>
      <c r="AD768" s="412"/>
      <c r="AE768" s="412"/>
      <c r="AF768" s="412"/>
      <c r="AG768" s="412"/>
      <c r="AH768" s="412"/>
      <c r="AI768" s="412"/>
      <c r="AJ768" s="412">
        <f t="shared" si="35"/>
        <v>300</v>
      </c>
      <c r="AK768" s="198"/>
      <c r="AL768" s="250" t="s">
        <v>2067</v>
      </c>
    </row>
    <row r="769" spans="1:38" ht="14.1" customHeight="1" x14ac:dyDescent="0.2">
      <c r="A769" t="s">
        <v>884</v>
      </c>
      <c r="B769" s="193">
        <v>4407</v>
      </c>
      <c r="C769" s="194" t="s">
        <v>788</v>
      </c>
      <c r="D769" s="229" t="s">
        <v>1468</v>
      </c>
      <c r="E769" s="229" t="s">
        <v>1269</v>
      </c>
      <c r="F769" s="240">
        <v>300</v>
      </c>
      <c r="G769" s="196">
        <v>1</v>
      </c>
      <c r="H769" s="195">
        <v>300</v>
      </c>
      <c r="I769" s="197">
        <v>41336</v>
      </c>
      <c r="J769" s="197" t="str">
        <f t="shared" si="36"/>
        <v>ok</v>
      </c>
      <c r="K769" s="419"/>
      <c r="L769" s="419"/>
      <c r="M769" s="419"/>
      <c r="N769" s="419"/>
      <c r="O769" s="419"/>
      <c r="P769" s="419"/>
      <c r="Q769" s="419"/>
      <c r="R769" s="419"/>
      <c r="S769" s="419"/>
      <c r="T769" s="419"/>
      <c r="U769" s="419"/>
      <c r="V769" s="419"/>
      <c r="W769" s="419">
        <f t="shared" si="34"/>
        <v>0</v>
      </c>
      <c r="X769" s="412"/>
      <c r="Y769" s="412"/>
      <c r="Z769" s="412">
        <v>300</v>
      </c>
      <c r="AA769" s="412"/>
      <c r="AB769" s="412"/>
      <c r="AC769" s="412"/>
      <c r="AD769" s="412"/>
      <c r="AE769" s="412"/>
      <c r="AF769" s="412"/>
      <c r="AG769" s="412"/>
      <c r="AH769" s="412"/>
      <c r="AI769" s="412"/>
      <c r="AJ769" s="412">
        <f t="shared" si="35"/>
        <v>300</v>
      </c>
      <c r="AK769" s="198"/>
      <c r="AL769" s="250" t="s">
        <v>2067</v>
      </c>
    </row>
    <row r="770" spans="1:38" ht="14.1" customHeight="1" x14ac:dyDescent="0.2">
      <c r="A770" t="s">
        <v>893</v>
      </c>
      <c r="B770" s="193">
        <v>4408</v>
      </c>
      <c r="C770" s="194" t="s">
        <v>1132</v>
      </c>
      <c r="D770" s="229" t="s">
        <v>1363</v>
      </c>
      <c r="E770" s="229" t="s">
        <v>1270</v>
      </c>
      <c r="F770" s="240">
        <v>300</v>
      </c>
      <c r="G770" s="196">
        <v>1</v>
      </c>
      <c r="H770" s="195">
        <v>300</v>
      </c>
      <c r="I770" s="197">
        <v>41336</v>
      </c>
      <c r="J770" s="197" t="str">
        <f t="shared" si="36"/>
        <v>ok</v>
      </c>
      <c r="K770" s="419"/>
      <c r="L770" s="419"/>
      <c r="M770" s="419"/>
      <c r="N770" s="419"/>
      <c r="O770" s="419"/>
      <c r="P770" s="419"/>
      <c r="Q770" s="419"/>
      <c r="R770" s="419"/>
      <c r="S770" s="419"/>
      <c r="T770" s="419"/>
      <c r="U770" s="419"/>
      <c r="V770" s="419"/>
      <c r="W770" s="419">
        <f t="shared" si="34"/>
        <v>0</v>
      </c>
      <c r="X770" s="412"/>
      <c r="Y770" s="412"/>
      <c r="Z770" s="412">
        <v>300</v>
      </c>
      <c r="AA770" s="412"/>
      <c r="AB770" s="412"/>
      <c r="AC770" s="412"/>
      <c r="AD770" s="412"/>
      <c r="AE770" s="412"/>
      <c r="AF770" s="412"/>
      <c r="AG770" s="412"/>
      <c r="AH770" s="412"/>
      <c r="AI770" s="412"/>
      <c r="AJ770" s="412">
        <f t="shared" si="35"/>
        <v>300</v>
      </c>
      <c r="AK770" s="198"/>
      <c r="AL770" s="250" t="s">
        <v>2067</v>
      </c>
    </row>
    <row r="771" spans="1:38" ht="14.1" customHeight="1" x14ac:dyDescent="0.2">
      <c r="A771" t="s">
        <v>893</v>
      </c>
      <c r="B771" s="193">
        <v>4409</v>
      </c>
      <c r="C771" s="194" t="s">
        <v>1132</v>
      </c>
      <c r="D771" s="229" t="s">
        <v>1363</v>
      </c>
      <c r="E771" s="229" t="s">
        <v>1270</v>
      </c>
      <c r="F771" s="240">
        <v>300</v>
      </c>
      <c r="G771" s="196">
        <v>1</v>
      </c>
      <c r="H771" s="195">
        <v>300</v>
      </c>
      <c r="I771" s="197">
        <v>41336</v>
      </c>
      <c r="J771" s="197" t="str">
        <f t="shared" si="36"/>
        <v>ok</v>
      </c>
      <c r="K771" s="419"/>
      <c r="L771" s="419"/>
      <c r="M771" s="419"/>
      <c r="N771" s="419"/>
      <c r="O771" s="419"/>
      <c r="P771" s="419"/>
      <c r="Q771" s="419"/>
      <c r="R771" s="419"/>
      <c r="S771" s="419"/>
      <c r="T771" s="419"/>
      <c r="U771" s="419"/>
      <c r="V771" s="419"/>
      <c r="W771" s="419">
        <f t="shared" si="34"/>
        <v>0</v>
      </c>
      <c r="X771" s="412"/>
      <c r="Y771" s="412"/>
      <c r="Z771" s="412"/>
      <c r="AA771" s="412">
        <v>300</v>
      </c>
      <c r="AB771" s="412"/>
      <c r="AC771" s="412"/>
      <c r="AD771" s="412"/>
      <c r="AE771" s="412"/>
      <c r="AF771" s="412"/>
      <c r="AG771" s="412"/>
      <c r="AH771" s="412"/>
      <c r="AI771" s="412"/>
      <c r="AJ771" s="412">
        <f t="shared" si="35"/>
        <v>300</v>
      </c>
      <c r="AK771" s="198"/>
      <c r="AL771" s="250" t="s">
        <v>2067</v>
      </c>
    </row>
    <row r="772" spans="1:38" ht="14.1" customHeight="1" x14ac:dyDescent="0.2">
      <c r="A772" t="s">
        <v>893</v>
      </c>
      <c r="B772" s="193">
        <v>4410</v>
      </c>
      <c r="C772" s="194" t="s">
        <v>781</v>
      </c>
      <c r="D772" s="229" t="s">
        <v>1401</v>
      </c>
      <c r="E772" s="229" t="s">
        <v>331</v>
      </c>
      <c r="F772" s="240">
        <v>300</v>
      </c>
      <c r="G772" s="196">
        <v>1</v>
      </c>
      <c r="H772" s="195">
        <v>300</v>
      </c>
      <c r="I772" s="197">
        <v>41336</v>
      </c>
      <c r="J772" s="197" t="str">
        <f t="shared" si="36"/>
        <v>ok</v>
      </c>
      <c r="K772" s="419"/>
      <c r="L772" s="419"/>
      <c r="M772" s="419"/>
      <c r="N772" s="419"/>
      <c r="O772" s="419"/>
      <c r="P772" s="419"/>
      <c r="Q772" s="419"/>
      <c r="R772" s="419"/>
      <c r="S772" s="419"/>
      <c r="T772" s="419"/>
      <c r="U772" s="419"/>
      <c r="V772" s="419"/>
      <c r="W772" s="419">
        <f t="shared" si="34"/>
        <v>0</v>
      </c>
      <c r="X772" s="412"/>
      <c r="Y772" s="412"/>
      <c r="Z772" s="412">
        <v>300</v>
      </c>
      <c r="AA772" s="412"/>
      <c r="AB772" s="412"/>
      <c r="AC772" s="412"/>
      <c r="AD772" s="412"/>
      <c r="AE772" s="412"/>
      <c r="AF772" s="412"/>
      <c r="AG772" s="412"/>
      <c r="AH772" s="412"/>
      <c r="AI772" s="412"/>
      <c r="AJ772" s="412">
        <f t="shared" si="35"/>
        <v>300</v>
      </c>
      <c r="AK772" s="198"/>
      <c r="AL772" s="250" t="s">
        <v>2067</v>
      </c>
    </row>
    <row r="773" spans="1:38" ht="14.1" customHeight="1" x14ac:dyDescent="0.2">
      <c r="A773" t="s">
        <v>884</v>
      </c>
      <c r="B773" s="193">
        <v>4411</v>
      </c>
      <c r="C773" s="194" t="s">
        <v>772</v>
      </c>
      <c r="D773" s="229" t="s">
        <v>1409</v>
      </c>
      <c r="E773" s="229" t="s">
        <v>705</v>
      </c>
      <c r="F773" s="240">
        <v>125</v>
      </c>
      <c r="G773" s="196">
        <v>1</v>
      </c>
      <c r="H773" s="195">
        <v>125</v>
      </c>
      <c r="I773" s="197">
        <v>41336</v>
      </c>
      <c r="J773" s="197" t="str">
        <f t="shared" si="36"/>
        <v>ok</v>
      </c>
      <c r="K773" s="419"/>
      <c r="L773" s="419"/>
      <c r="M773" s="419"/>
      <c r="N773" s="419"/>
      <c r="O773" s="419"/>
      <c r="P773" s="419"/>
      <c r="Q773" s="419"/>
      <c r="R773" s="419"/>
      <c r="S773" s="419"/>
      <c r="T773" s="419"/>
      <c r="U773" s="419"/>
      <c r="V773" s="419"/>
      <c r="W773" s="419">
        <f t="shared" si="34"/>
        <v>0</v>
      </c>
      <c r="X773" s="412"/>
      <c r="Y773" s="412"/>
      <c r="Z773" s="412">
        <v>125</v>
      </c>
      <c r="AA773" s="412"/>
      <c r="AB773" s="412"/>
      <c r="AC773" s="412"/>
      <c r="AD773" s="412"/>
      <c r="AE773" s="412"/>
      <c r="AF773" s="412"/>
      <c r="AG773" s="412"/>
      <c r="AH773" s="412"/>
      <c r="AI773" s="412"/>
      <c r="AJ773" s="412">
        <f t="shared" si="35"/>
        <v>125</v>
      </c>
      <c r="AK773" s="198"/>
      <c r="AL773" s="250" t="s">
        <v>2067</v>
      </c>
    </row>
    <row r="774" spans="1:38" ht="14.1" customHeight="1" x14ac:dyDescent="0.2">
      <c r="A774" t="s">
        <v>884</v>
      </c>
      <c r="B774" s="193">
        <v>4412</v>
      </c>
      <c r="C774" s="194" t="s">
        <v>873</v>
      </c>
      <c r="D774" s="229" t="s">
        <v>1385</v>
      </c>
      <c r="E774" s="229" t="s">
        <v>126</v>
      </c>
      <c r="F774" s="240">
        <v>300</v>
      </c>
      <c r="G774" s="196">
        <v>1</v>
      </c>
      <c r="H774" s="195">
        <v>600</v>
      </c>
      <c r="I774" s="197">
        <v>41336</v>
      </c>
      <c r="J774" s="197" t="str">
        <f t="shared" si="36"/>
        <v>ok</v>
      </c>
      <c r="K774" s="419"/>
      <c r="L774" s="419"/>
      <c r="M774" s="419"/>
      <c r="N774" s="419"/>
      <c r="O774" s="419"/>
      <c r="P774" s="419"/>
      <c r="Q774" s="419"/>
      <c r="R774" s="419"/>
      <c r="S774" s="419"/>
      <c r="T774" s="419"/>
      <c r="U774" s="419"/>
      <c r="V774" s="419"/>
      <c r="W774" s="419">
        <f t="shared" si="34"/>
        <v>0</v>
      </c>
      <c r="X774" s="412"/>
      <c r="Y774" s="412"/>
      <c r="Z774" s="412">
        <v>300</v>
      </c>
      <c r="AA774" s="412">
        <v>300</v>
      </c>
      <c r="AB774" s="412"/>
      <c r="AC774" s="412"/>
      <c r="AD774" s="412"/>
      <c r="AE774" s="412"/>
      <c r="AF774" s="412"/>
      <c r="AG774" s="412"/>
      <c r="AH774" s="412"/>
      <c r="AI774" s="412"/>
      <c r="AJ774" s="412">
        <f t="shared" si="35"/>
        <v>600</v>
      </c>
      <c r="AK774" s="198"/>
      <c r="AL774" s="250" t="s">
        <v>2067</v>
      </c>
    </row>
    <row r="775" spans="1:38" ht="14.1" customHeight="1" x14ac:dyDescent="0.2">
      <c r="A775" t="s">
        <v>884</v>
      </c>
      <c r="B775" s="193">
        <v>4413</v>
      </c>
      <c r="C775" s="194" t="s">
        <v>854</v>
      </c>
      <c r="D775" s="229" t="s">
        <v>1478</v>
      </c>
      <c r="E775" s="229" t="s">
        <v>95</v>
      </c>
      <c r="F775" s="240">
        <v>300</v>
      </c>
      <c r="G775" s="196">
        <v>1</v>
      </c>
      <c r="H775" s="195">
        <v>900</v>
      </c>
      <c r="I775" s="197">
        <v>41336</v>
      </c>
      <c r="J775" s="197" t="str">
        <f t="shared" si="36"/>
        <v>ok</v>
      </c>
      <c r="K775" s="419"/>
      <c r="L775" s="419"/>
      <c r="M775" s="419"/>
      <c r="N775" s="419"/>
      <c r="O775" s="419"/>
      <c r="P775" s="419"/>
      <c r="Q775" s="419"/>
      <c r="R775" s="419"/>
      <c r="S775" s="419"/>
      <c r="T775" s="419"/>
      <c r="U775" s="419"/>
      <c r="V775" s="419"/>
      <c r="W775" s="419">
        <f t="shared" ref="W775:W838" si="37">SUM(K775:V775)</f>
        <v>0</v>
      </c>
      <c r="X775" s="412"/>
      <c r="Y775" s="412"/>
      <c r="Z775" s="412">
        <v>300</v>
      </c>
      <c r="AA775" s="412">
        <v>300</v>
      </c>
      <c r="AB775" s="412">
        <v>300</v>
      </c>
      <c r="AC775" s="412"/>
      <c r="AD775" s="412"/>
      <c r="AE775" s="412"/>
      <c r="AF775" s="412"/>
      <c r="AG775" s="412"/>
      <c r="AH775" s="412"/>
      <c r="AI775" s="412"/>
      <c r="AJ775" s="412">
        <f t="shared" ref="AJ775:AJ838" si="38">SUM(X775:AI775)</f>
        <v>900</v>
      </c>
      <c r="AK775" s="198"/>
      <c r="AL775" s="250" t="s">
        <v>2067</v>
      </c>
    </row>
    <row r="776" spans="1:38" ht="14.1" customHeight="1" x14ac:dyDescent="0.2">
      <c r="A776" t="s">
        <v>888</v>
      </c>
      <c r="B776" s="193">
        <v>4414</v>
      </c>
      <c r="C776" s="194" t="s">
        <v>958</v>
      </c>
      <c r="D776" s="229" t="s">
        <v>1458</v>
      </c>
      <c r="E776" s="229" t="s">
        <v>441</v>
      </c>
      <c r="F776" s="240">
        <v>300</v>
      </c>
      <c r="G776" s="196">
        <v>1</v>
      </c>
      <c r="H776" s="195">
        <v>600</v>
      </c>
      <c r="I776" s="197">
        <v>41336</v>
      </c>
      <c r="J776" s="197" t="str">
        <f t="shared" si="36"/>
        <v>ok</v>
      </c>
      <c r="K776" s="419"/>
      <c r="L776" s="419"/>
      <c r="M776" s="419"/>
      <c r="N776" s="419"/>
      <c r="O776" s="419"/>
      <c r="P776" s="419"/>
      <c r="Q776" s="419"/>
      <c r="R776" s="419"/>
      <c r="S776" s="419"/>
      <c r="T776" s="419"/>
      <c r="U776" s="419"/>
      <c r="V776" s="419"/>
      <c r="W776" s="419">
        <f t="shared" si="37"/>
        <v>0</v>
      </c>
      <c r="X776" s="412"/>
      <c r="Y776" s="412"/>
      <c r="Z776" s="412"/>
      <c r="AA776" s="412">
        <v>300</v>
      </c>
      <c r="AB776" s="412">
        <v>300</v>
      </c>
      <c r="AC776" s="412"/>
      <c r="AD776" s="412"/>
      <c r="AE776" s="412"/>
      <c r="AF776" s="412"/>
      <c r="AG776" s="412"/>
      <c r="AH776" s="412"/>
      <c r="AI776" s="412"/>
      <c r="AJ776" s="412">
        <f t="shared" si="38"/>
        <v>600</v>
      </c>
      <c r="AK776" s="198"/>
      <c r="AL776" s="250" t="s">
        <v>2067</v>
      </c>
    </row>
    <row r="777" spans="1:38" ht="14.1" customHeight="1" x14ac:dyDescent="0.2">
      <c r="A777" t="s">
        <v>884</v>
      </c>
      <c r="B777" s="193">
        <v>4415</v>
      </c>
      <c r="C777" s="194" t="s">
        <v>827</v>
      </c>
      <c r="D777" s="229" t="s">
        <v>1431</v>
      </c>
      <c r="E777" s="229" t="s">
        <v>1271</v>
      </c>
      <c r="F777" s="240">
        <v>300</v>
      </c>
      <c r="G777" s="196">
        <v>1</v>
      </c>
      <c r="H777" s="195">
        <v>300</v>
      </c>
      <c r="I777" s="197">
        <v>41336</v>
      </c>
      <c r="J777" s="197" t="str">
        <f t="shared" si="36"/>
        <v>ok</v>
      </c>
      <c r="K777" s="419"/>
      <c r="L777" s="419"/>
      <c r="M777" s="419"/>
      <c r="N777" s="419"/>
      <c r="O777" s="419"/>
      <c r="P777" s="419"/>
      <c r="Q777" s="419"/>
      <c r="R777" s="419"/>
      <c r="S777" s="419"/>
      <c r="T777" s="419"/>
      <c r="U777" s="419"/>
      <c r="V777" s="419"/>
      <c r="W777" s="419">
        <f t="shared" si="37"/>
        <v>0</v>
      </c>
      <c r="X777" s="412"/>
      <c r="Y777" s="412"/>
      <c r="Z777" s="412">
        <v>300</v>
      </c>
      <c r="AA777" s="412"/>
      <c r="AB777" s="412"/>
      <c r="AC777" s="412"/>
      <c r="AD777" s="412"/>
      <c r="AE777" s="412"/>
      <c r="AF777" s="412"/>
      <c r="AG777" s="412"/>
      <c r="AH777" s="412"/>
      <c r="AI777" s="412"/>
      <c r="AJ777" s="412">
        <f t="shared" si="38"/>
        <v>300</v>
      </c>
      <c r="AK777" s="198"/>
      <c r="AL777" s="250" t="s">
        <v>2067</v>
      </c>
    </row>
    <row r="778" spans="1:38" ht="14.1" customHeight="1" x14ac:dyDescent="0.2">
      <c r="A778" t="s">
        <v>884</v>
      </c>
      <c r="B778" s="193">
        <v>4415</v>
      </c>
      <c r="C778" s="194" t="s">
        <v>827</v>
      </c>
      <c r="D778" s="229" t="s">
        <v>1431</v>
      </c>
      <c r="E778" s="229" t="s">
        <v>1271</v>
      </c>
      <c r="F778" s="240">
        <v>300</v>
      </c>
      <c r="G778" s="196">
        <v>4</v>
      </c>
      <c r="H778" s="195">
        <v>160</v>
      </c>
      <c r="I778" s="197">
        <v>41336</v>
      </c>
      <c r="J778" s="197" t="str">
        <f t="shared" si="36"/>
        <v>ok</v>
      </c>
      <c r="K778" s="419"/>
      <c r="L778" s="419"/>
      <c r="M778" s="419"/>
      <c r="N778" s="419"/>
      <c r="O778" s="419"/>
      <c r="P778" s="419"/>
      <c r="Q778" s="419"/>
      <c r="R778" s="419"/>
      <c r="S778" s="419"/>
      <c r="T778" s="419"/>
      <c r="U778" s="419"/>
      <c r="V778" s="419"/>
      <c r="W778" s="419">
        <f t="shared" si="37"/>
        <v>0</v>
      </c>
      <c r="X778" s="412"/>
      <c r="Y778" s="412"/>
      <c r="Z778" s="412"/>
      <c r="AA778" s="412"/>
      <c r="AB778" s="412"/>
      <c r="AC778" s="412"/>
      <c r="AD778" s="412"/>
      <c r="AE778" s="412"/>
      <c r="AF778" s="412"/>
      <c r="AG778" s="412"/>
      <c r="AH778" s="412"/>
      <c r="AI778" s="412"/>
      <c r="AJ778" s="412">
        <f t="shared" si="38"/>
        <v>0</v>
      </c>
      <c r="AK778" s="198"/>
      <c r="AL778" s="250" t="s">
        <v>2068</v>
      </c>
    </row>
    <row r="779" spans="1:38" ht="14.1" customHeight="1" x14ac:dyDescent="0.2">
      <c r="A779" t="s">
        <v>884</v>
      </c>
      <c r="B779" s="193">
        <v>4416</v>
      </c>
      <c r="C779" s="194" t="s">
        <v>817</v>
      </c>
      <c r="D779" s="229" t="s">
        <v>1382</v>
      </c>
      <c r="E779" s="229" t="s">
        <v>40</v>
      </c>
      <c r="F779" s="240">
        <v>300</v>
      </c>
      <c r="G779" s="196">
        <v>1</v>
      </c>
      <c r="H779" s="195">
        <v>300</v>
      </c>
      <c r="I779" s="197">
        <v>41336</v>
      </c>
      <c r="J779" s="197" t="str">
        <f t="shared" si="36"/>
        <v>ok</v>
      </c>
      <c r="K779" s="419"/>
      <c r="L779" s="419"/>
      <c r="M779" s="419"/>
      <c r="N779" s="419"/>
      <c r="O779" s="419"/>
      <c r="P779" s="419"/>
      <c r="Q779" s="419"/>
      <c r="R779" s="419"/>
      <c r="S779" s="419"/>
      <c r="T779" s="419"/>
      <c r="U779" s="419"/>
      <c r="V779" s="419"/>
      <c r="W779" s="419">
        <f t="shared" si="37"/>
        <v>0</v>
      </c>
      <c r="X779" s="412"/>
      <c r="Y779" s="412"/>
      <c r="Z779" s="412">
        <v>300</v>
      </c>
      <c r="AA779" s="412"/>
      <c r="AB779" s="412"/>
      <c r="AC779" s="412"/>
      <c r="AD779" s="412"/>
      <c r="AE779" s="412"/>
      <c r="AF779" s="412"/>
      <c r="AG779" s="412"/>
      <c r="AH779" s="412"/>
      <c r="AI779" s="412"/>
      <c r="AJ779" s="412">
        <f t="shared" si="38"/>
        <v>300</v>
      </c>
      <c r="AK779" s="198"/>
      <c r="AL779" s="250" t="s">
        <v>2067</v>
      </c>
    </row>
    <row r="780" spans="1:38" ht="14.1" customHeight="1" x14ac:dyDescent="0.2">
      <c r="A780" t="s">
        <v>892</v>
      </c>
      <c r="B780" s="193">
        <v>4417</v>
      </c>
      <c r="C780" s="194" t="s">
        <v>1066</v>
      </c>
      <c r="D780" s="229" t="s">
        <v>1591</v>
      </c>
      <c r="E780" s="229" t="s">
        <v>663</v>
      </c>
      <c r="F780" s="240">
        <v>300</v>
      </c>
      <c r="G780" s="196">
        <v>1</v>
      </c>
      <c r="H780" s="195">
        <v>300</v>
      </c>
      <c r="I780" s="197">
        <v>41336</v>
      </c>
      <c r="J780" s="197" t="str">
        <f t="shared" si="36"/>
        <v>ok</v>
      </c>
      <c r="K780" s="419"/>
      <c r="L780" s="419"/>
      <c r="M780" s="419"/>
      <c r="N780" s="419"/>
      <c r="O780" s="419"/>
      <c r="P780" s="419"/>
      <c r="Q780" s="419"/>
      <c r="R780" s="419"/>
      <c r="S780" s="419"/>
      <c r="T780" s="419"/>
      <c r="U780" s="419"/>
      <c r="V780" s="419"/>
      <c r="W780" s="419">
        <f t="shared" si="37"/>
        <v>0</v>
      </c>
      <c r="X780" s="412"/>
      <c r="Y780" s="412"/>
      <c r="Z780" s="412">
        <v>300</v>
      </c>
      <c r="AA780" s="412"/>
      <c r="AB780" s="412"/>
      <c r="AC780" s="412"/>
      <c r="AD780" s="412"/>
      <c r="AE780" s="412"/>
      <c r="AF780" s="412"/>
      <c r="AG780" s="412"/>
      <c r="AH780" s="412"/>
      <c r="AI780" s="412"/>
      <c r="AJ780" s="412">
        <f t="shared" si="38"/>
        <v>300</v>
      </c>
      <c r="AK780" s="198"/>
      <c r="AL780" s="250" t="s">
        <v>2067</v>
      </c>
    </row>
    <row r="781" spans="1:38" ht="14.1" customHeight="1" x14ac:dyDescent="0.2">
      <c r="A781" t="s">
        <v>890</v>
      </c>
      <c r="B781" s="193">
        <v>4418</v>
      </c>
      <c r="C781" s="194" t="s">
        <v>999</v>
      </c>
      <c r="D781" s="229" t="s">
        <v>1634</v>
      </c>
      <c r="E781" s="229" t="s">
        <v>489</v>
      </c>
      <c r="F781" s="240">
        <v>300</v>
      </c>
      <c r="G781" s="196">
        <v>1</v>
      </c>
      <c r="H781" s="195">
        <v>600</v>
      </c>
      <c r="I781" s="197">
        <v>41336</v>
      </c>
      <c r="J781" s="197" t="str">
        <f t="shared" si="36"/>
        <v>ok</v>
      </c>
      <c r="K781" s="419"/>
      <c r="L781" s="419"/>
      <c r="M781" s="419"/>
      <c r="N781" s="419"/>
      <c r="O781" s="419"/>
      <c r="P781" s="419"/>
      <c r="Q781" s="419"/>
      <c r="R781" s="419"/>
      <c r="S781" s="419"/>
      <c r="T781" s="419"/>
      <c r="U781" s="419"/>
      <c r="V781" s="419"/>
      <c r="W781" s="419">
        <f t="shared" si="37"/>
        <v>0</v>
      </c>
      <c r="X781" s="412">
        <v>300</v>
      </c>
      <c r="Y781" s="412">
        <v>300</v>
      </c>
      <c r="Z781" s="412"/>
      <c r="AA781" s="412"/>
      <c r="AB781" s="412"/>
      <c r="AC781" s="412"/>
      <c r="AD781" s="412"/>
      <c r="AE781" s="412"/>
      <c r="AF781" s="412"/>
      <c r="AG781" s="412"/>
      <c r="AH781" s="412"/>
      <c r="AI781" s="412"/>
      <c r="AJ781" s="412">
        <f t="shared" si="38"/>
        <v>600</v>
      </c>
      <c r="AK781" s="198"/>
      <c r="AL781" s="250" t="s">
        <v>2067</v>
      </c>
    </row>
    <row r="782" spans="1:38" ht="14.1" customHeight="1" x14ac:dyDescent="0.2">
      <c r="A782" t="s">
        <v>890</v>
      </c>
      <c r="B782" s="193">
        <v>4419</v>
      </c>
      <c r="C782" s="194" t="s">
        <v>1003</v>
      </c>
      <c r="D782" s="229" t="s">
        <v>1394</v>
      </c>
      <c r="E782" s="229" t="s">
        <v>493</v>
      </c>
      <c r="F782" s="240">
        <v>300</v>
      </c>
      <c r="G782" s="196">
        <v>1</v>
      </c>
      <c r="H782" s="195">
        <v>600</v>
      </c>
      <c r="I782" s="197">
        <v>41336</v>
      </c>
      <c r="J782" s="197" t="str">
        <f t="shared" ref="J782:J845" si="39">IF(OR(G782&lt;&gt;1,SUM(W782,AJ782)=H782),"ok","error")</f>
        <v>ok</v>
      </c>
      <c r="K782" s="419"/>
      <c r="L782" s="419"/>
      <c r="M782" s="419"/>
      <c r="N782" s="419"/>
      <c r="O782" s="419"/>
      <c r="P782" s="419"/>
      <c r="Q782" s="419"/>
      <c r="R782" s="419"/>
      <c r="S782" s="419"/>
      <c r="T782" s="419"/>
      <c r="U782" s="419"/>
      <c r="V782" s="419"/>
      <c r="W782" s="419">
        <f t="shared" si="37"/>
        <v>0</v>
      </c>
      <c r="X782" s="412"/>
      <c r="Y782" s="412"/>
      <c r="Z782" s="412">
        <v>300</v>
      </c>
      <c r="AA782" s="412">
        <v>300</v>
      </c>
      <c r="AB782" s="412"/>
      <c r="AC782" s="412"/>
      <c r="AD782" s="412"/>
      <c r="AE782" s="412"/>
      <c r="AF782" s="412"/>
      <c r="AG782" s="412"/>
      <c r="AH782" s="412"/>
      <c r="AI782" s="412"/>
      <c r="AJ782" s="412">
        <f t="shared" si="38"/>
        <v>600</v>
      </c>
      <c r="AK782" s="198"/>
      <c r="AL782" s="250" t="s">
        <v>2067</v>
      </c>
    </row>
    <row r="783" spans="1:38" ht="14.1" customHeight="1" x14ac:dyDescent="0.2">
      <c r="A783" t="s">
        <v>890</v>
      </c>
      <c r="B783" s="193">
        <v>4419</v>
      </c>
      <c r="C783" s="194" t="s">
        <v>1003</v>
      </c>
      <c r="D783" s="229" t="s">
        <v>1394</v>
      </c>
      <c r="E783" s="229" t="s">
        <v>493</v>
      </c>
      <c r="F783" s="240">
        <v>300</v>
      </c>
      <c r="G783" s="196">
        <v>3</v>
      </c>
      <c r="H783" s="195">
        <v>150</v>
      </c>
      <c r="I783" s="197">
        <v>41336</v>
      </c>
      <c r="J783" s="197" t="str">
        <f t="shared" si="39"/>
        <v>ok</v>
      </c>
      <c r="K783" s="419"/>
      <c r="L783" s="419"/>
      <c r="M783" s="419"/>
      <c r="N783" s="419"/>
      <c r="O783" s="419"/>
      <c r="P783" s="419"/>
      <c r="Q783" s="419"/>
      <c r="R783" s="419"/>
      <c r="S783" s="419"/>
      <c r="T783" s="419"/>
      <c r="U783" s="419"/>
      <c r="V783" s="419"/>
      <c r="W783" s="419">
        <f t="shared" si="37"/>
        <v>0</v>
      </c>
      <c r="X783" s="412"/>
      <c r="Y783" s="412"/>
      <c r="Z783" s="412"/>
      <c r="AA783" s="412"/>
      <c r="AB783" s="412"/>
      <c r="AC783" s="412"/>
      <c r="AD783" s="412"/>
      <c r="AE783" s="412"/>
      <c r="AF783" s="412"/>
      <c r="AG783" s="412"/>
      <c r="AH783" s="412"/>
      <c r="AI783" s="412"/>
      <c r="AJ783" s="412">
        <f t="shared" si="38"/>
        <v>0</v>
      </c>
      <c r="AK783" s="198"/>
      <c r="AL783" s="250" t="s">
        <v>2068</v>
      </c>
    </row>
    <row r="784" spans="1:38" ht="14.1" customHeight="1" x14ac:dyDescent="0.2">
      <c r="B784" s="193">
        <v>4420</v>
      </c>
      <c r="C784" s="194"/>
      <c r="D784" s="229" t="s">
        <v>1362</v>
      </c>
      <c r="E784" s="229" t="s">
        <v>1362</v>
      </c>
      <c r="F784" s="240" t="s">
        <v>1362</v>
      </c>
      <c r="G784" s="196">
        <v>8</v>
      </c>
      <c r="H784" s="195"/>
      <c r="I784" s="197"/>
      <c r="J784" s="197" t="str">
        <f t="shared" si="39"/>
        <v>ok</v>
      </c>
      <c r="K784" s="419"/>
      <c r="L784" s="419"/>
      <c r="M784" s="419"/>
      <c r="N784" s="419"/>
      <c r="O784" s="419"/>
      <c r="P784" s="419"/>
      <c r="Q784" s="419"/>
      <c r="R784" s="419"/>
      <c r="S784" s="419"/>
      <c r="T784" s="419"/>
      <c r="U784" s="419"/>
      <c r="V784" s="419"/>
      <c r="W784" s="419">
        <f t="shared" si="37"/>
        <v>0</v>
      </c>
      <c r="X784" s="412"/>
      <c r="Y784" s="412"/>
      <c r="Z784" s="412"/>
      <c r="AA784" s="412"/>
      <c r="AB784" s="412"/>
      <c r="AC784" s="412"/>
      <c r="AD784" s="412"/>
      <c r="AE784" s="412"/>
      <c r="AF784" s="412"/>
      <c r="AG784" s="412"/>
      <c r="AH784" s="412"/>
      <c r="AI784" s="412"/>
      <c r="AJ784" s="412">
        <f t="shared" si="38"/>
        <v>0</v>
      </c>
      <c r="AK784" s="198" t="s">
        <v>755</v>
      </c>
      <c r="AL784" s="250" t="s">
        <v>2067</v>
      </c>
    </row>
    <row r="785" spans="1:38" ht="14.1" customHeight="1" x14ac:dyDescent="0.2">
      <c r="A785" t="s">
        <v>884</v>
      </c>
      <c r="B785" s="193">
        <v>4421</v>
      </c>
      <c r="C785" s="194" t="s">
        <v>840</v>
      </c>
      <c r="D785" s="229" t="s">
        <v>1538</v>
      </c>
      <c r="E785" s="229" t="s">
        <v>79</v>
      </c>
      <c r="F785" s="240">
        <v>300</v>
      </c>
      <c r="G785" s="196">
        <v>1</v>
      </c>
      <c r="H785" s="195">
        <v>300</v>
      </c>
      <c r="I785" s="197">
        <v>41336</v>
      </c>
      <c r="J785" s="197" t="str">
        <f t="shared" si="39"/>
        <v>ok</v>
      </c>
      <c r="K785" s="419"/>
      <c r="L785" s="419"/>
      <c r="M785" s="419"/>
      <c r="N785" s="419"/>
      <c r="O785" s="419"/>
      <c r="P785" s="419"/>
      <c r="Q785" s="419"/>
      <c r="R785" s="419"/>
      <c r="S785" s="419"/>
      <c r="T785" s="419"/>
      <c r="U785" s="419"/>
      <c r="V785" s="419"/>
      <c r="W785" s="419">
        <f t="shared" si="37"/>
        <v>0</v>
      </c>
      <c r="X785" s="412"/>
      <c r="Y785" s="412">
        <v>300</v>
      </c>
      <c r="Z785" s="412"/>
      <c r="AA785" s="412"/>
      <c r="AB785" s="412"/>
      <c r="AC785" s="412"/>
      <c r="AD785" s="412"/>
      <c r="AE785" s="412"/>
      <c r="AF785" s="412"/>
      <c r="AG785" s="412"/>
      <c r="AH785" s="412"/>
      <c r="AI785" s="412"/>
      <c r="AJ785" s="412">
        <f t="shared" si="38"/>
        <v>300</v>
      </c>
      <c r="AK785" s="198"/>
      <c r="AL785" s="250" t="s">
        <v>2067</v>
      </c>
    </row>
    <row r="786" spans="1:38" ht="14.1" customHeight="1" x14ac:dyDescent="0.2">
      <c r="A786" t="s">
        <v>884</v>
      </c>
      <c r="B786" s="193">
        <v>4422</v>
      </c>
      <c r="C786" s="194" t="s">
        <v>840</v>
      </c>
      <c r="D786" s="229" t="s">
        <v>1538</v>
      </c>
      <c r="E786" s="229" t="s">
        <v>79</v>
      </c>
      <c r="F786" s="240">
        <v>300</v>
      </c>
      <c r="G786" s="196">
        <v>1</v>
      </c>
      <c r="H786" s="195">
        <v>300</v>
      </c>
      <c r="I786" s="197">
        <v>41336</v>
      </c>
      <c r="J786" s="197" t="str">
        <f t="shared" si="39"/>
        <v>ok</v>
      </c>
      <c r="K786" s="419"/>
      <c r="L786" s="419"/>
      <c r="M786" s="419"/>
      <c r="N786" s="419"/>
      <c r="O786" s="419"/>
      <c r="P786" s="419"/>
      <c r="Q786" s="419"/>
      <c r="R786" s="419"/>
      <c r="S786" s="419"/>
      <c r="T786" s="419"/>
      <c r="U786" s="419"/>
      <c r="V786" s="419"/>
      <c r="W786" s="419">
        <f t="shared" si="37"/>
        <v>0</v>
      </c>
      <c r="X786" s="412"/>
      <c r="Y786" s="412"/>
      <c r="Z786" s="412">
        <v>300</v>
      </c>
      <c r="AA786" s="412"/>
      <c r="AB786" s="412"/>
      <c r="AC786" s="412"/>
      <c r="AD786" s="412"/>
      <c r="AE786" s="412"/>
      <c r="AF786" s="412"/>
      <c r="AG786" s="412"/>
      <c r="AH786" s="412"/>
      <c r="AI786" s="412"/>
      <c r="AJ786" s="412">
        <f t="shared" si="38"/>
        <v>300</v>
      </c>
      <c r="AK786" s="198"/>
      <c r="AL786" s="250" t="s">
        <v>2067</v>
      </c>
    </row>
    <row r="787" spans="1:38" ht="14.1" customHeight="1" x14ac:dyDescent="0.2">
      <c r="A787" t="s">
        <v>888</v>
      </c>
      <c r="B787" s="193">
        <v>4423</v>
      </c>
      <c r="C787" s="194" t="s">
        <v>761</v>
      </c>
      <c r="D787" s="229" t="s">
        <v>1419</v>
      </c>
      <c r="E787" s="229" t="s">
        <v>443</v>
      </c>
      <c r="F787" s="240">
        <v>300</v>
      </c>
      <c r="G787" s="196">
        <v>1</v>
      </c>
      <c r="H787" s="195">
        <v>600</v>
      </c>
      <c r="I787" s="197">
        <v>41336</v>
      </c>
      <c r="J787" s="197" t="str">
        <f t="shared" si="39"/>
        <v>ok</v>
      </c>
      <c r="K787" s="419"/>
      <c r="L787" s="419"/>
      <c r="M787" s="419"/>
      <c r="N787" s="419"/>
      <c r="O787" s="419"/>
      <c r="P787" s="419"/>
      <c r="Q787" s="419"/>
      <c r="R787" s="419"/>
      <c r="S787" s="419"/>
      <c r="T787" s="419"/>
      <c r="U787" s="419"/>
      <c r="V787" s="419"/>
      <c r="W787" s="419">
        <f t="shared" si="37"/>
        <v>0</v>
      </c>
      <c r="X787" s="412"/>
      <c r="Y787" s="412">
        <v>300</v>
      </c>
      <c r="Z787" s="412">
        <v>300</v>
      </c>
      <c r="AA787" s="412"/>
      <c r="AB787" s="412"/>
      <c r="AC787" s="412"/>
      <c r="AD787" s="412"/>
      <c r="AE787" s="412"/>
      <c r="AF787" s="412"/>
      <c r="AG787" s="412"/>
      <c r="AH787" s="412"/>
      <c r="AI787" s="412"/>
      <c r="AJ787" s="412">
        <f t="shared" si="38"/>
        <v>600</v>
      </c>
      <c r="AK787" s="198"/>
      <c r="AL787" s="250" t="s">
        <v>2067</v>
      </c>
    </row>
    <row r="788" spans="1:38" ht="14.1" customHeight="1" x14ac:dyDescent="0.2">
      <c r="A788" t="s">
        <v>884</v>
      </c>
      <c r="B788" s="193">
        <v>4424</v>
      </c>
      <c r="C788" s="194" t="s">
        <v>875</v>
      </c>
      <c r="D788" s="229" t="s">
        <v>1635</v>
      </c>
      <c r="E788" s="229" t="s">
        <v>430</v>
      </c>
      <c r="F788" s="240">
        <v>300</v>
      </c>
      <c r="G788" s="196">
        <v>5</v>
      </c>
      <c r="H788" s="195">
        <v>40</v>
      </c>
      <c r="I788" s="197">
        <v>41336</v>
      </c>
      <c r="J788" s="197" t="str">
        <f t="shared" si="39"/>
        <v>ok</v>
      </c>
      <c r="K788" s="419"/>
      <c r="L788" s="419"/>
      <c r="M788" s="419"/>
      <c r="N788" s="419"/>
      <c r="O788" s="419"/>
      <c r="P788" s="419"/>
      <c r="Q788" s="419"/>
      <c r="R788" s="419"/>
      <c r="S788" s="419"/>
      <c r="T788" s="419"/>
      <c r="U788" s="419"/>
      <c r="V788" s="419"/>
      <c r="W788" s="419">
        <f t="shared" si="37"/>
        <v>0</v>
      </c>
      <c r="X788" s="412"/>
      <c r="Y788" s="412"/>
      <c r="Z788" s="412"/>
      <c r="AA788" s="412"/>
      <c r="AB788" s="412"/>
      <c r="AC788" s="412"/>
      <c r="AD788" s="412"/>
      <c r="AE788" s="412"/>
      <c r="AF788" s="412"/>
      <c r="AG788" s="412"/>
      <c r="AH788" s="412"/>
      <c r="AI788" s="412"/>
      <c r="AJ788" s="412">
        <f t="shared" si="38"/>
        <v>0</v>
      </c>
      <c r="AK788" s="198"/>
      <c r="AL788" s="250" t="s">
        <v>2068</v>
      </c>
    </row>
    <row r="789" spans="1:38" ht="14.1" customHeight="1" x14ac:dyDescent="0.2">
      <c r="A789" t="s">
        <v>884</v>
      </c>
      <c r="B789" s="193">
        <v>4425</v>
      </c>
      <c r="C789" s="194" t="s">
        <v>803</v>
      </c>
      <c r="D789" s="229" t="s">
        <v>1403</v>
      </c>
      <c r="E789" s="229" t="s">
        <v>20</v>
      </c>
      <c r="F789" s="240">
        <v>300</v>
      </c>
      <c r="G789" s="196">
        <v>1</v>
      </c>
      <c r="H789" s="195">
        <v>300</v>
      </c>
      <c r="I789" s="197">
        <v>41336</v>
      </c>
      <c r="J789" s="197" t="str">
        <f t="shared" si="39"/>
        <v>ok</v>
      </c>
      <c r="K789" s="419"/>
      <c r="L789" s="419"/>
      <c r="M789" s="419"/>
      <c r="N789" s="419"/>
      <c r="O789" s="419"/>
      <c r="P789" s="419"/>
      <c r="Q789" s="419"/>
      <c r="R789" s="419"/>
      <c r="S789" s="419"/>
      <c r="T789" s="419"/>
      <c r="U789" s="419"/>
      <c r="V789" s="419"/>
      <c r="W789" s="419">
        <f t="shared" si="37"/>
        <v>0</v>
      </c>
      <c r="X789" s="412"/>
      <c r="Y789" s="412"/>
      <c r="Z789" s="412">
        <v>300</v>
      </c>
      <c r="AA789" s="412"/>
      <c r="AB789" s="412"/>
      <c r="AC789" s="412"/>
      <c r="AD789" s="412"/>
      <c r="AE789" s="412"/>
      <c r="AF789" s="412"/>
      <c r="AG789" s="412"/>
      <c r="AH789" s="412"/>
      <c r="AI789" s="412"/>
      <c r="AJ789" s="412">
        <f t="shared" si="38"/>
        <v>300</v>
      </c>
      <c r="AK789" s="198"/>
      <c r="AL789" s="250" t="s">
        <v>2067</v>
      </c>
    </row>
    <row r="790" spans="1:38" ht="14.1" customHeight="1" x14ac:dyDescent="0.2">
      <c r="A790" t="s">
        <v>893</v>
      </c>
      <c r="B790" s="193">
        <v>4426</v>
      </c>
      <c r="C790" s="194" t="s">
        <v>1113</v>
      </c>
      <c r="D790" s="229" t="s">
        <v>1531</v>
      </c>
      <c r="E790" s="229" t="s">
        <v>57</v>
      </c>
      <c r="F790" s="240">
        <v>150</v>
      </c>
      <c r="G790" s="196">
        <v>1</v>
      </c>
      <c r="H790" s="195">
        <v>150</v>
      </c>
      <c r="I790" s="197">
        <v>41336</v>
      </c>
      <c r="J790" s="197" t="str">
        <f t="shared" si="39"/>
        <v>ok</v>
      </c>
      <c r="K790" s="419"/>
      <c r="L790" s="419"/>
      <c r="M790" s="419"/>
      <c r="N790" s="419"/>
      <c r="O790" s="419"/>
      <c r="P790" s="419"/>
      <c r="Q790" s="419"/>
      <c r="R790" s="419"/>
      <c r="S790" s="419"/>
      <c r="T790" s="419"/>
      <c r="U790" s="419"/>
      <c r="V790" s="419"/>
      <c r="W790" s="419">
        <f t="shared" si="37"/>
        <v>0</v>
      </c>
      <c r="X790" s="412"/>
      <c r="Y790" s="412">
        <v>150</v>
      </c>
      <c r="Z790" s="412"/>
      <c r="AA790" s="412"/>
      <c r="AB790" s="412"/>
      <c r="AC790" s="412"/>
      <c r="AD790" s="412"/>
      <c r="AE790" s="412"/>
      <c r="AF790" s="412"/>
      <c r="AG790" s="412"/>
      <c r="AH790" s="412"/>
      <c r="AI790" s="412"/>
      <c r="AJ790" s="412">
        <f t="shared" si="38"/>
        <v>150</v>
      </c>
      <c r="AK790" s="198"/>
      <c r="AL790" s="250" t="s">
        <v>2067</v>
      </c>
    </row>
    <row r="791" spans="1:38" ht="14.1" customHeight="1" x14ac:dyDescent="0.2">
      <c r="A791" t="s">
        <v>888</v>
      </c>
      <c r="B791" s="193">
        <v>4427</v>
      </c>
      <c r="C791" s="194" t="s">
        <v>961</v>
      </c>
      <c r="D791" s="229" t="s">
        <v>1481</v>
      </c>
      <c r="E791" s="229" t="s">
        <v>449</v>
      </c>
      <c r="F791" s="240">
        <v>250</v>
      </c>
      <c r="G791" s="196">
        <v>1</v>
      </c>
      <c r="H791" s="195">
        <v>500</v>
      </c>
      <c r="I791" s="197">
        <v>41336</v>
      </c>
      <c r="J791" s="197" t="str">
        <f t="shared" si="39"/>
        <v>ok</v>
      </c>
      <c r="K791" s="419"/>
      <c r="L791" s="419"/>
      <c r="M791" s="419"/>
      <c r="N791" s="419"/>
      <c r="O791" s="419"/>
      <c r="P791" s="419"/>
      <c r="Q791" s="419"/>
      <c r="R791" s="419"/>
      <c r="S791" s="419"/>
      <c r="T791" s="419"/>
      <c r="U791" s="419"/>
      <c r="V791" s="419"/>
      <c r="W791" s="419">
        <f t="shared" si="37"/>
        <v>0</v>
      </c>
      <c r="X791" s="412"/>
      <c r="Y791" s="412">
        <v>250</v>
      </c>
      <c r="Z791" s="412">
        <v>250</v>
      </c>
      <c r="AA791" s="412"/>
      <c r="AB791" s="412"/>
      <c r="AC791" s="412"/>
      <c r="AD791" s="412"/>
      <c r="AE791" s="412"/>
      <c r="AF791" s="412"/>
      <c r="AG791" s="412"/>
      <c r="AH791" s="412"/>
      <c r="AI791" s="412"/>
      <c r="AJ791" s="412">
        <f t="shared" si="38"/>
        <v>500</v>
      </c>
      <c r="AK791" s="198"/>
      <c r="AL791" s="250" t="s">
        <v>2067</v>
      </c>
    </row>
    <row r="792" spans="1:38" ht="14.1" customHeight="1" x14ac:dyDescent="0.2">
      <c r="A792" t="s">
        <v>893</v>
      </c>
      <c r="B792" s="193">
        <v>4428</v>
      </c>
      <c r="C792" s="194" t="s">
        <v>1085</v>
      </c>
      <c r="D792" s="229" t="s">
        <v>1408</v>
      </c>
      <c r="E792" s="229" t="s">
        <v>211</v>
      </c>
      <c r="F792" s="240">
        <v>300</v>
      </c>
      <c r="G792" s="196">
        <v>1</v>
      </c>
      <c r="H792" s="195">
        <v>300</v>
      </c>
      <c r="I792" s="197">
        <v>41336</v>
      </c>
      <c r="J792" s="197" t="str">
        <f t="shared" si="39"/>
        <v>ok</v>
      </c>
      <c r="K792" s="419"/>
      <c r="L792" s="419"/>
      <c r="M792" s="419"/>
      <c r="N792" s="419"/>
      <c r="O792" s="419"/>
      <c r="P792" s="419"/>
      <c r="Q792" s="419"/>
      <c r="R792" s="419"/>
      <c r="S792" s="419"/>
      <c r="T792" s="419"/>
      <c r="U792" s="419"/>
      <c r="V792" s="419"/>
      <c r="W792" s="419">
        <f t="shared" si="37"/>
        <v>0</v>
      </c>
      <c r="X792" s="412"/>
      <c r="Y792" s="412"/>
      <c r="Z792" s="412">
        <v>300</v>
      </c>
      <c r="AA792" s="412"/>
      <c r="AB792" s="412"/>
      <c r="AC792" s="412"/>
      <c r="AD792" s="412"/>
      <c r="AE792" s="412"/>
      <c r="AF792" s="412"/>
      <c r="AG792" s="412"/>
      <c r="AH792" s="412"/>
      <c r="AI792" s="412"/>
      <c r="AJ792" s="412">
        <f t="shared" si="38"/>
        <v>300</v>
      </c>
      <c r="AK792" s="198"/>
      <c r="AL792" s="250" t="s">
        <v>2067</v>
      </c>
    </row>
    <row r="793" spans="1:38" ht="14.1" customHeight="1" x14ac:dyDescent="0.2">
      <c r="A793" t="s">
        <v>884</v>
      </c>
      <c r="B793" s="193">
        <v>4429</v>
      </c>
      <c r="C793" s="194" t="s">
        <v>812</v>
      </c>
      <c r="D793" s="229" t="s">
        <v>1420</v>
      </c>
      <c r="E793" s="229" t="s">
        <v>33</v>
      </c>
      <c r="F793" s="240">
        <v>300</v>
      </c>
      <c r="G793" s="196">
        <v>1</v>
      </c>
      <c r="H793" s="195">
        <v>300</v>
      </c>
      <c r="I793" s="197">
        <v>41336</v>
      </c>
      <c r="J793" s="197" t="str">
        <f t="shared" si="39"/>
        <v>ok</v>
      </c>
      <c r="K793" s="419"/>
      <c r="L793" s="419"/>
      <c r="M793" s="419"/>
      <c r="N793" s="419"/>
      <c r="O793" s="419"/>
      <c r="P793" s="419"/>
      <c r="Q793" s="419"/>
      <c r="R793" s="419"/>
      <c r="S793" s="419"/>
      <c r="T793" s="419"/>
      <c r="U793" s="419"/>
      <c r="V793" s="419"/>
      <c r="W793" s="419">
        <f t="shared" si="37"/>
        <v>0</v>
      </c>
      <c r="X793" s="412"/>
      <c r="Y793" s="412"/>
      <c r="Z793" s="412">
        <v>300</v>
      </c>
      <c r="AA793" s="412"/>
      <c r="AB793" s="412"/>
      <c r="AC793" s="412"/>
      <c r="AD793" s="412"/>
      <c r="AE793" s="412"/>
      <c r="AF793" s="412"/>
      <c r="AG793" s="412"/>
      <c r="AH793" s="412"/>
      <c r="AI793" s="412"/>
      <c r="AJ793" s="412">
        <f t="shared" si="38"/>
        <v>300</v>
      </c>
      <c r="AK793" s="198"/>
      <c r="AL793" s="250" t="s">
        <v>2067</v>
      </c>
    </row>
    <row r="794" spans="1:38" ht="14.1" customHeight="1" x14ac:dyDescent="0.2">
      <c r="A794" t="s">
        <v>884</v>
      </c>
      <c r="B794" s="193">
        <v>4430</v>
      </c>
      <c r="C794" s="194" t="s">
        <v>785</v>
      </c>
      <c r="D794" s="229" t="s">
        <v>1636</v>
      </c>
      <c r="E794" s="229" t="s">
        <v>49</v>
      </c>
      <c r="F794" s="240">
        <v>300</v>
      </c>
      <c r="G794" s="196">
        <v>1</v>
      </c>
      <c r="H794" s="195">
        <v>900</v>
      </c>
      <c r="I794" s="197">
        <v>41336</v>
      </c>
      <c r="J794" s="197" t="str">
        <f t="shared" si="39"/>
        <v>ok</v>
      </c>
      <c r="K794" s="419"/>
      <c r="L794" s="419"/>
      <c r="M794" s="419"/>
      <c r="N794" s="419"/>
      <c r="O794" s="419"/>
      <c r="P794" s="419"/>
      <c r="Q794" s="419"/>
      <c r="R794" s="419"/>
      <c r="S794" s="419"/>
      <c r="T794" s="419"/>
      <c r="U794" s="419"/>
      <c r="V794" s="419"/>
      <c r="W794" s="419">
        <f t="shared" si="37"/>
        <v>0</v>
      </c>
      <c r="X794" s="412">
        <v>300</v>
      </c>
      <c r="Y794" s="412">
        <v>300</v>
      </c>
      <c r="Z794" s="412">
        <v>300</v>
      </c>
      <c r="AA794" s="412"/>
      <c r="AB794" s="412"/>
      <c r="AC794" s="412"/>
      <c r="AD794" s="412"/>
      <c r="AE794" s="412"/>
      <c r="AF794" s="412"/>
      <c r="AG794" s="412"/>
      <c r="AH794" s="412"/>
      <c r="AI794" s="412"/>
      <c r="AJ794" s="412">
        <f t="shared" si="38"/>
        <v>900</v>
      </c>
      <c r="AK794" s="198"/>
      <c r="AL794" s="250" t="s">
        <v>2067</v>
      </c>
    </row>
    <row r="795" spans="1:38" ht="14.1" customHeight="1" x14ac:dyDescent="0.2">
      <c r="A795" t="s">
        <v>890</v>
      </c>
      <c r="B795" s="193">
        <v>4431</v>
      </c>
      <c r="C795" s="194" t="s">
        <v>977</v>
      </c>
      <c r="D795" s="229" t="s">
        <v>1494</v>
      </c>
      <c r="E795" s="229" t="s">
        <v>359</v>
      </c>
      <c r="F795" s="240">
        <v>150</v>
      </c>
      <c r="G795" s="196">
        <v>1</v>
      </c>
      <c r="H795" s="195">
        <v>150</v>
      </c>
      <c r="I795" s="197">
        <v>41336</v>
      </c>
      <c r="J795" s="197" t="str">
        <f t="shared" si="39"/>
        <v>ok</v>
      </c>
      <c r="K795" s="419"/>
      <c r="L795" s="419"/>
      <c r="M795" s="419"/>
      <c r="N795" s="419"/>
      <c r="O795" s="419"/>
      <c r="P795" s="419"/>
      <c r="Q795" s="419"/>
      <c r="R795" s="419"/>
      <c r="S795" s="419"/>
      <c r="T795" s="419"/>
      <c r="U795" s="419"/>
      <c r="V795" s="419"/>
      <c r="W795" s="419">
        <f t="shared" si="37"/>
        <v>0</v>
      </c>
      <c r="X795" s="412"/>
      <c r="Y795" s="412"/>
      <c r="Z795" s="412">
        <v>150</v>
      </c>
      <c r="AA795" s="412"/>
      <c r="AB795" s="412"/>
      <c r="AC795" s="412"/>
      <c r="AD795" s="412"/>
      <c r="AE795" s="412"/>
      <c r="AF795" s="412"/>
      <c r="AG795" s="412"/>
      <c r="AH795" s="412"/>
      <c r="AI795" s="412"/>
      <c r="AJ795" s="412">
        <f t="shared" si="38"/>
        <v>150</v>
      </c>
      <c r="AK795" s="198"/>
      <c r="AL795" s="250" t="s">
        <v>2067</v>
      </c>
    </row>
    <row r="796" spans="1:38" ht="14.1" customHeight="1" x14ac:dyDescent="0.2">
      <c r="A796" t="s">
        <v>884</v>
      </c>
      <c r="B796" s="193">
        <v>4432</v>
      </c>
      <c r="C796" s="194" t="s">
        <v>775</v>
      </c>
      <c r="D796" s="229" t="s">
        <v>1388</v>
      </c>
      <c r="E796" s="229" t="s">
        <v>1207</v>
      </c>
      <c r="F796" s="240">
        <v>300</v>
      </c>
      <c r="G796" s="196">
        <v>1</v>
      </c>
      <c r="H796" s="195">
        <v>300</v>
      </c>
      <c r="I796" s="197">
        <v>41336</v>
      </c>
      <c r="J796" s="197" t="str">
        <f t="shared" si="39"/>
        <v>ok</v>
      </c>
      <c r="K796" s="419"/>
      <c r="L796" s="419"/>
      <c r="M796" s="419"/>
      <c r="N796" s="419"/>
      <c r="O796" s="419"/>
      <c r="P796" s="419"/>
      <c r="Q796" s="419"/>
      <c r="R796" s="419"/>
      <c r="S796" s="419"/>
      <c r="T796" s="419"/>
      <c r="U796" s="419"/>
      <c r="V796" s="419"/>
      <c r="W796" s="419">
        <f t="shared" si="37"/>
        <v>0</v>
      </c>
      <c r="X796" s="412"/>
      <c r="Y796" s="412"/>
      <c r="Z796" s="412">
        <v>300</v>
      </c>
      <c r="AA796" s="412"/>
      <c r="AB796" s="412"/>
      <c r="AC796" s="412"/>
      <c r="AD796" s="412"/>
      <c r="AE796" s="412"/>
      <c r="AF796" s="412"/>
      <c r="AG796" s="412"/>
      <c r="AH796" s="412"/>
      <c r="AI796" s="412"/>
      <c r="AJ796" s="412">
        <f t="shared" si="38"/>
        <v>300</v>
      </c>
      <c r="AK796" s="198"/>
      <c r="AL796" s="250" t="s">
        <v>2067</v>
      </c>
    </row>
    <row r="797" spans="1:38" ht="14.1" customHeight="1" x14ac:dyDescent="0.2">
      <c r="A797" t="s">
        <v>884</v>
      </c>
      <c r="B797" s="193">
        <v>4433</v>
      </c>
      <c r="C797" s="194" t="s">
        <v>848</v>
      </c>
      <c r="D797" s="229" t="s">
        <v>1545</v>
      </c>
      <c r="E797" s="229" t="s">
        <v>1206</v>
      </c>
      <c r="F797" s="240">
        <v>300</v>
      </c>
      <c r="G797" s="196">
        <v>1</v>
      </c>
      <c r="H797" s="195">
        <v>300</v>
      </c>
      <c r="I797" s="197">
        <v>41336</v>
      </c>
      <c r="J797" s="197" t="str">
        <f t="shared" si="39"/>
        <v>ok</v>
      </c>
      <c r="K797" s="419"/>
      <c r="L797" s="419"/>
      <c r="M797" s="419"/>
      <c r="N797" s="419"/>
      <c r="O797" s="419"/>
      <c r="P797" s="419"/>
      <c r="Q797" s="419"/>
      <c r="R797" s="419"/>
      <c r="S797" s="419"/>
      <c r="T797" s="419"/>
      <c r="U797" s="419"/>
      <c r="V797" s="419"/>
      <c r="W797" s="419">
        <f t="shared" si="37"/>
        <v>0</v>
      </c>
      <c r="X797" s="412"/>
      <c r="Y797" s="412"/>
      <c r="Z797" s="412">
        <v>300</v>
      </c>
      <c r="AA797" s="412"/>
      <c r="AB797" s="412"/>
      <c r="AC797" s="412"/>
      <c r="AD797" s="412"/>
      <c r="AE797" s="412"/>
      <c r="AF797" s="412"/>
      <c r="AG797" s="412"/>
      <c r="AH797" s="412"/>
      <c r="AI797" s="412"/>
      <c r="AJ797" s="412">
        <f t="shared" si="38"/>
        <v>300</v>
      </c>
      <c r="AK797" s="198"/>
      <c r="AL797" s="250" t="s">
        <v>2067</v>
      </c>
    </row>
    <row r="798" spans="1:38" ht="14.1" customHeight="1" x14ac:dyDescent="0.2">
      <c r="A798" t="s">
        <v>893</v>
      </c>
      <c r="B798" s="193">
        <v>4434</v>
      </c>
      <c r="C798" s="194" t="s">
        <v>779</v>
      </c>
      <c r="D798" s="229" t="s">
        <v>1391</v>
      </c>
      <c r="E798" s="229" t="s">
        <v>713</v>
      </c>
      <c r="F798" s="240">
        <v>300</v>
      </c>
      <c r="G798" s="196">
        <v>1</v>
      </c>
      <c r="H798" s="195">
        <v>300</v>
      </c>
      <c r="I798" s="197">
        <v>41336</v>
      </c>
      <c r="J798" s="197" t="str">
        <f t="shared" si="39"/>
        <v>ok</v>
      </c>
      <c r="K798" s="419"/>
      <c r="L798" s="419"/>
      <c r="M798" s="419"/>
      <c r="N798" s="419"/>
      <c r="O798" s="419"/>
      <c r="P798" s="419"/>
      <c r="Q798" s="419"/>
      <c r="R798" s="419"/>
      <c r="S798" s="419"/>
      <c r="T798" s="419"/>
      <c r="U798" s="419"/>
      <c r="V798" s="419"/>
      <c r="W798" s="419">
        <f t="shared" si="37"/>
        <v>0</v>
      </c>
      <c r="X798" s="412"/>
      <c r="Y798" s="412"/>
      <c r="Z798" s="412">
        <v>300</v>
      </c>
      <c r="AA798" s="412"/>
      <c r="AB798" s="412"/>
      <c r="AC798" s="412"/>
      <c r="AD798" s="412"/>
      <c r="AE798" s="412"/>
      <c r="AF798" s="412"/>
      <c r="AG798" s="412"/>
      <c r="AH798" s="412"/>
      <c r="AI798" s="412"/>
      <c r="AJ798" s="412">
        <f t="shared" si="38"/>
        <v>300</v>
      </c>
      <c r="AK798" s="198"/>
      <c r="AL798" s="250" t="s">
        <v>2067</v>
      </c>
    </row>
    <row r="799" spans="1:38" ht="14.1" customHeight="1" x14ac:dyDescent="0.2">
      <c r="A799" t="s">
        <v>884</v>
      </c>
      <c r="B799" s="193">
        <v>4435</v>
      </c>
      <c r="C799" s="194" t="s">
        <v>802</v>
      </c>
      <c r="D799" s="229" t="s">
        <v>1412</v>
      </c>
      <c r="E799" s="229" t="s">
        <v>19</v>
      </c>
      <c r="F799" s="240">
        <v>300</v>
      </c>
      <c r="G799" s="196">
        <v>1</v>
      </c>
      <c r="H799" s="195">
        <v>300</v>
      </c>
      <c r="I799" s="197">
        <v>41336</v>
      </c>
      <c r="J799" s="197" t="str">
        <f t="shared" si="39"/>
        <v>ok</v>
      </c>
      <c r="K799" s="419"/>
      <c r="L799" s="419"/>
      <c r="M799" s="419"/>
      <c r="N799" s="419"/>
      <c r="O799" s="419"/>
      <c r="P799" s="419"/>
      <c r="Q799" s="419"/>
      <c r="R799" s="419"/>
      <c r="S799" s="419"/>
      <c r="T799" s="419"/>
      <c r="U799" s="419"/>
      <c r="V799" s="419"/>
      <c r="W799" s="419">
        <f t="shared" si="37"/>
        <v>0</v>
      </c>
      <c r="X799" s="412"/>
      <c r="Y799" s="412"/>
      <c r="Z799" s="412">
        <v>300</v>
      </c>
      <c r="AA799" s="412"/>
      <c r="AB799" s="412"/>
      <c r="AC799" s="412"/>
      <c r="AD799" s="412"/>
      <c r="AE799" s="412"/>
      <c r="AF799" s="412"/>
      <c r="AG799" s="412"/>
      <c r="AH799" s="412"/>
      <c r="AI799" s="412"/>
      <c r="AJ799" s="412">
        <f t="shared" si="38"/>
        <v>300</v>
      </c>
      <c r="AK799" s="198"/>
      <c r="AL799" s="250" t="s">
        <v>2067</v>
      </c>
    </row>
    <row r="800" spans="1:38" ht="14.1" customHeight="1" x14ac:dyDescent="0.2">
      <c r="A800" t="s">
        <v>884</v>
      </c>
      <c r="B800" s="193">
        <v>4436</v>
      </c>
      <c r="C800" s="194" t="s">
        <v>797</v>
      </c>
      <c r="D800" s="229" t="s">
        <v>1405</v>
      </c>
      <c r="E800" s="229" t="s">
        <v>11</v>
      </c>
      <c r="F800" s="240">
        <v>300</v>
      </c>
      <c r="G800" s="196">
        <v>1</v>
      </c>
      <c r="H800" s="195">
        <v>300</v>
      </c>
      <c r="I800" s="197">
        <v>41336</v>
      </c>
      <c r="J800" s="197" t="str">
        <f t="shared" si="39"/>
        <v>ok</v>
      </c>
      <c r="K800" s="419"/>
      <c r="L800" s="419"/>
      <c r="M800" s="419"/>
      <c r="N800" s="419"/>
      <c r="O800" s="419"/>
      <c r="P800" s="419"/>
      <c r="Q800" s="419"/>
      <c r="R800" s="419"/>
      <c r="S800" s="419"/>
      <c r="T800" s="419"/>
      <c r="U800" s="419"/>
      <c r="V800" s="419"/>
      <c r="W800" s="419">
        <f t="shared" si="37"/>
        <v>0</v>
      </c>
      <c r="X800" s="412"/>
      <c r="Y800" s="412"/>
      <c r="Z800" s="412">
        <v>300</v>
      </c>
      <c r="AA800" s="412"/>
      <c r="AB800" s="412"/>
      <c r="AC800" s="412"/>
      <c r="AD800" s="412"/>
      <c r="AE800" s="412"/>
      <c r="AF800" s="412"/>
      <c r="AG800" s="412"/>
      <c r="AH800" s="412"/>
      <c r="AI800" s="412"/>
      <c r="AJ800" s="412">
        <f t="shared" si="38"/>
        <v>300</v>
      </c>
      <c r="AK800" s="198"/>
      <c r="AL800" s="250" t="s">
        <v>2067</v>
      </c>
    </row>
    <row r="801" spans="1:38" ht="14.1" customHeight="1" x14ac:dyDescent="0.2">
      <c r="A801" t="s">
        <v>888</v>
      </c>
      <c r="B801" s="193">
        <v>4437</v>
      </c>
      <c r="C801" s="194" t="s">
        <v>921</v>
      </c>
      <c r="D801" s="229" t="s">
        <v>1546</v>
      </c>
      <c r="E801" s="229" t="s">
        <v>363</v>
      </c>
      <c r="F801" s="240">
        <v>300</v>
      </c>
      <c r="G801" s="196">
        <v>1</v>
      </c>
      <c r="H801" s="195">
        <v>300</v>
      </c>
      <c r="I801" s="197">
        <v>41336</v>
      </c>
      <c r="J801" s="197" t="str">
        <f t="shared" si="39"/>
        <v>ok</v>
      </c>
      <c r="K801" s="419"/>
      <c r="L801" s="419"/>
      <c r="M801" s="419"/>
      <c r="N801" s="419"/>
      <c r="O801" s="419"/>
      <c r="P801" s="419"/>
      <c r="Q801" s="419"/>
      <c r="R801" s="419"/>
      <c r="S801" s="419"/>
      <c r="T801" s="419"/>
      <c r="U801" s="419"/>
      <c r="V801" s="419"/>
      <c r="W801" s="419">
        <f t="shared" si="37"/>
        <v>0</v>
      </c>
      <c r="X801" s="412"/>
      <c r="Y801" s="412"/>
      <c r="Z801" s="412">
        <v>300</v>
      </c>
      <c r="AA801" s="412"/>
      <c r="AB801" s="412"/>
      <c r="AC801" s="412"/>
      <c r="AD801" s="412"/>
      <c r="AE801" s="412"/>
      <c r="AF801" s="412"/>
      <c r="AG801" s="412"/>
      <c r="AH801" s="412"/>
      <c r="AI801" s="412"/>
      <c r="AJ801" s="412">
        <f t="shared" si="38"/>
        <v>300</v>
      </c>
      <c r="AK801" s="198"/>
      <c r="AL801" s="250" t="s">
        <v>2067</v>
      </c>
    </row>
    <row r="802" spans="1:38" ht="14.1" customHeight="1" x14ac:dyDescent="0.2">
      <c r="A802" t="s">
        <v>894</v>
      </c>
      <c r="B802" s="193">
        <v>4438</v>
      </c>
      <c r="C802" s="194" t="s">
        <v>1150</v>
      </c>
      <c r="D802" s="229" t="s">
        <v>1637</v>
      </c>
      <c r="E802" s="229" t="s">
        <v>586</v>
      </c>
      <c r="F802" s="240">
        <v>300</v>
      </c>
      <c r="G802" s="196">
        <v>1</v>
      </c>
      <c r="H802" s="195">
        <v>3600</v>
      </c>
      <c r="I802" s="197">
        <v>41336</v>
      </c>
      <c r="J802" s="197" t="str">
        <f t="shared" si="39"/>
        <v>ok</v>
      </c>
      <c r="K802" s="419"/>
      <c r="L802" s="419"/>
      <c r="M802" s="419"/>
      <c r="N802" s="419"/>
      <c r="O802" s="419"/>
      <c r="P802" s="419"/>
      <c r="Q802" s="419"/>
      <c r="R802" s="419"/>
      <c r="S802" s="419"/>
      <c r="T802" s="419"/>
      <c r="U802" s="419"/>
      <c r="V802" s="419"/>
      <c r="W802" s="419">
        <f t="shared" si="37"/>
        <v>0</v>
      </c>
      <c r="X802" s="412">
        <v>300</v>
      </c>
      <c r="Y802" s="412">
        <v>300</v>
      </c>
      <c r="Z802" s="412">
        <v>300</v>
      </c>
      <c r="AA802" s="412">
        <v>300</v>
      </c>
      <c r="AB802" s="412">
        <v>300</v>
      </c>
      <c r="AC802" s="412">
        <v>300</v>
      </c>
      <c r="AD802" s="412">
        <v>300</v>
      </c>
      <c r="AE802" s="412">
        <v>300</v>
      </c>
      <c r="AF802" s="412">
        <v>300</v>
      </c>
      <c r="AG802" s="412">
        <v>300</v>
      </c>
      <c r="AH802" s="412">
        <v>300</v>
      </c>
      <c r="AI802" s="412">
        <v>300</v>
      </c>
      <c r="AJ802" s="412">
        <f t="shared" si="38"/>
        <v>3600</v>
      </c>
      <c r="AK802" s="198" t="s">
        <v>1246</v>
      </c>
      <c r="AL802" s="250" t="s">
        <v>2067</v>
      </c>
    </row>
    <row r="803" spans="1:38" ht="14.1" customHeight="1" x14ac:dyDescent="0.2">
      <c r="A803" t="s">
        <v>888</v>
      </c>
      <c r="B803" s="193">
        <v>4439</v>
      </c>
      <c r="C803" s="194" t="s">
        <v>933</v>
      </c>
      <c r="D803" s="229" t="s">
        <v>1427</v>
      </c>
      <c r="E803" s="229" t="s">
        <v>1212</v>
      </c>
      <c r="F803" s="240">
        <v>300</v>
      </c>
      <c r="G803" s="196">
        <v>1</v>
      </c>
      <c r="H803" s="195">
        <v>300</v>
      </c>
      <c r="I803" s="197">
        <v>41336</v>
      </c>
      <c r="J803" s="197" t="str">
        <f t="shared" si="39"/>
        <v>ok</v>
      </c>
      <c r="K803" s="419"/>
      <c r="L803" s="419"/>
      <c r="M803" s="419"/>
      <c r="N803" s="419"/>
      <c r="O803" s="419"/>
      <c r="P803" s="419"/>
      <c r="Q803" s="419"/>
      <c r="R803" s="419"/>
      <c r="S803" s="419"/>
      <c r="T803" s="419"/>
      <c r="U803" s="419"/>
      <c r="V803" s="419"/>
      <c r="W803" s="419">
        <f t="shared" si="37"/>
        <v>0</v>
      </c>
      <c r="X803" s="412"/>
      <c r="Y803" s="412"/>
      <c r="Z803" s="412">
        <v>300</v>
      </c>
      <c r="AA803" s="412"/>
      <c r="AB803" s="412"/>
      <c r="AC803" s="412"/>
      <c r="AD803" s="412"/>
      <c r="AE803" s="412"/>
      <c r="AF803" s="412"/>
      <c r="AG803" s="412"/>
      <c r="AH803" s="412"/>
      <c r="AI803" s="412"/>
      <c r="AJ803" s="412">
        <f t="shared" si="38"/>
        <v>300</v>
      </c>
      <c r="AK803" s="198"/>
      <c r="AL803" s="250" t="s">
        <v>2067</v>
      </c>
    </row>
    <row r="804" spans="1:38" ht="14.1" customHeight="1" x14ac:dyDescent="0.2">
      <c r="A804" t="s">
        <v>888</v>
      </c>
      <c r="B804" s="193">
        <v>4439</v>
      </c>
      <c r="C804" s="194" t="s">
        <v>933</v>
      </c>
      <c r="D804" s="229" t="s">
        <v>1427</v>
      </c>
      <c r="E804" s="229" t="s">
        <v>1212</v>
      </c>
      <c r="F804" s="240">
        <v>300</v>
      </c>
      <c r="G804" s="196">
        <v>5</v>
      </c>
      <c r="H804" s="195">
        <v>20</v>
      </c>
      <c r="I804" s="197">
        <v>41336</v>
      </c>
      <c r="J804" s="197" t="str">
        <f t="shared" si="39"/>
        <v>ok</v>
      </c>
      <c r="K804" s="419"/>
      <c r="L804" s="419"/>
      <c r="M804" s="419"/>
      <c r="N804" s="419"/>
      <c r="O804" s="419"/>
      <c r="P804" s="419"/>
      <c r="Q804" s="419"/>
      <c r="R804" s="419"/>
      <c r="S804" s="419"/>
      <c r="T804" s="419"/>
      <c r="U804" s="419"/>
      <c r="V804" s="419"/>
      <c r="W804" s="419">
        <f t="shared" si="37"/>
        <v>0</v>
      </c>
      <c r="X804" s="412"/>
      <c r="Y804" s="412"/>
      <c r="Z804" s="412"/>
      <c r="AA804" s="412"/>
      <c r="AB804" s="412"/>
      <c r="AC804" s="412"/>
      <c r="AD804" s="412"/>
      <c r="AE804" s="412"/>
      <c r="AF804" s="412"/>
      <c r="AG804" s="412"/>
      <c r="AH804" s="412"/>
      <c r="AI804" s="412"/>
      <c r="AJ804" s="412">
        <f t="shared" si="38"/>
        <v>0</v>
      </c>
      <c r="AK804" s="198"/>
      <c r="AL804" s="250" t="s">
        <v>2068</v>
      </c>
    </row>
    <row r="805" spans="1:38" ht="14.1" customHeight="1" x14ac:dyDescent="0.2">
      <c r="A805" t="s">
        <v>893</v>
      </c>
      <c r="B805" s="193">
        <v>4440</v>
      </c>
      <c r="C805" s="194" t="s">
        <v>1145</v>
      </c>
      <c r="D805" s="229" t="s">
        <v>1489</v>
      </c>
      <c r="E805" s="229" t="s">
        <v>325</v>
      </c>
      <c r="F805" s="240">
        <v>300</v>
      </c>
      <c r="G805" s="196">
        <v>1</v>
      </c>
      <c r="H805" s="195">
        <v>600</v>
      </c>
      <c r="I805" s="197">
        <v>41336</v>
      </c>
      <c r="J805" s="197" t="str">
        <f t="shared" si="39"/>
        <v>ok</v>
      </c>
      <c r="K805" s="419"/>
      <c r="L805" s="419"/>
      <c r="M805" s="419"/>
      <c r="N805" s="419"/>
      <c r="O805" s="419"/>
      <c r="P805" s="419"/>
      <c r="Q805" s="419"/>
      <c r="R805" s="419"/>
      <c r="S805" s="419"/>
      <c r="T805" s="419"/>
      <c r="U805" s="419"/>
      <c r="V805" s="419"/>
      <c r="W805" s="419">
        <f t="shared" si="37"/>
        <v>0</v>
      </c>
      <c r="X805" s="412"/>
      <c r="Y805" s="412">
        <v>300</v>
      </c>
      <c r="Z805" s="412">
        <v>300</v>
      </c>
      <c r="AA805" s="412"/>
      <c r="AB805" s="412"/>
      <c r="AC805" s="412"/>
      <c r="AD805" s="412"/>
      <c r="AE805" s="412"/>
      <c r="AF805" s="412"/>
      <c r="AG805" s="412"/>
      <c r="AH805" s="412"/>
      <c r="AI805" s="412"/>
      <c r="AJ805" s="412">
        <f t="shared" si="38"/>
        <v>600</v>
      </c>
      <c r="AK805" s="198"/>
      <c r="AL805" s="250" t="s">
        <v>2067</v>
      </c>
    </row>
    <row r="806" spans="1:38" ht="14.1" customHeight="1" x14ac:dyDescent="0.2">
      <c r="A806" t="s">
        <v>893</v>
      </c>
      <c r="B806" s="193">
        <v>4441</v>
      </c>
      <c r="C806" s="194" t="s">
        <v>1117</v>
      </c>
      <c r="D806" s="229" t="s">
        <v>1430</v>
      </c>
      <c r="E806" s="229" t="s">
        <v>271</v>
      </c>
      <c r="F806" s="240">
        <v>300</v>
      </c>
      <c r="G806" s="196">
        <v>1</v>
      </c>
      <c r="H806" s="195">
        <v>300</v>
      </c>
      <c r="I806" s="197">
        <v>41336</v>
      </c>
      <c r="J806" s="197" t="str">
        <f t="shared" si="39"/>
        <v>ok</v>
      </c>
      <c r="K806" s="419"/>
      <c r="L806" s="419"/>
      <c r="M806" s="419"/>
      <c r="N806" s="419"/>
      <c r="O806" s="419"/>
      <c r="P806" s="419"/>
      <c r="Q806" s="419"/>
      <c r="R806" s="419"/>
      <c r="S806" s="419"/>
      <c r="T806" s="419"/>
      <c r="U806" s="419"/>
      <c r="V806" s="419"/>
      <c r="W806" s="419">
        <f t="shared" si="37"/>
        <v>0</v>
      </c>
      <c r="X806" s="412"/>
      <c r="Y806" s="412"/>
      <c r="Z806" s="412">
        <v>300</v>
      </c>
      <c r="AA806" s="412"/>
      <c r="AB806" s="412"/>
      <c r="AC806" s="412"/>
      <c r="AD806" s="412"/>
      <c r="AE806" s="412"/>
      <c r="AF806" s="412"/>
      <c r="AG806" s="412"/>
      <c r="AH806" s="412"/>
      <c r="AI806" s="412"/>
      <c r="AJ806" s="412">
        <f t="shared" si="38"/>
        <v>300</v>
      </c>
      <c r="AK806" s="198"/>
      <c r="AL806" s="250" t="s">
        <v>2067</v>
      </c>
    </row>
    <row r="807" spans="1:38" ht="14.1" customHeight="1" x14ac:dyDescent="0.2">
      <c r="B807" s="193">
        <v>4442</v>
      </c>
      <c r="C807" s="194"/>
      <c r="D807" s="229" t="s">
        <v>1362</v>
      </c>
      <c r="E807" s="229" t="s">
        <v>1362</v>
      </c>
      <c r="F807" s="240" t="s">
        <v>1362</v>
      </c>
      <c r="G807" s="196">
        <v>8</v>
      </c>
      <c r="H807" s="195"/>
      <c r="I807" s="197"/>
      <c r="J807" s="197" t="str">
        <f t="shared" si="39"/>
        <v>ok</v>
      </c>
      <c r="K807" s="419"/>
      <c r="L807" s="419"/>
      <c r="M807" s="419"/>
      <c r="N807" s="419"/>
      <c r="O807" s="419"/>
      <c r="P807" s="419"/>
      <c r="Q807" s="419"/>
      <c r="R807" s="419"/>
      <c r="S807" s="419"/>
      <c r="T807" s="419"/>
      <c r="U807" s="419"/>
      <c r="V807" s="419"/>
      <c r="W807" s="419">
        <f t="shared" si="37"/>
        <v>0</v>
      </c>
      <c r="X807" s="412"/>
      <c r="Y807" s="412"/>
      <c r="Z807" s="412"/>
      <c r="AA807" s="412"/>
      <c r="AB807" s="412"/>
      <c r="AC807" s="412"/>
      <c r="AD807" s="412"/>
      <c r="AE807" s="412"/>
      <c r="AF807" s="412"/>
      <c r="AG807" s="412"/>
      <c r="AH807" s="412"/>
      <c r="AI807" s="412"/>
      <c r="AJ807" s="412">
        <f t="shared" si="38"/>
        <v>0</v>
      </c>
      <c r="AK807" s="198" t="s">
        <v>755</v>
      </c>
      <c r="AL807" s="250" t="s">
        <v>2067</v>
      </c>
    </row>
    <row r="808" spans="1:38" ht="14.1" customHeight="1" x14ac:dyDescent="0.2">
      <c r="A808" t="s">
        <v>893</v>
      </c>
      <c r="B808" s="193">
        <v>4443</v>
      </c>
      <c r="C808" s="194" t="s">
        <v>1095</v>
      </c>
      <c r="D808" s="229" t="s">
        <v>1469</v>
      </c>
      <c r="E808" s="229" t="s">
        <v>232</v>
      </c>
      <c r="F808" s="240">
        <v>200</v>
      </c>
      <c r="G808" s="196">
        <v>1</v>
      </c>
      <c r="H808" s="195">
        <v>200</v>
      </c>
      <c r="I808" s="197">
        <v>41336</v>
      </c>
      <c r="J808" s="197" t="str">
        <f t="shared" si="39"/>
        <v>ok</v>
      </c>
      <c r="K808" s="419"/>
      <c r="L808" s="419"/>
      <c r="M808" s="419"/>
      <c r="N808" s="419"/>
      <c r="O808" s="419"/>
      <c r="P808" s="419"/>
      <c r="Q808" s="419"/>
      <c r="R808" s="419"/>
      <c r="S808" s="419"/>
      <c r="T808" s="419"/>
      <c r="U808" s="419"/>
      <c r="V808" s="419"/>
      <c r="W808" s="419">
        <f t="shared" si="37"/>
        <v>0</v>
      </c>
      <c r="X808" s="412"/>
      <c r="Y808" s="412">
        <v>200</v>
      </c>
      <c r="Z808" s="412"/>
      <c r="AA808" s="412"/>
      <c r="AB808" s="412"/>
      <c r="AC808" s="412"/>
      <c r="AD808" s="412"/>
      <c r="AE808" s="412"/>
      <c r="AF808" s="412"/>
      <c r="AG808" s="412"/>
      <c r="AH808" s="412"/>
      <c r="AI808" s="412"/>
      <c r="AJ808" s="412">
        <f t="shared" si="38"/>
        <v>200</v>
      </c>
      <c r="AK808" s="198"/>
      <c r="AL808" s="250" t="s">
        <v>2067</v>
      </c>
    </row>
    <row r="809" spans="1:38" ht="14.1" customHeight="1" x14ac:dyDescent="0.2">
      <c r="A809" t="s">
        <v>893</v>
      </c>
      <c r="B809" s="193">
        <v>4444</v>
      </c>
      <c r="C809" s="194" t="s">
        <v>1077</v>
      </c>
      <c r="D809" s="229" t="s">
        <v>1429</v>
      </c>
      <c r="E809" s="229" t="s">
        <v>195</v>
      </c>
      <c r="F809" s="240">
        <v>200</v>
      </c>
      <c r="G809" s="196">
        <v>1</v>
      </c>
      <c r="H809" s="195">
        <v>200</v>
      </c>
      <c r="I809" s="197">
        <v>41336</v>
      </c>
      <c r="J809" s="197" t="str">
        <f t="shared" si="39"/>
        <v>ok</v>
      </c>
      <c r="K809" s="419"/>
      <c r="L809" s="419"/>
      <c r="M809" s="419"/>
      <c r="N809" s="419"/>
      <c r="O809" s="419"/>
      <c r="P809" s="419"/>
      <c r="Q809" s="419"/>
      <c r="R809" s="419"/>
      <c r="S809" s="419"/>
      <c r="T809" s="419"/>
      <c r="U809" s="419"/>
      <c r="V809" s="419"/>
      <c r="W809" s="419">
        <f t="shared" si="37"/>
        <v>0</v>
      </c>
      <c r="X809" s="412"/>
      <c r="Y809" s="412"/>
      <c r="Z809" s="412">
        <v>200</v>
      </c>
      <c r="AA809" s="412"/>
      <c r="AB809" s="412"/>
      <c r="AC809" s="412"/>
      <c r="AD809" s="412"/>
      <c r="AE809" s="412"/>
      <c r="AF809" s="412"/>
      <c r="AG809" s="412"/>
      <c r="AH809" s="412"/>
      <c r="AI809" s="412"/>
      <c r="AJ809" s="412">
        <f t="shared" si="38"/>
        <v>200</v>
      </c>
      <c r="AK809" s="198"/>
      <c r="AL809" s="250" t="s">
        <v>2067</v>
      </c>
    </row>
    <row r="810" spans="1:38" ht="14.1" customHeight="1" x14ac:dyDescent="0.2">
      <c r="A810" t="s">
        <v>888</v>
      </c>
      <c r="B810" s="193">
        <v>4445</v>
      </c>
      <c r="C810" s="194" t="s">
        <v>913</v>
      </c>
      <c r="D810" s="229" t="s">
        <v>1415</v>
      </c>
      <c r="E810" s="229" t="s">
        <v>348</v>
      </c>
      <c r="F810" s="240">
        <v>200</v>
      </c>
      <c r="G810" s="196">
        <v>1</v>
      </c>
      <c r="H810" s="195">
        <v>200</v>
      </c>
      <c r="I810" s="197">
        <v>41336</v>
      </c>
      <c r="J810" s="197" t="str">
        <f t="shared" si="39"/>
        <v>ok</v>
      </c>
      <c r="K810" s="419"/>
      <c r="L810" s="419"/>
      <c r="M810" s="419"/>
      <c r="N810" s="419"/>
      <c r="O810" s="419"/>
      <c r="P810" s="419"/>
      <c r="Q810" s="419"/>
      <c r="R810" s="419"/>
      <c r="S810" s="419"/>
      <c r="T810" s="419"/>
      <c r="U810" s="419"/>
      <c r="V810" s="419"/>
      <c r="W810" s="419">
        <f t="shared" si="37"/>
        <v>0</v>
      </c>
      <c r="X810" s="412"/>
      <c r="Y810" s="412"/>
      <c r="Z810" s="412">
        <v>200</v>
      </c>
      <c r="AA810" s="412"/>
      <c r="AB810" s="412"/>
      <c r="AC810" s="412"/>
      <c r="AD810" s="412"/>
      <c r="AE810" s="412"/>
      <c r="AF810" s="412"/>
      <c r="AG810" s="412"/>
      <c r="AH810" s="412"/>
      <c r="AI810" s="412"/>
      <c r="AJ810" s="412">
        <f t="shared" si="38"/>
        <v>200</v>
      </c>
      <c r="AK810" s="198"/>
      <c r="AL810" s="250" t="s">
        <v>2067</v>
      </c>
    </row>
    <row r="811" spans="1:38" ht="14.1" customHeight="1" x14ac:dyDescent="0.2">
      <c r="A811" t="s">
        <v>884</v>
      </c>
      <c r="B811" s="193">
        <v>4446</v>
      </c>
      <c r="C811" s="194" t="s">
        <v>794</v>
      </c>
      <c r="D811" s="229" t="s">
        <v>1518</v>
      </c>
      <c r="E811" s="229" t="s">
        <v>6</v>
      </c>
      <c r="F811" s="240">
        <v>100</v>
      </c>
      <c r="G811" s="196">
        <v>1</v>
      </c>
      <c r="H811" s="195">
        <v>100</v>
      </c>
      <c r="I811" s="197">
        <v>41336</v>
      </c>
      <c r="J811" s="197" t="str">
        <f t="shared" si="39"/>
        <v>ok</v>
      </c>
      <c r="K811" s="419"/>
      <c r="L811" s="419"/>
      <c r="M811" s="419"/>
      <c r="N811" s="419"/>
      <c r="O811" s="419"/>
      <c r="P811" s="419"/>
      <c r="Q811" s="419"/>
      <c r="R811" s="419"/>
      <c r="S811" s="419"/>
      <c r="T811" s="419"/>
      <c r="U811" s="419"/>
      <c r="V811" s="419"/>
      <c r="W811" s="419">
        <f t="shared" si="37"/>
        <v>0</v>
      </c>
      <c r="X811" s="412"/>
      <c r="Y811" s="412"/>
      <c r="Z811" s="412">
        <v>100</v>
      </c>
      <c r="AA811" s="412"/>
      <c r="AB811" s="412"/>
      <c r="AC811" s="412"/>
      <c r="AD811" s="412"/>
      <c r="AE811" s="412"/>
      <c r="AF811" s="412"/>
      <c r="AG811" s="412"/>
      <c r="AH811" s="412"/>
      <c r="AI811" s="412"/>
      <c r="AJ811" s="412">
        <f t="shared" si="38"/>
        <v>100</v>
      </c>
      <c r="AK811" s="198"/>
      <c r="AL811" s="250" t="s">
        <v>2067</v>
      </c>
    </row>
    <row r="812" spans="1:38" ht="14.1" customHeight="1" x14ac:dyDescent="0.2">
      <c r="A812" t="s">
        <v>884</v>
      </c>
      <c r="B812" s="193">
        <v>4447</v>
      </c>
      <c r="C812" s="194" t="s">
        <v>792</v>
      </c>
      <c r="D812" s="229" t="s">
        <v>1517</v>
      </c>
      <c r="E812" s="229" t="s">
        <v>3</v>
      </c>
      <c r="F812" s="240">
        <v>100</v>
      </c>
      <c r="G812" s="196">
        <v>1</v>
      </c>
      <c r="H812" s="195">
        <v>100</v>
      </c>
      <c r="I812" s="197">
        <v>41336</v>
      </c>
      <c r="J812" s="197" t="str">
        <f t="shared" si="39"/>
        <v>ok</v>
      </c>
      <c r="K812" s="419"/>
      <c r="L812" s="419"/>
      <c r="M812" s="419"/>
      <c r="N812" s="419"/>
      <c r="O812" s="419"/>
      <c r="P812" s="419"/>
      <c r="Q812" s="419"/>
      <c r="R812" s="419"/>
      <c r="S812" s="419"/>
      <c r="T812" s="419"/>
      <c r="U812" s="419"/>
      <c r="V812" s="419"/>
      <c r="W812" s="419">
        <f t="shared" si="37"/>
        <v>0</v>
      </c>
      <c r="X812" s="412"/>
      <c r="Y812" s="412"/>
      <c r="Z812" s="412">
        <v>100</v>
      </c>
      <c r="AA812" s="412"/>
      <c r="AB812" s="412"/>
      <c r="AC812" s="412"/>
      <c r="AD812" s="412"/>
      <c r="AE812" s="412"/>
      <c r="AF812" s="412"/>
      <c r="AG812" s="412"/>
      <c r="AH812" s="412"/>
      <c r="AI812" s="412"/>
      <c r="AJ812" s="412">
        <f t="shared" si="38"/>
        <v>100</v>
      </c>
      <c r="AK812" s="198"/>
      <c r="AL812" s="250" t="s">
        <v>2067</v>
      </c>
    </row>
    <row r="813" spans="1:38" ht="14.1" customHeight="1" x14ac:dyDescent="0.2">
      <c r="A813" t="s">
        <v>888</v>
      </c>
      <c r="B813" s="193">
        <v>4448</v>
      </c>
      <c r="C813" s="194" t="s">
        <v>914</v>
      </c>
      <c r="D813" s="229" t="s">
        <v>1567</v>
      </c>
      <c r="E813" s="229" t="s">
        <v>350</v>
      </c>
      <c r="F813" s="240">
        <v>300</v>
      </c>
      <c r="G813" s="196">
        <v>1</v>
      </c>
      <c r="H813" s="195">
        <v>600</v>
      </c>
      <c r="I813" s="197">
        <v>41336</v>
      </c>
      <c r="J813" s="197" t="str">
        <f t="shared" si="39"/>
        <v>ok</v>
      </c>
      <c r="K813" s="419"/>
      <c r="L813" s="419"/>
      <c r="M813" s="419"/>
      <c r="N813" s="419"/>
      <c r="O813" s="419"/>
      <c r="P813" s="419"/>
      <c r="Q813" s="419"/>
      <c r="R813" s="419"/>
      <c r="S813" s="419"/>
      <c r="T813" s="419"/>
      <c r="U813" s="419"/>
      <c r="V813" s="419"/>
      <c r="W813" s="419">
        <f t="shared" si="37"/>
        <v>0</v>
      </c>
      <c r="X813" s="412"/>
      <c r="Y813" s="412">
        <v>300</v>
      </c>
      <c r="Z813" s="412">
        <v>300</v>
      </c>
      <c r="AA813" s="412"/>
      <c r="AB813" s="412"/>
      <c r="AC813" s="412"/>
      <c r="AD813" s="412"/>
      <c r="AE813" s="412"/>
      <c r="AF813" s="412"/>
      <c r="AG813" s="412"/>
      <c r="AH813" s="412"/>
      <c r="AI813" s="412"/>
      <c r="AJ813" s="412">
        <f t="shared" si="38"/>
        <v>600</v>
      </c>
      <c r="AK813" s="198"/>
      <c r="AL813" s="250" t="s">
        <v>2067</v>
      </c>
    </row>
    <row r="814" spans="1:38" ht="14.1" customHeight="1" x14ac:dyDescent="0.2">
      <c r="A814" t="s">
        <v>892</v>
      </c>
      <c r="B814" s="193">
        <v>4449</v>
      </c>
      <c r="C814" s="194" t="s">
        <v>1055</v>
      </c>
      <c r="D814" s="229" t="s">
        <v>1467</v>
      </c>
      <c r="E814" s="229" t="s">
        <v>371</v>
      </c>
      <c r="F814" s="240">
        <v>300</v>
      </c>
      <c r="G814" s="196">
        <v>1</v>
      </c>
      <c r="H814" s="195">
        <v>300</v>
      </c>
      <c r="I814" s="197">
        <v>41336</v>
      </c>
      <c r="J814" s="197" t="str">
        <f t="shared" si="39"/>
        <v>ok</v>
      </c>
      <c r="K814" s="419"/>
      <c r="L814" s="419"/>
      <c r="M814" s="419"/>
      <c r="N814" s="419"/>
      <c r="O814" s="419"/>
      <c r="P814" s="419"/>
      <c r="Q814" s="419"/>
      <c r="R814" s="419"/>
      <c r="S814" s="419"/>
      <c r="T814" s="419"/>
      <c r="U814" s="419"/>
      <c r="V814" s="419"/>
      <c r="W814" s="419">
        <f t="shared" si="37"/>
        <v>0</v>
      </c>
      <c r="X814" s="412"/>
      <c r="Y814" s="412"/>
      <c r="Z814" s="412">
        <v>300</v>
      </c>
      <c r="AA814" s="412"/>
      <c r="AB814" s="412"/>
      <c r="AC814" s="412"/>
      <c r="AD814" s="412"/>
      <c r="AE814" s="412"/>
      <c r="AF814" s="412"/>
      <c r="AG814" s="412"/>
      <c r="AH814" s="412"/>
      <c r="AI814" s="412"/>
      <c r="AJ814" s="412">
        <f t="shared" si="38"/>
        <v>300</v>
      </c>
      <c r="AK814" s="198"/>
      <c r="AL814" s="250" t="s">
        <v>2067</v>
      </c>
    </row>
    <row r="815" spans="1:38" ht="14.1" customHeight="1" x14ac:dyDescent="0.2">
      <c r="A815" t="s">
        <v>884</v>
      </c>
      <c r="B815" s="193">
        <v>4450</v>
      </c>
      <c r="C815" s="194" t="s">
        <v>789</v>
      </c>
      <c r="D815" s="229" t="s">
        <v>1485</v>
      </c>
      <c r="E815" s="229" t="s">
        <v>104</v>
      </c>
      <c r="F815" s="240">
        <v>300</v>
      </c>
      <c r="G815" s="196">
        <v>1</v>
      </c>
      <c r="H815" s="195">
        <v>300</v>
      </c>
      <c r="I815" s="197">
        <v>41336</v>
      </c>
      <c r="J815" s="197" t="str">
        <f t="shared" si="39"/>
        <v>ok</v>
      </c>
      <c r="K815" s="419"/>
      <c r="L815" s="419"/>
      <c r="M815" s="419"/>
      <c r="N815" s="419"/>
      <c r="O815" s="419"/>
      <c r="P815" s="419"/>
      <c r="Q815" s="419"/>
      <c r="R815" s="419"/>
      <c r="S815" s="419"/>
      <c r="T815" s="419"/>
      <c r="U815" s="419"/>
      <c r="V815" s="419"/>
      <c r="W815" s="419">
        <f t="shared" si="37"/>
        <v>0</v>
      </c>
      <c r="X815" s="412"/>
      <c r="Y815" s="412"/>
      <c r="Z815" s="412">
        <v>300</v>
      </c>
      <c r="AA815" s="412"/>
      <c r="AB815" s="412"/>
      <c r="AC815" s="412"/>
      <c r="AD815" s="412"/>
      <c r="AE815" s="412"/>
      <c r="AF815" s="412"/>
      <c r="AG815" s="412"/>
      <c r="AH815" s="412"/>
      <c r="AI815" s="412"/>
      <c r="AJ815" s="412">
        <f t="shared" si="38"/>
        <v>300</v>
      </c>
      <c r="AK815" s="198"/>
      <c r="AL815" s="250" t="s">
        <v>2067</v>
      </c>
    </row>
    <row r="816" spans="1:38" ht="14.1" customHeight="1" x14ac:dyDescent="0.2">
      <c r="A816" t="s">
        <v>890</v>
      </c>
      <c r="B816" s="193">
        <v>4451</v>
      </c>
      <c r="C816" s="194" t="s">
        <v>989</v>
      </c>
      <c r="D816" s="229" t="s">
        <v>1392</v>
      </c>
      <c r="E816" s="229" t="s">
        <v>478</v>
      </c>
      <c r="F816" s="240">
        <v>300</v>
      </c>
      <c r="G816" s="196">
        <v>1</v>
      </c>
      <c r="H816" s="195">
        <v>300</v>
      </c>
      <c r="I816" s="197">
        <v>41336</v>
      </c>
      <c r="J816" s="197" t="str">
        <f t="shared" si="39"/>
        <v>ok</v>
      </c>
      <c r="K816" s="419"/>
      <c r="L816" s="419"/>
      <c r="M816" s="419"/>
      <c r="N816" s="419"/>
      <c r="O816" s="419"/>
      <c r="P816" s="419"/>
      <c r="Q816" s="419"/>
      <c r="R816" s="419"/>
      <c r="S816" s="419"/>
      <c r="T816" s="419"/>
      <c r="U816" s="419"/>
      <c r="V816" s="419"/>
      <c r="W816" s="419">
        <f t="shared" si="37"/>
        <v>0</v>
      </c>
      <c r="X816" s="412"/>
      <c r="Y816" s="412"/>
      <c r="Z816" s="412">
        <v>300</v>
      </c>
      <c r="AA816" s="412"/>
      <c r="AB816" s="412"/>
      <c r="AC816" s="412"/>
      <c r="AD816" s="412"/>
      <c r="AE816" s="412"/>
      <c r="AF816" s="412"/>
      <c r="AG816" s="412"/>
      <c r="AH816" s="412"/>
      <c r="AI816" s="412"/>
      <c r="AJ816" s="412">
        <f t="shared" si="38"/>
        <v>300</v>
      </c>
      <c r="AK816" s="198"/>
      <c r="AL816" s="250" t="s">
        <v>2067</v>
      </c>
    </row>
    <row r="817" spans="1:38" ht="14.1" customHeight="1" x14ac:dyDescent="0.2">
      <c r="A817" t="s">
        <v>893</v>
      </c>
      <c r="B817" s="193">
        <v>4452</v>
      </c>
      <c r="C817" s="194" t="s">
        <v>778</v>
      </c>
      <c r="D817" s="229" t="s">
        <v>1573</v>
      </c>
      <c r="E817" s="229" t="s">
        <v>715</v>
      </c>
      <c r="F817" s="240">
        <v>300</v>
      </c>
      <c r="G817" s="196">
        <v>5</v>
      </c>
      <c r="H817" s="195">
        <v>40</v>
      </c>
      <c r="I817" s="197">
        <v>41336</v>
      </c>
      <c r="J817" s="197" t="str">
        <f t="shared" si="39"/>
        <v>ok</v>
      </c>
      <c r="K817" s="419"/>
      <c r="L817" s="419"/>
      <c r="M817" s="419"/>
      <c r="N817" s="419"/>
      <c r="O817" s="419"/>
      <c r="P817" s="419"/>
      <c r="Q817" s="419"/>
      <c r="R817" s="419"/>
      <c r="S817" s="419"/>
      <c r="T817" s="419"/>
      <c r="U817" s="419"/>
      <c r="V817" s="419"/>
      <c r="W817" s="419">
        <f t="shared" si="37"/>
        <v>0</v>
      </c>
      <c r="X817" s="412"/>
      <c r="Y817" s="412"/>
      <c r="Z817" s="412"/>
      <c r="AA817" s="412"/>
      <c r="AB817" s="412"/>
      <c r="AC817" s="412"/>
      <c r="AD817" s="412"/>
      <c r="AE817" s="412"/>
      <c r="AF817" s="412"/>
      <c r="AG817" s="412"/>
      <c r="AH817" s="412"/>
      <c r="AI817" s="412"/>
      <c r="AJ817" s="412">
        <f t="shared" si="38"/>
        <v>0</v>
      </c>
      <c r="AK817" s="198"/>
      <c r="AL817" s="250" t="s">
        <v>2068</v>
      </c>
    </row>
    <row r="818" spans="1:38" ht="14.1" customHeight="1" x14ac:dyDescent="0.2">
      <c r="A818" t="s">
        <v>884</v>
      </c>
      <c r="B818" s="193">
        <v>4453</v>
      </c>
      <c r="C818" s="194" t="s">
        <v>814</v>
      </c>
      <c r="D818" s="229" t="s">
        <v>1505</v>
      </c>
      <c r="E818" s="229" t="s">
        <v>1201</v>
      </c>
      <c r="F818" s="240">
        <v>300</v>
      </c>
      <c r="G818" s="196">
        <v>1</v>
      </c>
      <c r="H818" s="195">
        <v>600</v>
      </c>
      <c r="I818" s="197">
        <v>41336</v>
      </c>
      <c r="J818" s="197" t="str">
        <f t="shared" si="39"/>
        <v>ok</v>
      </c>
      <c r="K818" s="419"/>
      <c r="L818" s="419"/>
      <c r="M818" s="419"/>
      <c r="N818" s="419"/>
      <c r="O818" s="419"/>
      <c r="P818" s="419"/>
      <c r="Q818" s="419"/>
      <c r="R818" s="419"/>
      <c r="S818" s="419"/>
      <c r="T818" s="419"/>
      <c r="U818" s="419"/>
      <c r="V818" s="419"/>
      <c r="W818" s="419">
        <f t="shared" si="37"/>
        <v>0</v>
      </c>
      <c r="X818" s="412"/>
      <c r="Y818" s="412">
        <v>300</v>
      </c>
      <c r="Z818" s="412">
        <v>300</v>
      </c>
      <c r="AA818" s="412"/>
      <c r="AB818" s="412"/>
      <c r="AC818" s="412"/>
      <c r="AD818" s="412"/>
      <c r="AE818" s="412"/>
      <c r="AF818" s="412"/>
      <c r="AG818" s="412"/>
      <c r="AH818" s="412"/>
      <c r="AI818" s="412"/>
      <c r="AJ818" s="412">
        <f t="shared" si="38"/>
        <v>600</v>
      </c>
      <c r="AK818" s="198"/>
      <c r="AL818" s="250" t="s">
        <v>2067</v>
      </c>
    </row>
    <row r="819" spans="1:38" ht="14.1" customHeight="1" x14ac:dyDescent="0.2">
      <c r="A819" t="s">
        <v>893</v>
      </c>
      <c r="B819" s="193">
        <v>4454</v>
      </c>
      <c r="C819" s="194" t="s">
        <v>1146</v>
      </c>
      <c r="D819" s="229" t="s">
        <v>1576</v>
      </c>
      <c r="E819" s="229" t="s">
        <v>327</v>
      </c>
      <c r="F819" s="240">
        <v>300</v>
      </c>
      <c r="G819" s="196">
        <v>1</v>
      </c>
      <c r="H819" s="195">
        <v>300</v>
      </c>
      <c r="I819" s="197">
        <v>41336</v>
      </c>
      <c r="J819" s="197" t="str">
        <f t="shared" si="39"/>
        <v>ok</v>
      </c>
      <c r="K819" s="419"/>
      <c r="L819" s="419"/>
      <c r="M819" s="419"/>
      <c r="N819" s="419"/>
      <c r="O819" s="419"/>
      <c r="P819" s="419"/>
      <c r="Q819" s="419"/>
      <c r="R819" s="419"/>
      <c r="S819" s="419"/>
      <c r="T819" s="419"/>
      <c r="U819" s="419"/>
      <c r="V819" s="419"/>
      <c r="W819" s="419">
        <f t="shared" si="37"/>
        <v>0</v>
      </c>
      <c r="X819" s="412"/>
      <c r="Y819" s="412"/>
      <c r="Z819" s="412">
        <v>300</v>
      </c>
      <c r="AA819" s="412"/>
      <c r="AB819" s="412"/>
      <c r="AC819" s="412"/>
      <c r="AD819" s="412"/>
      <c r="AE819" s="412"/>
      <c r="AF819" s="412"/>
      <c r="AG819" s="412"/>
      <c r="AH819" s="412"/>
      <c r="AI819" s="412"/>
      <c r="AJ819" s="412">
        <f t="shared" si="38"/>
        <v>300</v>
      </c>
      <c r="AK819" s="198"/>
      <c r="AL819" s="250" t="s">
        <v>2067</v>
      </c>
    </row>
    <row r="820" spans="1:38" ht="14.1" customHeight="1" x14ac:dyDescent="0.2">
      <c r="A820" t="s">
        <v>888</v>
      </c>
      <c r="B820" s="193">
        <v>4455</v>
      </c>
      <c r="C820" s="194" t="s">
        <v>939</v>
      </c>
      <c r="D820" s="229" t="s">
        <v>1507</v>
      </c>
      <c r="E820" s="229" t="s">
        <v>395</v>
      </c>
      <c r="F820" s="240">
        <v>300</v>
      </c>
      <c r="G820" s="196">
        <v>1</v>
      </c>
      <c r="H820" s="195">
        <v>300</v>
      </c>
      <c r="I820" s="197">
        <v>41336</v>
      </c>
      <c r="J820" s="197" t="str">
        <f t="shared" si="39"/>
        <v>ok</v>
      </c>
      <c r="K820" s="419"/>
      <c r="L820" s="419"/>
      <c r="M820" s="419"/>
      <c r="N820" s="419"/>
      <c r="O820" s="419"/>
      <c r="P820" s="419"/>
      <c r="Q820" s="419"/>
      <c r="R820" s="419"/>
      <c r="S820" s="419"/>
      <c r="T820" s="419"/>
      <c r="U820" s="419"/>
      <c r="V820" s="419"/>
      <c r="W820" s="419">
        <f t="shared" si="37"/>
        <v>0</v>
      </c>
      <c r="X820" s="412"/>
      <c r="Y820" s="412"/>
      <c r="Z820" s="412">
        <v>300</v>
      </c>
      <c r="AA820" s="412"/>
      <c r="AB820" s="412"/>
      <c r="AC820" s="412"/>
      <c r="AD820" s="412"/>
      <c r="AE820" s="412"/>
      <c r="AF820" s="412"/>
      <c r="AG820" s="412"/>
      <c r="AH820" s="412"/>
      <c r="AI820" s="412"/>
      <c r="AJ820" s="412">
        <f t="shared" si="38"/>
        <v>300</v>
      </c>
      <c r="AK820" s="198"/>
      <c r="AL820" s="250" t="s">
        <v>2067</v>
      </c>
    </row>
    <row r="821" spans="1:38" ht="14.1" customHeight="1" x14ac:dyDescent="0.2">
      <c r="A821" t="s">
        <v>884</v>
      </c>
      <c r="B821" s="193">
        <v>4456</v>
      </c>
      <c r="C821" s="194" t="s">
        <v>871</v>
      </c>
      <c r="D821" s="229" t="s">
        <v>1479</v>
      </c>
      <c r="E821" s="229" t="s">
        <v>1252</v>
      </c>
      <c r="F821" s="240">
        <v>200</v>
      </c>
      <c r="G821" s="196">
        <v>1</v>
      </c>
      <c r="H821" s="195">
        <v>400</v>
      </c>
      <c r="I821" s="197">
        <v>41336</v>
      </c>
      <c r="J821" s="197" t="str">
        <f t="shared" si="39"/>
        <v>ok</v>
      </c>
      <c r="K821" s="419"/>
      <c r="L821" s="419"/>
      <c r="M821" s="419"/>
      <c r="N821" s="419"/>
      <c r="O821" s="419"/>
      <c r="P821" s="419"/>
      <c r="Q821" s="419"/>
      <c r="R821" s="419"/>
      <c r="S821" s="419"/>
      <c r="T821" s="419"/>
      <c r="U821" s="419"/>
      <c r="V821" s="419"/>
      <c r="W821" s="419">
        <f t="shared" si="37"/>
        <v>0</v>
      </c>
      <c r="X821" s="412"/>
      <c r="Y821" s="412">
        <v>200</v>
      </c>
      <c r="Z821" s="412">
        <v>200</v>
      </c>
      <c r="AA821" s="412"/>
      <c r="AB821" s="412"/>
      <c r="AC821" s="412"/>
      <c r="AD821" s="412"/>
      <c r="AE821" s="412"/>
      <c r="AF821" s="412"/>
      <c r="AG821" s="412"/>
      <c r="AH821" s="412"/>
      <c r="AI821" s="412"/>
      <c r="AJ821" s="412">
        <f t="shared" si="38"/>
        <v>400</v>
      </c>
      <c r="AK821" s="198"/>
      <c r="AL821" s="250" t="s">
        <v>2067</v>
      </c>
    </row>
    <row r="822" spans="1:38" ht="14.1" customHeight="1" x14ac:dyDescent="0.2">
      <c r="A822" t="s">
        <v>890</v>
      </c>
      <c r="B822" s="193">
        <v>4457</v>
      </c>
      <c r="C822" s="194" t="s">
        <v>1043</v>
      </c>
      <c r="D822" s="229" t="s">
        <v>1568</v>
      </c>
      <c r="E822" s="229" t="s">
        <v>554</v>
      </c>
      <c r="F822" s="240">
        <v>300</v>
      </c>
      <c r="G822" s="196">
        <v>1</v>
      </c>
      <c r="H822" s="195">
        <v>300</v>
      </c>
      <c r="I822" s="197">
        <v>41336</v>
      </c>
      <c r="J822" s="197" t="str">
        <f t="shared" si="39"/>
        <v>ok</v>
      </c>
      <c r="K822" s="419"/>
      <c r="L822" s="419"/>
      <c r="M822" s="419"/>
      <c r="N822" s="419"/>
      <c r="O822" s="419"/>
      <c r="P822" s="419"/>
      <c r="Q822" s="419"/>
      <c r="R822" s="419"/>
      <c r="S822" s="419"/>
      <c r="T822" s="419"/>
      <c r="U822" s="419"/>
      <c r="V822" s="419"/>
      <c r="W822" s="419">
        <f t="shared" si="37"/>
        <v>0</v>
      </c>
      <c r="X822" s="412">
        <v>300</v>
      </c>
      <c r="Y822" s="412"/>
      <c r="Z822" s="412"/>
      <c r="AA822" s="412"/>
      <c r="AB822" s="412"/>
      <c r="AC822" s="412"/>
      <c r="AD822" s="412"/>
      <c r="AE822" s="412"/>
      <c r="AF822" s="412"/>
      <c r="AG822" s="412"/>
      <c r="AH822" s="412"/>
      <c r="AI822" s="412"/>
      <c r="AJ822" s="412">
        <f t="shared" si="38"/>
        <v>300</v>
      </c>
      <c r="AK822" s="198"/>
      <c r="AL822" s="250" t="s">
        <v>2067</v>
      </c>
    </row>
    <row r="823" spans="1:38" ht="14.1" customHeight="1" x14ac:dyDescent="0.2">
      <c r="A823" t="s">
        <v>893</v>
      </c>
      <c r="B823" s="193">
        <v>4458</v>
      </c>
      <c r="C823" s="194" t="s">
        <v>1149</v>
      </c>
      <c r="D823" s="229" t="s">
        <v>1440</v>
      </c>
      <c r="E823" s="229" t="s">
        <v>335</v>
      </c>
      <c r="F823" s="240">
        <v>300</v>
      </c>
      <c r="G823" s="196">
        <v>1</v>
      </c>
      <c r="H823" s="195">
        <v>300</v>
      </c>
      <c r="I823" s="197">
        <v>41337</v>
      </c>
      <c r="J823" s="197" t="str">
        <f t="shared" si="39"/>
        <v>ok</v>
      </c>
      <c r="K823" s="419"/>
      <c r="L823" s="419"/>
      <c r="M823" s="419"/>
      <c r="N823" s="419"/>
      <c r="O823" s="419"/>
      <c r="P823" s="419"/>
      <c r="Q823" s="419"/>
      <c r="R823" s="419"/>
      <c r="S823" s="419"/>
      <c r="T823" s="419"/>
      <c r="U823" s="419"/>
      <c r="V823" s="419"/>
      <c r="W823" s="419">
        <f t="shared" si="37"/>
        <v>0</v>
      </c>
      <c r="X823" s="412"/>
      <c r="Y823" s="412">
        <v>300</v>
      </c>
      <c r="Z823" s="412"/>
      <c r="AA823" s="412"/>
      <c r="AB823" s="412"/>
      <c r="AC823" s="412"/>
      <c r="AD823" s="412"/>
      <c r="AE823" s="412"/>
      <c r="AF823" s="412"/>
      <c r="AG823" s="412"/>
      <c r="AH823" s="412"/>
      <c r="AI823" s="412"/>
      <c r="AJ823" s="412">
        <f t="shared" si="38"/>
        <v>300</v>
      </c>
      <c r="AK823" s="198"/>
      <c r="AL823" s="250" t="s">
        <v>2067</v>
      </c>
    </row>
    <row r="824" spans="1:38" ht="14.1" customHeight="1" x14ac:dyDescent="0.2">
      <c r="A824" t="s">
        <v>884</v>
      </c>
      <c r="B824" s="193">
        <v>4459</v>
      </c>
      <c r="C824" s="194" t="s">
        <v>849</v>
      </c>
      <c r="D824" s="229" t="s">
        <v>1558</v>
      </c>
      <c r="E824" s="229" t="s">
        <v>89</v>
      </c>
      <c r="F824" s="240">
        <v>150</v>
      </c>
      <c r="G824" s="196">
        <v>1</v>
      </c>
      <c r="H824" s="195">
        <v>300</v>
      </c>
      <c r="I824" s="197">
        <v>41337</v>
      </c>
      <c r="J824" s="197" t="str">
        <f t="shared" si="39"/>
        <v>ok</v>
      </c>
      <c r="K824" s="419"/>
      <c r="L824" s="419"/>
      <c r="M824" s="419"/>
      <c r="N824" s="419"/>
      <c r="O824" s="419"/>
      <c r="P824" s="419"/>
      <c r="Q824" s="419"/>
      <c r="R824" s="419"/>
      <c r="S824" s="419"/>
      <c r="T824" s="419"/>
      <c r="U824" s="419"/>
      <c r="V824" s="419"/>
      <c r="W824" s="419">
        <f t="shared" si="37"/>
        <v>0</v>
      </c>
      <c r="X824" s="412"/>
      <c r="Y824" s="412">
        <v>150</v>
      </c>
      <c r="Z824" s="412">
        <v>150</v>
      </c>
      <c r="AA824" s="412"/>
      <c r="AB824" s="412"/>
      <c r="AC824" s="412"/>
      <c r="AD824" s="412"/>
      <c r="AE824" s="412"/>
      <c r="AF824" s="412"/>
      <c r="AG824" s="412"/>
      <c r="AH824" s="412"/>
      <c r="AI824" s="412"/>
      <c r="AJ824" s="412">
        <f t="shared" si="38"/>
        <v>300</v>
      </c>
      <c r="AK824" s="198"/>
      <c r="AL824" s="250" t="s">
        <v>2067</v>
      </c>
    </row>
    <row r="825" spans="1:38" ht="14.1" customHeight="1" x14ac:dyDescent="0.2">
      <c r="A825" t="s">
        <v>890</v>
      </c>
      <c r="B825" s="193">
        <v>4460</v>
      </c>
      <c r="C825" s="194" t="s">
        <v>987</v>
      </c>
      <c r="D825" s="229" t="s">
        <v>1638</v>
      </c>
      <c r="E825" s="229" t="s">
        <v>475</v>
      </c>
      <c r="F825" s="240">
        <v>300</v>
      </c>
      <c r="G825" s="196">
        <v>1</v>
      </c>
      <c r="H825" s="195">
        <v>900</v>
      </c>
      <c r="I825" s="197">
        <v>41337</v>
      </c>
      <c r="J825" s="197" t="str">
        <f t="shared" si="39"/>
        <v>ok</v>
      </c>
      <c r="K825" s="419"/>
      <c r="L825" s="419"/>
      <c r="M825" s="419"/>
      <c r="N825" s="419"/>
      <c r="O825" s="419"/>
      <c r="P825" s="419"/>
      <c r="Q825" s="419"/>
      <c r="R825" s="419"/>
      <c r="S825" s="419"/>
      <c r="T825" s="419"/>
      <c r="U825" s="419"/>
      <c r="V825" s="419"/>
      <c r="W825" s="419">
        <f t="shared" si="37"/>
        <v>0</v>
      </c>
      <c r="X825" s="412">
        <v>300</v>
      </c>
      <c r="Y825" s="412">
        <v>300</v>
      </c>
      <c r="Z825" s="412">
        <v>300</v>
      </c>
      <c r="AA825" s="412"/>
      <c r="AB825" s="412"/>
      <c r="AC825" s="412"/>
      <c r="AD825" s="412"/>
      <c r="AE825" s="412"/>
      <c r="AF825" s="412"/>
      <c r="AG825" s="412"/>
      <c r="AH825" s="412"/>
      <c r="AI825" s="412"/>
      <c r="AJ825" s="412">
        <f t="shared" si="38"/>
        <v>900</v>
      </c>
      <c r="AK825" s="198"/>
      <c r="AL825" s="250" t="s">
        <v>2067</v>
      </c>
    </row>
    <row r="826" spans="1:38" ht="14.1" customHeight="1" x14ac:dyDescent="0.2">
      <c r="A826" t="s">
        <v>889</v>
      </c>
      <c r="B826" s="193">
        <v>4461</v>
      </c>
      <c r="C826" s="194" t="s">
        <v>970</v>
      </c>
      <c r="D826" s="229" t="s">
        <v>1444</v>
      </c>
      <c r="E826" s="229" t="s">
        <v>1247</v>
      </c>
      <c r="F826" s="240">
        <v>300</v>
      </c>
      <c r="G826" s="196">
        <v>1</v>
      </c>
      <c r="H826" s="195">
        <v>300</v>
      </c>
      <c r="I826" s="197">
        <v>41338</v>
      </c>
      <c r="J826" s="197" t="str">
        <f t="shared" si="39"/>
        <v>ok</v>
      </c>
      <c r="K826" s="419"/>
      <c r="L826" s="419"/>
      <c r="M826" s="419"/>
      <c r="N826" s="419"/>
      <c r="O826" s="419"/>
      <c r="P826" s="419"/>
      <c r="Q826" s="419"/>
      <c r="R826" s="419"/>
      <c r="S826" s="419"/>
      <c r="T826" s="419"/>
      <c r="U826" s="419"/>
      <c r="V826" s="419"/>
      <c r="W826" s="419">
        <f t="shared" si="37"/>
        <v>0</v>
      </c>
      <c r="X826" s="412"/>
      <c r="Y826" s="412"/>
      <c r="Z826" s="412">
        <v>300</v>
      </c>
      <c r="AA826" s="412"/>
      <c r="AB826" s="412"/>
      <c r="AC826" s="412"/>
      <c r="AD826" s="412"/>
      <c r="AE826" s="412"/>
      <c r="AF826" s="412"/>
      <c r="AG826" s="412"/>
      <c r="AH826" s="412"/>
      <c r="AI826" s="412"/>
      <c r="AJ826" s="412">
        <f t="shared" si="38"/>
        <v>300</v>
      </c>
      <c r="AK826" s="198"/>
      <c r="AL826" s="250" t="s">
        <v>2067</v>
      </c>
    </row>
    <row r="827" spans="1:38" ht="14.1" customHeight="1" x14ac:dyDescent="0.2">
      <c r="A827" t="s">
        <v>884</v>
      </c>
      <c r="B827" s="193">
        <v>4462</v>
      </c>
      <c r="C827" s="194" t="s">
        <v>872</v>
      </c>
      <c r="D827" s="229" t="s">
        <v>1501</v>
      </c>
      <c r="E827" s="229" t="s">
        <v>125</v>
      </c>
      <c r="F827" s="240">
        <v>300</v>
      </c>
      <c r="G827" s="196">
        <v>1</v>
      </c>
      <c r="H827" s="195">
        <v>300</v>
      </c>
      <c r="I827" s="197">
        <v>41338</v>
      </c>
      <c r="J827" s="197" t="str">
        <f t="shared" si="39"/>
        <v>ok</v>
      </c>
      <c r="K827" s="419"/>
      <c r="L827" s="419"/>
      <c r="M827" s="419"/>
      <c r="N827" s="419"/>
      <c r="O827" s="419"/>
      <c r="P827" s="419"/>
      <c r="Q827" s="419"/>
      <c r="R827" s="419"/>
      <c r="S827" s="419"/>
      <c r="T827" s="419"/>
      <c r="U827" s="419"/>
      <c r="V827" s="419"/>
      <c r="W827" s="419">
        <f t="shared" si="37"/>
        <v>0</v>
      </c>
      <c r="X827" s="412"/>
      <c r="Y827" s="412"/>
      <c r="Z827" s="412">
        <v>300</v>
      </c>
      <c r="AA827" s="412"/>
      <c r="AB827" s="412"/>
      <c r="AC827" s="412"/>
      <c r="AD827" s="412"/>
      <c r="AE827" s="412"/>
      <c r="AF827" s="412"/>
      <c r="AG827" s="412"/>
      <c r="AH827" s="412"/>
      <c r="AI827" s="412"/>
      <c r="AJ827" s="412">
        <f t="shared" si="38"/>
        <v>300</v>
      </c>
      <c r="AK827" s="198"/>
      <c r="AL827" s="250" t="s">
        <v>2067</v>
      </c>
    </row>
    <row r="828" spans="1:38" ht="14.1" customHeight="1" x14ac:dyDescent="0.2">
      <c r="A828" t="s">
        <v>884</v>
      </c>
      <c r="B828" s="193">
        <v>4463</v>
      </c>
      <c r="C828" s="194" t="s">
        <v>875</v>
      </c>
      <c r="D828" s="229" t="s">
        <v>1635</v>
      </c>
      <c r="E828" s="229" t="s">
        <v>430</v>
      </c>
      <c r="F828" s="240">
        <v>300</v>
      </c>
      <c r="G828" s="196">
        <v>1</v>
      </c>
      <c r="H828" s="195">
        <v>1200</v>
      </c>
      <c r="I828" s="197">
        <v>41338</v>
      </c>
      <c r="J828" s="197" t="str">
        <f t="shared" si="39"/>
        <v>ok</v>
      </c>
      <c r="K828" s="419"/>
      <c r="L828" s="419"/>
      <c r="M828" s="419"/>
      <c r="N828" s="419"/>
      <c r="O828" s="419"/>
      <c r="P828" s="419"/>
      <c r="Q828" s="419"/>
      <c r="R828" s="419"/>
      <c r="S828" s="419"/>
      <c r="T828" s="419"/>
      <c r="U828" s="419">
        <v>300</v>
      </c>
      <c r="V828" s="419">
        <v>300</v>
      </c>
      <c r="W828" s="419">
        <f t="shared" si="37"/>
        <v>600</v>
      </c>
      <c r="X828" s="412">
        <v>300</v>
      </c>
      <c r="Y828" s="412">
        <v>300</v>
      </c>
      <c r="Z828" s="412"/>
      <c r="AA828" s="412"/>
      <c r="AB828" s="412"/>
      <c r="AC828" s="412"/>
      <c r="AD828" s="412"/>
      <c r="AE828" s="412"/>
      <c r="AF828" s="412"/>
      <c r="AG828" s="412"/>
      <c r="AH828" s="412"/>
      <c r="AI828" s="412"/>
      <c r="AJ828" s="412">
        <f t="shared" si="38"/>
        <v>600</v>
      </c>
      <c r="AK828" s="198" t="s">
        <v>1259</v>
      </c>
      <c r="AL828" s="250" t="s">
        <v>2067</v>
      </c>
    </row>
    <row r="829" spans="1:38" ht="14.1" customHeight="1" x14ac:dyDescent="0.2">
      <c r="A829" t="s">
        <v>884</v>
      </c>
      <c r="B829" s="193">
        <v>4463</v>
      </c>
      <c r="C829" s="194" t="s">
        <v>875</v>
      </c>
      <c r="D829" s="229" t="s">
        <v>1635</v>
      </c>
      <c r="E829" s="229" t="s">
        <v>430</v>
      </c>
      <c r="F829" s="240">
        <v>300</v>
      </c>
      <c r="G829" s="196">
        <v>2</v>
      </c>
      <c r="H829" s="195">
        <v>300</v>
      </c>
      <c r="I829" s="197">
        <v>41338</v>
      </c>
      <c r="J829" s="197" t="str">
        <f t="shared" si="39"/>
        <v>ok</v>
      </c>
      <c r="K829" s="419"/>
      <c r="L829" s="419"/>
      <c r="M829" s="419"/>
      <c r="N829" s="419"/>
      <c r="O829" s="419"/>
      <c r="P829" s="419"/>
      <c r="Q829" s="419"/>
      <c r="R829" s="419"/>
      <c r="S829" s="419"/>
      <c r="T829" s="419"/>
      <c r="U829" s="419"/>
      <c r="V829" s="419"/>
      <c r="W829" s="419">
        <f t="shared" si="37"/>
        <v>0</v>
      </c>
      <c r="X829" s="412"/>
      <c r="Y829" s="412"/>
      <c r="Z829" s="412"/>
      <c r="AA829" s="412"/>
      <c r="AB829" s="412"/>
      <c r="AC829" s="412"/>
      <c r="AD829" s="412"/>
      <c r="AE829" s="412"/>
      <c r="AF829" s="412"/>
      <c r="AG829" s="412"/>
      <c r="AH829" s="412"/>
      <c r="AI829" s="412"/>
      <c r="AJ829" s="412">
        <f t="shared" si="38"/>
        <v>0</v>
      </c>
      <c r="AK829" s="198"/>
      <c r="AL829" s="250" t="s">
        <v>2068</v>
      </c>
    </row>
    <row r="830" spans="1:38" ht="14.1" customHeight="1" x14ac:dyDescent="0.2">
      <c r="A830" t="s">
        <v>884</v>
      </c>
      <c r="B830" s="193">
        <v>4464</v>
      </c>
      <c r="C830" s="194" t="s">
        <v>861</v>
      </c>
      <c r="D830" s="229" t="s">
        <v>1446</v>
      </c>
      <c r="E830" s="229" t="s">
        <v>1208</v>
      </c>
      <c r="F830" s="240">
        <v>150</v>
      </c>
      <c r="G830" s="196">
        <v>1</v>
      </c>
      <c r="H830" s="195">
        <v>150</v>
      </c>
      <c r="I830" s="197">
        <v>41340</v>
      </c>
      <c r="J830" s="197" t="str">
        <f t="shared" si="39"/>
        <v>ok</v>
      </c>
      <c r="K830" s="419"/>
      <c r="L830" s="419"/>
      <c r="M830" s="419"/>
      <c r="N830" s="419"/>
      <c r="O830" s="419"/>
      <c r="P830" s="419"/>
      <c r="Q830" s="419"/>
      <c r="R830" s="419"/>
      <c r="S830" s="419"/>
      <c r="T830" s="419"/>
      <c r="U830" s="419"/>
      <c r="V830" s="419"/>
      <c r="W830" s="419">
        <f t="shared" si="37"/>
        <v>0</v>
      </c>
      <c r="X830" s="412"/>
      <c r="Y830" s="412"/>
      <c r="Z830" s="412">
        <v>150</v>
      </c>
      <c r="AA830" s="412"/>
      <c r="AB830" s="412"/>
      <c r="AC830" s="412"/>
      <c r="AD830" s="412"/>
      <c r="AE830" s="412"/>
      <c r="AF830" s="412"/>
      <c r="AG830" s="412"/>
      <c r="AH830" s="412"/>
      <c r="AI830" s="412"/>
      <c r="AJ830" s="412">
        <f t="shared" si="38"/>
        <v>150</v>
      </c>
      <c r="AK830" s="198"/>
      <c r="AL830" s="250" t="s">
        <v>2067</v>
      </c>
    </row>
    <row r="831" spans="1:38" ht="14.1" customHeight="1" x14ac:dyDescent="0.2">
      <c r="A831" t="s">
        <v>887</v>
      </c>
      <c r="B831" s="193">
        <v>4465</v>
      </c>
      <c r="C831" s="194" t="s">
        <v>904</v>
      </c>
      <c r="D831" s="229" t="s">
        <v>1361</v>
      </c>
      <c r="E831" s="229" t="s">
        <v>667</v>
      </c>
      <c r="F831" s="240">
        <v>300</v>
      </c>
      <c r="G831" s="196">
        <v>1</v>
      </c>
      <c r="H831" s="195">
        <v>300</v>
      </c>
      <c r="I831" s="197">
        <v>41341</v>
      </c>
      <c r="J831" s="197" t="str">
        <f t="shared" si="39"/>
        <v>ok</v>
      </c>
      <c r="K831" s="419"/>
      <c r="L831" s="419"/>
      <c r="M831" s="419"/>
      <c r="N831" s="419"/>
      <c r="O831" s="419"/>
      <c r="P831" s="419"/>
      <c r="Q831" s="419"/>
      <c r="R831" s="419"/>
      <c r="S831" s="419"/>
      <c r="T831" s="419"/>
      <c r="U831" s="419"/>
      <c r="V831" s="419"/>
      <c r="W831" s="419">
        <f t="shared" si="37"/>
        <v>0</v>
      </c>
      <c r="X831" s="412"/>
      <c r="Y831" s="412"/>
      <c r="Z831" s="412">
        <v>300</v>
      </c>
      <c r="AA831" s="412"/>
      <c r="AB831" s="412"/>
      <c r="AC831" s="412"/>
      <c r="AD831" s="412"/>
      <c r="AE831" s="412"/>
      <c r="AF831" s="412"/>
      <c r="AG831" s="412"/>
      <c r="AH831" s="412"/>
      <c r="AI831" s="412"/>
      <c r="AJ831" s="412">
        <f t="shared" si="38"/>
        <v>300</v>
      </c>
      <c r="AK831" s="198"/>
      <c r="AL831" s="250" t="s">
        <v>2067</v>
      </c>
    </row>
    <row r="832" spans="1:38" ht="14.1" customHeight="1" x14ac:dyDescent="0.2">
      <c r="A832" t="s">
        <v>893</v>
      </c>
      <c r="B832" s="193">
        <v>4466</v>
      </c>
      <c r="C832" s="194" t="s">
        <v>1141</v>
      </c>
      <c r="D832" s="229" t="s">
        <v>1437</v>
      </c>
      <c r="E832" s="229" t="s">
        <v>716</v>
      </c>
      <c r="F832" s="240">
        <v>300</v>
      </c>
      <c r="G832" s="196">
        <v>1</v>
      </c>
      <c r="H832" s="195">
        <v>300</v>
      </c>
      <c r="I832" s="197">
        <v>41342</v>
      </c>
      <c r="J832" s="197" t="str">
        <f t="shared" si="39"/>
        <v>ok</v>
      </c>
      <c r="K832" s="419"/>
      <c r="L832" s="419"/>
      <c r="M832" s="419"/>
      <c r="N832" s="419"/>
      <c r="O832" s="419"/>
      <c r="P832" s="419"/>
      <c r="Q832" s="419"/>
      <c r="R832" s="419"/>
      <c r="S832" s="419"/>
      <c r="T832" s="419"/>
      <c r="U832" s="419"/>
      <c r="V832" s="419"/>
      <c r="W832" s="419">
        <f t="shared" si="37"/>
        <v>0</v>
      </c>
      <c r="X832" s="412"/>
      <c r="Y832" s="412"/>
      <c r="Z832" s="412">
        <v>300</v>
      </c>
      <c r="AA832" s="412"/>
      <c r="AB832" s="412"/>
      <c r="AC832" s="412"/>
      <c r="AD832" s="412"/>
      <c r="AE832" s="412"/>
      <c r="AF832" s="412"/>
      <c r="AG832" s="412"/>
      <c r="AH832" s="412"/>
      <c r="AI832" s="412"/>
      <c r="AJ832" s="412">
        <f t="shared" si="38"/>
        <v>300</v>
      </c>
      <c r="AK832" s="198"/>
      <c r="AL832" s="250" t="s">
        <v>2067</v>
      </c>
    </row>
    <row r="833" spans="1:38" ht="14.1" customHeight="1" x14ac:dyDescent="0.2">
      <c r="A833" t="s">
        <v>892</v>
      </c>
      <c r="B833" s="193">
        <v>4467</v>
      </c>
      <c r="C833" s="194" t="s">
        <v>1063</v>
      </c>
      <c r="D833" s="229" t="s">
        <v>1359</v>
      </c>
      <c r="E833" s="229" t="s">
        <v>521</v>
      </c>
      <c r="F833" s="240">
        <v>300</v>
      </c>
      <c r="G833" s="196">
        <v>1</v>
      </c>
      <c r="H833" s="195">
        <v>600</v>
      </c>
      <c r="I833" s="197">
        <v>41342</v>
      </c>
      <c r="J833" s="197" t="str">
        <f t="shared" si="39"/>
        <v>ok</v>
      </c>
      <c r="K833" s="419"/>
      <c r="L833" s="419"/>
      <c r="M833" s="419"/>
      <c r="N833" s="419"/>
      <c r="O833" s="419"/>
      <c r="P833" s="419"/>
      <c r="Q833" s="419"/>
      <c r="R833" s="419"/>
      <c r="S833" s="419"/>
      <c r="T833" s="419"/>
      <c r="U833" s="419"/>
      <c r="V833" s="419"/>
      <c r="W833" s="419">
        <f t="shared" si="37"/>
        <v>0</v>
      </c>
      <c r="X833" s="412"/>
      <c r="Y833" s="412"/>
      <c r="Z833" s="412">
        <v>300</v>
      </c>
      <c r="AA833" s="412">
        <v>300</v>
      </c>
      <c r="AB833" s="412"/>
      <c r="AC833" s="412"/>
      <c r="AD833" s="412"/>
      <c r="AE833" s="412"/>
      <c r="AF833" s="412"/>
      <c r="AG833" s="412"/>
      <c r="AH833" s="412"/>
      <c r="AI833" s="412"/>
      <c r="AJ833" s="412">
        <f t="shared" si="38"/>
        <v>600</v>
      </c>
      <c r="AK833" s="198"/>
      <c r="AL833" s="250" t="s">
        <v>2067</v>
      </c>
    </row>
    <row r="834" spans="1:38" ht="14.1" customHeight="1" x14ac:dyDescent="0.2">
      <c r="A834" t="s">
        <v>890</v>
      </c>
      <c r="B834" s="193">
        <v>4468</v>
      </c>
      <c r="C834" s="194" t="s">
        <v>992</v>
      </c>
      <c r="D834" s="229" t="s">
        <v>1624</v>
      </c>
      <c r="E834" s="229" t="s">
        <v>727</v>
      </c>
      <c r="F834" s="240">
        <v>300</v>
      </c>
      <c r="G834" s="196">
        <v>1</v>
      </c>
      <c r="H834" s="195">
        <v>300</v>
      </c>
      <c r="I834" s="197">
        <v>41343</v>
      </c>
      <c r="J834" s="197" t="str">
        <f t="shared" si="39"/>
        <v>ok</v>
      </c>
      <c r="K834" s="419"/>
      <c r="L834" s="419"/>
      <c r="M834" s="419"/>
      <c r="N834" s="419"/>
      <c r="O834" s="419"/>
      <c r="P834" s="419"/>
      <c r="Q834" s="419"/>
      <c r="R834" s="419"/>
      <c r="S834" s="419"/>
      <c r="T834" s="419"/>
      <c r="U834" s="419"/>
      <c r="V834" s="419"/>
      <c r="W834" s="419">
        <f t="shared" si="37"/>
        <v>0</v>
      </c>
      <c r="X834" s="412"/>
      <c r="Y834" s="412">
        <v>300</v>
      </c>
      <c r="Z834" s="412"/>
      <c r="AA834" s="412"/>
      <c r="AB834" s="412"/>
      <c r="AC834" s="412"/>
      <c r="AD834" s="412"/>
      <c r="AE834" s="412"/>
      <c r="AF834" s="412"/>
      <c r="AG834" s="412"/>
      <c r="AH834" s="412"/>
      <c r="AI834" s="412"/>
      <c r="AJ834" s="412">
        <f t="shared" si="38"/>
        <v>300</v>
      </c>
      <c r="AK834" s="198"/>
      <c r="AL834" s="250" t="s">
        <v>2067</v>
      </c>
    </row>
    <row r="835" spans="1:38" ht="14.1" customHeight="1" x14ac:dyDescent="0.2">
      <c r="A835" t="s">
        <v>884</v>
      </c>
      <c r="B835" s="193">
        <v>4469</v>
      </c>
      <c r="C835" s="194" t="s">
        <v>818</v>
      </c>
      <c r="D835" s="229" t="s">
        <v>1375</v>
      </c>
      <c r="E835" s="229" t="s">
        <v>42</v>
      </c>
      <c r="F835" s="240">
        <v>250</v>
      </c>
      <c r="G835" s="196">
        <v>1</v>
      </c>
      <c r="H835" s="195">
        <v>250</v>
      </c>
      <c r="I835" s="197">
        <v>41343</v>
      </c>
      <c r="J835" s="197" t="str">
        <f t="shared" si="39"/>
        <v>ok</v>
      </c>
      <c r="K835" s="419"/>
      <c r="L835" s="419"/>
      <c r="M835" s="419"/>
      <c r="N835" s="419"/>
      <c r="O835" s="419"/>
      <c r="P835" s="419"/>
      <c r="Q835" s="419"/>
      <c r="R835" s="419"/>
      <c r="S835" s="419"/>
      <c r="T835" s="419"/>
      <c r="U835" s="419"/>
      <c r="V835" s="419"/>
      <c r="W835" s="419">
        <f t="shared" si="37"/>
        <v>0</v>
      </c>
      <c r="X835" s="412"/>
      <c r="Y835" s="412"/>
      <c r="Z835" s="412">
        <v>250</v>
      </c>
      <c r="AA835" s="412"/>
      <c r="AB835" s="412"/>
      <c r="AC835" s="412"/>
      <c r="AD835" s="412"/>
      <c r="AE835" s="412"/>
      <c r="AF835" s="412"/>
      <c r="AG835" s="412"/>
      <c r="AH835" s="412"/>
      <c r="AI835" s="412"/>
      <c r="AJ835" s="412">
        <f t="shared" si="38"/>
        <v>250</v>
      </c>
      <c r="AK835" s="198"/>
      <c r="AL835" s="250" t="s">
        <v>2067</v>
      </c>
    </row>
    <row r="836" spans="1:38" ht="14.1" customHeight="1" x14ac:dyDescent="0.2">
      <c r="A836" t="s">
        <v>888</v>
      </c>
      <c r="B836" s="193">
        <v>4470</v>
      </c>
      <c r="C836" s="194" t="s">
        <v>940</v>
      </c>
      <c r="D836" s="229" t="s">
        <v>1575</v>
      </c>
      <c r="E836" s="229" t="s">
        <v>397</v>
      </c>
      <c r="F836" s="240">
        <v>300</v>
      </c>
      <c r="G836" s="196">
        <v>1</v>
      </c>
      <c r="H836" s="195">
        <v>300</v>
      </c>
      <c r="I836" s="197">
        <v>41343</v>
      </c>
      <c r="J836" s="197" t="str">
        <f t="shared" si="39"/>
        <v>ok</v>
      </c>
      <c r="K836" s="419"/>
      <c r="L836" s="419"/>
      <c r="M836" s="419"/>
      <c r="N836" s="419"/>
      <c r="O836" s="419"/>
      <c r="P836" s="419"/>
      <c r="Q836" s="419"/>
      <c r="R836" s="419"/>
      <c r="S836" s="419"/>
      <c r="T836" s="419"/>
      <c r="U836" s="419"/>
      <c r="V836" s="419"/>
      <c r="W836" s="419">
        <f t="shared" si="37"/>
        <v>0</v>
      </c>
      <c r="X836" s="412"/>
      <c r="Y836" s="412"/>
      <c r="Z836" s="412">
        <v>300</v>
      </c>
      <c r="AA836" s="412"/>
      <c r="AB836" s="412"/>
      <c r="AC836" s="412"/>
      <c r="AD836" s="412"/>
      <c r="AE836" s="412"/>
      <c r="AF836" s="412"/>
      <c r="AG836" s="412"/>
      <c r="AH836" s="412"/>
      <c r="AI836" s="412"/>
      <c r="AJ836" s="412">
        <f t="shared" si="38"/>
        <v>300</v>
      </c>
      <c r="AK836" s="198"/>
      <c r="AL836" s="250" t="s">
        <v>2067</v>
      </c>
    </row>
    <row r="837" spans="1:38" ht="14.1" customHeight="1" x14ac:dyDescent="0.2">
      <c r="A837" t="s">
        <v>891</v>
      </c>
      <c r="B837" s="193">
        <v>4471</v>
      </c>
      <c r="C837" s="194" t="s">
        <v>1050</v>
      </c>
      <c r="D837" s="229" t="s">
        <v>1380</v>
      </c>
      <c r="E837" s="229" t="s">
        <v>1220</v>
      </c>
      <c r="F837" s="240">
        <v>150</v>
      </c>
      <c r="G837" s="196">
        <v>1</v>
      </c>
      <c r="H837" s="195">
        <v>150</v>
      </c>
      <c r="I837" s="197">
        <v>41343</v>
      </c>
      <c r="J837" s="197" t="str">
        <f t="shared" si="39"/>
        <v>ok</v>
      </c>
      <c r="K837" s="419"/>
      <c r="L837" s="419"/>
      <c r="M837" s="419"/>
      <c r="N837" s="419"/>
      <c r="O837" s="419"/>
      <c r="P837" s="419"/>
      <c r="Q837" s="419"/>
      <c r="R837" s="419"/>
      <c r="S837" s="419"/>
      <c r="T837" s="419"/>
      <c r="U837" s="419"/>
      <c r="V837" s="419"/>
      <c r="W837" s="419">
        <f t="shared" si="37"/>
        <v>0</v>
      </c>
      <c r="X837" s="412"/>
      <c r="Y837" s="412"/>
      <c r="Z837" s="412">
        <v>150</v>
      </c>
      <c r="AA837" s="412"/>
      <c r="AB837" s="412"/>
      <c r="AC837" s="412"/>
      <c r="AD837" s="412"/>
      <c r="AE837" s="412"/>
      <c r="AF837" s="412"/>
      <c r="AG837" s="412"/>
      <c r="AH837" s="412"/>
      <c r="AI837" s="412"/>
      <c r="AJ837" s="412">
        <f t="shared" si="38"/>
        <v>150</v>
      </c>
      <c r="AK837" s="198"/>
      <c r="AL837" s="250" t="s">
        <v>2067</v>
      </c>
    </row>
    <row r="838" spans="1:38" ht="14.1" customHeight="1" x14ac:dyDescent="0.2">
      <c r="A838" t="s">
        <v>888</v>
      </c>
      <c r="B838" s="193">
        <v>4472</v>
      </c>
      <c r="C838" s="194" t="s">
        <v>768</v>
      </c>
      <c r="D838" s="229" t="s">
        <v>1399</v>
      </c>
      <c r="E838" s="229" t="s">
        <v>365</v>
      </c>
      <c r="F838" s="240">
        <v>300</v>
      </c>
      <c r="G838" s="196">
        <v>1</v>
      </c>
      <c r="H838" s="195">
        <v>300</v>
      </c>
      <c r="I838" s="197">
        <v>41343</v>
      </c>
      <c r="J838" s="197" t="str">
        <f t="shared" si="39"/>
        <v>ok</v>
      </c>
      <c r="K838" s="419"/>
      <c r="L838" s="419"/>
      <c r="M838" s="419"/>
      <c r="N838" s="419"/>
      <c r="O838" s="419"/>
      <c r="P838" s="419"/>
      <c r="Q838" s="419"/>
      <c r="R838" s="419"/>
      <c r="S838" s="419"/>
      <c r="T838" s="419"/>
      <c r="U838" s="419"/>
      <c r="V838" s="419"/>
      <c r="W838" s="419">
        <f t="shared" si="37"/>
        <v>0</v>
      </c>
      <c r="X838" s="412"/>
      <c r="Y838" s="412"/>
      <c r="Z838" s="412">
        <v>300</v>
      </c>
      <c r="AA838" s="412"/>
      <c r="AB838" s="412"/>
      <c r="AC838" s="412"/>
      <c r="AD838" s="412"/>
      <c r="AE838" s="412"/>
      <c r="AF838" s="412"/>
      <c r="AG838" s="412"/>
      <c r="AH838" s="412"/>
      <c r="AI838" s="412"/>
      <c r="AJ838" s="412">
        <f t="shared" si="38"/>
        <v>300</v>
      </c>
      <c r="AK838" s="198"/>
      <c r="AL838" s="250" t="s">
        <v>2067</v>
      </c>
    </row>
    <row r="839" spans="1:38" ht="14.1" customHeight="1" x14ac:dyDescent="0.2">
      <c r="A839" t="s">
        <v>893</v>
      </c>
      <c r="B839" s="193">
        <v>4473</v>
      </c>
      <c r="C839" s="194" t="s">
        <v>1131</v>
      </c>
      <c r="D839" s="229" t="s">
        <v>1373</v>
      </c>
      <c r="E839" s="229" t="s">
        <v>299</v>
      </c>
      <c r="F839" s="240">
        <v>300</v>
      </c>
      <c r="G839" s="196">
        <v>1</v>
      </c>
      <c r="H839" s="195">
        <v>300</v>
      </c>
      <c r="I839" s="197">
        <v>41343</v>
      </c>
      <c r="J839" s="197" t="str">
        <f t="shared" si="39"/>
        <v>ok</v>
      </c>
      <c r="K839" s="419"/>
      <c r="L839" s="419"/>
      <c r="M839" s="419"/>
      <c r="N839" s="419"/>
      <c r="O839" s="419"/>
      <c r="P839" s="419"/>
      <c r="Q839" s="419"/>
      <c r="R839" s="419"/>
      <c r="S839" s="419"/>
      <c r="T839" s="419"/>
      <c r="U839" s="419"/>
      <c r="V839" s="419"/>
      <c r="W839" s="419">
        <f t="shared" ref="W839:W902" si="40">SUM(K839:V839)</f>
        <v>0</v>
      </c>
      <c r="X839" s="412"/>
      <c r="Y839" s="412"/>
      <c r="Z839" s="412">
        <v>300</v>
      </c>
      <c r="AA839" s="412"/>
      <c r="AB839" s="412"/>
      <c r="AC839" s="412"/>
      <c r="AD839" s="412"/>
      <c r="AE839" s="412"/>
      <c r="AF839" s="412"/>
      <c r="AG839" s="412"/>
      <c r="AH839" s="412"/>
      <c r="AI839" s="412"/>
      <c r="AJ839" s="412">
        <f t="shared" ref="AJ839:AJ902" si="41">SUM(X839:AI839)</f>
        <v>300</v>
      </c>
      <c r="AK839" s="198"/>
      <c r="AL839" s="250" t="s">
        <v>2067</v>
      </c>
    </row>
    <row r="840" spans="1:38" ht="14.1" customHeight="1" x14ac:dyDescent="0.2">
      <c r="A840" t="s">
        <v>890</v>
      </c>
      <c r="B840" s="193">
        <v>4474</v>
      </c>
      <c r="C840" s="194" t="s">
        <v>1020</v>
      </c>
      <c r="D840" s="229" t="s">
        <v>1633</v>
      </c>
      <c r="E840" s="229" t="s">
        <v>519</v>
      </c>
      <c r="F840" s="240">
        <v>300</v>
      </c>
      <c r="G840" s="196">
        <v>1</v>
      </c>
      <c r="H840" s="195">
        <v>600</v>
      </c>
      <c r="I840" s="197">
        <v>41343</v>
      </c>
      <c r="J840" s="197" t="str">
        <f t="shared" si="39"/>
        <v>ok</v>
      </c>
      <c r="K840" s="419"/>
      <c r="L840" s="419"/>
      <c r="M840" s="419"/>
      <c r="N840" s="419"/>
      <c r="O840" s="419"/>
      <c r="P840" s="419"/>
      <c r="Q840" s="419"/>
      <c r="R840" s="419"/>
      <c r="S840" s="419"/>
      <c r="T840" s="419"/>
      <c r="U840" s="419"/>
      <c r="V840" s="419"/>
      <c r="W840" s="419">
        <f t="shared" si="40"/>
        <v>0</v>
      </c>
      <c r="X840" s="412">
        <v>300</v>
      </c>
      <c r="Y840" s="412">
        <v>300</v>
      </c>
      <c r="Z840" s="412"/>
      <c r="AA840" s="412"/>
      <c r="AB840" s="412"/>
      <c r="AC840" s="412"/>
      <c r="AD840" s="412"/>
      <c r="AE840" s="412"/>
      <c r="AF840" s="412"/>
      <c r="AG840" s="412"/>
      <c r="AH840" s="412"/>
      <c r="AI840" s="412"/>
      <c r="AJ840" s="412">
        <f t="shared" si="41"/>
        <v>600</v>
      </c>
      <c r="AK840" s="198"/>
      <c r="AL840" s="250" t="s">
        <v>2067</v>
      </c>
    </row>
    <row r="841" spans="1:38" ht="14.1" customHeight="1" x14ac:dyDescent="0.2">
      <c r="A841" t="s">
        <v>884</v>
      </c>
      <c r="B841" s="193">
        <v>4475</v>
      </c>
      <c r="C841" s="194" t="s">
        <v>867</v>
      </c>
      <c r="D841" s="229" t="s">
        <v>1513</v>
      </c>
      <c r="E841" s="229" t="s">
        <v>118</v>
      </c>
      <c r="F841" s="240">
        <v>300</v>
      </c>
      <c r="G841" s="196">
        <v>1</v>
      </c>
      <c r="H841" s="195">
        <v>300</v>
      </c>
      <c r="I841" s="197">
        <v>41343</v>
      </c>
      <c r="J841" s="197" t="str">
        <f t="shared" si="39"/>
        <v>ok</v>
      </c>
      <c r="K841" s="419"/>
      <c r="L841" s="419"/>
      <c r="M841" s="419"/>
      <c r="N841" s="419"/>
      <c r="O841" s="419"/>
      <c r="P841" s="419"/>
      <c r="Q841" s="419"/>
      <c r="R841" s="419"/>
      <c r="S841" s="419"/>
      <c r="T841" s="419"/>
      <c r="U841" s="419"/>
      <c r="V841" s="419"/>
      <c r="W841" s="419">
        <f t="shared" si="40"/>
        <v>0</v>
      </c>
      <c r="X841" s="412"/>
      <c r="Y841" s="412"/>
      <c r="Z841" s="412">
        <v>300</v>
      </c>
      <c r="AA841" s="412"/>
      <c r="AB841" s="412"/>
      <c r="AC841" s="412"/>
      <c r="AD841" s="412"/>
      <c r="AE841" s="412"/>
      <c r="AF841" s="412"/>
      <c r="AG841" s="412"/>
      <c r="AH841" s="412"/>
      <c r="AI841" s="412"/>
      <c r="AJ841" s="412">
        <f t="shared" si="41"/>
        <v>300</v>
      </c>
      <c r="AK841" s="198"/>
      <c r="AL841" s="250" t="s">
        <v>2067</v>
      </c>
    </row>
    <row r="842" spans="1:38" ht="14.1" customHeight="1" x14ac:dyDescent="0.2">
      <c r="A842" t="s">
        <v>888</v>
      </c>
      <c r="B842" s="193">
        <v>4476</v>
      </c>
      <c r="C842" s="194" t="s">
        <v>762</v>
      </c>
      <c r="D842" s="229" t="s">
        <v>1579</v>
      </c>
      <c r="E842" s="229" t="s">
        <v>436</v>
      </c>
      <c r="F842" s="240">
        <v>300</v>
      </c>
      <c r="G842" s="196">
        <v>1</v>
      </c>
      <c r="H842" s="195">
        <v>300</v>
      </c>
      <c r="I842" s="197">
        <v>41343</v>
      </c>
      <c r="J842" s="197" t="str">
        <f t="shared" si="39"/>
        <v>ok</v>
      </c>
      <c r="K842" s="419"/>
      <c r="L842" s="419"/>
      <c r="M842" s="419"/>
      <c r="N842" s="419"/>
      <c r="O842" s="419"/>
      <c r="P842" s="419"/>
      <c r="Q842" s="419"/>
      <c r="R842" s="419"/>
      <c r="S842" s="419"/>
      <c r="T842" s="419"/>
      <c r="U842" s="419"/>
      <c r="V842" s="419"/>
      <c r="W842" s="419">
        <f t="shared" si="40"/>
        <v>0</v>
      </c>
      <c r="X842" s="412"/>
      <c r="Y842" s="412"/>
      <c r="Z842" s="412">
        <v>300</v>
      </c>
      <c r="AA842" s="412"/>
      <c r="AB842" s="412"/>
      <c r="AC842" s="412"/>
      <c r="AD842" s="412"/>
      <c r="AE842" s="412"/>
      <c r="AF842" s="412"/>
      <c r="AG842" s="412"/>
      <c r="AH842" s="412"/>
      <c r="AI842" s="412"/>
      <c r="AJ842" s="412">
        <f t="shared" si="41"/>
        <v>300</v>
      </c>
      <c r="AK842" s="198"/>
      <c r="AL842" s="250" t="s">
        <v>2067</v>
      </c>
    </row>
    <row r="843" spans="1:38" ht="14.1" customHeight="1" x14ac:dyDescent="0.2">
      <c r="B843" s="193">
        <v>4477</v>
      </c>
      <c r="C843" s="194"/>
      <c r="D843" s="229" t="s">
        <v>1362</v>
      </c>
      <c r="E843" s="229" t="s">
        <v>1362</v>
      </c>
      <c r="F843" s="240" t="s">
        <v>1362</v>
      </c>
      <c r="G843" s="196">
        <v>8</v>
      </c>
      <c r="H843" s="195"/>
      <c r="I843" s="197"/>
      <c r="J843" s="197" t="str">
        <f t="shared" si="39"/>
        <v>ok</v>
      </c>
      <c r="K843" s="419"/>
      <c r="L843" s="419"/>
      <c r="M843" s="419"/>
      <c r="N843" s="419"/>
      <c r="O843" s="419"/>
      <c r="P843" s="419"/>
      <c r="Q843" s="419"/>
      <c r="R843" s="419"/>
      <c r="S843" s="419"/>
      <c r="T843" s="419"/>
      <c r="U843" s="419"/>
      <c r="V843" s="419"/>
      <c r="W843" s="419">
        <f t="shared" si="40"/>
        <v>0</v>
      </c>
      <c r="X843" s="412"/>
      <c r="Y843" s="412"/>
      <c r="Z843" s="412"/>
      <c r="AA843" s="412"/>
      <c r="AB843" s="412"/>
      <c r="AC843" s="412"/>
      <c r="AD843" s="412"/>
      <c r="AE843" s="412"/>
      <c r="AF843" s="412"/>
      <c r="AG843" s="412"/>
      <c r="AH843" s="412"/>
      <c r="AI843" s="412"/>
      <c r="AJ843" s="412">
        <f t="shared" si="41"/>
        <v>0</v>
      </c>
      <c r="AK843" s="198" t="s">
        <v>755</v>
      </c>
      <c r="AL843" s="250" t="s">
        <v>2067</v>
      </c>
    </row>
    <row r="844" spans="1:38" ht="14.1" customHeight="1" x14ac:dyDescent="0.2">
      <c r="A844" t="s">
        <v>893</v>
      </c>
      <c r="B844" s="193">
        <v>4478</v>
      </c>
      <c r="C844" s="194" t="s">
        <v>1083</v>
      </c>
      <c r="D844" s="229" t="s">
        <v>1396</v>
      </c>
      <c r="E844" s="229" t="s">
        <v>206</v>
      </c>
      <c r="F844" s="240">
        <v>300</v>
      </c>
      <c r="G844" s="196">
        <v>1</v>
      </c>
      <c r="H844" s="195">
        <v>600</v>
      </c>
      <c r="I844" s="197">
        <v>41343</v>
      </c>
      <c r="J844" s="197" t="str">
        <f t="shared" si="39"/>
        <v>ok</v>
      </c>
      <c r="K844" s="419"/>
      <c r="L844" s="419"/>
      <c r="M844" s="419"/>
      <c r="N844" s="419"/>
      <c r="O844" s="419"/>
      <c r="P844" s="419"/>
      <c r="Q844" s="419"/>
      <c r="R844" s="419"/>
      <c r="S844" s="419"/>
      <c r="T844" s="419"/>
      <c r="U844" s="419"/>
      <c r="V844" s="419"/>
      <c r="W844" s="419">
        <f t="shared" si="40"/>
        <v>0</v>
      </c>
      <c r="X844" s="412"/>
      <c r="Y844" s="412">
        <v>300</v>
      </c>
      <c r="Z844" s="412">
        <v>300</v>
      </c>
      <c r="AA844" s="412"/>
      <c r="AB844" s="412"/>
      <c r="AC844" s="412"/>
      <c r="AD844" s="412"/>
      <c r="AE844" s="412"/>
      <c r="AF844" s="412"/>
      <c r="AG844" s="412"/>
      <c r="AH844" s="412"/>
      <c r="AI844" s="412"/>
      <c r="AJ844" s="412">
        <f t="shared" si="41"/>
        <v>600</v>
      </c>
      <c r="AK844" s="198"/>
      <c r="AL844" s="250" t="s">
        <v>2067</v>
      </c>
    </row>
    <row r="845" spans="1:38" ht="14.1" customHeight="1" x14ac:dyDescent="0.2">
      <c r="A845" t="s">
        <v>884</v>
      </c>
      <c r="B845" s="193">
        <v>4479</v>
      </c>
      <c r="C845" s="194" t="s">
        <v>783</v>
      </c>
      <c r="D845" s="229" t="s">
        <v>1572</v>
      </c>
      <c r="E845" s="229" t="s">
        <v>1202</v>
      </c>
      <c r="F845" s="240">
        <v>300</v>
      </c>
      <c r="G845" s="196">
        <v>1</v>
      </c>
      <c r="H845" s="195">
        <v>300</v>
      </c>
      <c r="I845" s="197">
        <v>41343</v>
      </c>
      <c r="J845" s="197" t="str">
        <f t="shared" si="39"/>
        <v>ok</v>
      </c>
      <c r="K845" s="419"/>
      <c r="L845" s="419"/>
      <c r="M845" s="419"/>
      <c r="N845" s="419"/>
      <c r="O845" s="419"/>
      <c r="P845" s="419"/>
      <c r="Q845" s="419"/>
      <c r="R845" s="419"/>
      <c r="S845" s="419"/>
      <c r="T845" s="419"/>
      <c r="U845" s="419"/>
      <c r="V845" s="419"/>
      <c r="W845" s="419">
        <f t="shared" si="40"/>
        <v>0</v>
      </c>
      <c r="X845" s="412"/>
      <c r="Y845" s="412"/>
      <c r="Z845" s="412">
        <v>300</v>
      </c>
      <c r="AA845" s="412"/>
      <c r="AB845" s="412"/>
      <c r="AC845" s="412"/>
      <c r="AD845" s="412"/>
      <c r="AE845" s="412"/>
      <c r="AF845" s="412"/>
      <c r="AG845" s="412"/>
      <c r="AH845" s="412"/>
      <c r="AI845" s="412"/>
      <c r="AJ845" s="412">
        <f t="shared" si="41"/>
        <v>300</v>
      </c>
      <c r="AK845" s="198"/>
      <c r="AL845" s="250" t="s">
        <v>2067</v>
      </c>
    </row>
    <row r="846" spans="1:38" ht="14.1" customHeight="1" x14ac:dyDescent="0.2">
      <c r="A846" t="s">
        <v>894</v>
      </c>
      <c r="B846" s="193">
        <v>4480</v>
      </c>
      <c r="C846" s="194" t="s">
        <v>1158</v>
      </c>
      <c r="D846" s="229" t="s">
        <v>1590</v>
      </c>
      <c r="E846" s="229" t="s">
        <v>600</v>
      </c>
      <c r="F846" s="240">
        <v>300</v>
      </c>
      <c r="G846" s="196">
        <v>1</v>
      </c>
      <c r="H846" s="195">
        <v>300</v>
      </c>
      <c r="I846" s="197">
        <v>41343</v>
      </c>
      <c r="J846" s="197" t="str">
        <f t="shared" ref="J846:J909" si="42">IF(OR(G846&lt;&gt;1,SUM(W846,AJ846)=H846),"ok","error")</f>
        <v>ok</v>
      </c>
      <c r="K846" s="419"/>
      <c r="L846" s="419"/>
      <c r="M846" s="419"/>
      <c r="N846" s="419"/>
      <c r="O846" s="419"/>
      <c r="P846" s="419"/>
      <c r="Q846" s="419"/>
      <c r="R846" s="419"/>
      <c r="S846" s="419"/>
      <c r="T846" s="419"/>
      <c r="U846" s="419"/>
      <c r="V846" s="419"/>
      <c r="W846" s="419">
        <f t="shared" si="40"/>
        <v>0</v>
      </c>
      <c r="X846" s="412"/>
      <c r="Y846" s="412"/>
      <c r="Z846" s="412">
        <v>300</v>
      </c>
      <c r="AA846" s="412"/>
      <c r="AB846" s="412"/>
      <c r="AC846" s="412"/>
      <c r="AD846" s="412"/>
      <c r="AE846" s="412"/>
      <c r="AF846" s="412"/>
      <c r="AG846" s="412"/>
      <c r="AH846" s="412"/>
      <c r="AI846" s="412"/>
      <c r="AJ846" s="412">
        <f t="shared" si="41"/>
        <v>300</v>
      </c>
      <c r="AK846" s="198"/>
      <c r="AL846" s="250" t="s">
        <v>2067</v>
      </c>
    </row>
    <row r="847" spans="1:38" ht="14.1" customHeight="1" x14ac:dyDescent="0.2">
      <c r="A847" t="s">
        <v>884</v>
      </c>
      <c r="B847" s="193">
        <v>4481</v>
      </c>
      <c r="C847" s="194" t="s">
        <v>843</v>
      </c>
      <c r="D847" s="229" t="s">
        <v>1434</v>
      </c>
      <c r="E847" s="229" t="s">
        <v>1189</v>
      </c>
      <c r="F847" s="240">
        <v>300</v>
      </c>
      <c r="G847" s="196">
        <v>1</v>
      </c>
      <c r="H847" s="195">
        <v>300</v>
      </c>
      <c r="I847" s="197">
        <v>41343</v>
      </c>
      <c r="J847" s="197" t="str">
        <f t="shared" si="42"/>
        <v>ok</v>
      </c>
      <c r="K847" s="419"/>
      <c r="L847" s="419"/>
      <c r="M847" s="419"/>
      <c r="N847" s="419"/>
      <c r="O847" s="419"/>
      <c r="P847" s="419"/>
      <c r="Q847" s="419"/>
      <c r="R847" s="419"/>
      <c r="S847" s="419"/>
      <c r="T847" s="419"/>
      <c r="U847" s="419"/>
      <c r="V847" s="419"/>
      <c r="W847" s="419">
        <f t="shared" si="40"/>
        <v>0</v>
      </c>
      <c r="X847" s="412"/>
      <c r="Y847" s="412"/>
      <c r="Z847" s="412">
        <v>300</v>
      </c>
      <c r="AA847" s="412"/>
      <c r="AB847" s="412"/>
      <c r="AC847" s="412"/>
      <c r="AD847" s="412"/>
      <c r="AE847" s="412"/>
      <c r="AF847" s="412"/>
      <c r="AG847" s="412"/>
      <c r="AH847" s="412"/>
      <c r="AI847" s="412"/>
      <c r="AJ847" s="412">
        <f t="shared" si="41"/>
        <v>300</v>
      </c>
      <c r="AK847" s="198"/>
      <c r="AL847" s="250" t="s">
        <v>2067</v>
      </c>
    </row>
    <row r="848" spans="1:38" ht="14.1" customHeight="1" x14ac:dyDescent="0.2">
      <c r="A848" t="s">
        <v>894</v>
      </c>
      <c r="B848" s="193">
        <v>4482</v>
      </c>
      <c r="C848" s="194" t="s">
        <v>1176</v>
      </c>
      <c r="D848" s="229" t="s">
        <v>1414</v>
      </c>
      <c r="E848" s="229" t="s">
        <v>634</v>
      </c>
      <c r="F848" s="240">
        <v>250</v>
      </c>
      <c r="G848" s="196">
        <v>1</v>
      </c>
      <c r="H848" s="195">
        <v>250</v>
      </c>
      <c r="I848" s="197">
        <v>41343</v>
      </c>
      <c r="J848" s="197" t="str">
        <f t="shared" si="42"/>
        <v>ok</v>
      </c>
      <c r="K848" s="419"/>
      <c r="L848" s="419"/>
      <c r="M848" s="419"/>
      <c r="N848" s="419"/>
      <c r="O848" s="419"/>
      <c r="P848" s="419"/>
      <c r="Q848" s="419"/>
      <c r="R848" s="419"/>
      <c r="S848" s="419"/>
      <c r="T848" s="419"/>
      <c r="U848" s="419"/>
      <c r="V848" s="419"/>
      <c r="W848" s="419">
        <f t="shared" si="40"/>
        <v>0</v>
      </c>
      <c r="X848" s="412"/>
      <c r="Y848" s="412"/>
      <c r="Z848" s="412">
        <v>250</v>
      </c>
      <c r="AA848" s="412"/>
      <c r="AB848" s="412"/>
      <c r="AC848" s="412"/>
      <c r="AD848" s="412"/>
      <c r="AE848" s="412"/>
      <c r="AF848" s="412"/>
      <c r="AG848" s="412"/>
      <c r="AH848" s="412"/>
      <c r="AI848" s="412"/>
      <c r="AJ848" s="412">
        <f t="shared" si="41"/>
        <v>250</v>
      </c>
      <c r="AK848" s="198"/>
      <c r="AL848" s="250" t="s">
        <v>2067</v>
      </c>
    </row>
    <row r="849" spans="1:38" ht="14.1" customHeight="1" x14ac:dyDescent="0.2">
      <c r="A849" t="s">
        <v>890</v>
      </c>
      <c r="B849" s="193">
        <v>4483</v>
      </c>
      <c r="C849" s="194" t="s">
        <v>1006</v>
      </c>
      <c r="D849" s="229" t="s">
        <v>1370</v>
      </c>
      <c r="E849" s="229" t="s">
        <v>1217</v>
      </c>
      <c r="F849" s="240">
        <v>300</v>
      </c>
      <c r="G849" s="196">
        <v>1</v>
      </c>
      <c r="H849" s="195">
        <v>300</v>
      </c>
      <c r="I849" s="197">
        <v>41343</v>
      </c>
      <c r="J849" s="197" t="str">
        <f t="shared" si="42"/>
        <v>ok</v>
      </c>
      <c r="K849" s="419"/>
      <c r="L849" s="419"/>
      <c r="M849" s="419"/>
      <c r="N849" s="419"/>
      <c r="O849" s="419"/>
      <c r="P849" s="419"/>
      <c r="Q849" s="419"/>
      <c r="R849" s="419"/>
      <c r="S849" s="419"/>
      <c r="T849" s="419"/>
      <c r="U849" s="419"/>
      <c r="V849" s="419"/>
      <c r="W849" s="419">
        <f t="shared" si="40"/>
        <v>0</v>
      </c>
      <c r="X849" s="412"/>
      <c r="Y849" s="412"/>
      <c r="Z849" s="412">
        <v>300</v>
      </c>
      <c r="AA849" s="412"/>
      <c r="AB849" s="412"/>
      <c r="AC849" s="412"/>
      <c r="AD849" s="412"/>
      <c r="AE849" s="412"/>
      <c r="AF849" s="412"/>
      <c r="AG849" s="412"/>
      <c r="AH849" s="412"/>
      <c r="AI849" s="412"/>
      <c r="AJ849" s="412">
        <f t="shared" si="41"/>
        <v>300</v>
      </c>
      <c r="AK849" s="198"/>
      <c r="AL849" s="250" t="s">
        <v>2067</v>
      </c>
    </row>
    <row r="850" spans="1:38" ht="14.1" customHeight="1" x14ac:dyDescent="0.2">
      <c r="A850" t="s">
        <v>884</v>
      </c>
      <c r="B850" s="193">
        <v>4484</v>
      </c>
      <c r="C850" s="194" t="s">
        <v>835</v>
      </c>
      <c r="D850" s="229" t="s">
        <v>1597</v>
      </c>
      <c r="E850" s="229" t="s">
        <v>72</v>
      </c>
      <c r="F850" s="240">
        <v>300</v>
      </c>
      <c r="G850" s="196">
        <v>1</v>
      </c>
      <c r="H850" s="195">
        <v>300</v>
      </c>
      <c r="I850" s="197">
        <v>41343</v>
      </c>
      <c r="J850" s="197" t="str">
        <f t="shared" si="42"/>
        <v>ok</v>
      </c>
      <c r="K850" s="419"/>
      <c r="L850" s="419"/>
      <c r="M850" s="419"/>
      <c r="N850" s="419"/>
      <c r="O850" s="419"/>
      <c r="P850" s="419"/>
      <c r="Q850" s="419"/>
      <c r="R850" s="419"/>
      <c r="S850" s="419"/>
      <c r="T850" s="419"/>
      <c r="U850" s="419"/>
      <c r="V850" s="419"/>
      <c r="W850" s="419">
        <f t="shared" si="40"/>
        <v>0</v>
      </c>
      <c r="X850" s="412"/>
      <c r="Y850" s="412"/>
      <c r="Z850" s="412">
        <v>300</v>
      </c>
      <c r="AA850" s="412"/>
      <c r="AB850" s="412"/>
      <c r="AC850" s="412"/>
      <c r="AD850" s="412"/>
      <c r="AE850" s="412"/>
      <c r="AF850" s="412"/>
      <c r="AG850" s="412"/>
      <c r="AH850" s="412"/>
      <c r="AI850" s="412"/>
      <c r="AJ850" s="412">
        <f t="shared" si="41"/>
        <v>300</v>
      </c>
      <c r="AK850" s="198"/>
      <c r="AL850" s="250" t="s">
        <v>2067</v>
      </c>
    </row>
    <row r="851" spans="1:38" ht="14.1" customHeight="1" x14ac:dyDescent="0.2">
      <c r="A851" t="s">
        <v>890</v>
      </c>
      <c r="B851" s="193">
        <v>4485</v>
      </c>
      <c r="C851" s="194" t="s">
        <v>1023</v>
      </c>
      <c r="D851" s="229" t="s">
        <v>1541</v>
      </c>
      <c r="E851" s="229" t="s">
        <v>522</v>
      </c>
      <c r="F851" s="240">
        <v>300</v>
      </c>
      <c r="G851" s="196">
        <v>1</v>
      </c>
      <c r="H851" s="195">
        <v>300</v>
      </c>
      <c r="I851" s="197">
        <v>41343</v>
      </c>
      <c r="J851" s="197" t="str">
        <f t="shared" si="42"/>
        <v>ok</v>
      </c>
      <c r="K851" s="419"/>
      <c r="L851" s="419"/>
      <c r="M851" s="419"/>
      <c r="N851" s="419"/>
      <c r="O851" s="419"/>
      <c r="P851" s="419"/>
      <c r="Q851" s="419"/>
      <c r="R851" s="419"/>
      <c r="S851" s="419"/>
      <c r="T851" s="419"/>
      <c r="U851" s="419"/>
      <c r="V851" s="419"/>
      <c r="W851" s="419">
        <f t="shared" si="40"/>
        <v>0</v>
      </c>
      <c r="X851" s="412"/>
      <c r="Y851" s="412"/>
      <c r="Z851" s="412">
        <v>300</v>
      </c>
      <c r="AA851" s="412"/>
      <c r="AB851" s="412"/>
      <c r="AC851" s="412"/>
      <c r="AD851" s="412"/>
      <c r="AE851" s="412"/>
      <c r="AF851" s="412"/>
      <c r="AG851" s="412"/>
      <c r="AH851" s="412"/>
      <c r="AI851" s="412"/>
      <c r="AJ851" s="412">
        <f t="shared" si="41"/>
        <v>300</v>
      </c>
      <c r="AK851" s="198"/>
      <c r="AL851" s="250" t="s">
        <v>2067</v>
      </c>
    </row>
    <row r="852" spans="1:38" ht="14.1" customHeight="1" x14ac:dyDescent="0.2">
      <c r="A852" t="s">
        <v>888</v>
      </c>
      <c r="B852" s="193">
        <v>4486</v>
      </c>
      <c r="C852" s="194" t="s">
        <v>790</v>
      </c>
      <c r="D852" s="229" t="s">
        <v>1522</v>
      </c>
      <c r="E852" s="229" t="s">
        <v>384</v>
      </c>
      <c r="F852" s="240">
        <v>300</v>
      </c>
      <c r="G852" s="196">
        <v>1</v>
      </c>
      <c r="H852" s="195">
        <v>600</v>
      </c>
      <c r="I852" s="197">
        <v>41343</v>
      </c>
      <c r="J852" s="197" t="str">
        <f t="shared" si="42"/>
        <v>ok</v>
      </c>
      <c r="K852" s="419"/>
      <c r="L852" s="419"/>
      <c r="M852" s="419"/>
      <c r="N852" s="419"/>
      <c r="O852" s="419"/>
      <c r="P852" s="419"/>
      <c r="Q852" s="419"/>
      <c r="R852" s="419"/>
      <c r="S852" s="419"/>
      <c r="T852" s="419"/>
      <c r="U852" s="419"/>
      <c r="V852" s="419"/>
      <c r="W852" s="419">
        <f t="shared" si="40"/>
        <v>0</v>
      </c>
      <c r="X852" s="412"/>
      <c r="Y852" s="412"/>
      <c r="Z852" s="412">
        <v>300</v>
      </c>
      <c r="AA852" s="412">
        <v>300</v>
      </c>
      <c r="AB852" s="412"/>
      <c r="AC852" s="412"/>
      <c r="AD852" s="412"/>
      <c r="AE852" s="412"/>
      <c r="AF852" s="412"/>
      <c r="AG852" s="412"/>
      <c r="AH852" s="412"/>
      <c r="AI852" s="412"/>
      <c r="AJ852" s="412">
        <f t="shared" si="41"/>
        <v>600</v>
      </c>
      <c r="AK852" s="198"/>
      <c r="AL852" s="250" t="s">
        <v>2067</v>
      </c>
    </row>
    <row r="853" spans="1:38" ht="14.1" customHeight="1" x14ac:dyDescent="0.2">
      <c r="A853" t="s">
        <v>890</v>
      </c>
      <c r="B853" s="193">
        <v>4487</v>
      </c>
      <c r="C853" s="194" t="s">
        <v>1002</v>
      </c>
      <c r="D853" s="229" t="s">
        <v>1639</v>
      </c>
      <c r="E853" s="229" t="s">
        <v>32</v>
      </c>
      <c r="F853" s="240">
        <v>300</v>
      </c>
      <c r="G853" s="196">
        <v>1</v>
      </c>
      <c r="H853" s="195">
        <v>300</v>
      </c>
      <c r="I853" s="197">
        <v>41343</v>
      </c>
      <c r="J853" s="197" t="str">
        <f t="shared" si="42"/>
        <v>ok</v>
      </c>
      <c r="K853" s="419"/>
      <c r="L853" s="419"/>
      <c r="M853" s="419"/>
      <c r="N853" s="419"/>
      <c r="O853" s="419"/>
      <c r="P853" s="419"/>
      <c r="Q853" s="419"/>
      <c r="R853" s="419"/>
      <c r="S853" s="419"/>
      <c r="T853" s="419"/>
      <c r="U853" s="419"/>
      <c r="V853" s="419"/>
      <c r="W853" s="419">
        <f t="shared" si="40"/>
        <v>0</v>
      </c>
      <c r="X853" s="412"/>
      <c r="Y853" s="412"/>
      <c r="Z853" s="412">
        <v>300</v>
      </c>
      <c r="AA853" s="412"/>
      <c r="AB853" s="412"/>
      <c r="AC853" s="412"/>
      <c r="AD853" s="412"/>
      <c r="AE853" s="412"/>
      <c r="AF853" s="412"/>
      <c r="AG853" s="412"/>
      <c r="AH853" s="412"/>
      <c r="AI853" s="412"/>
      <c r="AJ853" s="412">
        <f t="shared" si="41"/>
        <v>300</v>
      </c>
      <c r="AK853" s="198"/>
      <c r="AL853" s="250" t="s">
        <v>2067</v>
      </c>
    </row>
    <row r="854" spans="1:38" ht="14.1" customHeight="1" x14ac:dyDescent="0.2">
      <c r="A854" t="s">
        <v>890</v>
      </c>
      <c r="B854" s="193">
        <v>4488</v>
      </c>
      <c r="C854" s="194" t="s">
        <v>1023</v>
      </c>
      <c r="D854" s="229" t="s">
        <v>1541</v>
      </c>
      <c r="E854" s="229" t="s">
        <v>522</v>
      </c>
      <c r="F854" s="240">
        <v>300</v>
      </c>
      <c r="G854" s="196">
        <v>3</v>
      </c>
      <c r="H854" s="195">
        <v>150</v>
      </c>
      <c r="I854" s="197">
        <v>41343</v>
      </c>
      <c r="J854" s="197" t="str">
        <f t="shared" si="42"/>
        <v>ok</v>
      </c>
      <c r="K854" s="419"/>
      <c r="L854" s="419"/>
      <c r="M854" s="419"/>
      <c r="N854" s="419"/>
      <c r="O854" s="419"/>
      <c r="P854" s="419"/>
      <c r="Q854" s="419"/>
      <c r="R854" s="419"/>
      <c r="S854" s="419"/>
      <c r="T854" s="419"/>
      <c r="U854" s="419"/>
      <c r="V854" s="419"/>
      <c r="W854" s="419">
        <f t="shared" si="40"/>
        <v>0</v>
      </c>
      <c r="X854" s="412"/>
      <c r="Y854" s="412"/>
      <c r="Z854" s="412"/>
      <c r="AA854" s="412"/>
      <c r="AB854" s="412"/>
      <c r="AC854" s="412"/>
      <c r="AD854" s="412"/>
      <c r="AE854" s="412"/>
      <c r="AF854" s="412"/>
      <c r="AG854" s="412"/>
      <c r="AH854" s="412"/>
      <c r="AI854" s="412"/>
      <c r="AJ854" s="412">
        <f t="shared" si="41"/>
        <v>0</v>
      </c>
      <c r="AK854" s="198"/>
      <c r="AL854" s="250" t="s">
        <v>2068</v>
      </c>
    </row>
    <row r="855" spans="1:38" ht="14.1" customHeight="1" x14ac:dyDescent="0.2">
      <c r="A855" t="s">
        <v>894</v>
      </c>
      <c r="B855" s="193">
        <v>4489</v>
      </c>
      <c r="C855" s="194" t="s">
        <v>1153</v>
      </c>
      <c r="D855" s="229" t="s">
        <v>1436</v>
      </c>
      <c r="E855" s="229" t="s">
        <v>191</v>
      </c>
      <c r="F855" s="240">
        <v>400</v>
      </c>
      <c r="G855" s="196">
        <v>3</v>
      </c>
      <c r="H855" s="195">
        <v>150</v>
      </c>
      <c r="I855" s="197">
        <v>41343</v>
      </c>
      <c r="J855" s="197" t="str">
        <f t="shared" si="42"/>
        <v>ok</v>
      </c>
      <c r="K855" s="419"/>
      <c r="L855" s="419"/>
      <c r="M855" s="419"/>
      <c r="N855" s="419"/>
      <c r="O855" s="419"/>
      <c r="P855" s="419"/>
      <c r="Q855" s="419"/>
      <c r="R855" s="419"/>
      <c r="S855" s="419"/>
      <c r="T855" s="419"/>
      <c r="U855" s="419"/>
      <c r="V855" s="419"/>
      <c r="W855" s="419">
        <f t="shared" si="40"/>
        <v>0</v>
      </c>
      <c r="X855" s="412"/>
      <c r="Y855" s="412"/>
      <c r="Z855" s="412"/>
      <c r="AA855" s="412"/>
      <c r="AB855" s="412"/>
      <c r="AC855" s="412"/>
      <c r="AD855" s="412"/>
      <c r="AE855" s="412"/>
      <c r="AF855" s="412"/>
      <c r="AG855" s="412"/>
      <c r="AH855" s="412"/>
      <c r="AI855" s="412"/>
      <c r="AJ855" s="412">
        <f t="shared" si="41"/>
        <v>0</v>
      </c>
      <c r="AK855" s="198"/>
      <c r="AL855" s="250" t="s">
        <v>2068</v>
      </c>
    </row>
    <row r="856" spans="1:38" ht="14.1" customHeight="1" x14ac:dyDescent="0.2">
      <c r="A856" t="s">
        <v>893</v>
      </c>
      <c r="B856" s="193">
        <v>4490</v>
      </c>
      <c r="C856" s="194" t="s">
        <v>1121</v>
      </c>
      <c r="D856" s="229" t="s">
        <v>1584</v>
      </c>
      <c r="E856" s="229" t="s">
        <v>278</v>
      </c>
      <c r="F856" s="240">
        <v>300</v>
      </c>
      <c r="G856" s="196">
        <v>1</v>
      </c>
      <c r="H856" s="195">
        <v>300</v>
      </c>
      <c r="I856" s="197">
        <v>41343</v>
      </c>
      <c r="J856" s="197" t="str">
        <f t="shared" si="42"/>
        <v>ok</v>
      </c>
      <c r="K856" s="419"/>
      <c r="L856" s="419"/>
      <c r="M856" s="419"/>
      <c r="N856" s="419"/>
      <c r="O856" s="419"/>
      <c r="P856" s="419"/>
      <c r="Q856" s="419"/>
      <c r="R856" s="419"/>
      <c r="S856" s="419"/>
      <c r="T856" s="419"/>
      <c r="U856" s="419"/>
      <c r="V856" s="419"/>
      <c r="W856" s="419">
        <f t="shared" si="40"/>
        <v>0</v>
      </c>
      <c r="X856" s="412"/>
      <c r="Y856" s="412"/>
      <c r="Z856" s="412">
        <v>300</v>
      </c>
      <c r="AA856" s="412"/>
      <c r="AB856" s="412"/>
      <c r="AC856" s="412"/>
      <c r="AD856" s="412"/>
      <c r="AE856" s="412"/>
      <c r="AF856" s="412"/>
      <c r="AG856" s="412"/>
      <c r="AH856" s="412"/>
      <c r="AI856" s="412"/>
      <c r="AJ856" s="412">
        <f t="shared" si="41"/>
        <v>300</v>
      </c>
      <c r="AK856" s="198"/>
      <c r="AL856" s="250" t="s">
        <v>2067</v>
      </c>
    </row>
    <row r="857" spans="1:38" ht="14.1" customHeight="1" x14ac:dyDescent="0.2">
      <c r="A857" t="s">
        <v>894</v>
      </c>
      <c r="B857" s="193">
        <v>4491</v>
      </c>
      <c r="C857" s="194" t="s">
        <v>1179</v>
      </c>
      <c r="D857" s="229" t="s">
        <v>1452</v>
      </c>
      <c r="E857" s="229" t="s">
        <v>639</v>
      </c>
      <c r="F857" s="240">
        <v>250</v>
      </c>
      <c r="G857" s="196">
        <v>1</v>
      </c>
      <c r="H857" s="195">
        <v>250</v>
      </c>
      <c r="I857" s="197">
        <v>41343</v>
      </c>
      <c r="J857" s="197" t="str">
        <f t="shared" si="42"/>
        <v>ok</v>
      </c>
      <c r="K857" s="419"/>
      <c r="L857" s="419"/>
      <c r="M857" s="419"/>
      <c r="N857" s="419"/>
      <c r="O857" s="419"/>
      <c r="P857" s="419"/>
      <c r="Q857" s="419"/>
      <c r="R857" s="419"/>
      <c r="S857" s="419"/>
      <c r="T857" s="419"/>
      <c r="U857" s="419"/>
      <c r="V857" s="419"/>
      <c r="W857" s="419">
        <f t="shared" si="40"/>
        <v>0</v>
      </c>
      <c r="X857" s="412"/>
      <c r="Y857" s="412"/>
      <c r="Z857" s="412">
        <v>250</v>
      </c>
      <c r="AA857" s="412"/>
      <c r="AB857" s="412"/>
      <c r="AC857" s="412"/>
      <c r="AD857" s="412"/>
      <c r="AE857" s="412"/>
      <c r="AF857" s="412"/>
      <c r="AG857" s="412"/>
      <c r="AH857" s="412"/>
      <c r="AI857" s="412"/>
      <c r="AJ857" s="412">
        <f t="shared" si="41"/>
        <v>250</v>
      </c>
      <c r="AK857" s="198"/>
      <c r="AL857" s="250" t="s">
        <v>2067</v>
      </c>
    </row>
    <row r="858" spans="1:38" ht="14.1" customHeight="1" x14ac:dyDescent="0.2">
      <c r="A858" t="s">
        <v>894</v>
      </c>
      <c r="B858" s="193">
        <v>4492</v>
      </c>
      <c r="C858" s="194" t="s">
        <v>1167</v>
      </c>
      <c r="D858" s="229" t="s">
        <v>1432</v>
      </c>
      <c r="E858" s="229" t="s">
        <v>617</v>
      </c>
      <c r="F858" s="240">
        <v>250</v>
      </c>
      <c r="G858" s="196">
        <v>1</v>
      </c>
      <c r="H858" s="195">
        <v>250</v>
      </c>
      <c r="I858" s="197">
        <v>41343</v>
      </c>
      <c r="J858" s="197" t="str">
        <f t="shared" si="42"/>
        <v>ok</v>
      </c>
      <c r="K858" s="419"/>
      <c r="L858" s="419"/>
      <c r="M858" s="419"/>
      <c r="N858" s="419"/>
      <c r="O858" s="419"/>
      <c r="P858" s="419"/>
      <c r="Q858" s="419"/>
      <c r="R858" s="419"/>
      <c r="S858" s="419"/>
      <c r="T858" s="419"/>
      <c r="U858" s="419"/>
      <c r="V858" s="419"/>
      <c r="W858" s="419">
        <f t="shared" si="40"/>
        <v>0</v>
      </c>
      <c r="X858" s="412"/>
      <c r="Y858" s="412"/>
      <c r="Z858" s="412">
        <v>250</v>
      </c>
      <c r="AA858" s="412"/>
      <c r="AB858" s="412"/>
      <c r="AC858" s="412"/>
      <c r="AD858" s="412"/>
      <c r="AE858" s="412"/>
      <c r="AF858" s="412"/>
      <c r="AG858" s="412"/>
      <c r="AH858" s="412"/>
      <c r="AI858" s="412"/>
      <c r="AJ858" s="412">
        <f t="shared" si="41"/>
        <v>250</v>
      </c>
      <c r="AK858" s="198"/>
      <c r="AL858" s="250" t="s">
        <v>2067</v>
      </c>
    </row>
    <row r="859" spans="1:38" ht="14.1" customHeight="1" x14ac:dyDescent="0.2">
      <c r="A859" t="s">
        <v>893</v>
      </c>
      <c r="B859" s="193">
        <v>4493</v>
      </c>
      <c r="C859" s="194" t="s">
        <v>1076</v>
      </c>
      <c r="D859" s="229" t="s">
        <v>1395</v>
      </c>
      <c r="E859" s="229" t="s">
        <v>193</v>
      </c>
      <c r="F859" s="240">
        <v>300</v>
      </c>
      <c r="G859" s="196">
        <v>1</v>
      </c>
      <c r="H859" s="195">
        <v>300</v>
      </c>
      <c r="I859" s="197">
        <v>41343</v>
      </c>
      <c r="J859" s="197" t="str">
        <f t="shared" si="42"/>
        <v>ok</v>
      </c>
      <c r="K859" s="419"/>
      <c r="L859" s="419"/>
      <c r="M859" s="419"/>
      <c r="N859" s="419"/>
      <c r="O859" s="419"/>
      <c r="P859" s="419"/>
      <c r="Q859" s="419"/>
      <c r="R859" s="419"/>
      <c r="S859" s="419"/>
      <c r="T859" s="419"/>
      <c r="U859" s="419"/>
      <c r="V859" s="419"/>
      <c r="W859" s="419">
        <f t="shared" si="40"/>
        <v>0</v>
      </c>
      <c r="X859" s="412"/>
      <c r="Y859" s="412"/>
      <c r="Z859" s="412">
        <v>300</v>
      </c>
      <c r="AA859" s="412"/>
      <c r="AB859" s="412"/>
      <c r="AC859" s="412"/>
      <c r="AD859" s="412"/>
      <c r="AE859" s="412"/>
      <c r="AF859" s="412"/>
      <c r="AG859" s="412"/>
      <c r="AH859" s="412"/>
      <c r="AI859" s="412"/>
      <c r="AJ859" s="412">
        <f t="shared" si="41"/>
        <v>300</v>
      </c>
      <c r="AK859" s="198"/>
      <c r="AL859" s="250" t="s">
        <v>2067</v>
      </c>
    </row>
    <row r="860" spans="1:38" ht="14.1" customHeight="1" x14ac:dyDescent="0.2">
      <c r="A860" t="s">
        <v>890</v>
      </c>
      <c r="B860" s="193">
        <v>4494</v>
      </c>
      <c r="C860" s="194" t="s">
        <v>997</v>
      </c>
      <c r="D860" s="229" t="s">
        <v>1377</v>
      </c>
      <c r="E860" s="229" t="s">
        <v>485</v>
      </c>
      <c r="F860" s="240">
        <v>200</v>
      </c>
      <c r="G860" s="196">
        <v>1</v>
      </c>
      <c r="H860" s="195">
        <v>200</v>
      </c>
      <c r="I860" s="197">
        <v>41343</v>
      </c>
      <c r="J860" s="197" t="str">
        <f t="shared" si="42"/>
        <v>ok</v>
      </c>
      <c r="K860" s="419"/>
      <c r="L860" s="419"/>
      <c r="M860" s="419"/>
      <c r="N860" s="419"/>
      <c r="O860" s="419"/>
      <c r="P860" s="419"/>
      <c r="Q860" s="419"/>
      <c r="R860" s="419"/>
      <c r="S860" s="419"/>
      <c r="T860" s="419"/>
      <c r="U860" s="419"/>
      <c r="V860" s="419"/>
      <c r="W860" s="419">
        <f t="shared" si="40"/>
        <v>0</v>
      </c>
      <c r="X860" s="412"/>
      <c r="Y860" s="412"/>
      <c r="Z860" s="412">
        <v>200</v>
      </c>
      <c r="AA860" s="412"/>
      <c r="AB860" s="412"/>
      <c r="AC860" s="412"/>
      <c r="AD860" s="412"/>
      <c r="AE860" s="412"/>
      <c r="AF860" s="412"/>
      <c r="AG860" s="412"/>
      <c r="AH860" s="412"/>
      <c r="AI860" s="412"/>
      <c r="AJ860" s="412">
        <f t="shared" si="41"/>
        <v>200</v>
      </c>
      <c r="AK860" s="198"/>
      <c r="AL860" s="250" t="s">
        <v>2067</v>
      </c>
    </row>
    <row r="861" spans="1:38" ht="14.1" customHeight="1" x14ac:dyDescent="0.2">
      <c r="A861" t="s">
        <v>884</v>
      </c>
      <c r="B861" s="193">
        <v>4495</v>
      </c>
      <c r="C861" s="194" t="s">
        <v>874</v>
      </c>
      <c r="D861" s="229" t="s">
        <v>1459</v>
      </c>
      <c r="E861" s="229" t="s">
        <v>127</v>
      </c>
      <c r="F861" s="240">
        <v>300</v>
      </c>
      <c r="G861" s="196">
        <v>1</v>
      </c>
      <c r="H861" s="195">
        <v>300</v>
      </c>
      <c r="I861" s="197">
        <v>41343</v>
      </c>
      <c r="J861" s="197" t="str">
        <f t="shared" si="42"/>
        <v>ok</v>
      </c>
      <c r="K861" s="419"/>
      <c r="L861" s="419"/>
      <c r="M861" s="419"/>
      <c r="N861" s="419"/>
      <c r="O861" s="419"/>
      <c r="P861" s="419"/>
      <c r="Q861" s="419"/>
      <c r="R861" s="419"/>
      <c r="S861" s="419"/>
      <c r="T861" s="419"/>
      <c r="U861" s="419"/>
      <c r="V861" s="419"/>
      <c r="W861" s="419">
        <f t="shared" si="40"/>
        <v>0</v>
      </c>
      <c r="X861" s="412"/>
      <c r="Y861" s="412"/>
      <c r="Z861" s="412">
        <v>300</v>
      </c>
      <c r="AA861" s="412"/>
      <c r="AB861" s="412"/>
      <c r="AC861" s="412"/>
      <c r="AD861" s="412"/>
      <c r="AE861" s="412"/>
      <c r="AF861" s="412"/>
      <c r="AG861" s="412"/>
      <c r="AH861" s="412"/>
      <c r="AI861" s="412"/>
      <c r="AJ861" s="412">
        <f t="shared" si="41"/>
        <v>300</v>
      </c>
      <c r="AK861" s="198"/>
      <c r="AL861" s="250" t="s">
        <v>2067</v>
      </c>
    </row>
    <row r="862" spans="1:38" ht="14.1" customHeight="1" x14ac:dyDescent="0.2">
      <c r="A862" t="s">
        <v>893</v>
      </c>
      <c r="B862" s="193">
        <v>4496</v>
      </c>
      <c r="C862" s="194" t="s">
        <v>1082</v>
      </c>
      <c r="D862" s="229" t="s">
        <v>1544</v>
      </c>
      <c r="E862" s="229" t="s">
        <v>204</v>
      </c>
      <c r="F862" s="240">
        <v>300</v>
      </c>
      <c r="G862" s="196">
        <v>1</v>
      </c>
      <c r="H862" s="195">
        <v>300</v>
      </c>
      <c r="I862" s="197">
        <v>41343</v>
      </c>
      <c r="J862" s="197" t="str">
        <f t="shared" si="42"/>
        <v>ok</v>
      </c>
      <c r="K862" s="419"/>
      <c r="L862" s="419"/>
      <c r="M862" s="419"/>
      <c r="N862" s="419"/>
      <c r="O862" s="419"/>
      <c r="P862" s="419"/>
      <c r="Q862" s="419"/>
      <c r="R862" s="419"/>
      <c r="S862" s="419"/>
      <c r="T862" s="419"/>
      <c r="U862" s="419"/>
      <c r="V862" s="419"/>
      <c r="W862" s="419">
        <f t="shared" si="40"/>
        <v>0</v>
      </c>
      <c r="X862" s="412"/>
      <c r="Y862" s="412"/>
      <c r="Z862" s="412">
        <v>300</v>
      </c>
      <c r="AA862" s="412"/>
      <c r="AB862" s="412"/>
      <c r="AC862" s="412"/>
      <c r="AD862" s="412"/>
      <c r="AE862" s="412"/>
      <c r="AF862" s="412"/>
      <c r="AG862" s="412"/>
      <c r="AH862" s="412"/>
      <c r="AI862" s="412"/>
      <c r="AJ862" s="412">
        <f t="shared" si="41"/>
        <v>300</v>
      </c>
      <c r="AK862" s="198"/>
      <c r="AL862" s="250" t="s">
        <v>2067</v>
      </c>
    </row>
    <row r="863" spans="1:38" ht="14.1" customHeight="1" x14ac:dyDescent="0.2">
      <c r="A863" t="s">
        <v>893</v>
      </c>
      <c r="B863" s="193">
        <v>4497</v>
      </c>
      <c r="C863" s="194" t="s">
        <v>1106</v>
      </c>
      <c r="D863" s="229" t="s">
        <v>1433</v>
      </c>
      <c r="E863" s="229" t="s">
        <v>1221</v>
      </c>
      <c r="F863" s="240">
        <v>300</v>
      </c>
      <c r="G863" s="196">
        <v>7</v>
      </c>
      <c r="H863" s="195">
        <v>50</v>
      </c>
      <c r="I863" s="197">
        <v>41343</v>
      </c>
      <c r="J863" s="197" t="str">
        <f t="shared" si="42"/>
        <v>ok</v>
      </c>
      <c r="K863" s="419"/>
      <c r="L863" s="419"/>
      <c r="M863" s="419"/>
      <c r="N863" s="419"/>
      <c r="O863" s="419"/>
      <c r="P863" s="419"/>
      <c r="Q863" s="419"/>
      <c r="R863" s="419"/>
      <c r="S863" s="419"/>
      <c r="T863" s="419"/>
      <c r="U863" s="419"/>
      <c r="V863" s="419"/>
      <c r="W863" s="419">
        <f t="shared" si="40"/>
        <v>0</v>
      </c>
      <c r="X863" s="412"/>
      <c r="Y863" s="412"/>
      <c r="Z863" s="412"/>
      <c r="AA863" s="412"/>
      <c r="AB863" s="412"/>
      <c r="AC863" s="412"/>
      <c r="AD863" s="412"/>
      <c r="AE863" s="412"/>
      <c r="AF863" s="412"/>
      <c r="AG863" s="412"/>
      <c r="AH863" s="412"/>
      <c r="AI863" s="412"/>
      <c r="AJ863" s="412">
        <f t="shared" si="41"/>
        <v>0</v>
      </c>
      <c r="AK863" s="198"/>
      <c r="AL863" s="250" t="s">
        <v>2068</v>
      </c>
    </row>
    <row r="864" spans="1:38" ht="14.1" customHeight="1" x14ac:dyDescent="0.2">
      <c r="A864" t="s">
        <v>893</v>
      </c>
      <c r="B864" s="193">
        <v>4498</v>
      </c>
      <c r="C864" s="194" t="s">
        <v>1136</v>
      </c>
      <c r="D864" s="229" t="s">
        <v>1502</v>
      </c>
      <c r="E864" s="229" t="s">
        <v>308</v>
      </c>
      <c r="F864" s="240">
        <v>300</v>
      </c>
      <c r="G864" s="196">
        <v>1</v>
      </c>
      <c r="H864" s="195">
        <v>300</v>
      </c>
      <c r="I864" s="197">
        <v>41343</v>
      </c>
      <c r="J864" s="197" t="str">
        <f t="shared" si="42"/>
        <v>ok</v>
      </c>
      <c r="K864" s="419"/>
      <c r="L864" s="419"/>
      <c r="M864" s="419"/>
      <c r="N864" s="419"/>
      <c r="O864" s="419"/>
      <c r="P864" s="419"/>
      <c r="Q864" s="419"/>
      <c r="R864" s="419"/>
      <c r="S864" s="419"/>
      <c r="T864" s="419"/>
      <c r="U864" s="419"/>
      <c r="V864" s="419"/>
      <c r="W864" s="419">
        <f t="shared" si="40"/>
        <v>0</v>
      </c>
      <c r="X864" s="412"/>
      <c r="Y864" s="412"/>
      <c r="Z864" s="412">
        <v>300</v>
      </c>
      <c r="AA864" s="412"/>
      <c r="AB864" s="412"/>
      <c r="AC864" s="412"/>
      <c r="AD864" s="412"/>
      <c r="AE864" s="412"/>
      <c r="AF864" s="412"/>
      <c r="AG864" s="412"/>
      <c r="AH864" s="412"/>
      <c r="AI864" s="412"/>
      <c r="AJ864" s="412">
        <f t="shared" si="41"/>
        <v>300</v>
      </c>
      <c r="AK864" s="198"/>
      <c r="AL864" s="250" t="s">
        <v>2067</v>
      </c>
    </row>
    <row r="865" spans="1:39" ht="14.1" customHeight="1" x14ac:dyDescent="0.2">
      <c r="A865" t="s">
        <v>893</v>
      </c>
      <c r="B865" s="193">
        <v>4499</v>
      </c>
      <c r="C865" s="194" t="s">
        <v>1080</v>
      </c>
      <c r="D865" s="229" t="s">
        <v>1598</v>
      </c>
      <c r="E865" s="229" t="s">
        <v>200</v>
      </c>
      <c r="F865" s="240">
        <v>300</v>
      </c>
      <c r="G865" s="196">
        <v>1</v>
      </c>
      <c r="H865" s="195">
        <v>300</v>
      </c>
      <c r="I865" s="197">
        <v>41343</v>
      </c>
      <c r="J865" s="197" t="str">
        <f t="shared" si="42"/>
        <v>ok</v>
      </c>
      <c r="K865" s="419"/>
      <c r="L865" s="419"/>
      <c r="M865" s="419"/>
      <c r="N865" s="419"/>
      <c r="O865" s="419"/>
      <c r="P865" s="419"/>
      <c r="Q865" s="419"/>
      <c r="R865" s="419"/>
      <c r="S865" s="419"/>
      <c r="T865" s="419"/>
      <c r="U865" s="419"/>
      <c r="V865" s="419"/>
      <c r="W865" s="419">
        <f t="shared" si="40"/>
        <v>0</v>
      </c>
      <c r="X865" s="412"/>
      <c r="Y865" s="412"/>
      <c r="Z865" s="412"/>
      <c r="AA865" s="412">
        <v>300</v>
      </c>
      <c r="AB865" s="412"/>
      <c r="AC865" s="412"/>
      <c r="AD865" s="412"/>
      <c r="AE865" s="412"/>
      <c r="AF865" s="412"/>
      <c r="AG865" s="412"/>
      <c r="AH865" s="412"/>
      <c r="AI865" s="412"/>
      <c r="AJ865" s="412">
        <f t="shared" si="41"/>
        <v>300</v>
      </c>
      <c r="AK865" s="198"/>
      <c r="AL865" s="250" t="s">
        <v>2067</v>
      </c>
    </row>
    <row r="866" spans="1:39" ht="14.1" customHeight="1" x14ac:dyDescent="0.2">
      <c r="A866" t="s">
        <v>893</v>
      </c>
      <c r="B866" s="193">
        <v>4500</v>
      </c>
      <c r="C866" s="194" t="s">
        <v>1106</v>
      </c>
      <c r="D866" s="229" t="s">
        <v>1433</v>
      </c>
      <c r="E866" s="229" t="s">
        <v>1221</v>
      </c>
      <c r="F866" s="240">
        <v>300</v>
      </c>
      <c r="G866" s="196">
        <v>1</v>
      </c>
      <c r="H866" s="195">
        <v>300</v>
      </c>
      <c r="I866" s="197">
        <v>41343</v>
      </c>
      <c r="J866" s="197" t="str">
        <f t="shared" si="42"/>
        <v>ok</v>
      </c>
      <c r="K866" s="419"/>
      <c r="L866" s="419"/>
      <c r="M866" s="419"/>
      <c r="N866" s="419"/>
      <c r="O866" s="419"/>
      <c r="P866" s="419"/>
      <c r="Q866" s="419"/>
      <c r="R866" s="419"/>
      <c r="S866" s="419"/>
      <c r="T866" s="419"/>
      <c r="U866" s="419"/>
      <c r="V866" s="419"/>
      <c r="W866" s="419">
        <f t="shared" si="40"/>
        <v>0</v>
      </c>
      <c r="X866" s="412"/>
      <c r="Y866" s="412"/>
      <c r="Z866" s="412">
        <v>300</v>
      </c>
      <c r="AA866" s="412"/>
      <c r="AB866" s="412"/>
      <c r="AC866" s="412"/>
      <c r="AD866" s="412"/>
      <c r="AE866" s="412"/>
      <c r="AF866" s="412"/>
      <c r="AG866" s="412"/>
      <c r="AH866" s="412"/>
      <c r="AI866" s="412"/>
      <c r="AJ866" s="412">
        <f t="shared" si="41"/>
        <v>300</v>
      </c>
      <c r="AK866" s="198"/>
      <c r="AL866" s="250" t="s">
        <v>2067</v>
      </c>
    </row>
    <row r="867" spans="1:39" ht="14.1" customHeight="1" x14ac:dyDescent="0.2">
      <c r="A867" t="s">
        <v>893</v>
      </c>
      <c r="B867" s="193">
        <v>4501</v>
      </c>
      <c r="C867" s="194" t="s">
        <v>1137</v>
      </c>
      <c r="D867" s="229" t="s">
        <v>1463</v>
      </c>
      <c r="E867" s="229" t="s">
        <v>310</v>
      </c>
      <c r="F867" s="240">
        <v>300</v>
      </c>
      <c r="G867" s="196">
        <v>1</v>
      </c>
      <c r="H867" s="195">
        <v>300</v>
      </c>
      <c r="I867" s="197">
        <v>41343</v>
      </c>
      <c r="J867" s="197" t="str">
        <f t="shared" si="42"/>
        <v>ok</v>
      </c>
      <c r="K867" s="419"/>
      <c r="L867" s="419"/>
      <c r="M867" s="419"/>
      <c r="N867" s="419"/>
      <c r="O867" s="419"/>
      <c r="P867" s="419"/>
      <c r="Q867" s="419"/>
      <c r="R867" s="419"/>
      <c r="S867" s="419"/>
      <c r="T867" s="419"/>
      <c r="U867" s="419"/>
      <c r="V867" s="419"/>
      <c r="W867" s="419">
        <f t="shared" si="40"/>
        <v>0</v>
      </c>
      <c r="X867" s="412"/>
      <c r="Y867" s="412"/>
      <c r="Z867" s="412">
        <v>300</v>
      </c>
      <c r="AA867" s="412"/>
      <c r="AB867" s="412"/>
      <c r="AC867" s="412"/>
      <c r="AD867" s="412"/>
      <c r="AE867" s="412"/>
      <c r="AF867" s="412"/>
      <c r="AG867" s="412"/>
      <c r="AH867" s="412"/>
      <c r="AI867" s="412"/>
      <c r="AJ867" s="412">
        <f t="shared" si="41"/>
        <v>300</v>
      </c>
      <c r="AK867" s="198"/>
      <c r="AL867" s="250" t="s">
        <v>2067</v>
      </c>
    </row>
    <row r="868" spans="1:39" ht="14.1" customHeight="1" x14ac:dyDescent="0.2">
      <c r="A868" t="s">
        <v>888</v>
      </c>
      <c r="B868" s="193">
        <v>4502</v>
      </c>
      <c r="C868" s="194" t="s">
        <v>948</v>
      </c>
      <c r="D868" s="229" t="s">
        <v>1504</v>
      </c>
      <c r="E868" s="229" t="s">
        <v>325</v>
      </c>
      <c r="F868" s="240">
        <v>300</v>
      </c>
      <c r="G868" s="196">
        <v>1</v>
      </c>
      <c r="H868" s="195">
        <v>300</v>
      </c>
      <c r="I868" s="197">
        <v>41343</v>
      </c>
      <c r="J868" s="197" t="str">
        <f t="shared" si="42"/>
        <v>ok</v>
      </c>
      <c r="K868" s="419"/>
      <c r="L868" s="419"/>
      <c r="M868" s="419"/>
      <c r="N868" s="419"/>
      <c r="O868" s="419"/>
      <c r="P868" s="419"/>
      <c r="Q868" s="419"/>
      <c r="R868" s="419"/>
      <c r="S868" s="419"/>
      <c r="T868" s="419"/>
      <c r="U868" s="419"/>
      <c r="V868" s="419"/>
      <c r="W868" s="419">
        <f t="shared" si="40"/>
        <v>0</v>
      </c>
      <c r="X868" s="412"/>
      <c r="Y868" s="412"/>
      <c r="Z868" s="412">
        <v>300</v>
      </c>
      <c r="AA868" s="412"/>
      <c r="AB868" s="412"/>
      <c r="AC868" s="412"/>
      <c r="AD868" s="412"/>
      <c r="AE868" s="412"/>
      <c r="AF868" s="412"/>
      <c r="AG868" s="412"/>
      <c r="AH868" s="412"/>
      <c r="AI868" s="412"/>
      <c r="AJ868" s="412">
        <f t="shared" si="41"/>
        <v>300</v>
      </c>
      <c r="AK868" s="198"/>
      <c r="AL868" s="250" t="s">
        <v>2067</v>
      </c>
    </row>
    <row r="869" spans="1:39" ht="14.1" customHeight="1" x14ac:dyDescent="0.2">
      <c r="A869" t="s">
        <v>894</v>
      </c>
      <c r="B869" s="193">
        <v>4503</v>
      </c>
      <c r="C869" s="194" t="s">
        <v>767</v>
      </c>
      <c r="D869" s="229" t="s">
        <v>1411</v>
      </c>
      <c r="E869" s="229" t="s">
        <v>607</v>
      </c>
      <c r="F869" s="240">
        <v>300</v>
      </c>
      <c r="G869" s="196">
        <v>1</v>
      </c>
      <c r="H869" s="195">
        <v>300</v>
      </c>
      <c r="I869" s="197">
        <v>41345</v>
      </c>
      <c r="J869" s="197" t="str">
        <f t="shared" si="42"/>
        <v>ok</v>
      </c>
      <c r="K869" s="419"/>
      <c r="L869" s="419"/>
      <c r="M869" s="419"/>
      <c r="N869" s="419"/>
      <c r="O869" s="419"/>
      <c r="P869" s="419"/>
      <c r="Q869" s="419"/>
      <c r="R869" s="419"/>
      <c r="S869" s="419"/>
      <c r="T869" s="419"/>
      <c r="U869" s="419"/>
      <c r="V869" s="419"/>
      <c r="W869" s="419">
        <f t="shared" si="40"/>
        <v>0</v>
      </c>
      <c r="X869" s="412"/>
      <c r="Y869" s="412"/>
      <c r="Z869" s="412">
        <v>300</v>
      </c>
      <c r="AA869" s="412"/>
      <c r="AB869" s="412"/>
      <c r="AC869" s="412"/>
      <c r="AD869" s="412"/>
      <c r="AE869" s="412"/>
      <c r="AF869" s="412"/>
      <c r="AG869" s="412"/>
      <c r="AH869" s="412"/>
      <c r="AI869" s="412"/>
      <c r="AJ869" s="412">
        <f t="shared" si="41"/>
        <v>300</v>
      </c>
      <c r="AK869" s="198"/>
      <c r="AL869" s="250" t="s">
        <v>2067</v>
      </c>
    </row>
    <row r="870" spans="1:39" ht="14.1" customHeight="1" x14ac:dyDescent="0.2">
      <c r="A870" t="s">
        <v>884</v>
      </c>
      <c r="B870" s="193">
        <v>4504</v>
      </c>
      <c r="C870" s="194" t="s">
        <v>829</v>
      </c>
      <c r="D870" s="229" t="s">
        <v>1640</v>
      </c>
      <c r="E870" s="229" t="s">
        <v>61</v>
      </c>
      <c r="F870" s="240">
        <v>200</v>
      </c>
      <c r="G870" s="196">
        <v>1</v>
      </c>
      <c r="H870" s="195">
        <v>800</v>
      </c>
      <c r="I870" s="197">
        <v>41346</v>
      </c>
      <c r="J870" s="197" t="str">
        <f t="shared" si="42"/>
        <v>ok</v>
      </c>
      <c r="K870" s="419"/>
      <c r="L870" s="419"/>
      <c r="M870" s="419"/>
      <c r="N870" s="419"/>
      <c r="O870" s="419"/>
      <c r="P870" s="419"/>
      <c r="Q870" s="419"/>
      <c r="R870" s="419"/>
      <c r="S870" s="419"/>
      <c r="T870" s="419"/>
      <c r="U870" s="419"/>
      <c r="V870" s="419">
        <v>200</v>
      </c>
      <c r="W870" s="419">
        <f t="shared" si="40"/>
        <v>200</v>
      </c>
      <c r="X870" s="412">
        <v>200</v>
      </c>
      <c r="Y870" s="412">
        <v>200</v>
      </c>
      <c r="Z870" s="412">
        <v>200</v>
      </c>
      <c r="AA870" s="412"/>
      <c r="AB870" s="412"/>
      <c r="AC870" s="412"/>
      <c r="AD870" s="412"/>
      <c r="AE870" s="412"/>
      <c r="AF870" s="412"/>
      <c r="AG870" s="412"/>
      <c r="AH870" s="412"/>
      <c r="AI870" s="412"/>
      <c r="AJ870" s="412">
        <f t="shared" si="41"/>
        <v>600</v>
      </c>
      <c r="AK870" s="198" t="s">
        <v>1272</v>
      </c>
      <c r="AL870" s="250" t="s">
        <v>2067</v>
      </c>
    </row>
    <row r="871" spans="1:39" ht="14.1" customHeight="1" x14ac:dyDescent="0.2">
      <c r="A871" t="s">
        <v>893</v>
      </c>
      <c r="B871" s="193">
        <v>4505</v>
      </c>
      <c r="C871" s="194" t="s">
        <v>1104</v>
      </c>
      <c r="D871" s="229" t="s">
        <v>1641</v>
      </c>
      <c r="E871" s="229" t="s">
        <v>250</v>
      </c>
      <c r="F871" s="240">
        <v>300</v>
      </c>
      <c r="G871" s="196">
        <v>1</v>
      </c>
      <c r="H871" s="195">
        <v>3300</v>
      </c>
      <c r="I871" s="197">
        <v>41346</v>
      </c>
      <c r="J871" s="197" t="str">
        <f t="shared" si="42"/>
        <v>ok</v>
      </c>
      <c r="K871" s="419"/>
      <c r="L871" s="419"/>
      <c r="M871" s="419"/>
      <c r="N871" s="419"/>
      <c r="O871" s="419"/>
      <c r="P871" s="419"/>
      <c r="Q871" s="419"/>
      <c r="R871" s="419"/>
      <c r="S871" s="419"/>
      <c r="T871" s="419"/>
      <c r="U871" s="419"/>
      <c r="V871" s="419"/>
      <c r="W871" s="419">
        <f t="shared" si="40"/>
        <v>0</v>
      </c>
      <c r="X871" s="412">
        <v>300</v>
      </c>
      <c r="Y871" s="412">
        <v>300</v>
      </c>
      <c r="Z871" s="412">
        <v>300</v>
      </c>
      <c r="AA871" s="412">
        <v>300</v>
      </c>
      <c r="AB871" s="412">
        <v>300</v>
      </c>
      <c r="AC871" s="412">
        <v>300</v>
      </c>
      <c r="AD871" s="412">
        <v>300</v>
      </c>
      <c r="AE871" s="412">
        <v>300</v>
      </c>
      <c r="AF871" s="412">
        <v>300</v>
      </c>
      <c r="AG871" s="412">
        <v>300</v>
      </c>
      <c r="AH871" s="412">
        <v>300</v>
      </c>
      <c r="AI871" s="412"/>
      <c r="AJ871" s="412">
        <f t="shared" si="41"/>
        <v>3300</v>
      </c>
      <c r="AK871" s="198" t="s">
        <v>1246</v>
      </c>
      <c r="AL871" s="250" t="s">
        <v>2067</v>
      </c>
      <c r="AM871" s="158"/>
    </row>
    <row r="872" spans="1:39" ht="14.1" customHeight="1" x14ac:dyDescent="0.2">
      <c r="A872" t="s">
        <v>888</v>
      </c>
      <c r="B872" s="193">
        <v>4506</v>
      </c>
      <c r="C872" s="194" t="s">
        <v>929</v>
      </c>
      <c r="D872" s="229" t="s">
        <v>1642</v>
      </c>
      <c r="E872" s="229" t="s">
        <v>380</v>
      </c>
      <c r="F872" s="240">
        <v>300</v>
      </c>
      <c r="G872" s="196">
        <v>1</v>
      </c>
      <c r="H872" s="195">
        <v>1200</v>
      </c>
      <c r="I872" s="197">
        <v>41346</v>
      </c>
      <c r="J872" s="197" t="str">
        <f t="shared" si="42"/>
        <v>ok</v>
      </c>
      <c r="K872" s="419"/>
      <c r="L872" s="419"/>
      <c r="M872" s="419"/>
      <c r="N872" s="419"/>
      <c r="O872" s="419"/>
      <c r="P872" s="419"/>
      <c r="Q872" s="419"/>
      <c r="R872" s="419"/>
      <c r="S872" s="419"/>
      <c r="T872" s="419">
        <v>300</v>
      </c>
      <c r="U872" s="419">
        <v>300</v>
      </c>
      <c r="V872" s="419">
        <v>300</v>
      </c>
      <c r="W872" s="419">
        <f t="shared" si="40"/>
        <v>900</v>
      </c>
      <c r="X872" s="412">
        <v>300</v>
      </c>
      <c r="Y872" s="412"/>
      <c r="Z872" s="412"/>
      <c r="AA872" s="412"/>
      <c r="AB872" s="412"/>
      <c r="AC872" s="412"/>
      <c r="AD872" s="412"/>
      <c r="AE872" s="412"/>
      <c r="AF872" s="412"/>
      <c r="AG872" s="412"/>
      <c r="AH872" s="412"/>
      <c r="AI872" s="412"/>
      <c r="AJ872" s="412">
        <f t="shared" si="41"/>
        <v>300</v>
      </c>
      <c r="AK872" s="198" t="s">
        <v>1253</v>
      </c>
      <c r="AL872" s="250" t="s">
        <v>2067</v>
      </c>
    </row>
    <row r="873" spans="1:39" ht="14.1" customHeight="1" x14ac:dyDescent="0.2">
      <c r="A873" t="s">
        <v>890</v>
      </c>
      <c r="B873" s="193">
        <v>4507</v>
      </c>
      <c r="C873" s="194" t="s">
        <v>1033</v>
      </c>
      <c r="D873" s="229" t="s">
        <v>1366</v>
      </c>
      <c r="E873" s="229" t="s">
        <v>1218</v>
      </c>
      <c r="F873" s="240">
        <v>300</v>
      </c>
      <c r="G873" s="196">
        <v>1</v>
      </c>
      <c r="H873" s="195">
        <v>300</v>
      </c>
      <c r="I873" s="197">
        <v>41346</v>
      </c>
      <c r="J873" s="197" t="str">
        <f t="shared" si="42"/>
        <v>ok</v>
      </c>
      <c r="K873" s="419"/>
      <c r="L873" s="419"/>
      <c r="M873" s="419"/>
      <c r="N873" s="419"/>
      <c r="O873" s="419"/>
      <c r="P873" s="419"/>
      <c r="Q873" s="419"/>
      <c r="R873" s="419"/>
      <c r="S873" s="419"/>
      <c r="T873" s="419"/>
      <c r="U873" s="419"/>
      <c r="V873" s="419"/>
      <c r="W873" s="419">
        <f t="shared" si="40"/>
        <v>0</v>
      </c>
      <c r="X873" s="412"/>
      <c r="Y873" s="412"/>
      <c r="Z873" s="412">
        <v>300</v>
      </c>
      <c r="AA873" s="412"/>
      <c r="AB873" s="412"/>
      <c r="AC873" s="412"/>
      <c r="AD873" s="412"/>
      <c r="AE873" s="412"/>
      <c r="AF873" s="412"/>
      <c r="AG873" s="412"/>
      <c r="AH873" s="412"/>
      <c r="AI873" s="412"/>
      <c r="AJ873" s="412">
        <f t="shared" si="41"/>
        <v>300</v>
      </c>
      <c r="AK873" s="198"/>
      <c r="AL873" s="250" t="s">
        <v>2067</v>
      </c>
    </row>
    <row r="874" spans="1:39" ht="14.1" customHeight="1" x14ac:dyDescent="0.2">
      <c r="A874" t="s">
        <v>888</v>
      </c>
      <c r="B874" s="193">
        <v>4508</v>
      </c>
      <c r="C874" s="194" t="s">
        <v>948</v>
      </c>
      <c r="D874" s="229" t="s">
        <v>1504</v>
      </c>
      <c r="E874" s="229" t="s">
        <v>325</v>
      </c>
      <c r="F874" s="240">
        <v>300</v>
      </c>
      <c r="G874" s="196">
        <v>3</v>
      </c>
      <c r="H874" s="195">
        <v>300</v>
      </c>
      <c r="I874" s="197">
        <v>41351</v>
      </c>
      <c r="J874" s="197" t="str">
        <f t="shared" si="42"/>
        <v>ok</v>
      </c>
      <c r="K874" s="419"/>
      <c r="L874" s="419"/>
      <c r="M874" s="419"/>
      <c r="N874" s="419"/>
      <c r="O874" s="419"/>
      <c r="P874" s="419"/>
      <c r="Q874" s="419"/>
      <c r="R874" s="419"/>
      <c r="S874" s="419"/>
      <c r="T874" s="419"/>
      <c r="U874" s="419"/>
      <c r="V874" s="419"/>
      <c r="W874" s="419">
        <f t="shared" si="40"/>
        <v>0</v>
      </c>
      <c r="X874" s="412"/>
      <c r="Y874" s="412"/>
      <c r="Z874" s="412"/>
      <c r="AA874" s="412"/>
      <c r="AB874" s="412"/>
      <c r="AC874" s="412"/>
      <c r="AD874" s="412"/>
      <c r="AE874" s="412"/>
      <c r="AF874" s="412"/>
      <c r="AG874" s="412"/>
      <c r="AH874" s="412"/>
      <c r="AI874" s="412"/>
      <c r="AJ874" s="412">
        <f t="shared" si="41"/>
        <v>0</v>
      </c>
      <c r="AK874" s="198"/>
      <c r="AL874" s="250" t="s">
        <v>2068</v>
      </c>
    </row>
    <row r="875" spans="1:39" ht="14.1" customHeight="1" x14ac:dyDescent="0.2">
      <c r="A875" t="s">
        <v>890</v>
      </c>
      <c r="B875" s="193">
        <v>4509</v>
      </c>
      <c r="C875" s="194" t="s">
        <v>1001</v>
      </c>
      <c r="D875" s="229" t="s">
        <v>1643</v>
      </c>
      <c r="E875" s="229" t="s">
        <v>491</v>
      </c>
      <c r="F875" s="240">
        <v>200</v>
      </c>
      <c r="G875" s="196">
        <v>1</v>
      </c>
      <c r="H875" s="195">
        <v>600</v>
      </c>
      <c r="I875" s="197">
        <v>41350</v>
      </c>
      <c r="J875" s="197" t="str">
        <f t="shared" si="42"/>
        <v>ok</v>
      </c>
      <c r="K875" s="419"/>
      <c r="L875" s="419"/>
      <c r="M875" s="419"/>
      <c r="N875" s="419"/>
      <c r="O875" s="419"/>
      <c r="P875" s="419"/>
      <c r="Q875" s="419"/>
      <c r="R875" s="419"/>
      <c r="S875" s="419"/>
      <c r="T875" s="419"/>
      <c r="U875" s="419"/>
      <c r="V875" s="419"/>
      <c r="W875" s="419">
        <f t="shared" si="40"/>
        <v>0</v>
      </c>
      <c r="X875" s="412">
        <v>200</v>
      </c>
      <c r="Y875" s="412">
        <v>200</v>
      </c>
      <c r="Z875" s="412">
        <v>200</v>
      </c>
      <c r="AA875" s="412"/>
      <c r="AB875" s="412"/>
      <c r="AC875" s="412"/>
      <c r="AD875" s="412"/>
      <c r="AE875" s="412"/>
      <c r="AF875" s="412"/>
      <c r="AG875" s="412"/>
      <c r="AH875" s="412"/>
      <c r="AI875" s="412"/>
      <c r="AJ875" s="412">
        <f t="shared" si="41"/>
        <v>600</v>
      </c>
      <c r="AK875" s="198"/>
      <c r="AL875" s="250" t="s">
        <v>2067</v>
      </c>
    </row>
    <row r="876" spans="1:39" ht="14.1" customHeight="1" x14ac:dyDescent="0.2">
      <c r="A876" t="s">
        <v>884</v>
      </c>
      <c r="B876" s="193">
        <v>4510</v>
      </c>
      <c r="C876" s="194" t="s">
        <v>851</v>
      </c>
      <c r="D876" s="229" t="s">
        <v>1465</v>
      </c>
      <c r="E876" s="229" t="s">
        <v>91</v>
      </c>
      <c r="F876" s="240">
        <v>300</v>
      </c>
      <c r="G876" s="196">
        <v>1</v>
      </c>
      <c r="H876" s="195">
        <v>300</v>
      </c>
      <c r="I876" s="197">
        <v>41350</v>
      </c>
      <c r="J876" s="197" t="str">
        <f t="shared" si="42"/>
        <v>ok</v>
      </c>
      <c r="K876" s="419"/>
      <c r="L876" s="419"/>
      <c r="M876" s="419"/>
      <c r="N876" s="419"/>
      <c r="O876" s="419"/>
      <c r="P876" s="419"/>
      <c r="Q876" s="419"/>
      <c r="R876" s="419"/>
      <c r="S876" s="419"/>
      <c r="T876" s="419"/>
      <c r="U876" s="419"/>
      <c r="V876" s="419"/>
      <c r="W876" s="419">
        <f t="shared" si="40"/>
        <v>0</v>
      </c>
      <c r="X876" s="412"/>
      <c r="Y876" s="412"/>
      <c r="Z876" s="412">
        <v>300</v>
      </c>
      <c r="AA876" s="412"/>
      <c r="AB876" s="412"/>
      <c r="AC876" s="412"/>
      <c r="AD876" s="412"/>
      <c r="AE876" s="412"/>
      <c r="AF876" s="412"/>
      <c r="AG876" s="412"/>
      <c r="AH876" s="412"/>
      <c r="AI876" s="412"/>
      <c r="AJ876" s="412">
        <f t="shared" si="41"/>
        <v>300</v>
      </c>
      <c r="AK876" s="198"/>
      <c r="AL876" s="250" t="s">
        <v>2067</v>
      </c>
    </row>
    <row r="877" spans="1:39" ht="14.1" customHeight="1" x14ac:dyDescent="0.2">
      <c r="A877" t="s">
        <v>893</v>
      </c>
      <c r="B877" s="193">
        <v>4511</v>
      </c>
      <c r="C877" s="194" t="s">
        <v>1091</v>
      </c>
      <c r="D877" s="229" t="s">
        <v>1372</v>
      </c>
      <c r="E877" s="229" t="s">
        <v>221</v>
      </c>
      <c r="F877" s="240">
        <v>300</v>
      </c>
      <c r="G877" s="196">
        <v>1</v>
      </c>
      <c r="H877" s="195">
        <v>300</v>
      </c>
      <c r="I877" s="197">
        <v>41350</v>
      </c>
      <c r="J877" s="197" t="str">
        <f t="shared" si="42"/>
        <v>ok</v>
      </c>
      <c r="K877" s="419"/>
      <c r="L877" s="419"/>
      <c r="M877" s="419"/>
      <c r="N877" s="419"/>
      <c r="O877" s="419"/>
      <c r="P877" s="419"/>
      <c r="Q877" s="419"/>
      <c r="R877" s="419"/>
      <c r="S877" s="419"/>
      <c r="T877" s="419"/>
      <c r="U877" s="419"/>
      <c r="V877" s="419"/>
      <c r="W877" s="419">
        <f t="shared" si="40"/>
        <v>0</v>
      </c>
      <c r="X877" s="412"/>
      <c r="Y877" s="412">
        <v>300</v>
      </c>
      <c r="Z877" s="412"/>
      <c r="AA877" s="412"/>
      <c r="AB877" s="412"/>
      <c r="AC877" s="412"/>
      <c r="AD877" s="412"/>
      <c r="AE877" s="412"/>
      <c r="AF877" s="412"/>
      <c r="AG877" s="412"/>
      <c r="AH877" s="412"/>
      <c r="AI877" s="412"/>
      <c r="AJ877" s="412">
        <f t="shared" si="41"/>
        <v>300</v>
      </c>
      <c r="AK877" s="198"/>
      <c r="AL877" s="250" t="s">
        <v>2067</v>
      </c>
    </row>
    <row r="878" spans="1:39" ht="14.1" customHeight="1" x14ac:dyDescent="0.2">
      <c r="A878" t="s">
        <v>890</v>
      </c>
      <c r="B878" s="193">
        <v>4512</v>
      </c>
      <c r="C878" s="194" t="s">
        <v>991</v>
      </c>
      <c r="D878" s="229" t="s">
        <v>1456</v>
      </c>
      <c r="E878" s="229" t="s">
        <v>480</v>
      </c>
      <c r="F878" s="240">
        <v>300</v>
      </c>
      <c r="G878" s="196">
        <v>1</v>
      </c>
      <c r="H878" s="195">
        <v>300</v>
      </c>
      <c r="I878" s="197">
        <v>41350</v>
      </c>
      <c r="J878" s="197" t="str">
        <f t="shared" si="42"/>
        <v>ok</v>
      </c>
      <c r="K878" s="419"/>
      <c r="L878" s="419"/>
      <c r="M878" s="419"/>
      <c r="N878" s="419"/>
      <c r="O878" s="419"/>
      <c r="P878" s="419"/>
      <c r="Q878" s="419"/>
      <c r="R878" s="419"/>
      <c r="S878" s="419"/>
      <c r="T878" s="419"/>
      <c r="U878" s="419"/>
      <c r="V878" s="419"/>
      <c r="W878" s="419">
        <f t="shared" si="40"/>
        <v>0</v>
      </c>
      <c r="X878" s="412"/>
      <c r="Y878" s="412"/>
      <c r="Z878" s="412">
        <v>300</v>
      </c>
      <c r="AA878" s="412"/>
      <c r="AB878" s="412"/>
      <c r="AC878" s="412"/>
      <c r="AD878" s="412"/>
      <c r="AE878" s="412"/>
      <c r="AF878" s="412"/>
      <c r="AG878" s="412"/>
      <c r="AH878" s="412"/>
      <c r="AI878" s="412"/>
      <c r="AJ878" s="412">
        <f t="shared" si="41"/>
        <v>300</v>
      </c>
      <c r="AK878" s="198"/>
      <c r="AL878" s="250" t="s">
        <v>2067</v>
      </c>
    </row>
    <row r="879" spans="1:39" ht="14.1" customHeight="1" x14ac:dyDescent="0.2">
      <c r="A879" t="s">
        <v>890</v>
      </c>
      <c r="B879" s="193">
        <v>4513</v>
      </c>
      <c r="C879" s="194" t="s">
        <v>1025</v>
      </c>
      <c r="D879" s="229" t="s">
        <v>1378</v>
      </c>
      <c r="E879" s="229" t="s">
        <v>525</v>
      </c>
      <c r="F879" s="240">
        <v>300</v>
      </c>
      <c r="G879" s="196">
        <v>1</v>
      </c>
      <c r="H879" s="195">
        <v>300</v>
      </c>
      <c r="I879" s="197">
        <v>41350</v>
      </c>
      <c r="J879" s="197" t="str">
        <f t="shared" si="42"/>
        <v>ok</v>
      </c>
      <c r="K879" s="419"/>
      <c r="L879" s="419"/>
      <c r="M879" s="419"/>
      <c r="N879" s="419"/>
      <c r="O879" s="419"/>
      <c r="P879" s="419"/>
      <c r="Q879" s="419"/>
      <c r="R879" s="419"/>
      <c r="S879" s="419"/>
      <c r="T879" s="419"/>
      <c r="U879" s="419"/>
      <c r="V879" s="419"/>
      <c r="W879" s="419">
        <f t="shared" si="40"/>
        <v>0</v>
      </c>
      <c r="X879" s="412"/>
      <c r="Y879" s="412"/>
      <c r="Z879" s="412">
        <v>300</v>
      </c>
      <c r="AA879" s="412"/>
      <c r="AB879" s="412"/>
      <c r="AC879" s="412"/>
      <c r="AD879" s="412"/>
      <c r="AE879" s="412"/>
      <c r="AF879" s="412"/>
      <c r="AG879" s="412"/>
      <c r="AH879" s="412"/>
      <c r="AI879" s="412"/>
      <c r="AJ879" s="412">
        <f t="shared" si="41"/>
        <v>300</v>
      </c>
      <c r="AK879" s="198"/>
      <c r="AL879" s="250" t="s">
        <v>2067</v>
      </c>
    </row>
    <row r="880" spans="1:39" ht="14.1" customHeight="1" x14ac:dyDescent="0.2">
      <c r="A880" t="s">
        <v>894</v>
      </c>
      <c r="B880" s="193">
        <v>4514</v>
      </c>
      <c r="C880" s="194" t="s">
        <v>1160</v>
      </c>
      <c r="D880" s="229" t="s">
        <v>1608</v>
      </c>
      <c r="E880" s="229" t="s">
        <v>1275</v>
      </c>
      <c r="F880" s="240">
        <v>300</v>
      </c>
      <c r="G880" s="196">
        <v>1</v>
      </c>
      <c r="H880" s="195">
        <v>300</v>
      </c>
      <c r="I880" s="197">
        <v>41350</v>
      </c>
      <c r="J880" s="197" t="str">
        <f t="shared" si="42"/>
        <v>ok</v>
      </c>
      <c r="K880" s="419"/>
      <c r="L880" s="419"/>
      <c r="M880" s="419"/>
      <c r="N880" s="419"/>
      <c r="O880" s="419"/>
      <c r="P880" s="419"/>
      <c r="Q880" s="419"/>
      <c r="R880" s="419"/>
      <c r="S880" s="419"/>
      <c r="T880" s="419"/>
      <c r="U880" s="419"/>
      <c r="V880" s="419"/>
      <c r="W880" s="419">
        <f t="shared" si="40"/>
        <v>0</v>
      </c>
      <c r="X880" s="412"/>
      <c r="Y880" s="412"/>
      <c r="Z880" s="412">
        <v>300</v>
      </c>
      <c r="AA880" s="412"/>
      <c r="AB880" s="412"/>
      <c r="AC880" s="412"/>
      <c r="AD880" s="412"/>
      <c r="AE880" s="412"/>
      <c r="AF880" s="412"/>
      <c r="AG880" s="412"/>
      <c r="AH880" s="412"/>
      <c r="AI880" s="412"/>
      <c r="AJ880" s="412">
        <f t="shared" si="41"/>
        <v>300</v>
      </c>
      <c r="AK880" s="198"/>
      <c r="AL880" s="250" t="s">
        <v>2067</v>
      </c>
    </row>
    <row r="881" spans="1:38" ht="14.1" customHeight="1" x14ac:dyDescent="0.2">
      <c r="A881" t="s">
        <v>888</v>
      </c>
      <c r="B881" s="193">
        <v>4515</v>
      </c>
      <c r="C881" s="194" t="s">
        <v>919</v>
      </c>
      <c r="D881" s="229" t="s">
        <v>1510</v>
      </c>
      <c r="E881" s="229" t="s">
        <v>359</v>
      </c>
      <c r="F881" s="240">
        <v>300</v>
      </c>
      <c r="G881" s="196">
        <v>1</v>
      </c>
      <c r="H881" s="195">
        <v>600</v>
      </c>
      <c r="I881" s="197">
        <v>41350</v>
      </c>
      <c r="J881" s="197" t="str">
        <f t="shared" si="42"/>
        <v>ok</v>
      </c>
      <c r="K881" s="419"/>
      <c r="L881" s="419"/>
      <c r="M881" s="419"/>
      <c r="N881" s="419"/>
      <c r="O881" s="419"/>
      <c r="P881" s="419"/>
      <c r="Q881" s="419"/>
      <c r="R881" s="419"/>
      <c r="S881" s="419"/>
      <c r="T881" s="419"/>
      <c r="U881" s="419"/>
      <c r="V881" s="419"/>
      <c r="W881" s="419">
        <f t="shared" si="40"/>
        <v>0</v>
      </c>
      <c r="X881" s="412"/>
      <c r="Y881" s="412">
        <v>300</v>
      </c>
      <c r="Z881" s="412">
        <v>300</v>
      </c>
      <c r="AA881" s="412"/>
      <c r="AB881" s="412"/>
      <c r="AC881" s="412"/>
      <c r="AD881" s="412"/>
      <c r="AE881" s="412"/>
      <c r="AF881" s="412"/>
      <c r="AG881" s="412"/>
      <c r="AH881" s="412"/>
      <c r="AI881" s="412"/>
      <c r="AJ881" s="412">
        <f t="shared" si="41"/>
        <v>600</v>
      </c>
      <c r="AK881" s="198"/>
      <c r="AL881" s="250" t="s">
        <v>2067</v>
      </c>
    </row>
    <row r="882" spans="1:38" ht="14.1" customHeight="1" x14ac:dyDescent="0.2">
      <c r="A882" t="s">
        <v>888</v>
      </c>
      <c r="B882" s="193">
        <v>4516</v>
      </c>
      <c r="C882" s="194" t="s">
        <v>930</v>
      </c>
      <c r="D882" s="229" t="s">
        <v>1539</v>
      </c>
      <c r="E882" s="229" t="s">
        <v>1273</v>
      </c>
      <c r="F882" s="240">
        <v>300</v>
      </c>
      <c r="G882" s="196">
        <v>1</v>
      </c>
      <c r="H882" s="195">
        <v>300</v>
      </c>
      <c r="I882" s="197">
        <v>41350</v>
      </c>
      <c r="J882" s="197" t="str">
        <f t="shared" si="42"/>
        <v>ok</v>
      </c>
      <c r="K882" s="419"/>
      <c r="L882" s="419"/>
      <c r="M882" s="419"/>
      <c r="N882" s="419"/>
      <c r="O882" s="419"/>
      <c r="P882" s="419"/>
      <c r="Q882" s="419"/>
      <c r="R882" s="419"/>
      <c r="S882" s="419"/>
      <c r="T882" s="419"/>
      <c r="U882" s="419"/>
      <c r="V882" s="419"/>
      <c r="W882" s="419">
        <f t="shared" si="40"/>
        <v>0</v>
      </c>
      <c r="X882" s="412"/>
      <c r="Y882" s="412"/>
      <c r="Z882" s="412">
        <v>300</v>
      </c>
      <c r="AA882" s="412"/>
      <c r="AB882" s="412"/>
      <c r="AC882" s="412"/>
      <c r="AD882" s="412"/>
      <c r="AE882" s="412"/>
      <c r="AF882" s="412"/>
      <c r="AG882" s="412"/>
      <c r="AH882" s="412"/>
      <c r="AI882" s="412"/>
      <c r="AJ882" s="412">
        <f t="shared" si="41"/>
        <v>300</v>
      </c>
      <c r="AK882" s="198"/>
      <c r="AL882" s="250" t="s">
        <v>2067</v>
      </c>
    </row>
    <row r="883" spans="1:38" ht="14.1" customHeight="1" x14ac:dyDescent="0.2">
      <c r="A883" t="s">
        <v>893</v>
      </c>
      <c r="B883" s="193">
        <v>4517</v>
      </c>
      <c r="C883" s="194" t="s">
        <v>777</v>
      </c>
      <c r="D883" s="229" t="s">
        <v>1387</v>
      </c>
      <c r="E883" s="229" t="s">
        <v>714</v>
      </c>
      <c r="F883" s="240">
        <v>300</v>
      </c>
      <c r="G883" s="196">
        <v>1</v>
      </c>
      <c r="H883" s="195">
        <v>300</v>
      </c>
      <c r="I883" s="197">
        <v>41350</v>
      </c>
      <c r="J883" s="197" t="str">
        <f t="shared" si="42"/>
        <v>ok</v>
      </c>
      <c r="K883" s="419"/>
      <c r="L883" s="419"/>
      <c r="M883" s="419"/>
      <c r="N883" s="419"/>
      <c r="O883" s="419"/>
      <c r="P883" s="419"/>
      <c r="Q883" s="419"/>
      <c r="R883" s="419"/>
      <c r="S883" s="419"/>
      <c r="T883" s="419"/>
      <c r="U883" s="419"/>
      <c r="V883" s="419"/>
      <c r="W883" s="419">
        <f t="shared" si="40"/>
        <v>0</v>
      </c>
      <c r="X883" s="412"/>
      <c r="Y883" s="412"/>
      <c r="Z883" s="412">
        <v>300</v>
      </c>
      <c r="AA883" s="412"/>
      <c r="AB883" s="412"/>
      <c r="AC883" s="412"/>
      <c r="AD883" s="412"/>
      <c r="AE883" s="412"/>
      <c r="AF883" s="412"/>
      <c r="AG883" s="412"/>
      <c r="AH883" s="412"/>
      <c r="AI883" s="412"/>
      <c r="AJ883" s="412">
        <f t="shared" si="41"/>
        <v>300</v>
      </c>
      <c r="AK883" s="198"/>
      <c r="AL883" s="250" t="s">
        <v>2067</v>
      </c>
    </row>
    <row r="884" spans="1:38" ht="14.1" customHeight="1" x14ac:dyDescent="0.2">
      <c r="A884" t="s">
        <v>888</v>
      </c>
      <c r="B884" s="193">
        <v>4518</v>
      </c>
      <c r="C884" s="194" t="s">
        <v>768</v>
      </c>
      <c r="D884" s="229" t="s">
        <v>1399</v>
      </c>
      <c r="E884" s="229" t="s">
        <v>365</v>
      </c>
      <c r="F884" s="240">
        <v>300</v>
      </c>
      <c r="G884" s="196">
        <v>4</v>
      </c>
      <c r="H884" s="195">
        <v>160</v>
      </c>
      <c r="I884" s="197">
        <v>41350</v>
      </c>
      <c r="J884" s="197" t="str">
        <f t="shared" si="42"/>
        <v>ok</v>
      </c>
      <c r="K884" s="419"/>
      <c r="L884" s="419"/>
      <c r="M884" s="419"/>
      <c r="N884" s="419"/>
      <c r="O884" s="419"/>
      <c r="P884" s="419"/>
      <c r="Q884" s="419"/>
      <c r="R884" s="419"/>
      <c r="S884" s="419"/>
      <c r="T884" s="419"/>
      <c r="U884" s="419"/>
      <c r="V884" s="419"/>
      <c r="W884" s="419">
        <f t="shared" si="40"/>
        <v>0</v>
      </c>
      <c r="X884" s="412"/>
      <c r="Y884" s="412"/>
      <c r="Z884" s="412"/>
      <c r="AA884" s="412"/>
      <c r="AB884" s="412"/>
      <c r="AC884" s="412"/>
      <c r="AD884" s="412"/>
      <c r="AE884" s="412"/>
      <c r="AF884" s="412"/>
      <c r="AG884" s="412"/>
      <c r="AH884" s="412"/>
      <c r="AI884" s="412"/>
      <c r="AJ884" s="412">
        <f t="shared" si="41"/>
        <v>0</v>
      </c>
      <c r="AK884" s="198"/>
      <c r="AL884" s="250" t="s">
        <v>2068</v>
      </c>
    </row>
    <row r="885" spans="1:38" ht="14.1" customHeight="1" x14ac:dyDescent="0.2">
      <c r="A885" t="s">
        <v>890</v>
      </c>
      <c r="B885" s="193">
        <v>4519</v>
      </c>
      <c r="C885" s="194" t="s">
        <v>1040</v>
      </c>
      <c r="D885" s="229" t="s">
        <v>1511</v>
      </c>
      <c r="E885" s="229" t="s">
        <v>548</v>
      </c>
      <c r="F885" s="240">
        <v>300</v>
      </c>
      <c r="G885" s="196">
        <v>1</v>
      </c>
      <c r="H885" s="195">
        <v>600</v>
      </c>
      <c r="I885" s="197">
        <v>41350</v>
      </c>
      <c r="J885" s="197" t="str">
        <f t="shared" si="42"/>
        <v>ok</v>
      </c>
      <c r="K885" s="419"/>
      <c r="L885" s="419"/>
      <c r="M885" s="419"/>
      <c r="N885" s="419"/>
      <c r="O885" s="419"/>
      <c r="P885" s="419"/>
      <c r="Q885" s="419"/>
      <c r="R885" s="419"/>
      <c r="S885" s="419"/>
      <c r="T885" s="419"/>
      <c r="U885" s="419"/>
      <c r="V885" s="419"/>
      <c r="W885" s="419">
        <f t="shared" si="40"/>
        <v>0</v>
      </c>
      <c r="X885" s="412"/>
      <c r="Y885" s="412">
        <v>300</v>
      </c>
      <c r="Z885" s="412">
        <v>300</v>
      </c>
      <c r="AA885" s="412"/>
      <c r="AB885" s="412"/>
      <c r="AC885" s="412"/>
      <c r="AD885" s="412"/>
      <c r="AE885" s="412"/>
      <c r="AF885" s="412"/>
      <c r="AG885" s="412"/>
      <c r="AH885" s="412"/>
      <c r="AI885" s="412"/>
      <c r="AJ885" s="412">
        <f t="shared" si="41"/>
        <v>600</v>
      </c>
      <c r="AK885" s="198"/>
      <c r="AL885" s="250" t="s">
        <v>2067</v>
      </c>
    </row>
    <row r="886" spans="1:38" ht="14.1" customHeight="1" x14ac:dyDescent="0.2">
      <c r="A886" t="s">
        <v>890</v>
      </c>
      <c r="B886" s="193">
        <v>4520</v>
      </c>
      <c r="C886" s="194" t="s">
        <v>1016</v>
      </c>
      <c r="D886" s="229" t="s">
        <v>1496</v>
      </c>
      <c r="E886" s="229" t="s">
        <v>510</v>
      </c>
      <c r="F886" s="240">
        <v>300</v>
      </c>
      <c r="G886" s="196">
        <v>1</v>
      </c>
      <c r="H886" s="195">
        <v>900</v>
      </c>
      <c r="I886" s="197">
        <v>41350</v>
      </c>
      <c r="J886" s="197" t="str">
        <f t="shared" si="42"/>
        <v>ok</v>
      </c>
      <c r="K886" s="419"/>
      <c r="L886" s="419"/>
      <c r="M886" s="419"/>
      <c r="N886" s="419"/>
      <c r="O886" s="419"/>
      <c r="P886" s="419"/>
      <c r="Q886" s="419"/>
      <c r="R886" s="419"/>
      <c r="S886" s="419"/>
      <c r="T886" s="419"/>
      <c r="U886" s="419"/>
      <c r="V886" s="419"/>
      <c r="W886" s="419">
        <f t="shared" si="40"/>
        <v>0</v>
      </c>
      <c r="X886" s="412"/>
      <c r="Y886" s="412">
        <v>300</v>
      </c>
      <c r="Z886" s="412">
        <v>300</v>
      </c>
      <c r="AA886" s="412">
        <v>300</v>
      </c>
      <c r="AB886" s="412"/>
      <c r="AC886" s="412"/>
      <c r="AD886" s="412"/>
      <c r="AE886" s="412"/>
      <c r="AF886" s="412"/>
      <c r="AG886" s="412"/>
      <c r="AH886" s="412"/>
      <c r="AI886" s="412"/>
      <c r="AJ886" s="412">
        <f t="shared" si="41"/>
        <v>900</v>
      </c>
      <c r="AK886" s="198"/>
      <c r="AL886" s="250" t="s">
        <v>2067</v>
      </c>
    </row>
    <row r="887" spans="1:38" ht="14.1" customHeight="1" x14ac:dyDescent="0.2">
      <c r="A887" t="s">
        <v>884</v>
      </c>
      <c r="B887" s="193">
        <v>4521</v>
      </c>
      <c r="C887" s="194" t="s">
        <v>824</v>
      </c>
      <c r="D887" s="229" t="s">
        <v>1506</v>
      </c>
      <c r="E887" s="229" t="s">
        <v>1570</v>
      </c>
      <c r="F887" s="240">
        <v>300</v>
      </c>
      <c r="G887" s="196">
        <v>1</v>
      </c>
      <c r="H887" s="195">
        <v>900</v>
      </c>
      <c r="I887" s="197">
        <v>41350</v>
      </c>
      <c r="J887" s="197" t="str">
        <f t="shared" si="42"/>
        <v>ok</v>
      </c>
      <c r="K887" s="419"/>
      <c r="L887" s="419"/>
      <c r="M887" s="419"/>
      <c r="N887" s="419"/>
      <c r="O887" s="419"/>
      <c r="P887" s="419"/>
      <c r="Q887" s="419"/>
      <c r="R887" s="419"/>
      <c r="S887" s="419"/>
      <c r="T887" s="419"/>
      <c r="U887" s="419"/>
      <c r="V887" s="419"/>
      <c r="W887" s="419">
        <f t="shared" si="40"/>
        <v>0</v>
      </c>
      <c r="X887" s="412"/>
      <c r="Y887" s="412"/>
      <c r="Z887" s="412">
        <v>300</v>
      </c>
      <c r="AA887" s="412">
        <v>300</v>
      </c>
      <c r="AB887" s="412">
        <v>300</v>
      </c>
      <c r="AC887" s="412"/>
      <c r="AD887" s="412"/>
      <c r="AE887" s="412"/>
      <c r="AF887" s="412"/>
      <c r="AG887" s="412"/>
      <c r="AH887" s="412"/>
      <c r="AI887" s="412"/>
      <c r="AJ887" s="412">
        <f t="shared" si="41"/>
        <v>900</v>
      </c>
      <c r="AK887" s="198"/>
      <c r="AL887" s="250" t="s">
        <v>2067</v>
      </c>
    </row>
    <row r="888" spans="1:38" ht="14.1" customHeight="1" x14ac:dyDescent="0.2">
      <c r="A888" t="s">
        <v>891</v>
      </c>
      <c r="B888" s="193">
        <v>4522</v>
      </c>
      <c r="C888" s="194" t="s">
        <v>1049</v>
      </c>
      <c r="D888" s="229" t="s">
        <v>1550</v>
      </c>
      <c r="E888" s="229" t="s">
        <v>649</v>
      </c>
      <c r="F888" s="240">
        <v>100</v>
      </c>
      <c r="G888" s="196">
        <v>1</v>
      </c>
      <c r="H888" s="195">
        <v>100</v>
      </c>
      <c r="I888" s="197">
        <v>41350</v>
      </c>
      <c r="J888" s="197" t="str">
        <f t="shared" si="42"/>
        <v>ok</v>
      </c>
      <c r="K888" s="419"/>
      <c r="L888" s="419"/>
      <c r="M888" s="419"/>
      <c r="N888" s="419"/>
      <c r="O888" s="419"/>
      <c r="P888" s="419"/>
      <c r="Q888" s="419"/>
      <c r="R888" s="419"/>
      <c r="S888" s="419"/>
      <c r="T888" s="419"/>
      <c r="U888" s="419"/>
      <c r="V888" s="419"/>
      <c r="W888" s="419">
        <f t="shared" si="40"/>
        <v>0</v>
      </c>
      <c r="X888" s="412"/>
      <c r="Y888" s="412"/>
      <c r="Z888" s="412">
        <v>100</v>
      </c>
      <c r="AA888" s="412"/>
      <c r="AB888" s="412"/>
      <c r="AC888" s="412"/>
      <c r="AD888" s="412"/>
      <c r="AE888" s="412"/>
      <c r="AF888" s="412"/>
      <c r="AG888" s="412"/>
      <c r="AH888" s="412"/>
      <c r="AI888" s="412"/>
      <c r="AJ888" s="412">
        <f t="shared" si="41"/>
        <v>100</v>
      </c>
      <c r="AK888" s="198"/>
      <c r="AL888" s="250" t="s">
        <v>2067</v>
      </c>
    </row>
    <row r="889" spans="1:38" ht="14.1" customHeight="1" x14ac:dyDescent="0.2">
      <c r="A889" t="s">
        <v>884</v>
      </c>
      <c r="B889" s="193">
        <v>4523</v>
      </c>
      <c r="C889" s="194" t="s">
        <v>833</v>
      </c>
      <c r="D889" s="229" t="s">
        <v>1644</v>
      </c>
      <c r="E889" s="229" t="s">
        <v>68</v>
      </c>
      <c r="F889" s="240">
        <v>300</v>
      </c>
      <c r="G889" s="196">
        <v>1</v>
      </c>
      <c r="H889" s="195">
        <v>600</v>
      </c>
      <c r="I889" s="197">
        <v>41350</v>
      </c>
      <c r="J889" s="197" t="str">
        <f t="shared" si="42"/>
        <v>ok</v>
      </c>
      <c r="K889" s="419"/>
      <c r="L889" s="419"/>
      <c r="M889" s="419"/>
      <c r="N889" s="419"/>
      <c r="O889" s="419"/>
      <c r="P889" s="419"/>
      <c r="Q889" s="419"/>
      <c r="R889" s="419"/>
      <c r="S889" s="419"/>
      <c r="T889" s="419"/>
      <c r="U889" s="419"/>
      <c r="V889" s="419"/>
      <c r="W889" s="419">
        <f t="shared" si="40"/>
        <v>0</v>
      </c>
      <c r="X889" s="412">
        <v>300</v>
      </c>
      <c r="Y889" s="412">
        <v>300</v>
      </c>
      <c r="Z889" s="412"/>
      <c r="AA889" s="412"/>
      <c r="AB889" s="412"/>
      <c r="AC889" s="412"/>
      <c r="AD889" s="412"/>
      <c r="AE889" s="412"/>
      <c r="AF889" s="412"/>
      <c r="AG889" s="412"/>
      <c r="AH889" s="412"/>
      <c r="AI889" s="412"/>
      <c r="AJ889" s="412">
        <f t="shared" si="41"/>
        <v>600</v>
      </c>
      <c r="AK889" s="198"/>
      <c r="AL889" s="250" t="s">
        <v>2067</v>
      </c>
    </row>
    <row r="890" spans="1:38" ht="14.1" customHeight="1" x14ac:dyDescent="0.2">
      <c r="A890" t="s">
        <v>887</v>
      </c>
      <c r="B890" s="193">
        <v>4524</v>
      </c>
      <c r="C890" s="194" t="s">
        <v>905</v>
      </c>
      <c r="D890" s="229" t="s">
        <v>1524</v>
      </c>
      <c r="E890" s="229" t="s">
        <v>669</v>
      </c>
      <c r="F890" s="240">
        <v>150</v>
      </c>
      <c r="G890" s="196">
        <v>1</v>
      </c>
      <c r="H890" s="195">
        <v>150</v>
      </c>
      <c r="I890" s="197">
        <v>41350</v>
      </c>
      <c r="J890" s="197" t="str">
        <f t="shared" si="42"/>
        <v>ok</v>
      </c>
      <c r="K890" s="419"/>
      <c r="L890" s="419"/>
      <c r="M890" s="419"/>
      <c r="N890" s="419"/>
      <c r="O890" s="419"/>
      <c r="P890" s="419"/>
      <c r="Q890" s="419"/>
      <c r="R890" s="419"/>
      <c r="S890" s="419"/>
      <c r="T890" s="419"/>
      <c r="U890" s="419"/>
      <c r="V890" s="419"/>
      <c r="W890" s="419">
        <f t="shared" si="40"/>
        <v>0</v>
      </c>
      <c r="X890" s="412"/>
      <c r="Y890" s="412"/>
      <c r="Z890" s="412">
        <v>150</v>
      </c>
      <c r="AA890" s="412"/>
      <c r="AB890" s="412"/>
      <c r="AC890" s="412"/>
      <c r="AD890" s="412"/>
      <c r="AE890" s="412"/>
      <c r="AF890" s="412"/>
      <c r="AG890" s="412"/>
      <c r="AH890" s="412"/>
      <c r="AI890" s="412"/>
      <c r="AJ890" s="412">
        <f t="shared" si="41"/>
        <v>150</v>
      </c>
      <c r="AK890" s="198"/>
      <c r="AL890" s="250" t="s">
        <v>2067</v>
      </c>
    </row>
    <row r="891" spans="1:38" ht="14.1" customHeight="1" x14ac:dyDescent="0.2">
      <c r="A891" t="s">
        <v>894</v>
      </c>
      <c r="B891" s="193">
        <v>4525</v>
      </c>
      <c r="C891" s="194" t="s">
        <v>1151</v>
      </c>
      <c r="D891" s="229" t="s">
        <v>1560</v>
      </c>
      <c r="E891" s="229" t="s">
        <v>588</v>
      </c>
      <c r="F891" s="240">
        <v>300</v>
      </c>
      <c r="G891" s="196">
        <v>1</v>
      </c>
      <c r="H891" s="195">
        <v>300</v>
      </c>
      <c r="I891" s="197">
        <v>41350</v>
      </c>
      <c r="J891" s="197" t="str">
        <f t="shared" si="42"/>
        <v>ok</v>
      </c>
      <c r="K891" s="419"/>
      <c r="L891" s="419"/>
      <c r="M891" s="419"/>
      <c r="N891" s="419"/>
      <c r="O891" s="419"/>
      <c r="P891" s="419"/>
      <c r="Q891" s="419"/>
      <c r="R891" s="419"/>
      <c r="S891" s="419"/>
      <c r="T891" s="419"/>
      <c r="U891" s="419"/>
      <c r="V891" s="419"/>
      <c r="W891" s="419">
        <f t="shared" si="40"/>
        <v>0</v>
      </c>
      <c r="X891" s="412"/>
      <c r="Y891" s="412"/>
      <c r="Z891" s="412">
        <v>300</v>
      </c>
      <c r="AA891" s="412"/>
      <c r="AB891" s="412"/>
      <c r="AC891" s="412"/>
      <c r="AD891" s="412"/>
      <c r="AE891" s="412"/>
      <c r="AF891" s="412"/>
      <c r="AG891" s="412"/>
      <c r="AH891" s="412"/>
      <c r="AI891" s="412"/>
      <c r="AJ891" s="412">
        <f t="shared" si="41"/>
        <v>300</v>
      </c>
      <c r="AK891" s="198"/>
      <c r="AL891" s="250" t="s">
        <v>2067</v>
      </c>
    </row>
    <row r="892" spans="1:38" ht="14.1" customHeight="1" x14ac:dyDescent="0.2">
      <c r="A892" t="s">
        <v>884</v>
      </c>
      <c r="B892" s="193">
        <v>4526</v>
      </c>
      <c r="C892" s="194" t="s">
        <v>819</v>
      </c>
      <c r="D892" s="229" t="s">
        <v>1530</v>
      </c>
      <c r="E892" s="229" t="s">
        <v>1183</v>
      </c>
      <c r="F892" s="240">
        <v>200</v>
      </c>
      <c r="G892" s="196">
        <v>1</v>
      </c>
      <c r="H892" s="195">
        <v>200</v>
      </c>
      <c r="I892" s="197">
        <v>41350</v>
      </c>
      <c r="J892" s="197" t="str">
        <f t="shared" si="42"/>
        <v>ok</v>
      </c>
      <c r="K892" s="419"/>
      <c r="L892" s="419"/>
      <c r="M892" s="419"/>
      <c r="N892" s="419"/>
      <c r="O892" s="419"/>
      <c r="P892" s="419"/>
      <c r="Q892" s="419"/>
      <c r="R892" s="419"/>
      <c r="S892" s="419"/>
      <c r="T892" s="419"/>
      <c r="U892" s="419"/>
      <c r="V892" s="419"/>
      <c r="W892" s="419">
        <f t="shared" si="40"/>
        <v>0</v>
      </c>
      <c r="X892" s="412"/>
      <c r="Y892" s="412"/>
      <c r="Z892" s="412">
        <v>200</v>
      </c>
      <c r="AA892" s="412"/>
      <c r="AB892" s="412"/>
      <c r="AC892" s="412"/>
      <c r="AD892" s="412"/>
      <c r="AE892" s="412"/>
      <c r="AF892" s="412"/>
      <c r="AG892" s="412"/>
      <c r="AH892" s="412"/>
      <c r="AI892" s="412"/>
      <c r="AJ892" s="412">
        <f t="shared" si="41"/>
        <v>200</v>
      </c>
      <c r="AK892" s="198"/>
      <c r="AL892" s="250" t="s">
        <v>2067</v>
      </c>
    </row>
    <row r="893" spans="1:38" ht="14.1" customHeight="1" x14ac:dyDescent="0.2">
      <c r="A893" t="s">
        <v>890</v>
      </c>
      <c r="B893" s="193">
        <v>4527</v>
      </c>
      <c r="C893" s="194" t="s">
        <v>1008</v>
      </c>
      <c r="D893" s="229" t="s">
        <v>1587</v>
      </c>
      <c r="E893" s="229" t="s">
        <v>501</v>
      </c>
      <c r="F893" s="240">
        <v>300</v>
      </c>
      <c r="G893" s="196">
        <v>1</v>
      </c>
      <c r="H893" s="195">
        <v>300</v>
      </c>
      <c r="I893" s="197">
        <v>41350</v>
      </c>
      <c r="J893" s="197" t="str">
        <f t="shared" si="42"/>
        <v>ok</v>
      </c>
      <c r="K893" s="419"/>
      <c r="L893" s="419"/>
      <c r="M893" s="419"/>
      <c r="N893" s="419"/>
      <c r="O893" s="419"/>
      <c r="P893" s="419"/>
      <c r="Q893" s="419"/>
      <c r="R893" s="419"/>
      <c r="S893" s="419"/>
      <c r="T893" s="419"/>
      <c r="U893" s="419"/>
      <c r="V893" s="419"/>
      <c r="W893" s="419">
        <f t="shared" si="40"/>
        <v>0</v>
      </c>
      <c r="X893" s="412"/>
      <c r="Y893" s="412"/>
      <c r="Z893" s="412">
        <v>300</v>
      </c>
      <c r="AA893" s="412"/>
      <c r="AB893" s="412"/>
      <c r="AC893" s="412"/>
      <c r="AD893" s="412"/>
      <c r="AE893" s="412"/>
      <c r="AF893" s="412"/>
      <c r="AG893" s="412"/>
      <c r="AH893" s="412"/>
      <c r="AI893" s="412"/>
      <c r="AJ893" s="412">
        <f t="shared" si="41"/>
        <v>300</v>
      </c>
      <c r="AK893" s="198"/>
      <c r="AL893" s="250" t="s">
        <v>2067</v>
      </c>
    </row>
    <row r="894" spans="1:38" ht="14.1" customHeight="1" x14ac:dyDescent="0.2">
      <c r="A894" t="s">
        <v>890</v>
      </c>
      <c r="B894" s="193">
        <v>4528</v>
      </c>
      <c r="C894" s="194" t="s">
        <v>1019</v>
      </c>
      <c r="D894" s="229" t="s">
        <v>1512</v>
      </c>
      <c r="E894" s="229" t="s">
        <v>731</v>
      </c>
      <c r="F894" s="240">
        <v>300</v>
      </c>
      <c r="G894" s="196">
        <v>1</v>
      </c>
      <c r="H894" s="195">
        <v>600</v>
      </c>
      <c r="I894" s="197">
        <v>41350</v>
      </c>
      <c r="J894" s="197" t="str">
        <f t="shared" si="42"/>
        <v>ok</v>
      </c>
      <c r="K894" s="419"/>
      <c r="L894" s="419"/>
      <c r="M894" s="419"/>
      <c r="N894" s="419"/>
      <c r="O894" s="419"/>
      <c r="P894" s="419"/>
      <c r="Q894" s="419"/>
      <c r="R894" s="419"/>
      <c r="S894" s="419"/>
      <c r="T894" s="419"/>
      <c r="U894" s="419"/>
      <c r="V894" s="419"/>
      <c r="W894" s="419">
        <f t="shared" si="40"/>
        <v>0</v>
      </c>
      <c r="X894" s="412"/>
      <c r="Y894" s="412">
        <v>300</v>
      </c>
      <c r="Z894" s="412">
        <v>300</v>
      </c>
      <c r="AA894" s="412"/>
      <c r="AB894" s="412"/>
      <c r="AC894" s="412"/>
      <c r="AD894" s="412"/>
      <c r="AE894" s="412"/>
      <c r="AF894" s="412"/>
      <c r="AG894" s="412"/>
      <c r="AH894" s="412"/>
      <c r="AI894" s="412"/>
      <c r="AJ894" s="412">
        <f t="shared" si="41"/>
        <v>600</v>
      </c>
      <c r="AK894" s="198"/>
      <c r="AL894" s="250" t="s">
        <v>2067</v>
      </c>
    </row>
    <row r="895" spans="1:38" ht="14.1" customHeight="1" x14ac:dyDescent="0.2">
      <c r="A895" t="s">
        <v>890</v>
      </c>
      <c r="B895" s="193">
        <v>4529</v>
      </c>
      <c r="C895" s="194" t="s">
        <v>1038</v>
      </c>
      <c r="D895" s="229" t="s">
        <v>1645</v>
      </c>
      <c r="E895" s="229" t="s">
        <v>545</v>
      </c>
      <c r="F895" s="240">
        <v>300</v>
      </c>
      <c r="G895" s="196">
        <v>1</v>
      </c>
      <c r="H895" s="195">
        <v>900</v>
      </c>
      <c r="I895" s="197">
        <v>41350</v>
      </c>
      <c r="J895" s="197" t="str">
        <f t="shared" si="42"/>
        <v>ok</v>
      </c>
      <c r="K895" s="419"/>
      <c r="L895" s="419"/>
      <c r="M895" s="419"/>
      <c r="N895" s="419"/>
      <c r="O895" s="419"/>
      <c r="P895" s="419"/>
      <c r="Q895" s="419"/>
      <c r="R895" s="419"/>
      <c r="S895" s="419"/>
      <c r="T895" s="419"/>
      <c r="U895" s="419"/>
      <c r="V895" s="419"/>
      <c r="W895" s="419">
        <f t="shared" si="40"/>
        <v>0</v>
      </c>
      <c r="X895" s="412">
        <v>300</v>
      </c>
      <c r="Y895" s="412">
        <v>300</v>
      </c>
      <c r="Z895" s="412">
        <v>300</v>
      </c>
      <c r="AA895" s="412"/>
      <c r="AB895" s="412"/>
      <c r="AC895" s="412"/>
      <c r="AD895" s="412"/>
      <c r="AE895" s="412"/>
      <c r="AF895" s="412"/>
      <c r="AG895" s="412"/>
      <c r="AH895" s="412"/>
      <c r="AI895" s="412"/>
      <c r="AJ895" s="412">
        <f t="shared" si="41"/>
        <v>900</v>
      </c>
      <c r="AK895" s="198"/>
      <c r="AL895" s="250" t="s">
        <v>2067</v>
      </c>
    </row>
    <row r="896" spans="1:38" ht="14.1" customHeight="1" x14ac:dyDescent="0.2">
      <c r="A896" t="s">
        <v>884</v>
      </c>
      <c r="B896" s="193">
        <v>4530</v>
      </c>
      <c r="C896" s="194" t="s">
        <v>858</v>
      </c>
      <c r="D896" s="229" t="s">
        <v>1527</v>
      </c>
      <c r="E896" s="229" t="s">
        <v>103</v>
      </c>
      <c r="F896" s="240">
        <v>300</v>
      </c>
      <c r="G896" s="196">
        <v>1</v>
      </c>
      <c r="H896" s="195">
        <v>300</v>
      </c>
      <c r="I896" s="197">
        <v>41350</v>
      </c>
      <c r="J896" s="197" t="str">
        <f t="shared" si="42"/>
        <v>ok</v>
      </c>
      <c r="K896" s="419"/>
      <c r="L896" s="419"/>
      <c r="M896" s="419"/>
      <c r="N896" s="419"/>
      <c r="O896" s="419"/>
      <c r="P896" s="419"/>
      <c r="Q896" s="419"/>
      <c r="R896" s="419"/>
      <c r="S896" s="419"/>
      <c r="T896" s="419"/>
      <c r="U896" s="419"/>
      <c r="V896" s="419"/>
      <c r="W896" s="419">
        <f t="shared" si="40"/>
        <v>0</v>
      </c>
      <c r="X896" s="412"/>
      <c r="Y896" s="412"/>
      <c r="Z896" s="412">
        <v>300</v>
      </c>
      <c r="AA896" s="412"/>
      <c r="AB896" s="412"/>
      <c r="AC896" s="412"/>
      <c r="AD896" s="412"/>
      <c r="AE896" s="412"/>
      <c r="AF896" s="412"/>
      <c r="AG896" s="412"/>
      <c r="AH896" s="412"/>
      <c r="AI896" s="412"/>
      <c r="AJ896" s="412">
        <f t="shared" si="41"/>
        <v>300</v>
      </c>
      <c r="AK896" s="198"/>
      <c r="AL896" s="250" t="s">
        <v>2067</v>
      </c>
    </row>
    <row r="897" spans="1:38" ht="14.1" customHeight="1" x14ac:dyDescent="0.2">
      <c r="A897" t="s">
        <v>890</v>
      </c>
      <c r="B897" s="193">
        <v>4531</v>
      </c>
      <c r="C897" s="194" t="s">
        <v>1038</v>
      </c>
      <c r="D897" s="229" t="s">
        <v>1645</v>
      </c>
      <c r="E897" s="229" t="s">
        <v>545</v>
      </c>
      <c r="F897" s="240">
        <v>300</v>
      </c>
      <c r="G897" s="196">
        <v>1</v>
      </c>
      <c r="H897" s="195">
        <v>300</v>
      </c>
      <c r="I897" s="197">
        <v>41350</v>
      </c>
      <c r="J897" s="197" t="str">
        <f t="shared" si="42"/>
        <v>ok</v>
      </c>
      <c r="K897" s="419"/>
      <c r="L897" s="419"/>
      <c r="M897" s="419"/>
      <c r="N897" s="419"/>
      <c r="O897" s="419"/>
      <c r="P897" s="419"/>
      <c r="Q897" s="419"/>
      <c r="R897" s="419"/>
      <c r="S897" s="419"/>
      <c r="T897" s="419"/>
      <c r="U897" s="419"/>
      <c r="V897" s="419">
        <v>300</v>
      </c>
      <c r="W897" s="419">
        <f t="shared" si="40"/>
        <v>300</v>
      </c>
      <c r="X897" s="412"/>
      <c r="Y897" s="412"/>
      <c r="Z897" s="412"/>
      <c r="AA897" s="412"/>
      <c r="AB897" s="412"/>
      <c r="AC897" s="412"/>
      <c r="AD897" s="412"/>
      <c r="AE897" s="412"/>
      <c r="AF897" s="412"/>
      <c r="AG897" s="412"/>
      <c r="AH897" s="412"/>
      <c r="AI897" s="412"/>
      <c r="AJ897" s="412">
        <f t="shared" si="41"/>
        <v>0</v>
      </c>
      <c r="AK897" s="198" t="s">
        <v>1240</v>
      </c>
      <c r="AL897" s="250" t="s">
        <v>2067</v>
      </c>
    </row>
    <row r="898" spans="1:38" ht="14.1" customHeight="1" x14ac:dyDescent="0.2">
      <c r="A898" t="s">
        <v>890</v>
      </c>
      <c r="B898" s="193">
        <v>4532</v>
      </c>
      <c r="C898" s="194" t="s">
        <v>1038</v>
      </c>
      <c r="D898" s="229" t="s">
        <v>1645</v>
      </c>
      <c r="E898" s="229" t="s">
        <v>545</v>
      </c>
      <c r="F898" s="240">
        <v>300</v>
      </c>
      <c r="G898" s="196">
        <v>3</v>
      </c>
      <c r="H898" s="195">
        <v>150</v>
      </c>
      <c r="I898" s="197">
        <v>41350</v>
      </c>
      <c r="J898" s="197" t="str">
        <f t="shared" si="42"/>
        <v>ok</v>
      </c>
      <c r="K898" s="419"/>
      <c r="L898" s="419"/>
      <c r="M898" s="419"/>
      <c r="N898" s="419"/>
      <c r="O898" s="419"/>
      <c r="P898" s="419"/>
      <c r="Q898" s="419"/>
      <c r="R898" s="419"/>
      <c r="S898" s="419"/>
      <c r="T898" s="419"/>
      <c r="U898" s="419"/>
      <c r="V898" s="419"/>
      <c r="W898" s="419">
        <f t="shared" si="40"/>
        <v>0</v>
      </c>
      <c r="X898" s="412"/>
      <c r="Y898" s="412"/>
      <c r="Z898" s="412"/>
      <c r="AA898" s="412"/>
      <c r="AB898" s="412"/>
      <c r="AC898" s="412"/>
      <c r="AD898" s="412"/>
      <c r="AE898" s="412"/>
      <c r="AF898" s="412"/>
      <c r="AG898" s="412"/>
      <c r="AH898" s="412"/>
      <c r="AI898" s="412"/>
      <c r="AJ898" s="412">
        <f t="shared" si="41"/>
        <v>0</v>
      </c>
      <c r="AK898" s="198"/>
      <c r="AL898" s="250" t="s">
        <v>2068</v>
      </c>
    </row>
    <row r="899" spans="1:38" ht="14.1" customHeight="1" x14ac:dyDescent="0.2">
      <c r="A899" t="s">
        <v>893</v>
      </c>
      <c r="B899" s="193">
        <v>4533</v>
      </c>
      <c r="C899" s="194" t="s">
        <v>1108</v>
      </c>
      <c r="D899" s="229" t="s">
        <v>1466</v>
      </c>
      <c r="E899" s="229" t="s">
        <v>257</v>
      </c>
      <c r="F899" s="240">
        <v>300</v>
      </c>
      <c r="G899" s="196">
        <v>4</v>
      </c>
      <c r="H899" s="195">
        <v>160</v>
      </c>
      <c r="I899" s="197">
        <v>41350</v>
      </c>
      <c r="J899" s="197" t="str">
        <f t="shared" si="42"/>
        <v>ok</v>
      </c>
      <c r="K899" s="419"/>
      <c r="L899" s="419"/>
      <c r="M899" s="419"/>
      <c r="N899" s="419"/>
      <c r="O899" s="419"/>
      <c r="P899" s="419"/>
      <c r="Q899" s="419"/>
      <c r="R899" s="419"/>
      <c r="S899" s="419"/>
      <c r="T899" s="419"/>
      <c r="U899" s="419"/>
      <c r="V899" s="419"/>
      <c r="W899" s="419">
        <f t="shared" si="40"/>
        <v>0</v>
      </c>
      <c r="X899" s="412"/>
      <c r="Y899" s="412"/>
      <c r="Z899" s="412"/>
      <c r="AA899" s="412"/>
      <c r="AB899" s="412"/>
      <c r="AC899" s="412"/>
      <c r="AD899" s="412"/>
      <c r="AE899" s="412"/>
      <c r="AF899" s="412"/>
      <c r="AG899" s="412"/>
      <c r="AH899" s="412"/>
      <c r="AI899" s="412"/>
      <c r="AJ899" s="412">
        <f t="shared" si="41"/>
        <v>0</v>
      </c>
      <c r="AK899" s="198"/>
      <c r="AL899" s="250" t="s">
        <v>2068</v>
      </c>
    </row>
    <row r="900" spans="1:38" ht="14.1" customHeight="1" x14ac:dyDescent="0.2">
      <c r="A900" t="s">
        <v>893</v>
      </c>
      <c r="B900" s="193">
        <v>4534</v>
      </c>
      <c r="C900" s="194" t="s">
        <v>1103</v>
      </c>
      <c r="D900" s="229" t="s">
        <v>1407</v>
      </c>
      <c r="E900" s="229" t="s">
        <v>248</v>
      </c>
      <c r="F900" s="240">
        <v>300</v>
      </c>
      <c r="G900" s="196">
        <v>1</v>
      </c>
      <c r="H900" s="195">
        <v>300</v>
      </c>
      <c r="I900" s="197">
        <v>41350</v>
      </c>
      <c r="J900" s="197" t="str">
        <f t="shared" si="42"/>
        <v>ok</v>
      </c>
      <c r="K900" s="419"/>
      <c r="L900" s="419"/>
      <c r="M900" s="419"/>
      <c r="N900" s="419"/>
      <c r="O900" s="419"/>
      <c r="P900" s="419"/>
      <c r="Q900" s="419"/>
      <c r="R900" s="419"/>
      <c r="S900" s="419"/>
      <c r="T900" s="419"/>
      <c r="U900" s="419"/>
      <c r="V900" s="419"/>
      <c r="W900" s="419">
        <f t="shared" si="40"/>
        <v>0</v>
      </c>
      <c r="X900" s="412"/>
      <c r="Y900" s="412"/>
      <c r="Z900" s="412">
        <v>300</v>
      </c>
      <c r="AA900" s="412"/>
      <c r="AB900" s="412"/>
      <c r="AC900" s="412"/>
      <c r="AD900" s="412"/>
      <c r="AE900" s="412"/>
      <c r="AF900" s="412"/>
      <c r="AG900" s="412"/>
      <c r="AH900" s="412"/>
      <c r="AI900" s="412"/>
      <c r="AJ900" s="412">
        <f t="shared" si="41"/>
        <v>300</v>
      </c>
      <c r="AK900" s="198"/>
      <c r="AL900" s="250" t="s">
        <v>2067</v>
      </c>
    </row>
    <row r="901" spans="1:38" ht="14.1" customHeight="1" x14ac:dyDescent="0.2">
      <c r="A901" t="s">
        <v>890</v>
      </c>
      <c r="B901" s="193">
        <v>4535</v>
      </c>
      <c r="C901" s="194" t="s">
        <v>1012</v>
      </c>
      <c r="D901" s="229" t="s">
        <v>1474</v>
      </c>
      <c r="E901" s="229" t="s">
        <v>729</v>
      </c>
      <c r="F901" s="240">
        <v>300</v>
      </c>
      <c r="G901" s="196">
        <v>1</v>
      </c>
      <c r="H901" s="195">
        <v>300</v>
      </c>
      <c r="I901" s="197">
        <v>41350</v>
      </c>
      <c r="J901" s="197" t="str">
        <f t="shared" si="42"/>
        <v>ok</v>
      </c>
      <c r="K901" s="419"/>
      <c r="L901" s="419"/>
      <c r="M901" s="419"/>
      <c r="N901" s="419"/>
      <c r="O901" s="419"/>
      <c r="P901" s="419"/>
      <c r="Q901" s="419"/>
      <c r="R901" s="419"/>
      <c r="S901" s="419"/>
      <c r="T901" s="419"/>
      <c r="U901" s="419"/>
      <c r="V901" s="419"/>
      <c r="W901" s="419">
        <f t="shared" si="40"/>
        <v>0</v>
      </c>
      <c r="X901" s="412"/>
      <c r="Y901" s="412"/>
      <c r="Z901" s="412">
        <v>300</v>
      </c>
      <c r="AA901" s="412"/>
      <c r="AB901" s="412"/>
      <c r="AC901" s="412"/>
      <c r="AD901" s="412"/>
      <c r="AE901" s="412"/>
      <c r="AF901" s="412"/>
      <c r="AG901" s="412"/>
      <c r="AH901" s="412"/>
      <c r="AI901" s="412"/>
      <c r="AJ901" s="412">
        <f t="shared" si="41"/>
        <v>300</v>
      </c>
      <c r="AK901" s="198"/>
      <c r="AL901" s="250" t="s">
        <v>2067</v>
      </c>
    </row>
    <row r="902" spans="1:38" ht="14.1" customHeight="1" x14ac:dyDescent="0.2">
      <c r="A902" t="s">
        <v>890</v>
      </c>
      <c r="B902" s="193">
        <v>4535</v>
      </c>
      <c r="C902" s="194" t="s">
        <v>1012</v>
      </c>
      <c r="D902" s="229" t="s">
        <v>1474</v>
      </c>
      <c r="E902" s="229" t="s">
        <v>729</v>
      </c>
      <c r="F902" s="240">
        <v>300</v>
      </c>
      <c r="G902" s="196">
        <v>4</v>
      </c>
      <c r="H902" s="195">
        <v>160</v>
      </c>
      <c r="I902" s="197">
        <v>41350</v>
      </c>
      <c r="J902" s="197" t="str">
        <f t="shared" si="42"/>
        <v>ok</v>
      </c>
      <c r="K902" s="419"/>
      <c r="L902" s="419"/>
      <c r="M902" s="419"/>
      <c r="N902" s="419"/>
      <c r="O902" s="419"/>
      <c r="P902" s="419"/>
      <c r="Q902" s="419"/>
      <c r="R902" s="419"/>
      <c r="S902" s="419"/>
      <c r="T902" s="419"/>
      <c r="U902" s="419"/>
      <c r="V902" s="419"/>
      <c r="W902" s="419">
        <f t="shared" si="40"/>
        <v>0</v>
      </c>
      <c r="X902" s="412"/>
      <c r="Y902" s="412"/>
      <c r="Z902" s="412"/>
      <c r="AA902" s="412"/>
      <c r="AB902" s="412"/>
      <c r="AC902" s="412"/>
      <c r="AD902" s="412"/>
      <c r="AE902" s="412"/>
      <c r="AF902" s="412"/>
      <c r="AG902" s="412"/>
      <c r="AH902" s="412"/>
      <c r="AI902" s="412"/>
      <c r="AJ902" s="412">
        <f t="shared" si="41"/>
        <v>0</v>
      </c>
      <c r="AK902" s="198"/>
      <c r="AL902" s="250" t="s">
        <v>2068</v>
      </c>
    </row>
    <row r="903" spans="1:38" ht="14.1" customHeight="1" x14ac:dyDescent="0.2">
      <c r="A903" t="s">
        <v>888</v>
      </c>
      <c r="B903" s="193">
        <v>4536</v>
      </c>
      <c r="C903" s="194" t="s">
        <v>944</v>
      </c>
      <c r="D903" s="229" t="s">
        <v>1525</v>
      </c>
      <c r="E903" s="229" t="s">
        <v>405</v>
      </c>
      <c r="F903" s="240">
        <v>300</v>
      </c>
      <c r="G903" s="196">
        <v>1</v>
      </c>
      <c r="H903" s="195">
        <v>300</v>
      </c>
      <c r="I903" s="197">
        <v>41350</v>
      </c>
      <c r="J903" s="197" t="str">
        <f t="shared" si="42"/>
        <v>ok</v>
      </c>
      <c r="K903" s="419"/>
      <c r="L903" s="419"/>
      <c r="M903" s="419"/>
      <c r="N903" s="419"/>
      <c r="O903" s="419"/>
      <c r="P903" s="419"/>
      <c r="Q903" s="419"/>
      <c r="R903" s="419"/>
      <c r="S903" s="419"/>
      <c r="T903" s="419"/>
      <c r="U903" s="419"/>
      <c r="V903" s="419"/>
      <c r="W903" s="419">
        <f t="shared" ref="W903:W966" si="43">SUM(K903:V903)</f>
        <v>0</v>
      </c>
      <c r="X903" s="412"/>
      <c r="Y903" s="412"/>
      <c r="Z903" s="412">
        <v>300</v>
      </c>
      <c r="AA903" s="412"/>
      <c r="AB903" s="412"/>
      <c r="AC903" s="412"/>
      <c r="AD903" s="412"/>
      <c r="AE903" s="412"/>
      <c r="AF903" s="412"/>
      <c r="AG903" s="412"/>
      <c r="AH903" s="412"/>
      <c r="AI903" s="412"/>
      <c r="AJ903" s="412">
        <f t="shared" ref="AJ903:AJ966" si="44">SUM(X903:AI903)</f>
        <v>300</v>
      </c>
      <c r="AK903" s="198"/>
      <c r="AL903" s="250" t="s">
        <v>2067</v>
      </c>
    </row>
    <row r="904" spans="1:38" ht="14.1" customHeight="1" x14ac:dyDescent="0.2">
      <c r="A904" t="s">
        <v>884</v>
      </c>
      <c r="B904" s="193">
        <v>4537</v>
      </c>
      <c r="C904" s="194" t="s">
        <v>839</v>
      </c>
      <c r="D904" s="229" t="s">
        <v>1365</v>
      </c>
      <c r="E904" s="229" t="s">
        <v>1204</v>
      </c>
      <c r="F904" s="240">
        <v>300</v>
      </c>
      <c r="G904" s="196">
        <v>1</v>
      </c>
      <c r="H904" s="195">
        <v>300</v>
      </c>
      <c r="I904" s="197">
        <v>41350</v>
      </c>
      <c r="J904" s="197" t="str">
        <f t="shared" si="42"/>
        <v>ok</v>
      </c>
      <c r="K904" s="419"/>
      <c r="L904" s="419"/>
      <c r="M904" s="419"/>
      <c r="N904" s="419"/>
      <c r="O904" s="419"/>
      <c r="P904" s="419"/>
      <c r="Q904" s="419"/>
      <c r="R904" s="419"/>
      <c r="S904" s="419"/>
      <c r="T904" s="419"/>
      <c r="U904" s="419"/>
      <c r="V904" s="419"/>
      <c r="W904" s="419">
        <f t="shared" si="43"/>
        <v>0</v>
      </c>
      <c r="X904" s="412"/>
      <c r="Y904" s="412"/>
      <c r="Z904" s="412">
        <v>300</v>
      </c>
      <c r="AA904" s="412"/>
      <c r="AB904" s="412"/>
      <c r="AC904" s="412"/>
      <c r="AD904" s="412"/>
      <c r="AE904" s="412"/>
      <c r="AF904" s="412"/>
      <c r="AG904" s="412"/>
      <c r="AH904" s="412"/>
      <c r="AI904" s="412"/>
      <c r="AJ904" s="412">
        <f t="shared" si="44"/>
        <v>300</v>
      </c>
      <c r="AK904" s="198"/>
      <c r="AL904" s="250" t="s">
        <v>2067</v>
      </c>
    </row>
    <row r="905" spans="1:38" ht="14.1" customHeight="1" x14ac:dyDescent="0.2">
      <c r="A905" t="s">
        <v>884</v>
      </c>
      <c r="B905" s="193">
        <v>4537</v>
      </c>
      <c r="C905" s="194" t="s">
        <v>839</v>
      </c>
      <c r="D905" s="229" t="s">
        <v>1365</v>
      </c>
      <c r="E905" s="229" t="s">
        <v>1204</v>
      </c>
      <c r="F905" s="240">
        <v>300</v>
      </c>
      <c r="G905" s="196">
        <v>4</v>
      </c>
      <c r="H905" s="195">
        <v>160</v>
      </c>
      <c r="I905" s="197">
        <v>41350</v>
      </c>
      <c r="J905" s="197" t="str">
        <f t="shared" si="42"/>
        <v>ok</v>
      </c>
      <c r="K905" s="419"/>
      <c r="L905" s="419"/>
      <c r="M905" s="419"/>
      <c r="N905" s="419"/>
      <c r="O905" s="419"/>
      <c r="P905" s="419"/>
      <c r="Q905" s="419"/>
      <c r="R905" s="419"/>
      <c r="S905" s="419"/>
      <c r="T905" s="419"/>
      <c r="U905" s="419"/>
      <c r="V905" s="419"/>
      <c r="W905" s="419">
        <f t="shared" si="43"/>
        <v>0</v>
      </c>
      <c r="X905" s="412"/>
      <c r="Y905" s="412"/>
      <c r="Z905" s="412"/>
      <c r="AA905" s="412"/>
      <c r="AB905" s="412"/>
      <c r="AC905" s="412"/>
      <c r="AD905" s="412"/>
      <c r="AE905" s="412"/>
      <c r="AF905" s="412"/>
      <c r="AG905" s="412"/>
      <c r="AH905" s="412"/>
      <c r="AI905" s="412"/>
      <c r="AJ905" s="412">
        <f t="shared" si="44"/>
        <v>0</v>
      </c>
      <c r="AK905" s="198"/>
      <c r="AL905" s="250" t="s">
        <v>2068</v>
      </c>
    </row>
    <row r="906" spans="1:38" ht="14.1" customHeight="1" x14ac:dyDescent="0.2">
      <c r="A906" t="s">
        <v>888</v>
      </c>
      <c r="B906" s="193">
        <v>4538</v>
      </c>
      <c r="C906" s="194" t="s">
        <v>962</v>
      </c>
      <c r="D906" s="229" t="s">
        <v>1609</v>
      </c>
      <c r="E906" s="229" t="s">
        <v>451</v>
      </c>
      <c r="F906" s="240">
        <v>150</v>
      </c>
      <c r="G906" s="196">
        <v>1</v>
      </c>
      <c r="H906" s="195">
        <v>300</v>
      </c>
      <c r="I906" s="197">
        <v>41350</v>
      </c>
      <c r="J906" s="197" t="str">
        <f t="shared" si="42"/>
        <v>ok</v>
      </c>
      <c r="K906" s="419"/>
      <c r="L906" s="419"/>
      <c r="M906" s="419"/>
      <c r="N906" s="419"/>
      <c r="O906" s="419"/>
      <c r="P906" s="419"/>
      <c r="Q906" s="419"/>
      <c r="R906" s="419"/>
      <c r="S906" s="419"/>
      <c r="T906" s="419"/>
      <c r="U906" s="419"/>
      <c r="V906" s="419"/>
      <c r="W906" s="419">
        <f t="shared" si="43"/>
        <v>0</v>
      </c>
      <c r="X906" s="412"/>
      <c r="Y906" s="412">
        <v>150</v>
      </c>
      <c r="Z906" s="412">
        <v>150</v>
      </c>
      <c r="AA906" s="412"/>
      <c r="AB906" s="412"/>
      <c r="AC906" s="412"/>
      <c r="AD906" s="412"/>
      <c r="AE906" s="412"/>
      <c r="AF906" s="412"/>
      <c r="AG906" s="412"/>
      <c r="AH906" s="412"/>
      <c r="AI906" s="412"/>
      <c r="AJ906" s="412">
        <f t="shared" si="44"/>
        <v>300</v>
      </c>
      <c r="AK906" s="198"/>
      <c r="AL906" s="250" t="s">
        <v>2067</v>
      </c>
    </row>
    <row r="907" spans="1:38" ht="14.1" customHeight="1" x14ac:dyDescent="0.2">
      <c r="A907" t="s">
        <v>884</v>
      </c>
      <c r="B907" s="193">
        <v>4539</v>
      </c>
      <c r="C907" s="194" t="s">
        <v>831</v>
      </c>
      <c r="D907" s="229" t="s">
        <v>1534</v>
      </c>
      <c r="E907" s="229" t="s">
        <v>64</v>
      </c>
      <c r="F907" s="240">
        <v>300</v>
      </c>
      <c r="G907" s="196">
        <v>1</v>
      </c>
      <c r="H907" s="195">
        <v>300</v>
      </c>
      <c r="I907" s="197">
        <v>41350</v>
      </c>
      <c r="J907" s="197" t="str">
        <f t="shared" si="42"/>
        <v>ok</v>
      </c>
      <c r="K907" s="419"/>
      <c r="L907" s="419"/>
      <c r="M907" s="419"/>
      <c r="N907" s="419"/>
      <c r="O907" s="419"/>
      <c r="P907" s="419"/>
      <c r="Q907" s="419"/>
      <c r="R907" s="419"/>
      <c r="S907" s="419"/>
      <c r="T907" s="419"/>
      <c r="U907" s="419"/>
      <c r="V907" s="419"/>
      <c r="W907" s="419">
        <f t="shared" si="43"/>
        <v>0</v>
      </c>
      <c r="X907" s="412"/>
      <c r="Y907" s="412"/>
      <c r="Z907" s="412">
        <v>300</v>
      </c>
      <c r="AA907" s="412"/>
      <c r="AB907" s="412"/>
      <c r="AC907" s="412"/>
      <c r="AD907" s="412"/>
      <c r="AE907" s="412"/>
      <c r="AF907" s="412"/>
      <c r="AG907" s="412"/>
      <c r="AH907" s="412"/>
      <c r="AI907" s="412"/>
      <c r="AJ907" s="412">
        <f t="shared" si="44"/>
        <v>300</v>
      </c>
      <c r="AK907" s="198"/>
      <c r="AL907" s="250" t="s">
        <v>2067</v>
      </c>
    </row>
    <row r="908" spans="1:38" ht="14.1" customHeight="1" x14ac:dyDescent="0.2">
      <c r="B908" s="193">
        <v>4540</v>
      </c>
      <c r="C908" s="194"/>
      <c r="D908" s="229" t="s">
        <v>1362</v>
      </c>
      <c r="E908" s="229" t="s">
        <v>1362</v>
      </c>
      <c r="F908" s="240" t="s">
        <v>1362</v>
      </c>
      <c r="G908" s="196">
        <v>8</v>
      </c>
      <c r="H908" s="195"/>
      <c r="I908" s="197"/>
      <c r="J908" s="197" t="str">
        <f t="shared" si="42"/>
        <v>ok</v>
      </c>
      <c r="K908" s="419"/>
      <c r="L908" s="419"/>
      <c r="M908" s="419"/>
      <c r="N908" s="419"/>
      <c r="O908" s="419"/>
      <c r="P908" s="419"/>
      <c r="Q908" s="419"/>
      <c r="R908" s="419"/>
      <c r="S908" s="419"/>
      <c r="T908" s="419"/>
      <c r="U908" s="419"/>
      <c r="V908" s="419"/>
      <c r="W908" s="419">
        <f t="shared" si="43"/>
        <v>0</v>
      </c>
      <c r="X908" s="412"/>
      <c r="Y908" s="412"/>
      <c r="Z908" s="412"/>
      <c r="AA908" s="412"/>
      <c r="AB908" s="412"/>
      <c r="AC908" s="412"/>
      <c r="AD908" s="412"/>
      <c r="AE908" s="412"/>
      <c r="AF908" s="412"/>
      <c r="AG908" s="412"/>
      <c r="AH908" s="412"/>
      <c r="AI908" s="412"/>
      <c r="AJ908" s="412">
        <f t="shared" si="44"/>
        <v>0</v>
      </c>
      <c r="AK908" s="198" t="s">
        <v>755</v>
      </c>
      <c r="AL908" s="250" t="s">
        <v>2067</v>
      </c>
    </row>
    <row r="909" spans="1:38" ht="14.1" customHeight="1" x14ac:dyDescent="0.2">
      <c r="A909" t="s">
        <v>888</v>
      </c>
      <c r="B909" s="193">
        <v>4541</v>
      </c>
      <c r="C909" s="194" t="s">
        <v>947</v>
      </c>
      <c r="D909" s="229" t="s">
        <v>1523</v>
      </c>
      <c r="E909" s="229" t="s">
        <v>411</v>
      </c>
      <c r="F909" s="240">
        <v>300</v>
      </c>
      <c r="G909" s="196">
        <v>4</v>
      </c>
      <c r="H909" s="195">
        <v>160</v>
      </c>
      <c r="I909" s="197">
        <v>41350</v>
      </c>
      <c r="J909" s="197" t="str">
        <f t="shared" si="42"/>
        <v>ok</v>
      </c>
      <c r="K909" s="419"/>
      <c r="L909" s="419"/>
      <c r="M909" s="419"/>
      <c r="N909" s="419"/>
      <c r="O909" s="419"/>
      <c r="P909" s="419"/>
      <c r="Q909" s="419"/>
      <c r="R909" s="419"/>
      <c r="S909" s="419"/>
      <c r="T909" s="419"/>
      <c r="U909" s="419"/>
      <c r="V909" s="419"/>
      <c r="W909" s="419">
        <f t="shared" si="43"/>
        <v>0</v>
      </c>
      <c r="X909" s="412"/>
      <c r="Y909" s="412"/>
      <c r="Z909" s="412"/>
      <c r="AA909" s="412"/>
      <c r="AB909" s="412"/>
      <c r="AC909" s="412"/>
      <c r="AD909" s="412"/>
      <c r="AE909" s="412"/>
      <c r="AF909" s="412"/>
      <c r="AG909" s="412"/>
      <c r="AH909" s="412"/>
      <c r="AI909" s="412"/>
      <c r="AJ909" s="412">
        <f t="shared" si="44"/>
        <v>0</v>
      </c>
      <c r="AK909" s="198"/>
      <c r="AL909" s="250" t="s">
        <v>2068</v>
      </c>
    </row>
    <row r="910" spans="1:38" ht="14.1" customHeight="1" x14ac:dyDescent="0.2">
      <c r="A910" t="s">
        <v>887</v>
      </c>
      <c r="B910" s="193">
        <v>4542</v>
      </c>
      <c r="C910" s="194" t="s">
        <v>1326</v>
      </c>
      <c r="D910" s="229" t="s">
        <v>1646</v>
      </c>
      <c r="E910" s="229" t="s">
        <v>665</v>
      </c>
      <c r="F910" s="240">
        <v>300</v>
      </c>
      <c r="G910" s="196">
        <v>3</v>
      </c>
      <c r="H910" s="195">
        <v>150</v>
      </c>
      <c r="I910" s="197">
        <v>41350</v>
      </c>
      <c r="J910" s="197" t="str">
        <f t="shared" ref="J910:J973" si="45">IF(OR(G910&lt;&gt;1,SUM(W910,AJ910)=H910),"ok","error")</f>
        <v>ok</v>
      </c>
      <c r="K910" s="419"/>
      <c r="L910" s="419"/>
      <c r="M910" s="419"/>
      <c r="N910" s="419"/>
      <c r="O910" s="419"/>
      <c r="P910" s="419"/>
      <c r="Q910" s="419"/>
      <c r="R910" s="419"/>
      <c r="S910" s="419"/>
      <c r="T910" s="419"/>
      <c r="U910" s="419"/>
      <c r="V910" s="419"/>
      <c r="W910" s="419">
        <f t="shared" si="43"/>
        <v>0</v>
      </c>
      <c r="X910" s="412"/>
      <c r="Y910" s="412"/>
      <c r="Z910" s="412"/>
      <c r="AA910" s="412"/>
      <c r="AB910" s="412"/>
      <c r="AC910" s="412"/>
      <c r="AD910" s="412"/>
      <c r="AE910" s="412"/>
      <c r="AF910" s="412"/>
      <c r="AG910" s="412"/>
      <c r="AH910" s="412"/>
      <c r="AI910" s="412"/>
      <c r="AJ910" s="412">
        <f t="shared" si="44"/>
        <v>0</v>
      </c>
      <c r="AK910" s="198"/>
      <c r="AL910" s="250" t="s">
        <v>2068</v>
      </c>
    </row>
    <row r="911" spans="1:38" ht="14.1" customHeight="1" x14ac:dyDescent="0.2">
      <c r="A911" t="s">
        <v>893</v>
      </c>
      <c r="B911" s="193">
        <v>4543</v>
      </c>
      <c r="C911" s="194" t="s">
        <v>1132</v>
      </c>
      <c r="D911" s="229" t="s">
        <v>1363</v>
      </c>
      <c r="E911" s="229" t="s">
        <v>1270</v>
      </c>
      <c r="F911" s="240">
        <v>300</v>
      </c>
      <c r="G911" s="196">
        <v>4</v>
      </c>
      <c r="H911" s="195">
        <v>160</v>
      </c>
      <c r="I911" s="197">
        <v>41350</v>
      </c>
      <c r="J911" s="197" t="str">
        <f t="shared" si="45"/>
        <v>ok</v>
      </c>
      <c r="K911" s="419"/>
      <c r="L911" s="419"/>
      <c r="M911" s="419"/>
      <c r="N911" s="419"/>
      <c r="O911" s="419"/>
      <c r="P911" s="419"/>
      <c r="Q911" s="419"/>
      <c r="R911" s="419"/>
      <c r="S911" s="419"/>
      <c r="T911" s="419"/>
      <c r="U911" s="419"/>
      <c r="V911" s="419"/>
      <c r="W911" s="419">
        <f t="shared" si="43"/>
        <v>0</v>
      </c>
      <c r="X911" s="412"/>
      <c r="Y911" s="412"/>
      <c r="Z911" s="412"/>
      <c r="AA911" s="412"/>
      <c r="AB911" s="412"/>
      <c r="AC911" s="412"/>
      <c r="AD911" s="412"/>
      <c r="AE911" s="412"/>
      <c r="AF911" s="412"/>
      <c r="AG911" s="412"/>
      <c r="AH911" s="412"/>
      <c r="AI911" s="412"/>
      <c r="AJ911" s="412">
        <f t="shared" si="44"/>
        <v>0</v>
      </c>
      <c r="AK911" s="198"/>
      <c r="AL911" s="250" t="s">
        <v>2068</v>
      </c>
    </row>
    <row r="912" spans="1:38" ht="14.1" customHeight="1" x14ac:dyDescent="0.2">
      <c r="A912" t="s">
        <v>893</v>
      </c>
      <c r="B912" s="193">
        <v>4544</v>
      </c>
      <c r="C912" s="194" t="s">
        <v>1077</v>
      </c>
      <c r="D912" s="229" t="s">
        <v>1429</v>
      </c>
      <c r="E912" s="229" t="s">
        <v>195</v>
      </c>
      <c r="F912" s="240">
        <v>200</v>
      </c>
      <c r="G912" s="196">
        <v>4</v>
      </c>
      <c r="H912" s="195">
        <v>160</v>
      </c>
      <c r="I912" s="197">
        <v>41350</v>
      </c>
      <c r="J912" s="197" t="str">
        <f t="shared" si="45"/>
        <v>ok</v>
      </c>
      <c r="K912" s="419"/>
      <c r="L912" s="419"/>
      <c r="M912" s="419"/>
      <c r="N912" s="419"/>
      <c r="O912" s="419"/>
      <c r="P912" s="419"/>
      <c r="Q912" s="419"/>
      <c r="R912" s="419"/>
      <c r="S912" s="419"/>
      <c r="T912" s="419"/>
      <c r="U912" s="419"/>
      <c r="V912" s="419"/>
      <c r="W912" s="419">
        <f t="shared" si="43"/>
        <v>0</v>
      </c>
      <c r="X912" s="412"/>
      <c r="Y912" s="412"/>
      <c r="Z912" s="412"/>
      <c r="AA912" s="412"/>
      <c r="AB912" s="412"/>
      <c r="AC912" s="412"/>
      <c r="AD912" s="412"/>
      <c r="AE912" s="412"/>
      <c r="AF912" s="412"/>
      <c r="AG912" s="412"/>
      <c r="AH912" s="412"/>
      <c r="AI912" s="412"/>
      <c r="AJ912" s="412">
        <f t="shared" si="44"/>
        <v>0</v>
      </c>
      <c r="AK912" s="198"/>
      <c r="AL912" s="250" t="s">
        <v>2068</v>
      </c>
    </row>
    <row r="913" spans="1:38" ht="14.1" customHeight="1" x14ac:dyDescent="0.2">
      <c r="A913" t="s">
        <v>889</v>
      </c>
      <c r="B913" s="193">
        <v>4545</v>
      </c>
      <c r="C913" s="194" t="s">
        <v>970</v>
      </c>
      <c r="D913" s="229" t="s">
        <v>1444</v>
      </c>
      <c r="E913" s="229" t="s">
        <v>1247</v>
      </c>
      <c r="F913" s="240">
        <v>300</v>
      </c>
      <c r="G913" s="196">
        <v>3</v>
      </c>
      <c r="H913" s="195">
        <v>150</v>
      </c>
      <c r="I913" s="197">
        <v>41352</v>
      </c>
      <c r="J913" s="197" t="str">
        <f t="shared" si="45"/>
        <v>ok</v>
      </c>
      <c r="K913" s="419"/>
      <c r="L913" s="419"/>
      <c r="M913" s="419"/>
      <c r="N913" s="419"/>
      <c r="O913" s="419"/>
      <c r="P913" s="419"/>
      <c r="Q913" s="419"/>
      <c r="R913" s="419"/>
      <c r="S913" s="419"/>
      <c r="T913" s="419"/>
      <c r="U913" s="419"/>
      <c r="V913" s="419"/>
      <c r="W913" s="419">
        <f t="shared" si="43"/>
        <v>0</v>
      </c>
      <c r="X913" s="412"/>
      <c r="Y913" s="412"/>
      <c r="Z913" s="412"/>
      <c r="AA913" s="412"/>
      <c r="AB913" s="412"/>
      <c r="AC913" s="412"/>
      <c r="AD913" s="412"/>
      <c r="AE913" s="412"/>
      <c r="AF913" s="412"/>
      <c r="AG913" s="412"/>
      <c r="AH913" s="412"/>
      <c r="AI913" s="412"/>
      <c r="AJ913" s="412">
        <f t="shared" si="44"/>
        <v>0</v>
      </c>
      <c r="AK913" s="198"/>
      <c r="AL913" s="250" t="s">
        <v>2068</v>
      </c>
    </row>
    <row r="914" spans="1:38" ht="14.1" customHeight="1" x14ac:dyDescent="0.2">
      <c r="A914" t="s">
        <v>888</v>
      </c>
      <c r="B914" s="193">
        <v>4546</v>
      </c>
      <c r="C914" s="194" t="s">
        <v>938</v>
      </c>
      <c r="D914" s="229" t="s">
        <v>1368</v>
      </c>
      <c r="E914" s="229" t="s">
        <v>35</v>
      </c>
      <c r="F914" s="240">
        <v>300</v>
      </c>
      <c r="G914" s="196">
        <v>4</v>
      </c>
      <c r="H914" s="195">
        <v>320</v>
      </c>
      <c r="I914" s="197">
        <v>41354</v>
      </c>
      <c r="J914" s="197" t="str">
        <f t="shared" si="45"/>
        <v>ok</v>
      </c>
      <c r="K914" s="419"/>
      <c r="L914" s="419"/>
      <c r="M914" s="419"/>
      <c r="N914" s="419"/>
      <c r="O914" s="419"/>
      <c r="P914" s="419"/>
      <c r="Q914" s="419"/>
      <c r="R914" s="419"/>
      <c r="S914" s="419"/>
      <c r="T914" s="419"/>
      <c r="U914" s="419"/>
      <c r="V914" s="419"/>
      <c r="W914" s="419">
        <f t="shared" si="43"/>
        <v>0</v>
      </c>
      <c r="X914" s="412"/>
      <c r="Y914" s="412"/>
      <c r="Z914" s="412"/>
      <c r="AA914" s="412"/>
      <c r="AB914" s="412"/>
      <c r="AC914" s="412"/>
      <c r="AD914" s="412"/>
      <c r="AE914" s="412"/>
      <c r="AF914" s="412"/>
      <c r="AG914" s="412"/>
      <c r="AH914" s="412"/>
      <c r="AI914" s="412"/>
      <c r="AJ914" s="412">
        <f t="shared" si="44"/>
        <v>0</v>
      </c>
      <c r="AK914" s="198"/>
      <c r="AL914" s="250" t="s">
        <v>2068</v>
      </c>
    </row>
    <row r="915" spans="1:38" ht="14.1" customHeight="1" x14ac:dyDescent="0.2">
      <c r="A915" t="s">
        <v>894</v>
      </c>
      <c r="B915" s="193">
        <v>4547</v>
      </c>
      <c r="C915" s="194" t="s">
        <v>1153</v>
      </c>
      <c r="D915" s="229" t="s">
        <v>1436</v>
      </c>
      <c r="E915" s="229" t="s">
        <v>191</v>
      </c>
      <c r="F915" s="240">
        <v>400</v>
      </c>
      <c r="G915" s="196">
        <v>1</v>
      </c>
      <c r="H915" s="195">
        <v>400</v>
      </c>
      <c r="I915" s="197">
        <v>41354</v>
      </c>
      <c r="J915" s="197" t="str">
        <f t="shared" si="45"/>
        <v>ok</v>
      </c>
      <c r="K915" s="419"/>
      <c r="L915" s="419"/>
      <c r="M915" s="419"/>
      <c r="N915" s="419"/>
      <c r="O915" s="419"/>
      <c r="P915" s="419"/>
      <c r="Q915" s="419"/>
      <c r="R915" s="419"/>
      <c r="S915" s="419"/>
      <c r="T915" s="419"/>
      <c r="U915" s="419"/>
      <c r="V915" s="419"/>
      <c r="W915" s="419">
        <f t="shared" si="43"/>
        <v>0</v>
      </c>
      <c r="X915" s="412"/>
      <c r="Y915" s="412"/>
      <c r="Z915" s="412">
        <v>400</v>
      </c>
      <c r="AA915" s="412"/>
      <c r="AB915" s="412"/>
      <c r="AC915" s="412"/>
      <c r="AD915" s="412"/>
      <c r="AE915" s="412"/>
      <c r="AF915" s="412"/>
      <c r="AG915" s="412"/>
      <c r="AH915" s="412"/>
      <c r="AI915" s="412"/>
      <c r="AJ915" s="412">
        <f t="shared" si="44"/>
        <v>400</v>
      </c>
      <c r="AK915" s="198"/>
      <c r="AL915" s="250" t="s">
        <v>2067</v>
      </c>
    </row>
    <row r="916" spans="1:38" ht="14.1" customHeight="1" x14ac:dyDescent="0.2">
      <c r="A916" t="s">
        <v>884</v>
      </c>
      <c r="B916" s="193">
        <v>4548</v>
      </c>
      <c r="C916" s="194" t="s">
        <v>881</v>
      </c>
      <c r="D916" s="229" t="s">
        <v>1564</v>
      </c>
      <c r="E916" s="229" t="s">
        <v>135</v>
      </c>
      <c r="F916" s="240">
        <v>300</v>
      </c>
      <c r="G916" s="196">
        <v>1</v>
      </c>
      <c r="H916" s="195">
        <v>600</v>
      </c>
      <c r="I916" s="197">
        <v>41357</v>
      </c>
      <c r="J916" s="197" t="str">
        <f t="shared" si="45"/>
        <v>ok</v>
      </c>
      <c r="K916" s="419"/>
      <c r="L916" s="419"/>
      <c r="M916" s="419"/>
      <c r="N916" s="419"/>
      <c r="O916" s="419"/>
      <c r="P916" s="419"/>
      <c r="Q916" s="419"/>
      <c r="R916" s="419"/>
      <c r="S916" s="419"/>
      <c r="T916" s="419"/>
      <c r="U916" s="419"/>
      <c r="V916" s="419"/>
      <c r="W916" s="419">
        <f t="shared" si="43"/>
        <v>0</v>
      </c>
      <c r="X916" s="412"/>
      <c r="Y916" s="412">
        <v>300</v>
      </c>
      <c r="Z916" s="412">
        <v>300</v>
      </c>
      <c r="AA916" s="412"/>
      <c r="AB916" s="412"/>
      <c r="AC916" s="412"/>
      <c r="AD916" s="412"/>
      <c r="AE916" s="412"/>
      <c r="AF916" s="412"/>
      <c r="AG916" s="412"/>
      <c r="AH916" s="412"/>
      <c r="AI916" s="412"/>
      <c r="AJ916" s="412">
        <f t="shared" si="44"/>
        <v>600</v>
      </c>
      <c r="AK916" s="198"/>
      <c r="AL916" s="250" t="s">
        <v>2067</v>
      </c>
    </row>
    <row r="917" spans="1:38" ht="14.1" customHeight="1" x14ac:dyDescent="0.2">
      <c r="A917" t="s">
        <v>888</v>
      </c>
      <c r="B917" s="193">
        <v>4549</v>
      </c>
      <c r="C917" s="194" t="s">
        <v>925</v>
      </c>
      <c r="D917" s="229" t="s">
        <v>1371</v>
      </c>
      <c r="E917" s="229" t="s">
        <v>373</v>
      </c>
      <c r="F917" s="240">
        <v>300</v>
      </c>
      <c r="G917" s="196">
        <v>1</v>
      </c>
      <c r="H917" s="195">
        <v>300</v>
      </c>
      <c r="I917" s="197">
        <v>41357</v>
      </c>
      <c r="J917" s="197" t="str">
        <f t="shared" si="45"/>
        <v>ok</v>
      </c>
      <c r="K917" s="419"/>
      <c r="L917" s="419"/>
      <c r="M917" s="419"/>
      <c r="N917" s="419"/>
      <c r="O917" s="419"/>
      <c r="P917" s="419"/>
      <c r="Q917" s="419"/>
      <c r="R917" s="419"/>
      <c r="S917" s="419"/>
      <c r="T917" s="419"/>
      <c r="U917" s="419"/>
      <c r="V917" s="419"/>
      <c r="W917" s="419">
        <f t="shared" si="43"/>
        <v>0</v>
      </c>
      <c r="X917" s="412"/>
      <c r="Y917" s="412"/>
      <c r="Z917" s="412">
        <v>300</v>
      </c>
      <c r="AA917" s="412"/>
      <c r="AB917" s="412"/>
      <c r="AC917" s="412"/>
      <c r="AD917" s="412"/>
      <c r="AE917" s="412"/>
      <c r="AF917" s="412"/>
      <c r="AG917" s="412"/>
      <c r="AH917" s="412"/>
      <c r="AI917" s="412"/>
      <c r="AJ917" s="412">
        <f t="shared" si="44"/>
        <v>300</v>
      </c>
      <c r="AK917" s="198"/>
      <c r="AL917" s="250" t="s">
        <v>2067</v>
      </c>
    </row>
    <row r="918" spans="1:38" ht="14.1" customHeight="1" x14ac:dyDescent="0.2">
      <c r="A918" t="s">
        <v>893</v>
      </c>
      <c r="B918" s="193">
        <v>4550</v>
      </c>
      <c r="C918" s="194" t="s">
        <v>1125</v>
      </c>
      <c r="D918" s="229" t="s">
        <v>1543</v>
      </c>
      <c r="E918" s="229" t="s">
        <v>286</v>
      </c>
      <c r="F918" s="240">
        <v>300</v>
      </c>
      <c r="G918" s="196">
        <v>1</v>
      </c>
      <c r="H918" s="195">
        <v>600</v>
      </c>
      <c r="I918" s="197">
        <v>41357</v>
      </c>
      <c r="J918" s="197" t="str">
        <f t="shared" si="45"/>
        <v>ok</v>
      </c>
      <c r="K918" s="419"/>
      <c r="L918" s="419"/>
      <c r="M918" s="419"/>
      <c r="N918" s="419"/>
      <c r="O918" s="419"/>
      <c r="P918" s="419"/>
      <c r="Q918" s="419"/>
      <c r="R918" s="419"/>
      <c r="S918" s="419"/>
      <c r="T918" s="419"/>
      <c r="U918" s="419"/>
      <c r="V918" s="419"/>
      <c r="W918" s="419">
        <f t="shared" si="43"/>
        <v>0</v>
      </c>
      <c r="X918" s="412"/>
      <c r="Y918" s="412"/>
      <c r="Z918" s="412">
        <v>300</v>
      </c>
      <c r="AA918" s="412">
        <v>300</v>
      </c>
      <c r="AB918" s="412"/>
      <c r="AC918" s="412"/>
      <c r="AD918" s="412"/>
      <c r="AE918" s="412"/>
      <c r="AF918" s="412"/>
      <c r="AG918" s="412"/>
      <c r="AH918" s="412"/>
      <c r="AI918" s="412"/>
      <c r="AJ918" s="412">
        <f t="shared" si="44"/>
        <v>600</v>
      </c>
      <c r="AK918" s="198"/>
      <c r="AL918" s="250" t="s">
        <v>2067</v>
      </c>
    </row>
    <row r="919" spans="1:38" ht="14.1" customHeight="1" x14ac:dyDescent="0.2">
      <c r="A919" t="s">
        <v>890</v>
      </c>
      <c r="B919" s="193">
        <v>4551</v>
      </c>
      <c r="C919" s="194" t="s">
        <v>999</v>
      </c>
      <c r="D919" s="229" t="s">
        <v>1634</v>
      </c>
      <c r="E919" s="229" t="s">
        <v>489</v>
      </c>
      <c r="F919" s="240">
        <v>300</v>
      </c>
      <c r="G919" s="196">
        <v>1</v>
      </c>
      <c r="H919" s="195">
        <v>300</v>
      </c>
      <c r="I919" s="197">
        <v>41357</v>
      </c>
      <c r="J919" s="197" t="str">
        <f t="shared" si="45"/>
        <v>ok</v>
      </c>
      <c r="K919" s="419"/>
      <c r="L919" s="419"/>
      <c r="M919" s="419"/>
      <c r="N919" s="419"/>
      <c r="O919" s="419"/>
      <c r="P919" s="419"/>
      <c r="Q919" s="419"/>
      <c r="R919" s="419"/>
      <c r="S919" s="419"/>
      <c r="T919" s="419"/>
      <c r="U919" s="419"/>
      <c r="V919" s="419"/>
      <c r="W919" s="419">
        <f t="shared" si="43"/>
        <v>0</v>
      </c>
      <c r="X919" s="412"/>
      <c r="Y919" s="412"/>
      <c r="Z919" s="412">
        <v>300</v>
      </c>
      <c r="AA919" s="412"/>
      <c r="AB919" s="412"/>
      <c r="AC919" s="412"/>
      <c r="AD919" s="412"/>
      <c r="AE919" s="412"/>
      <c r="AF919" s="412"/>
      <c r="AG919" s="412"/>
      <c r="AH919" s="412"/>
      <c r="AI919" s="412"/>
      <c r="AJ919" s="412">
        <f t="shared" si="44"/>
        <v>300</v>
      </c>
      <c r="AK919" s="198"/>
      <c r="AL919" s="250" t="s">
        <v>2067</v>
      </c>
    </row>
    <row r="920" spans="1:38" ht="14.1" customHeight="1" x14ac:dyDescent="0.2">
      <c r="A920" t="s">
        <v>891</v>
      </c>
      <c r="B920" s="193">
        <v>4552</v>
      </c>
      <c r="C920" s="194" t="s">
        <v>1050</v>
      </c>
      <c r="D920" s="229" t="s">
        <v>1380</v>
      </c>
      <c r="E920" s="229" t="s">
        <v>1220</v>
      </c>
      <c r="F920" s="240">
        <v>150</v>
      </c>
      <c r="G920" s="196">
        <v>1</v>
      </c>
      <c r="H920" s="195">
        <v>150</v>
      </c>
      <c r="I920" s="197">
        <v>41357</v>
      </c>
      <c r="J920" s="197" t="str">
        <f t="shared" si="45"/>
        <v>ok</v>
      </c>
      <c r="K920" s="419"/>
      <c r="L920" s="419"/>
      <c r="M920" s="419"/>
      <c r="N920" s="419"/>
      <c r="O920" s="419"/>
      <c r="P920" s="419"/>
      <c r="Q920" s="419"/>
      <c r="R920" s="419"/>
      <c r="S920" s="419"/>
      <c r="T920" s="419"/>
      <c r="U920" s="419"/>
      <c r="V920" s="419"/>
      <c r="W920" s="419">
        <f t="shared" si="43"/>
        <v>0</v>
      </c>
      <c r="X920" s="412"/>
      <c r="Y920" s="412"/>
      <c r="Z920" s="412"/>
      <c r="AA920" s="412">
        <v>150</v>
      </c>
      <c r="AB920" s="412"/>
      <c r="AC920" s="412"/>
      <c r="AD920" s="412"/>
      <c r="AE920" s="412"/>
      <c r="AF920" s="412"/>
      <c r="AG920" s="412"/>
      <c r="AH920" s="412"/>
      <c r="AI920" s="412"/>
      <c r="AJ920" s="412">
        <f t="shared" si="44"/>
        <v>150</v>
      </c>
      <c r="AK920" s="198"/>
      <c r="AL920" s="250" t="s">
        <v>2067</v>
      </c>
    </row>
    <row r="921" spans="1:38" ht="14.1" customHeight="1" x14ac:dyDescent="0.2">
      <c r="A921" t="s">
        <v>890</v>
      </c>
      <c r="B921" s="193">
        <v>4553</v>
      </c>
      <c r="C921" s="194" t="s">
        <v>1037</v>
      </c>
      <c r="D921" s="229" t="s">
        <v>1612</v>
      </c>
      <c r="E921" s="229" t="s">
        <v>543</v>
      </c>
      <c r="F921" s="240">
        <v>300</v>
      </c>
      <c r="G921" s="196">
        <v>3</v>
      </c>
      <c r="H921" s="195">
        <v>150</v>
      </c>
      <c r="I921" s="197">
        <v>41357</v>
      </c>
      <c r="J921" s="197" t="str">
        <f t="shared" si="45"/>
        <v>ok</v>
      </c>
      <c r="K921" s="419"/>
      <c r="L921" s="419"/>
      <c r="M921" s="419"/>
      <c r="N921" s="419"/>
      <c r="O921" s="419"/>
      <c r="P921" s="419"/>
      <c r="Q921" s="419"/>
      <c r="R921" s="419"/>
      <c r="S921" s="419"/>
      <c r="T921" s="419"/>
      <c r="U921" s="419"/>
      <c r="V921" s="419"/>
      <c r="W921" s="419">
        <f t="shared" si="43"/>
        <v>0</v>
      </c>
      <c r="X921" s="412"/>
      <c r="Y921" s="412"/>
      <c r="Z921" s="412"/>
      <c r="AA921" s="412"/>
      <c r="AB921" s="412"/>
      <c r="AC921" s="412"/>
      <c r="AD921" s="412"/>
      <c r="AE921" s="412"/>
      <c r="AF921" s="412"/>
      <c r="AG921" s="412"/>
      <c r="AH921" s="412"/>
      <c r="AI921" s="412"/>
      <c r="AJ921" s="412">
        <f t="shared" si="44"/>
        <v>0</v>
      </c>
      <c r="AK921" s="198"/>
      <c r="AL921" s="250" t="s">
        <v>2068</v>
      </c>
    </row>
    <row r="922" spans="1:38" ht="14.1" customHeight="1" x14ac:dyDescent="0.2">
      <c r="A922" t="s">
        <v>884</v>
      </c>
      <c r="B922" s="193">
        <v>4554</v>
      </c>
      <c r="C922" s="194" t="s">
        <v>1263</v>
      </c>
      <c r="D922" s="229" t="s">
        <v>1606</v>
      </c>
      <c r="E922" s="229" t="s">
        <v>137</v>
      </c>
      <c r="F922" s="240">
        <v>300</v>
      </c>
      <c r="G922" s="196">
        <v>1</v>
      </c>
      <c r="H922" s="195">
        <v>600</v>
      </c>
      <c r="I922" s="197">
        <v>41357</v>
      </c>
      <c r="J922" s="197" t="str">
        <f t="shared" si="45"/>
        <v>ok</v>
      </c>
      <c r="K922" s="419"/>
      <c r="L922" s="419"/>
      <c r="M922" s="419"/>
      <c r="N922" s="419"/>
      <c r="O922" s="419"/>
      <c r="P922" s="419"/>
      <c r="Q922" s="419"/>
      <c r="R922" s="419"/>
      <c r="S922" s="419"/>
      <c r="T922" s="419"/>
      <c r="U922" s="419"/>
      <c r="V922" s="419"/>
      <c r="W922" s="419">
        <f t="shared" si="43"/>
        <v>0</v>
      </c>
      <c r="X922" s="412">
        <v>300</v>
      </c>
      <c r="Y922" s="412">
        <v>300</v>
      </c>
      <c r="Z922" s="412"/>
      <c r="AA922" s="412"/>
      <c r="AB922" s="412"/>
      <c r="AC922" s="412"/>
      <c r="AD922" s="412"/>
      <c r="AE922" s="412"/>
      <c r="AF922" s="412"/>
      <c r="AG922" s="412"/>
      <c r="AH922" s="412"/>
      <c r="AI922" s="412"/>
      <c r="AJ922" s="412">
        <f t="shared" si="44"/>
        <v>600</v>
      </c>
      <c r="AK922" s="198"/>
      <c r="AL922" s="250" t="s">
        <v>2067</v>
      </c>
    </row>
    <row r="923" spans="1:38" ht="14.1" customHeight="1" x14ac:dyDescent="0.2">
      <c r="A923" t="s">
        <v>884</v>
      </c>
      <c r="B923" s="193">
        <v>4555</v>
      </c>
      <c r="C923" s="194" t="s">
        <v>797</v>
      </c>
      <c r="D923" s="229" t="s">
        <v>1405</v>
      </c>
      <c r="E923" s="229" t="s">
        <v>11</v>
      </c>
      <c r="F923" s="240">
        <v>300</v>
      </c>
      <c r="G923" s="196">
        <v>1</v>
      </c>
      <c r="H923" s="195">
        <v>300</v>
      </c>
      <c r="I923" s="197">
        <v>41357</v>
      </c>
      <c r="J923" s="197" t="str">
        <f t="shared" si="45"/>
        <v>ok</v>
      </c>
      <c r="K923" s="419"/>
      <c r="L923" s="419"/>
      <c r="M923" s="419"/>
      <c r="N923" s="419"/>
      <c r="O923" s="419"/>
      <c r="P923" s="419"/>
      <c r="Q923" s="419"/>
      <c r="R923" s="419"/>
      <c r="S923" s="419"/>
      <c r="T923" s="419"/>
      <c r="U923" s="419"/>
      <c r="V923" s="419"/>
      <c r="W923" s="419">
        <f t="shared" si="43"/>
        <v>0</v>
      </c>
      <c r="X923" s="412"/>
      <c r="Y923" s="412">
        <v>300</v>
      </c>
      <c r="Z923" s="412"/>
      <c r="AA923" s="412"/>
      <c r="AB923" s="412"/>
      <c r="AC923" s="412"/>
      <c r="AD923" s="412"/>
      <c r="AE923" s="412"/>
      <c r="AF923" s="412"/>
      <c r="AG923" s="412"/>
      <c r="AH923" s="412"/>
      <c r="AI923" s="412"/>
      <c r="AJ923" s="412">
        <f t="shared" si="44"/>
        <v>300</v>
      </c>
      <c r="AK923" s="198"/>
      <c r="AL923" s="250" t="s">
        <v>2067</v>
      </c>
    </row>
    <row r="924" spans="1:38" ht="14.1" customHeight="1" x14ac:dyDescent="0.2">
      <c r="A924" t="s">
        <v>884</v>
      </c>
      <c r="B924" s="193">
        <v>4556</v>
      </c>
      <c r="C924" s="194" t="s">
        <v>797</v>
      </c>
      <c r="D924" s="229" t="s">
        <v>1405</v>
      </c>
      <c r="E924" s="229" t="s">
        <v>11</v>
      </c>
      <c r="F924" s="240">
        <v>300</v>
      </c>
      <c r="G924" s="196">
        <v>4</v>
      </c>
      <c r="H924" s="195">
        <v>160</v>
      </c>
      <c r="I924" s="197">
        <v>41357</v>
      </c>
      <c r="J924" s="197" t="str">
        <f t="shared" si="45"/>
        <v>ok</v>
      </c>
      <c r="K924" s="419"/>
      <c r="L924" s="419"/>
      <c r="M924" s="419"/>
      <c r="N924" s="419"/>
      <c r="O924" s="419"/>
      <c r="P924" s="419"/>
      <c r="Q924" s="419"/>
      <c r="R924" s="419"/>
      <c r="S924" s="419"/>
      <c r="T924" s="419"/>
      <c r="U924" s="419"/>
      <c r="V924" s="419"/>
      <c r="W924" s="419">
        <f t="shared" si="43"/>
        <v>0</v>
      </c>
      <c r="X924" s="412"/>
      <c r="Y924" s="412"/>
      <c r="Z924" s="412"/>
      <c r="AA924" s="412"/>
      <c r="AB924" s="412"/>
      <c r="AC924" s="412"/>
      <c r="AD924" s="412"/>
      <c r="AE924" s="412"/>
      <c r="AF924" s="412"/>
      <c r="AG924" s="412"/>
      <c r="AH924" s="412"/>
      <c r="AI924" s="412"/>
      <c r="AJ924" s="412">
        <f t="shared" si="44"/>
        <v>0</v>
      </c>
      <c r="AK924" s="198"/>
      <c r="AL924" s="250" t="s">
        <v>2068</v>
      </c>
    </row>
    <row r="925" spans="1:38" ht="14.1" customHeight="1" x14ac:dyDescent="0.2">
      <c r="A925" t="s">
        <v>890</v>
      </c>
      <c r="B925" s="193">
        <v>4557</v>
      </c>
      <c r="C925" s="194" t="s">
        <v>1016</v>
      </c>
      <c r="D925" s="229" t="s">
        <v>1496</v>
      </c>
      <c r="E925" s="229" t="s">
        <v>510</v>
      </c>
      <c r="F925" s="240">
        <v>300</v>
      </c>
      <c r="G925" s="196">
        <v>4</v>
      </c>
      <c r="H925" s="195">
        <v>320</v>
      </c>
      <c r="I925" s="197">
        <v>41357</v>
      </c>
      <c r="J925" s="197" t="str">
        <f t="shared" si="45"/>
        <v>ok</v>
      </c>
      <c r="K925" s="419"/>
      <c r="L925" s="419"/>
      <c r="M925" s="419"/>
      <c r="N925" s="419"/>
      <c r="O925" s="419"/>
      <c r="P925" s="419"/>
      <c r="Q925" s="419"/>
      <c r="R925" s="419"/>
      <c r="S925" s="419"/>
      <c r="T925" s="419"/>
      <c r="U925" s="419"/>
      <c r="V925" s="419"/>
      <c r="W925" s="419">
        <f t="shared" si="43"/>
        <v>0</v>
      </c>
      <c r="X925" s="412"/>
      <c r="Y925" s="412"/>
      <c r="Z925" s="412"/>
      <c r="AA925" s="412"/>
      <c r="AB925" s="412"/>
      <c r="AC925" s="412"/>
      <c r="AD925" s="412"/>
      <c r="AE925" s="412"/>
      <c r="AF925" s="412"/>
      <c r="AG925" s="412"/>
      <c r="AH925" s="412"/>
      <c r="AI925" s="412"/>
      <c r="AJ925" s="412">
        <f t="shared" si="44"/>
        <v>0</v>
      </c>
      <c r="AK925" s="198"/>
      <c r="AL925" s="250" t="s">
        <v>2068</v>
      </c>
    </row>
    <row r="926" spans="1:38" ht="14.1" customHeight="1" x14ac:dyDescent="0.2">
      <c r="A926" t="s">
        <v>890</v>
      </c>
      <c r="B926" s="193">
        <v>4557</v>
      </c>
      <c r="C926" s="194" t="s">
        <v>1016</v>
      </c>
      <c r="D926" s="229" t="s">
        <v>1496</v>
      </c>
      <c r="E926" s="229" t="s">
        <v>510</v>
      </c>
      <c r="F926" s="240">
        <v>300</v>
      </c>
      <c r="G926" s="196">
        <v>5</v>
      </c>
      <c r="H926" s="195">
        <v>40</v>
      </c>
      <c r="I926" s="197">
        <v>41357</v>
      </c>
      <c r="J926" s="197" t="str">
        <f t="shared" si="45"/>
        <v>ok</v>
      </c>
      <c r="K926" s="419"/>
      <c r="L926" s="419"/>
      <c r="M926" s="419"/>
      <c r="N926" s="419"/>
      <c r="O926" s="419"/>
      <c r="P926" s="419"/>
      <c r="Q926" s="419"/>
      <c r="R926" s="419"/>
      <c r="S926" s="419"/>
      <c r="T926" s="419"/>
      <c r="U926" s="419"/>
      <c r="V926" s="419"/>
      <c r="W926" s="419">
        <f t="shared" si="43"/>
        <v>0</v>
      </c>
      <c r="X926" s="412"/>
      <c r="Y926" s="412"/>
      <c r="Z926" s="412"/>
      <c r="AA926" s="412"/>
      <c r="AB926" s="412"/>
      <c r="AC926" s="412"/>
      <c r="AD926" s="412"/>
      <c r="AE926" s="412"/>
      <c r="AF926" s="412"/>
      <c r="AG926" s="412"/>
      <c r="AH926" s="412"/>
      <c r="AI926" s="412"/>
      <c r="AJ926" s="412">
        <f t="shared" si="44"/>
        <v>0</v>
      </c>
      <c r="AK926" s="198"/>
      <c r="AL926" s="250" t="s">
        <v>2068</v>
      </c>
    </row>
    <row r="927" spans="1:38" ht="14.1" customHeight="1" x14ac:dyDescent="0.2">
      <c r="A927" t="s">
        <v>892</v>
      </c>
      <c r="B927" s="193">
        <v>4558</v>
      </c>
      <c r="C927" s="194" t="s">
        <v>1057</v>
      </c>
      <c r="D927" s="229" t="s">
        <v>1548</v>
      </c>
      <c r="E927" s="229" t="s">
        <v>46</v>
      </c>
      <c r="F927" s="240">
        <v>300</v>
      </c>
      <c r="G927" s="196">
        <v>1</v>
      </c>
      <c r="H927" s="195">
        <v>300</v>
      </c>
      <c r="I927" s="197">
        <v>41357</v>
      </c>
      <c r="J927" s="197" t="str">
        <f t="shared" si="45"/>
        <v>ok</v>
      </c>
      <c r="K927" s="419"/>
      <c r="L927" s="419"/>
      <c r="M927" s="419"/>
      <c r="N927" s="419"/>
      <c r="O927" s="419"/>
      <c r="P927" s="419"/>
      <c r="Q927" s="419"/>
      <c r="R927" s="419"/>
      <c r="S927" s="419"/>
      <c r="T927" s="419"/>
      <c r="U927" s="419"/>
      <c r="V927" s="419"/>
      <c r="W927" s="419">
        <f t="shared" si="43"/>
        <v>0</v>
      </c>
      <c r="X927" s="412"/>
      <c r="Y927" s="412"/>
      <c r="Z927" s="412">
        <v>300</v>
      </c>
      <c r="AA927" s="412"/>
      <c r="AB927" s="412"/>
      <c r="AC927" s="412"/>
      <c r="AD927" s="412"/>
      <c r="AE927" s="412"/>
      <c r="AF927" s="412"/>
      <c r="AG927" s="412"/>
      <c r="AH927" s="412"/>
      <c r="AI927" s="412"/>
      <c r="AJ927" s="412">
        <f t="shared" si="44"/>
        <v>300</v>
      </c>
      <c r="AK927" s="198"/>
      <c r="AL927" s="250" t="s">
        <v>2067</v>
      </c>
    </row>
    <row r="928" spans="1:38" ht="14.1" customHeight="1" x14ac:dyDescent="0.2">
      <c r="A928" t="s">
        <v>892</v>
      </c>
      <c r="B928" s="193">
        <v>4558</v>
      </c>
      <c r="C928" s="194" t="s">
        <v>1057</v>
      </c>
      <c r="D928" s="229" t="s">
        <v>1548</v>
      </c>
      <c r="E928" s="229" t="s">
        <v>46</v>
      </c>
      <c r="F928" s="240">
        <v>300</v>
      </c>
      <c r="G928" s="196">
        <v>5</v>
      </c>
      <c r="H928" s="195">
        <v>40</v>
      </c>
      <c r="I928" s="197">
        <v>41357</v>
      </c>
      <c r="J928" s="197" t="str">
        <f t="shared" si="45"/>
        <v>ok</v>
      </c>
      <c r="K928" s="419"/>
      <c r="L928" s="419"/>
      <c r="M928" s="419"/>
      <c r="N928" s="419"/>
      <c r="O928" s="419"/>
      <c r="P928" s="419"/>
      <c r="Q928" s="419"/>
      <c r="R928" s="419"/>
      <c r="S928" s="419"/>
      <c r="T928" s="419"/>
      <c r="U928" s="419"/>
      <c r="V928" s="419"/>
      <c r="W928" s="419">
        <f t="shared" si="43"/>
        <v>0</v>
      </c>
      <c r="X928" s="412"/>
      <c r="Y928" s="412"/>
      <c r="Z928" s="412"/>
      <c r="AA928" s="412"/>
      <c r="AB928" s="412"/>
      <c r="AC928" s="412"/>
      <c r="AD928" s="412"/>
      <c r="AE928" s="412"/>
      <c r="AF928" s="412"/>
      <c r="AG928" s="412"/>
      <c r="AH928" s="412"/>
      <c r="AI928" s="412"/>
      <c r="AJ928" s="412">
        <f t="shared" si="44"/>
        <v>0</v>
      </c>
      <c r="AK928" s="198"/>
      <c r="AL928" s="250" t="s">
        <v>2068</v>
      </c>
    </row>
    <row r="929" spans="1:38" ht="14.1" customHeight="1" x14ac:dyDescent="0.2">
      <c r="A929" t="s">
        <v>893</v>
      </c>
      <c r="B929" s="193">
        <v>4559</v>
      </c>
      <c r="C929" s="194" t="s">
        <v>1135</v>
      </c>
      <c r="D929" s="229" t="s">
        <v>1625</v>
      </c>
      <c r="E929" s="229" t="s">
        <v>1266</v>
      </c>
      <c r="F929" s="240">
        <v>300</v>
      </c>
      <c r="G929" s="196">
        <v>1</v>
      </c>
      <c r="H929" s="195">
        <v>300</v>
      </c>
      <c r="I929" s="197">
        <v>41357</v>
      </c>
      <c r="J929" s="197" t="str">
        <f t="shared" si="45"/>
        <v>ok</v>
      </c>
      <c r="K929" s="419"/>
      <c r="L929" s="419"/>
      <c r="M929" s="419"/>
      <c r="N929" s="419"/>
      <c r="O929" s="419"/>
      <c r="P929" s="419"/>
      <c r="Q929" s="419"/>
      <c r="R929" s="419"/>
      <c r="S929" s="419"/>
      <c r="T929" s="419"/>
      <c r="U929" s="419"/>
      <c r="V929" s="419"/>
      <c r="W929" s="419">
        <f t="shared" si="43"/>
        <v>0</v>
      </c>
      <c r="X929" s="412"/>
      <c r="Y929" s="412"/>
      <c r="Z929" s="412">
        <v>300</v>
      </c>
      <c r="AA929" s="412"/>
      <c r="AB929" s="412"/>
      <c r="AC929" s="412"/>
      <c r="AD929" s="412"/>
      <c r="AE929" s="412"/>
      <c r="AF929" s="412"/>
      <c r="AG929" s="412"/>
      <c r="AH929" s="412"/>
      <c r="AI929" s="412"/>
      <c r="AJ929" s="412">
        <f t="shared" si="44"/>
        <v>300</v>
      </c>
      <c r="AK929" s="198"/>
      <c r="AL929" s="250" t="s">
        <v>2067</v>
      </c>
    </row>
    <row r="930" spans="1:38" ht="14.1" customHeight="1" x14ac:dyDescent="0.2">
      <c r="A930" t="s">
        <v>892</v>
      </c>
      <c r="B930" s="193">
        <v>4560</v>
      </c>
      <c r="C930" s="194" t="s">
        <v>1063</v>
      </c>
      <c r="D930" s="229" t="s">
        <v>1359</v>
      </c>
      <c r="E930" s="229" t="s">
        <v>521</v>
      </c>
      <c r="F930" s="240">
        <v>300</v>
      </c>
      <c r="G930" s="196">
        <v>5</v>
      </c>
      <c r="H930" s="195">
        <v>60</v>
      </c>
      <c r="I930" s="197">
        <v>41357</v>
      </c>
      <c r="J930" s="197" t="str">
        <f t="shared" si="45"/>
        <v>ok</v>
      </c>
      <c r="K930" s="419"/>
      <c r="L930" s="419"/>
      <c r="M930" s="419"/>
      <c r="N930" s="419"/>
      <c r="O930" s="419"/>
      <c r="P930" s="419"/>
      <c r="Q930" s="419"/>
      <c r="R930" s="419"/>
      <c r="S930" s="419"/>
      <c r="T930" s="419"/>
      <c r="U930" s="419"/>
      <c r="V930" s="419"/>
      <c r="W930" s="419">
        <f t="shared" si="43"/>
        <v>0</v>
      </c>
      <c r="X930" s="412"/>
      <c r="Y930" s="412"/>
      <c r="Z930" s="412"/>
      <c r="AA930" s="412"/>
      <c r="AB930" s="412"/>
      <c r="AC930" s="412"/>
      <c r="AD930" s="412"/>
      <c r="AE930" s="412"/>
      <c r="AF930" s="412"/>
      <c r="AG930" s="412"/>
      <c r="AH930" s="412"/>
      <c r="AI930" s="412"/>
      <c r="AJ930" s="412">
        <f t="shared" si="44"/>
        <v>0</v>
      </c>
      <c r="AK930" s="198"/>
      <c r="AL930" s="250" t="s">
        <v>2068</v>
      </c>
    </row>
    <row r="931" spans="1:38" ht="14.1" customHeight="1" x14ac:dyDescent="0.2">
      <c r="A931" t="s">
        <v>893</v>
      </c>
      <c r="B931" s="193">
        <v>4561</v>
      </c>
      <c r="C931" s="194" t="s">
        <v>1134</v>
      </c>
      <c r="D931" s="229" t="s">
        <v>1556</v>
      </c>
      <c r="E931" s="229" t="s">
        <v>305</v>
      </c>
      <c r="F931" s="240">
        <v>300</v>
      </c>
      <c r="G931" s="196">
        <v>1</v>
      </c>
      <c r="H931" s="195">
        <v>300</v>
      </c>
      <c r="I931" s="197">
        <v>41357</v>
      </c>
      <c r="J931" s="197" t="str">
        <f t="shared" si="45"/>
        <v>ok</v>
      </c>
      <c r="K931" s="419"/>
      <c r="L931" s="419"/>
      <c r="M931" s="419"/>
      <c r="N931" s="419"/>
      <c r="O931" s="419"/>
      <c r="P931" s="419"/>
      <c r="Q931" s="419"/>
      <c r="R931" s="419"/>
      <c r="S931" s="419"/>
      <c r="T931" s="419"/>
      <c r="U931" s="419"/>
      <c r="V931" s="419"/>
      <c r="W931" s="419">
        <f t="shared" si="43"/>
        <v>0</v>
      </c>
      <c r="X931" s="412"/>
      <c r="Y931" s="412"/>
      <c r="Z931" s="412">
        <v>300</v>
      </c>
      <c r="AA931" s="412"/>
      <c r="AB931" s="412"/>
      <c r="AC931" s="412"/>
      <c r="AD931" s="412"/>
      <c r="AE931" s="412"/>
      <c r="AF931" s="412"/>
      <c r="AG931" s="412"/>
      <c r="AH931" s="412"/>
      <c r="AI931" s="412"/>
      <c r="AJ931" s="412">
        <f t="shared" si="44"/>
        <v>300</v>
      </c>
      <c r="AK931" s="198"/>
      <c r="AL931" s="250" t="s">
        <v>2067</v>
      </c>
    </row>
    <row r="932" spans="1:38" ht="14.1" customHeight="1" x14ac:dyDescent="0.2">
      <c r="A932" t="s">
        <v>888</v>
      </c>
      <c r="B932" s="193">
        <v>4562</v>
      </c>
      <c r="C932" s="194" t="s">
        <v>923</v>
      </c>
      <c r="D932" s="229" t="s">
        <v>1561</v>
      </c>
      <c r="E932" s="229" t="s">
        <v>191</v>
      </c>
      <c r="F932" s="240">
        <v>300</v>
      </c>
      <c r="G932" s="196">
        <v>1</v>
      </c>
      <c r="H932" s="195">
        <v>600</v>
      </c>
      <c r="I932" s="197">
        <v>41357</v>
      </c>
      <c r="J932" s="197" t="str">
        <f t="shared" si="45"/>
        <v>ok</v>
      </c>
      <c r="K932" s="419"/>
      <c r="L932" s="419"/>
      <c r="M932" s="419"/>
      <c r="N932" s="419"/>
      <c r="O932" s="419"/>
      <c r="P932" s="419"/>
      <c r="Q932" s="419"/>
      <c r="R932" s="419"/>
      <c r="S932" s="419"/>
      <c r="T932" s="419"/>
      <c r="U932" s="419"/>
      <c r="V932" s="419"/>
      <c r="W932" s="419">
        <f t="shared" si="43"/>
        <v>0</v>
      </c>
      <c r="X932" s="412"/>
      <c r="Y932" s="412"/>
      <c r="Z932" s="412">
        <v>300</v>
      </c>
      <c r="AA932" s="412">
        <v>300</v>
      </c>
      <c r="AB932" s="412"/>
      <c r="AC932" s="412"/>
      <c r="AD932" s="412"/>
      <c r="AE932" s="412"/>
      <c r="AF932" s="412"/>
      <c r="AG932" s="412"/>
      <c r="AH932" s="412"/>
      <c r="AI932" s="412"/>
      <c r="AJ932" s="412">
        <f t="shared" si="44"/>
        <v>600</v>
      </c>
      <c r="AK932" s="198"/>
      <c r="AL932" s="250" t="s">
        <v>2067</v>
      </c>
    </row>
    <row r="933" spans="1:38" ht="14.1" customHeight="1" x14ac:dyDescent="0.2">
      <c r="B933" s="193">
        <v>4563</v>
      </c>
      <c r="C933" s="194"/>
      <c r="D933" s="229" t="s">
        <v>1362</v>
      </c>
      <c r="E933" s="229" t="s">
        <v>1362</v>
      </c>
      <c r="F933" s="240" t="s">
        <v>1362</v>
      </c>
      <c r="G933" s="196">
        <v>8</v>
      </c>
      <c r="H933" s="195"/>
      <c r="I933" s="197"/>
      <c r="J933" s="197" t="str">
        <f t="shared" si="45"/>
        <v>ok</v>
      </c>
      <c r="K933" s="419"/>
      <c r="L933" s="419"/>
      <c r="M933" s="419"/>
      <c r="N933" s="419"/>
      <c r="O933" s="419"/>
      <c r="P933" s="419"/>
      <c r="Q933" s="419"/>
      <c r="R933" s="419"/>
      <c r="S933" s="419"/>
      <c r="T933" s="419"/>
      <c r="U933" s="419"/>
      <c r="V933" s="419"/>
      <c r="W933" s="419">
        <f t="shared" si="43"/>
        <v>0</v>
      </c>
      <c r="X933" s="412"/>
      <c r="Y933" s="412"/>
      <c r="Z933" s="412"/>
      <c r="AA933" s="412"/>
      <c r="AB933" s="412"/>
      <c r="AC933" s="412"/>
      <c r="AD933" s="412"/>
      <c r="AE933" s="412"/>
      <c r="AF933" s="412"/>
      <c r="AG933" s="412"/>
      <c r="AH933" s="412"/>
      <c r="AI933" s="412"/>
      <c r="AJ933" s="412">
        <f t="shared" si="44"/>
        <v>0</v>
      </c>
      <c r="AK933" s="198" t="s">
        <v>755</v>
      </c>
      <c r="AL933" s="250" t="s">
        <v>2067</v>
      </c>
    </row>
    <row r="934" spans="1:38" ht="14.1" customHeight="1" x14ac:dyDescent="0.2">
      <c r="A934" t="s">
        <v>888</v>
      </c>
      <c r="B934" s="193">
        <v>4564</v>
      </c>
      <c r="C934" s="194" t="s">
        <v>923</v>
      </c>
      <c r="D934" s="229" t="s">
        <v>1561</v>
      </c>
      <c r="E934" s="229" t="s">
        <v>191</v>
      </c>
      <c r="F934" s="240">
        <v>300</v>
      </c>
      <c r="G934" s="196">
        <v>4</v>
      </c>
      <c r="H934" s="195">
        <v>160</v>
      </c>
      <c r="I934" s="197">
        <v>41357</v>
      </c>
      <c r="J934" s="197" t="str">
        <f t="shared" si="45"/>
        <v>ok</v>
      </c>
      <c r="K934" s="419"/>
      <c r="L934" s="419"/>
      <c r="M934" s="419"/>
      <c r="N934" s="419"/>
      <c r="O934" s="419"/>
      <c r="P934" s="419"/>
      <c r="Q934" s="419"/>
      <c r="R934" s="419"/>
      <c r="S934" s="419"/>
      <c r="T934" s="419"/>
      <c r="U934" s="419"/>
      <c r="V934" s="419"/>
      <c r="W934" s="419">
        <f t="shared" si="43"/>
        <v>0</v>
      </c>
      <c r="X934" s="412"/>
      <c r="Y934" s="412"/>
      <c r="Z934" s="412"/>
      <c r="AA934" s="412"/>
      <c r="AB934" s="412"/>
      <c r="AC934" s="412"/>
      <c r="AD934" s="412"/>
      <c r="AE934" s="412"/>
      <c r="AF934" s="412"/>
      <c r="AG934" s="412"/>
      <c r="AH934" s="412"/>
      <c r="AI934" s="412"/>
      <c r="AJ934" s="412">
        <f t="shared" si="44"/>
        <v>0</v>
      </c>
      <c r="AK934" s="198"/>
      <c r="AL934" s="250" t="s">
        <v>2068</v>
      </c>
    </row>
    <row r="935" spans="1:38" ht="14.1" customHeight="1" x14ac:dyDescent="0.2">
      <c r="A935" t="s">
        <v>893</v>
      </c>
      <c r="B935" s="193">
        <v>4565</v>
      </c>
      <c r="C935" s="194" t="s">
        <v>1079</v>
      </c>
      <c r="D935" s="229" t="s">
        <v>1552</v>
      </c>
      <c r="E935" s="229" t="s">
        <v>198</v>
      </c>
      <c r="F935" s="240">
        <v>150</v>
      </c>
      <c r="G935" s="196">
        <v>1</v>
      </c>
      <c r="H935" s="195">
        <v>150</v>
      </c>
      <c r="I935" s="197">
        <v>41357</v>
      </c>
      <c r="J935" s="197" t="str">
        <f t="shared" si="45"/>
        <v>ok</v>
      </c>
      <c r="K935" s="419"/>
      <c r="L935" s="419"/>
      <c r="M935" s="419"/>
      <c r="N935" s="419"/>
      <c r="O935" s="419"/>
      <c r="P935" s="419"/>
      <c r="Q935" s="419"/>
      <c r="R935" s="419"/>
      <c r="S935" s="419"/>
      <c r="T935" s="419"/>
      <c r="U935" s="419"/>
      <c r="V935" s="419"/>
      <c r="W935" s="419">
        <f t="shared" si="43"/>
        <v>0</v>
      </c>
      <c r="X935" s="412"/>
      <c r="Y935" s="412"/>
      <c r="Z935" s="412">
        <v>150</v>
      </c>
      <c r="AA935" s="412"/>
      <c r="AB935" s="412"/>
      <c r="AC935" s="412"/>
      <c r="AD935" s="412"/>
      <c r="AE935" s="412"/>
      <c r="AF935" s="412"/>
      <c r="AG935" s="412"/>
      <c r="AH935" s="412"/>
      <c r="AI935" s="412"/>
      <c r="AJ935" s="412">
        <f t="shared" si="44"/>
        <v>150</v>
      </c>
      <c r="AK935" s="198"/>
      <c r="AL935" s="250" t="s">
        <v>2067</v>
      </c>
    </row>
    <row r="936" spans="1:38" ht="14.1" customHeight="1" x14ac:dyDescent="0.2">
      <c r="A936" t="s">
        <v>893</v>
      </c>
      <c r="B936" s="193">
        <v>4566</v>
      </c>
      <c r="C936" s="194" t="s">
        <v>1071</v>
      </c>
      <c r="D936" s="229" t="s">
        <v>1547</v>
      </c>
      <c r="E936" s="229" t="s">
        <v>1255</v>
      </c>
      <c r="F936" s="240">
        <v>300</v>
      </c>
      <c r="G936" s="196">
        <v>1</v>
      </c>
      <c r="H936" s="195">
        <v>300</v>
      </c>
      <c r="I936" s="197">
        <v>41358</v>
      </c>
      <c r="J936" s="197" t="str">
        <f t="shared" si="45"/>
        <v>ok</v>
      </c>
      <c r="K936" s="419"/>
      <c r="L936" s="419"/>
      <c r="M936" s="419"/>
      <c r="N936" s="419"/>
      <c r="O936" s="419"/>
      <c r="P936" s="419"/>
      <c r="Q936" s="419"/>
      <c r="R936" s="419"/>
      <c r="S936" s="419"/>
      <c r="T936" s="419"/>
      <c r="U936" s="419"/>
      <c r="V936" s="419"/>
      <c r="W936" s="419">
        <f t="shared" si="43"/>
        <v>0</v>
      </c>
      <c r="X936" s="412"/>
      <c r="Y936" s="412"/>
      <c r="Z936" s="412">
        <v>300</v>
      </c>
      <c r="AA936" s="412"/>
      <c r="AB936" s="412"/>
      <c r="AC936" s="412"/>
      <c r="AD936" s="412"/>
      <c r="AE936" s="412"/>
      <c r="AF936" s="412"/>
      <c r="AG936" s="412"/>
      <c r="AH936" s="412"/>
      <c r="AI936" s="412"/>
      <c r="AJ936" s="412">
        <f t="shared" si="44"/>
        <v>300</v>
      </c>
      <c r="AK936" s="198"/>
      <c r="AL936" s="250" t="s">
        <v>2067</v>
      </c>
    </row>
    <row r="937" spans="1:38" ht="14.1" customHeight="1" x14ac:dyDescent="0.2">
      <c r="A937" t="s">
        <v>893</v>
      </c>
      <c r="B937" s="193">
        <v>4567</v>
      </c>
      <c r="C937" s="194" t="s">
        <v>1092</v>
      </c>
      <c r="D937" s="229" t="s">
        <v>1569</v>
      </c>
      <c r="E937" s="229" t="s">
        <v>223</v>
      </c>
      <c r="F937" s="240">
        <v>300</v>
      </c>
      <c r="G937" s="196">
        <v>1</v>
      </c>
      <c r="H937" s="195">
        <v>300</v>
      </c>
      <c r="I937" s="197">
        <v>41358</v>
      </c>
      <c r="J937" s="197" t="str">
        <f t="shared" si="45"/>
        <v>ok</v>
      </c>
      <c r="K937" s="419"/>
      <c r="L937" s="419"/>
      <c r="M937" s="419"/>
      <c r="N937" s="419"/>
      <c r="O937" s="419"/>
      <c r="P937" s="419"/>
      <c r="Q937" s="419"/>
      <c r="R937" s="419"/>
      <c r="S937" s="419"/>
      <c r="T937" s="419"/>
      <c r="U937" s="419"/>
      <c r="V937" s="419"/>
      <c r="W937" s="419">
        <f t="shared" si="43"/>
        <v>0</v>
      </c>
      <c r="X937" s="412"/>
      <c r="Y937" s="412"/>
      <c r="Z937" s="412">
        <v>300</v>
      </c>
      <c r="AA937" s="412"/>
      <c r="AB937" s="412"/>
      <c r="AC937" s="412"/>
      <c r="AD937" s="412"/>
      <c r="AE937" s="412"/>
      <c r="AF937" s="412"/>
      <c r="AG937" s="412"/>
      <c r="AH937" s="412"/>
      <c r="AI937" s="412"/>
      <c r="AJ937" s="412">
        <f t="shared" si="44"/>
        <v>300</v>
      </c>
      <c r="AK937" s="198"/>
      <c r="AL937" s="250" t="s">
        <v>2067</v>
      </c>
    </row>
    <row r="938" spans="1:38" ht="14.1" customHeight="1" x14ac:dyDescent="0.2">
      <c r="A938" t="s">
        <v>894</v>
      </c>
      <c r="B938" s="193">
        <v>4568</v>
      </c>
      <c r="C938" s="194" t="s">
        <v>1154</v>
      </c>
      <c r="D938" s="229" t="s">
        <v>1367</v>
      </c>
      <c r="E938" s="229" t="s">
        <v>1239</v>
      </c>
      <c r="F938" s="240">
        <v>300</v>
      </c>
      <c r="G938" s="196">
        <v>1</v>
      </c>
      <c r="H938" s="195">
        <v>600</v>
      </c>
      <c r="I938" s="197">
        <v>41358</v>
      </c>
      <c r="J938" s="197" t="str">
        <f t="shared" si="45"/>
        <v>ok</v>
      </c>
      <c r="K938" s="419"/>
      <c r="L938" s="419"/>
      <c r="M938" s="419"/>
      <c r="N938" s="419"/>
      <c r="O938" s="419"/>
      <c r="P938" s="419"/>
      <c r="Q938" s="419"/>
      <c r="R938" s="419"/>
      <c r="S938" s="419"/>
      <c r="T938" s="419"/>
      <c r="U938" s="419"/>
      <c r="V938" s="419"/>
      <c r="W938" s="419">
        <f t="shared" si="43"/>
        <v>0</v>
      </c>
      <c r="X938" s="412"/>
      <c r="Y938" s="412">
        <v>300</v>
      </c>
      <c r="Z938" s="412">
        <v>300</v>
      </c>
      <c r="AA938" s="412"/>
      <c r="AB938" s="412"/>
      <c r="AC938" s="412"/>
      <c r="AD938" s="412"/>
      <c r="AE938" s="412"/>
      <c r="AF938" s="412"/>
      <c r="AG938" s="412"/>
      <c r="AH938" s="412"/>
      <c r="AI938" s="412"/>
      <c r="AJ938" s="412">
        <f t="shared" si="44"/>
        <v>600</v>
      </c>
      <c r="AK938" s="198"/>
      <c r="AL938" s="250" t="s">
        <v>2067</v>
      </c>
    </row>
    <row r="939" spans="1:38" ht="14.1" customHeight="1" x14ac:dyDescent="0.2">
      <c r="A939" t="s">
        <v>893</v>
      </c>
      <c r="B939" s="193">
        <v>4569</v>
      </c>
      <c r="C939" s="194" t="s">
        <v>1109</v>
      </c>
      <c r="D939" s="229" t="s">
        <v>1533</v>
      </c>
      <c r="E939" s="229" t="s">
        <v>1358</v>
      </c>
      <c r="F939" s="240">
        <v>300</v>
      </c>
      <c r="G939" s="196">
        <v>1</v>
      </c>
      <c r="H939" s="195">
        <v>300</v>
      </c>
      <c r="I939" s="197">
        <v>41359</v>
      </c>
      <c r="J939" s="197" t="str">
        <f t="shared" si="45"/>
        <v>ok</v>
      </c>
      <c r="K939" s="419"/>
      <c r="L939" s="419"/>
      <c r="M939" s="419"/>
      <c r="N939" s="419"/>
      <c r="O939" s="419"/>
      <c r="P939" s="419"/>
      <c r="Q939" s="419"/>
      <c r="R939" s="419"/>
      <c r="S939" s="419"/>
      <c r="T939" s="419"/>
      <c r="U939" s="419"/>
      <c r="V939" s="419"/>
      <c r="W939" s="419">
        <f t="shared" si="43"/>
        <v>0</v>
      </c>
      <c r="X939" s="412"/>
      <c r="Y939" s="412"/>
      <c r="Z939" s="412">
        <v>300</v>
      </c>
      <c r="AA939" s="412"/>
      <c r="AB939" s="412"/>
      <c r="AC939" s="412"/>
      <c r="AD939" s="412"/>
      <c r="AE939" s="412"/>
      <c r="AF939" s="412"/>
      <c r="AG939" s="412"/>
      <c r="AH939" s="412"/>
      <c r="AI939" s="412"/>
      <c r="AJ939" s="412">
        <f t="shared" si="44"/>
        <v>300</v>
      </c>
      <c r="AK939" s="198"/>
      <c r="AL939" s="250" t="s">
        <v>2067</v>
      </c>
    </row>
    <row r="940" spans="1:38" ht="14.1" customHeight="1" x14ac:dyDescent="0.2">
      <c r="A940" t="s">
        <v>888</v>
      </c>
      <c r="B940" s="193">
        <v>4570</v>
      </c>
      <c r="C940" s="194" t="s">
        <v>958</v>
      </c>
      <c r="D940" s="229" t="s">
        <v>1458</v>
      </c>
      <c r="E940" s="229" t="s">
        <v>441</v>
      </c>
      <c r="F940" s="240">
        <v>300</v>
      </c>
      <c r="G940" s="196">
        <v>1</v>
      </c>
      <c r="H940" s="195">
        <v>2100</v>
      </c>
      <c r="I940" s="197">
        <v>41360</v>
      </c>
      <c r="J940" s="197" t="str">
        <f t="shared" si="45"/>
        <v>ok</v>
      </c>
      <c r="K940" s="419"/>
      <c r="L940" s="419"/>
      <c r="M940" s="419"/>
      <c r="N940" s="419"/>
      <c r="O940" s="419"/>
      <c r="P940" s="419"/>
      <c r="Q940" s="419"/>
      <c r="R940" s="419"/>
      <c r="S940" s="419"/>
      <c r="T940" s="419"/>
      <c r="U940" s="419"/>
      <c r="V940" s="419"/>
      <c r="W940" s="419">
        <f t="shared" si="43"/>
        <v>0</v>
      </c>
      <c r="X940" s="412"/>
      <c r="Y940" s="412"/>
      <c r="Z940" s="412"/>
      <c r="AA940" s="412"/>
      <c r="AB940" s="412"/>
      <c r="AC940" s="412">
        <v>300</v>
      </c>
      <c r="AD940" s="412">
        <v>300</v>
      </c>
      <c r="AE940" s="412">
        <v>300</v>
      </c>
      <c r="AF940" s="412">
        <v>300</v>
      </c>
      <c r="AG940" s="412">
        <v>300</v>
      </c>
      <c r="AH940" s="412">
        <v>300</v>
      </c>
      <c r="AI940" s="412">
        <v>300</v>
      </c>
      <c r="AJ940" s="412">
        <f t="shared" si="44"/>
        <v>2100</v>
      </c>
      <c r="AK940" s="198"/>
      <c r="AL940" s="250" t="s">
        <v>2067</v>
      </c>
    </row>
    <row r="941" spans="1:38" ht="14.1" customHeight="1" x14ac:dyDescent="0.2">
      <c r="A941" t="s">
        <v>893</v>
      </c>
      <c r="B941" s="193">
        <v>4571</v>
      </c>
      <c r="C941" s="194" t="s">
        <v>1147</v>
      </c>
      <c r="D941" s="229" t="s">
        <v>1551</v>
      </c>
      <c r="E941" s="229" t="s">
        <v>329</v>
      </c>
      <c r="F941" s="240">
        <v>300</v>
      </c>
      <c r="G941" s="196">
        <v>1</v>
      </c>
      <c r="H941" s="195">
        <v>600</v>
      </c>
      <c r="I941" s="197">
        <v>41360</v>
      </c>
      <c r="J941" s="197" t="str">
        <f t="shared" si="45"/>
        <v>ok</v>
      </c>
      <c r="K941" s="419"/>
      <c r="L941" s="419"/>
      <c r="M941" s="419"/>
      <c r="N941" s="419"/>
      <c r="O941" s="419"/>
      <c r="P941" s="419"/>
      <c r="Q941" s="419"/>
      <c r="R941" s="419"/>
      <c r="S941" s="419"/>
      <c r="T941" s="419"/>
      <c r="U941" s="419"/>
      <c r="V941" s="419"/>
      <c r="W941" s="419">
        <f t="shared" si="43"/>
        <v>0</v>
      </c>
      <c r="X941" s="412"/>
      <c r="Y941" s="412"/>
      <c r="Z941" s="412">
        <v>300</v>
      </c>
      <c r="AA941" s="412">
        <v>300</v>
      </c>
      <c r="AB941" s="412"/>
      <c r="AC941" s="412"/>
      <c r="AD941" s="412"/>
      <c r="AE941" s="412"/>
      <c r="AF941" s="412"/>
      <c r="AG941" s="412"/>
      <c r="AH941" s="412"/>
      <c r="AI941" s="412"/>
      <c r="AJ941" s="412">
        <f t="shared" si="44"/>
        <v>600</v>
      </c>
      <c r="AK941" s="198"/>
      <c r="AL941" s="250" t="s">
        <v>2067</v>
      </c>
    </row>
    <row r="942" spans="1:38" ht="14.1" customHeight="1" x14ac:dyDescent="0.2">
      <c r="A942" t="s">
        <v>893</v>
      </c>
      <c r="B942" s="193">
        <v>4572</v>
      </c>
      <c r="C942" s="194" t="s">
        <v>1140</v>
      </c>
      <c r="D942" s="229" t="s">
        <v>1574</v>
      </c>
      <c r="E942" s="229" t="s">
        <v>315</v>
      </c>
      <c r="F942" s="240">
        <v>300</v>
      </c>
      <c r="G942" s="196">
        <v>1</v>
      </c>
      <c r="H942" s="195">
        <v>300</v>
      </c>
      <c r="I942" s="197">
        <v>41364</v>
      </c>
      <c r="J942" s="197" t="str">
        <f t="shared" si="45"/>
        <v>ok</v>
      </c>
      <c r="K942" s="419"/>
      <c r="L942" s="419"/>
      <c r="M942" s="419"/>
      <c r="N942" s="419"/>
      <c r="O942" s="419"/>
      <c r="P942" s="419"/>
      <c r="Q942" s="419"/>
      <c r="R942" s="419"/>
      <c r="S942" s="419"/>
      <c r="T942" s="419"/>
      <c r="U942" s="419"/>
      <c r="V942" s="419"/>
      <c r="W942" s="419">
        <f t="shared" si="43"/>
        <v>0</v>
      </c>
      <c r="X942" s="412"/>
      <c r="Y942" s="412"/>
      <c r="Z942" s="412">
        <v>300</v>
      </c>
      <c r="AA942" s="412"/>
      <c r="AB942" s="412"/>
      <c r="AC942" s="412"/>
      <c r="AD942" s="412"/>
      <c r="AE942" s="412"/>
      <c r="AF942" s="412"/>
      <c r="AG942" s="412"/>
      <c r="AH942" s="412"/>
      <c r="AI942" s="412"/>
      <c r="AJ942" s="412">
        <f t="shared" si="44"/>
        <v>300</v>
      </c>
      <c r="AK942" s="198"/>
      <c r="AL942" s="250" t="s">
        <v>2067</v>
      </c>
    </row>
    <row r="943" spans="1:38" ht="14.1" customHeight="1" x14ac:dyDescent="0.2">
      <c r="A943" t="s">
        <v>888</v>
      </c>
      <c r="B943" s="193">
        <v>4573</v>
      </c>
      <c r="C943" s="194" t="s">
        <v>945</v>
      </c>
      <c r="D943" s="229" t="s">
        <v>1379</v>
      </c>
      <c r="E943" s="229" t="s">
        <v>407</v>
      </c>
      <c r="F943" s="240">
        <v>300</v>
      </c>
      <c r="G943" s="196">
        <v>1</v>
      </c>
      <c r="H943" s="195">
        <v>600</v>
      </c>
      <c r="I943" s="197">
        <v>41364</v>
      </c>
      <c r="J943" s="197" t="str">
        <f t="shared" si="45"/>
        <v>ok</v>
      </c>
      <c r="K943" s="419"/>
      <c r="L943" s="419"/>
      <c r="M943" s="419"/>
      <c r="N943" s="419"/>
      <c r="O943" s="419"/>
      <c r="P943" s="419"/>
      <c r="Q943" s="419"/>
      <c r="R943" s="419"/>
      <c r="S943" s="419"/>
      <c r="T943" s="419"/>
      <c r="U943" s="419"/>
      <c r="V943" s="419"/>
      <c r="W943" s="419">
        <f t="shared" si="43"/>
        <v>0</v>
      </c>
      <c r="X943" s="412"/>
      <c r="Y943" s="412">
        <v>300</v>
      </c>
      <c r="Z943" s="412">
        <v>300</v>
      </c>
      <c r="AA943" s="412"/>
      <c r="AB943" s="412"/>
      <c r="AC943" s="412"/>
      <c r="AD943" s="412"/>
      <c r="AE943" s="412"/>
      <c r="AF943" s="412"/>
      <c r="AG943" s="412"/>
      <c r="AH943" s="412"/>
      <c r="AI943" s="412"/>
      <c r="AJ943" s="412">
        <f t="shared" si="44"/>
        <v>600</v>
      </c>
      <c r="AK943" s="198"/>
      <c r="AL943" s="250" t="s">
        <v>2067</v>
      </c>
    </row>
    <row r="944" spans="1:38" ht="14.1" customHeight="1" x14ac:dyDescent="0.2">
      <c r="A944" t="s">
        <v>884</v>
      </c>
      <c r="B944" s="193">
        <v>4574</v>
      </c>
      <c r="C944" s="194" t="s">
        <v>803</v>
      </c>
      <c r="D944" s="229" t="s">
        <v>1403</v>
      </c>
      <c r="E944" s="229" t="s">
        <v>20</v>
      </c>
      <c r="F944" s="240">
        <v>300</v>
      </c>
      <c r="G944" s="196">
        <v>1</v>
      </c>
      <c r="H944" s="195">
        <v>300</v>
      </c>
      <c r="I944" s="197">
        <v>41364</v>
      </c>
      <c r="J944" s="197" t="str">
        <f t="shared" si="45"/>
        <v>ok</v>
      </c>
      <c r="K944" s="419"/>
      <c r="L944" s="419"/>
      <c r="M944" s="419"/>
      <c r="N944" s="419"/>
      <c r="O944" s="419"/>
      <c r="P944" s="419"/>
      <c r="Q944" s="419"/>
      <c r="R944" s="419"/>
      <c r="S944" s="419"/>
      <c r="T944" s="419"/>
      <c r="U944" s="419"/>
      <c r="V944" s="419"/>
      <c r="W944" s="419">
        <f t="shared" si="43"/>
        <v>0</v>
      </c>
      <c r="X944" s="412"/>
      <c r="Y944" s="412"/>
      <c r="Z944" s="412"/>
      <c r="AA944" s="412">
        <v>300</v>
      </c>
      <c r="AB944" s="412"/>
      <c r="AC944" s="412"/>
      <c r="AD944" s="412"/>
      <c r="AE944" s="412"/>
      <c r="AF944" s="412"/>
      <c r="AG944" s="412"/>
      <c r="AH944" s="412"/>
      <c r="AI944" s="412"/>
      <c r="AJ944" s="412">
        <f t="shared" si="44"/>
        <v>300</v>
      </c>
      <c r="AK944" s="198"/>
      <c r="AL944" s="250" t="s">
        <v>2067</v>
      </c>
    </row>
    <row r="945" spans="1:38" ht="14.1" customHeight="1" x14ac:dyDescent="0.2">
      <c r="A945" t="s">
        <v>890</v>
      </c>
      <c r="B945" s="193">
        <v>4575</v>
      </c>
      <c r="C945" s="194" t="s">
        <v>1027</v>
      </c>
      <c r="D945" s="229" t="s">
        <v>1565</v>
      </c>
      <c r="E945" s="229" t="s">
        <v>527</v>
      </c>
      <c r="F945" s="240">
        <v>300</v>
      </c>
      <c r="G945" s="196">
        <v>1</v>
      </c>
      <c r="H945" s="195">
        <v>300</v>
      </c>
      <c r="I945" s="197">
        <v>41364</v>
      </c>
      <c r="J945" s="197" t="str">
        <f t="shared" si="45"/>
        <v>ok</v>
      </c>
      <c r="K945" s="419"/>
      <c r="L945" s="419"/>
      <c r="M945" s="419"/>
      <c r="N945" s="419"/>
      <c r="O945" s="419"/>
      <c r="P945" s="419"/>
      <c r="Q945" s="419"/>
      <c r="R945" s="419"/>
      <c r="S945" s="419"/>
      <c r="T945" s="419"/>
      <c r="U945" s="419"/>
      <c r="V945" s="419"/>
      <c r="W945" s="419">
        <f t="shared" si="43"/>
        <v>0</v>
      </c>
      <c r="X945" s="412"/>
      <c r="Y945" s="412"/>
      <c r="Z945" s="412">
        <v>300</v>
      </c>
      <c r="AA945" s="412"/>
      <c r="AB945" s="412"/>
      <c r="AC945" s="412"/>
      <c r="AD945" s="412"/>
      <c r="AE945" s="412"/>
      <c r="AF945" s="412"/>
      <c r="AG945" s="412"/>
      <c r="AH945" s="412"/>
      <c r="AI945" s="412"/>
      <c r="AJ945" s="412">
        <f t="shared" si="44"/>
        <v>300</v>
      </c>
      <c r="AK945" s="198"/>
      <c r="AL945" s="250" t="s">
        <v>2067</v>
      </c>
    </row>
    <row r="946" spans="1:38" ht="14.1" customHeight="1" x14ac:dyDescent="0.2">
      <c r="A946" t="s">
        <v>890</v>
      </c>
      <c r="B946" s="193">
        <v>4575</v>
      </c>
      <c r="C946" s="194" t="s">
        <v>1027</v>
      </c>
      <c r="D946" s="229" t="s">
        <v>1565</v>
      </c>
      <c r="E946" s="229" t="s">
        <v>527</v>
      </c>
      <c r="F946" s="240">
        <v>300</v>
      </c>
      <c r="G946" s="196">
        <v>3</v>
      </c>
      <c r="H946" s="195">
        <v>150</v>
      </c>
      <c r="I946" s="197">
        <v>41364</v>
      </c>
      <c r="J946" s="197" t="str">
        <f t="shared" si="45"/>
        <v>ok</v>
      </c>
      <c r="K946" s="419"/>
      <c r="L946" s="419"/>
      <c r="M946" s="419"/>
      <c r="N946" s="419"/>
      <c r="O946" s="419"/>
      <c r="P946" s="419"/>
      <c r="Q946" s="419"/>
      <c r="R946" s="419"/>
      <c r="S946" s="419"/>
      <c r="T946" s="419"/>
      <c r="U946" s="419"/>
      <c r="V946" s="419"/>
      <c r="W946" s="419">
        <f t="shared" si="43"/>
        <v>0</v>
      </c>
      <c r="X946" s="412"/>
      <c r="Y946" s="412"/>
      <c r="Z946" s="412"/>
      <c r="AA946" s="412"/>
      <c r="AB946" s="412"/>
      <c r="AC946" s="412"/>
      <c r="AD946" s="412"/>
      <c r="AE946" s="412"/>
      <c r="AF946" s="412"/>
      <c r="AG946" s="412"/>
      <c r="AH946" s="412"/>
      <c r="AI946" s="412"/>
      <c r="AJ946" s="412">
        <f t="shared" si="44"/>
        <v>0</v>
      </c>
      <c r="AK946" s="198"/>
      <c r="AL946" s="250" t="s">
        <v>2068</v>
      </c>
    </row>
    <row r="947" spans="1:38" ht="14.1" customHeight="1" x14ac:dyDescent="0.2">
      <c r="A947" t="s">
        <v>892</v>
      </c>
      <c r="B947" s="193">
        <v>4576</v>
      </c>
      <c r="C947" s="194" t="s">
        <v>782</v>
      </c>
      <c r="D947" s="229" t="s">
        <v>1418</v>
      </c>
      <c r="E947" s="229" t="s">
        <v>662</v>
      </c>
      <c r="F947" s="240">
        <v>300</v>
      </c>
      <c r="G947" s="196">
        <v>1</v>
      </c>
      <c r="H947" s="195">
        <v>600</v>
      </c>
      <c r="I947" s="197">
        <v>41364</v>
      </c>
      <c r="J947" s="197" t="str">
        <f t="shared" si="45"/>
        <v>ok</v>
      </c>
      <c r="K947" s="419"/>
      <c r="L947" s="419"/>
      <c r="M947" s="419"/>
      <c r="N947" s="419"/>
      <c r="O947" s="419"/>
      <c r="P947" s="419"/>
      <c r="Q947" s="419"/>
      <c r="R947" s="419"/>
      <c r="S947" s="419"/>
      <c r="T947" s="419"/>
      <c r="U947" s="419"/>
      <c r="V947" s="419"/>
      <c r="W947" s="419">
        <f t="shared" si="43"/>
        <v>0</v>
      </c>
      <c r="X947" s="412"/>
      <c r="Y947" s="412"/>
      <c r="Z947" s="412">
        <v>300</v>
      </c>
      <c r="AA947" s="412">
        <v>300</v>
      </c>
      <c r="AB947" s="412"/>
      <c r="AC947" s="412"/>
      <c r="AD947" s="412"/>
      <c r="AE947" s="412"/>
      <c r="AF947" s="412"/>
      <c r="AG947" s="412"/>
      <c r="AH947" s="412"/>
      <c r="AI947" s="412"/>
      <c r="AJ947" s="412">
        <f t="shared" si="44"/>
        <v>600</v>
      </c>
      <c r="AK947" s="198"/>
      <c r="AL947" s="250" t="s">
        <v>2067</v>
      </c>
    </row>
    <row r="948" spans="1:38" ht="14.1" customHeight="1" x14ac:dyDescent="0.2">
      <c r="A948" t="s">
        <v>893</v>
      </c>
      <c r="B948" s="193">
        <v>4577</v>
      </c>
      <c r="C948" s="194" t="s">
        <v>778</v>
      </c>
      <c r="D948" s="229" t="s">
        <v>1573</v>
      </c>
      <c r="E948" s="229" t="s">
        <v>715</v>
      </c>
      <c r="F948" s="240">
        <v>300</v>
      </c>
      <c r="G948" s="196">
        <v>1</v>
      </c>
      <c r="H948" s="195">
        <v>300</v>
      </c>
      <c r="I948" s="197">
        <v>41364</v>
      </c>
      <c r="J948" s="197" t="str">
        <f t="shared" si="45"/>
        <v>ok</v>
      </c>
      <c r="K948" s="419"/>
      <c r="L948" s="419"/>
      <c r="M948" s="419"/>
      <c r="N948" s="419"/>
      <c r="O948" s="419"/>
      <c r="P948" s="419"/>
      <c r="Q948" s="419"/>
      <c r="R948" s="419"/>
      <c r="S948" s="419"/>
      <c r="T948" s="419"/>
      <c r="U948" s="419"/>
      <c r="V948" s="419"/>
      <c r="W948" s="419">
        <f t="shared" si="43"/>
        <v>0</v>
      </c>
      <c r="X948" s="412"/>
      <c r="Y948" s="412"/>
      <c r="Z948" s="412"/>
      <c r="AA948" s="412">
        <v>300</v>
      </c>
      <c r="AB948" s="412"/>
      <c r="AC948" s="412"/>
      <c r="AD948" s="412"/>
      <c r="AE948" s="412"/>
      <c r="AF948" s="412"/>
      <c r="AG948" s="412"/>
      <c r="AH948" s="412"/>
      <c r="AI948" s="412"/>
      <c r="AJ948" s="412">
        <f t="shared" si="44"/>
        <v>300</v>
      </c>
      <c r="AK948" s="198"/>
      <c r="AL948" s="250" t="s">
        <v>2067</v>
      </c>
    </row>
    <row r="949" spans="1:38" ht="14.1" customHeight="1" x14ac:dyDescent="0.2">
      <c r="A949" t="s">
        <v>890</v>
      </c>
      <c r="B949" s="193">
        <v>4578</v>
      </c>
      <c r="C949" s="194" t="s">
        <v>787</v>
      </c>
      <c r="D949" s="229" t="s">
        <v>1618</v>
      </c>
      <c r="E949" s="229" t="s">
        <v>532</v>
      </c>
      <c r="F949" s="240">
        <v>300</v>
      </c>
      <c r="G949" s="196">
        <v>1</v>
      </c>
      <c r="H949" s="195">
        <v>300</v>
      </c>
      <c r="I949" s="197">
        <v>41364</v>
      </c>
      <c r="J949" s="197" t="str">
        <f t="shared" si="45"/>
        <v>ok</v>
      </c>
      <c r="K949" s="419"/>
      <c r="L949" s="419"/>
      <c r="M949" s="419"/>
      <c r="N949" s="419"/>
      <c r="O949" s="419"/>
      <c r="P949" s="419"/>
      <c r="Q949" s="419"/>
      <c r="R949" s="419"/>
      <c r="S949" s="419"/>
      <c r="T949" s="419"/>
      <c r="U949" s="419"/>
      <c r="V949" s="419"/>
      <c r="W949" s="419">
        <f t="shared" si="43"/>
        <v>0</v>
      </c>
      <c r="X949" s="412"/>
      <c r="Y949" s="412"/>
      <c r="Z949" s="412"/>
      <c r="AA949" s="412">
        <v>300</v>
      </c>
      <c r="AB949" s="412"/>
      <c r="AC949" s="412"/>
      <c r="AD949" s="412"/>
      <c r="AE949" s="412"/>
      <c r="AF949" s="412"/>
      <c r="AG949" s="412"/>
      <c r="AH949" s="412"/>
      <c r="AI949" s="412"/>
      <c r="AJ949" s="412">
        <f t="shared" si="44"/>
        <v>300</v>
      </c>
      <c r="AK949" s="198"/>
      <c r="AL949" s="250" t="s">
        <v>2067</v>
      </c>
    </row>
    <row r="950" spans="1:38" ht="14.1" customHeight="1" x14ac:dyDescent="0.2">
      <c r="A950" t="s">
        <v>884</v>
      </c>
      <c r="B950" s="193">
        <v>4579</v>
      </c>
      <c r="C950" s="194" t="s">
        <v>856</v>
      </c>
      <c r="D950" s="229" t="s">
        <v>1515</v>
      </c>
      <c r="E950" s="229" t="s">
        <v>99</v>
      </c>
      <c r="F950" s="240">
        <v>300</v>
      </c>
      <c r="G950" s="196">
        <v>1</v>
      </c>
      <c r="H950" s="195">
        <v>300</v>
      </c>
      <c r="I950" s="197">
        <v>41364</v>
      </c>
      <c r="J950" s="197" t="str">
        <f t="shared" si="45"/>
        <v>ok</v>
      </c>
      <c r="K950" s="419"/>
      <c r="L950" s="419"/>
      <c r="M950" s="419"/>
      <c r="N950" s="419"/>
      <c r="O950" s="419"/>
      <c r="P950" s="419"/>
      <c r="Q950" s="419"/>
      <c r="R950" s="419"/>
      <c r="S950" s="419"/>
      <c r="T950" s="419"/>
      <c r="U950" s="419"/>
      <c r="V950" s="419"/>
      <c r="W950" s="419">
        <f t="shared" si="43"/>
        <v>0</v>
      </c>
      <c r="X950" s="412"/>
      <c r="Y950" s="412"/>
      <c r="Z950" s="412">
        <v>300</v>
      </c>
      <c r="AA950" s="412"/>
      <c r="AB950" s="412"/>
      <c r="AC950" s="412"/>
      <c r="AD950" s="412"/>
      <c r="AE950" s="412"/>
      <c r="AF950" s="412"/>
      <c r="AG950" s="412"/>
      <c r="AH950" s="412"/>
      <c r="AI950" s="412"/>
      <c r="AJ950" s="412">
        <f t="shared" si="44"/>
        <v>300</v>
      </c>
      <c r="AK950" s="198"/>
      <c r="AL950" s="250" t="s">
        <v>2067</v>
      </c>
    </row>
    <row r="951" spans="1:38" ht="14.1" customHeight="1" x14ac:dyDescent="0.2">
      <c r="A951" t="s">
        <v>884</v>
      </c>
      <c r="B951" s="193">
        <v>4579</v>
      </c>
      <c r="C951" s="194" t="s">
        <v>856</v>
      </c>
      <c r="D951" s="229" t="s">
        <v>1515</v>
      </c>
      <c r="E951" s="229" t="s">
        <v>99</v>
      </c>
      <c r="F951" s="240">
        <v>300</v>
      </c>
      <c r="G951" s="196">
        <v>5</v>
      </c>
      <c r="H951" s="195">
        <v>20</v>
      </c>
      <c r="I951" s="197">
        <v>41364</v>
      </c>
      <c r="J951" s="197" t="str">
        <f t="shared" si="45"/>
        <v>ok</v>
      </c>
      <c r="K951" s="419"/>
      <c r="L951" s="419"/>
      <c r="M951" s="419"/>
      <c r="N951" s="419"/>
      <c r="O951" s="419"/>
      <c r="P951" s="419"/>
      <c r="Q951" s="419"/>
      <c r="R951" s="419"/>
      <c r="S951" s="419"/>
      <c r="T951" s="419"/>
      <c r="U951" s="419"/>
      <c r="V951" s="419"/>
      <c r="W951" s="419">
        <f t="shared" si="43"/>
        <v>0</v>
      </c>
      <c r="X951" s="412"/>
      <c r="Y951" s="412"/>
      <c r="Z951" s="412"/>
      <c r="AA951" s="412"/>
      <c r="AB951" s="412"/>
      <c r="AC951" s="412"/>
      <c r="AD951" s="412"/>
      <c r="AE951" s="412"/>
      <c r="AF951" s="412"/>
      <c r="AG951" s="412"/>
      <c r="AH951" s="412"/>
      <c r="AI951" s="412"/>
      <c r="AJ951" s="412">
        <f t="shared" si="44"/>
        <v>0</v>
      </c>
      <c r="AK951" s="198"/>
      <c r="AL951" s="250" t="s">
        <v>2068</v>
      </c>
    </row>
    <row r="952" spans="1:38" ht="14.1" customHeight="1" x14ac:dyDescent="0.2">
      <c r="A952" t="s">
        <v>888</v>
      </c>
      <c r="B952" s="193">
        <v>4580</v>
      </c>
      <c r="C952" s="194" t="s">
        <v>926</v>
      </c>
      <c r="D952" s="229" t="s">
        <v>1389</v>
      </c>
      <c r="E952" s="229" t="s">
        <v>375</v>
      </c>
      <c r="F952" s="240">
        <v>300</v>
      </c>
      <c r="G952" s="196">
        <v>1</v>
      </c>
      <c r="H952" s="195">
        <v>300</v>
      </c>
      <c r="I952" s="197">
        <v>41364</v>
      </c>
      <c r="J952" s="197" t="str">
        <f t="shared" si="45"/>
        <v>ok</v>
      </c>
      <c r="K952" s="419"/>
      <c r="L952" s="419"/>
      <c r="M952" s="419"/>
      <c r="N952" s="419"/>
      <c r="O952" s="419"/>
      <c r="P952" s="419"/>
      <c r="Q952" s="419"/>
      <c r="R952" s="419"/>
      <c r="S952" s="419"/>
      <c r="T952" s="419"/>
      <c r="U952" s="419"/>
      <c r="V952" s="419"/>
      <c r="W952" s="419">
        <f t="shared" si="43"/>
        <v>0</v>
      </c>
      <c r="X952" s="412"/>
      <c r="Y952" s="412">
        <v>300</v>
      </c>
      <c r="Z952" s="412"/>
      <c r="AA952" s="412"/>
      <c r="AB952" s="412"/>
      <c r="AC952" s="412"/>
      <c r="AD952" s="412"/>
      <c r="AE952" s="412"/>
      <c r="AF952" s="412"/>
      <c r="AG952" s="412"/>
      <c r="AH952" s="412"/>
      <c r="AI952" s="412"/>
      <c r="AJ952" s="412">
        <f t="shared" si="44"/>
        <v>300</v>
      </c>
      <c r="AK952" s="198"/>
      <c r="AL952" s="250" t="s">
        <v>2067</v>
      </c>
    </row>
    <row r="953" spans="1:38" ht="14.1" customHeight="1" x14ac:dyDescent="0.2">
      <c r="A953" t="s">
        <v>888</v>
      </c>
      <c r="B953" s="193">
        <v>4581</v>
      </c>
      <c r="C953" s="194" t="s">
        <v>926</v>
      </c>
      <c r="D953" s="229" t="s">
        <v>1389</v>
      </c>
      <c r="E953" s="229" t="s">
        <v>375</v>
      </c>
      <c r="F953" s="240">
        <v>300</v>
      </c>
      <c r="G953" s="196">
        <v>5</v>
      </c>
      <c r="H953" s="195">
        <v>40</v>
      </c>
      <c r="I953" s="197">
        <v>41364</v>
      </c>
      <c r="J953" s="197" t="str">
        <f t="shared" si="45"/>
        <v>ok</v>
      </c>
      <c r="K953" s="419"/>
      <c r="L953" s="419"/>
      <c r="M953" s="419"/>
      <c r="N953" s="419"/>
      <c r="O953" s="419"/>
      <c r="P953" s="419"/>
      <c r="Q953" s="419"/>
      <c r="R953" s="419"/>
      <c r="S953" s="419"/>
      <c r="T953" s="419"/>
      <c r="U953" s="419"/>
      <c r="V953" s="419"/>
      <c r="W953" s="419">
        <f t="shared" si="43"/>
        <v>0</v>
      </c>
      <c r="X953" s="412"/>
      <c r="Y953" s="412"/>
      <c r="Z953" s="412"/>
      <c r="AA953" s="412"/>
      <c r="AB953" s="412"/>
      <c r="AC953" s="412"/>
      <c r="AD953" s="412"/>
      <c r="AE953" s="412"/>
      <c r="AF953" s="412"/>
      <c r="AG953" s="412"/>
      <c r="AH953" s="412"/>
      <c r="AI953" s="412"/>
      <c r="AJ953" s="412">
        <f t="shared" si="44"/>
        <v>0</v>
      </c>
      <c r="AK953" s="198"/>
      <c r="AL953" s="250" t="s">
        <v>2068</v>
      </c>
    </row>
    <row r="954" spans="1:38" ht="14.1" customHeight="1" x14ac:dyDescent="0.2">
      <c r="A954" t="s">
        <v>893</v>
      </c>
      <c r="B954" s="193">
        <v>4582</v>
      </c>
      <c r="C954" s="194" t="s">
        <v>777</v>
      </c>
      <c r="D954" s="229" t="s">
        <v>1387</v>
      </c>
      <c r="E954" s="229" t="s">
        <v>714</v>
      </c>
      <c r="F954" s="240">
        <v>300</v>
      </c>
      <c r="G954" s="196">
        <v>1</v>
      </c>
      <c r="H954" s="195">
        <v>300</v>
      </c>
      <c r="I954" s="197">
        <v>41364</v>
      </c>
      <c r="J954" s="197" t="str">
        <f t="shared" si="45"/>
        <v>ok</v>
      </c>
      <c r="K954" s="419"/>
      <c r="L954" s="419"/>
      <c r="M954" s="419"/>
      <c r="N954" s="419"/>
      <c r="O954" s="419"/>
      <c r="P954" s="419"/>
      <c r="Q954" s="419"/>
      <c r="R954" s="419"/>
      <c r="S954" s="419"/>
      <c r="T954" s="419"/>
      <c r="U954" s="419"/>
      <c r="V954" s="419"/>
      <c r="W954" s="419">
        <f t="shared" si="43"/>
        <v>0</v>
      </c>
      <c r="X954" s="412"/>
      <c r="Y954" s="412"/>
      <c r="Z954" s="412"/>
      <c r="AA954" s="412">
        <v>300</v>
      </c>
      <c r="AB954" s="412"/>
      <c r="AC954" s="412"/>
      <c r="AD954" s="412"/>
      <c r="AE954" s="412"/>
      <c r="AF954" s="412"/>
      <c r="AG954" s="412"/>
      <c r="AH954" s="412"/>
      <c r="AI954" s="412"/>
      <c r="AJ954" s="412">
        <f t="shared" si="44"/>
        <v>300</v>
      </c>
      <c r="AK954" s="198"/>
      <c r="AL954" s="250" t="s">
        <v>2067</v>
      </c>
    </row>
    <row r="955" spans="1:38" ht="14.1" customHeight="1" x14ac:dyDescent="0.2">
      <c r="A955" t="s">
        <v>890</v>
      </c>
      <c r="B955" s="193">
        <v>4583</v>
      </c>
      <c r="C955" s="194" t="s">
        <v>1035</v>
      </c>
      <c r="D955" s="229" t="s">
        <v>1521</v>
      </c>
      <c r="E955" s="229" t="s">
        <v>540</v>
      </c>
      <c r="F955" s="240">
        <v>300</v>
      </c>
      <c r="G955" s="196">
        <v>1</v>
      </c>
      <c r="H955" s="195">
        <v>300</v>
      </c>
      <c r="I955" s="197">
        <v>41364</v>
      </c>
      <c r="J955" s="197" t="str">
        <f t="shared" si="45"/>
        <v>ok</v>
      </c>
      <c r="K955" s="419"/>
      <c r="L955" s="419"/>
      <c r="M955" s="419"/>
      <c r="N955" s="419"/>
      <c r="O955" s="419"/>
      <c r="P955" s="419"/>
      <c r="Q955" s="419"/>
      <c r="R955" s="419"/>
      <c r="S955" s="419"/>
      <c r="T955" s="419"/>
      <c r="U955" s="419"/>
      <c r="V955" s="419"/>
      <c r="W955" s="419">
        <f t="shared" si="43"/>
        <v>0</v>
      </c>
      <c r="X955" s="412"/>
      <c r="Y955" s="412"/>
      <c r="Z955" s="412">
        <v>300</v>
      </c>
      <c r="AA955" s="412"/>
      <c r="AB955" s="412"/>
      <c r="AC955" s="412"/>
      <c r="AD955" s="412"/>
      <c r="AE955" s="412"/>
      <c r="AF955" s="412"/>
      <c r="AG955" s="412"/>
      <c r="AH955" s="412"/>
      <c r="AI955" s="412"/>
      <c r="AJ955" s="412">
        <f t="shared" si="44"/>
        <v>300</v>
      </c>
      <c r="AK955" s="198"/>
      <c r="AL955" s="250" t="s">
        <v>2067</v>
      </c>
    </row>
    <row r="956" spans="1:38" ht="14.1" customHeight="1" x14ac:dyDescent="0.2">
      <c r="A956" t="s">
        <v>893</v>
      </c>
      <c r="B956" s="193">
        <v>4584</v>
      </c>
      <c r="C956" s="194" t="s">
        <v>1124</v>
      </c>
      <c r="D956" s="229" t="s">
        <v>1364</v>
      </c>
      <c r="E956" s="229" t="s">
        <v>1630</v>
      </c>
      <c r="F956" s="240">
        <v>300</v>
      </c>
      <c r="G956" s="196">
        <v>1</v>
      </c>
      <c r="H956" s="195">
        <v>300</v>
      </c>
      <c r="I956" s="197">
        <v>41364</v>
      </c>
      <c r="J956" s="197" t="str">
        <f t="shared" si="45"/>
        <v>ok</v>
      </c>
      <c r="K956" s="419"/>
      <c r="L956" s="419"/>
      <c r="M956" s="419"/>
      <c r="N956" s="419"/>
      <c r="O956" s="419"/>
      <c r="P956" s="419"/>
      <c r="Q956" s="419"/>
      <c r="R956" s="419"/>
      <c r="S956" s="419"/>
      <c r="T956" s="419"/>
      <c r="U956" s="419"/>
      <c r="V956" s="419"/>
      <c r="W956" s="419">
        <f t="shared" si="43"/>
        <v>0</v>
      </c>
      <c r="X956" s="412"/>
      <c r="Y956" s="412"/>
      <c r="Z956" s="412"/>
      <c r="AA956" s="412">
        <v>300</v>
      </c>
      <c r="AB956" s="412"/>
      <c r="AC956" s="412"/>
      <c r="AD956" s="412"/>
      <c r="AE956" s="412"/>
      <c r="AF956" s="412"/>
      <c r="AG956" s="412"/>
      <c r="AH956" s="412"/>
      <c r="AI956" s="412"/>
      <c r="AJ956" s="412">
        <f t="shared" si="44"/>
        <v>300</v>
      </c>
      <c r="AK956" s="198"/>
      <c r="AL956" s="250" t="s">
        <v>2067</v>
      </c>
    </row>
    <row r="957" spans="1:38" ht="14.1" customHeight="1" x14ac:dyDescent="0.2">
      <c r="A957" t="s">
        <v>893</v>
      </c>
      <c r="B957" s="193">
        <v>4585</v>
      </c>
      <c r="C957" s="194" t="s">
        <v>781</v>
      </c>
      <c r="D957" s="229" t="s">
        <v>1401</v>
      </c>
      <c r="E957" s="229" t="s">
        <v>331</v>
      </c>
      <c r="F957" s="240">
        <v>300</v>
      </c>
      <c r="G957" s="196">
        <v>1</v>
      </c>
      <c r="H957" s="195">
        <v>300</v>
      </c>
      <c r="I957" s="197">
        <v>41364</v>
      </c>
      <c r="J957" s="197" t="str">
        <f t="shared" si="45"/>
        <v>ok</v>
      </c>
      <c r="K957" s="419"/>
      <c r="L957" s="419"/>
      <c r="M957" s="419"/>
      <c r="N957" s="419"/>
      <c r="O957" s="419"/>
      <c r="P957" s="419"/>
      <c r="Q957" s="419"/>
      <c r="R957" s="419"/>
      <c r="S957" s="419"/>
      <c r="T957" s="419"/>
      <c r="U957" s="419"/>
      <c r="V957" s="419"/>
      <c r="W957" s="419">
        <f t="shared" si="43"/>
        <v>0</v>
      </c>
      <c r="X957" s="412"/>
      <c r="Y957" s="412"/>
      <c r="Z957" s="412"/>
      <c r="AA957" s="412">
        <v>300</v>
      </c>
      <c r="AB957" s="412"/>
      <c r="AC957" s="412"/>
      <c r="AD957" s="412"/>
      <c r="AE957" s="412"/>
      <c r="AF957" s="412"/>
      <c r="AG957" s="412"/>
      <c r="AH957" s="412"/>
      <c r="AI957" s="412"/>
      <c r="AJ957" s="412">
        <f t="shared" si="44"/>
        <v>300</v>
      </c>
      <c r="AK957" s="198"/>
      <c r="AL957" s="250" t="s">
        <v>2067</v>
      </c>
    </row>
    <row r="958" spans="1:38" ht="14.1" customHeight="1" x14ac:dyDescent="0.2">
      <c r="A958" t="s">
        <v>884</v>
      </c>
      <c r="B958" s="193">
        <v>4586</v>
      </c>
      <c r="C958" s="194" t="s">
        <v>848</v>
      </c>
      <c r="D958" s="229" t="s">
        <v>1545</v>
      </c>
      <c r="E958" s="229" t="s">
        <v>1206</v>
      </c>
      <c r="F958" s="240">
        <v>300</v>
      </c>
      <c r="G958" s="196">
        <v>1</v>
      </c>
      <c r="H958" s="195">
        <v>300</v>
      </c>
      <c r="I958" s="197">
        <v>41364</v>
      </c>
      <c r="J958" s="197" t="str">
        <f t="shared" si="45"/>
        <v>ok</v>
      </c>
      <c r="K958" s="419"/>
      <c r="L958" s="419"/>
      <c r="M958" s="419"/>
      <c r="N958" s="419"/>
      <c r="O958" s="419"/>
      <c r="P958" s="419"/>
      <c r="Q958" s="419"/>
      <c r="R958" s="419"/>
      <c r="S958" s="419"/>
      <c r="T958" s="419"/>
      <c r="U958" s="419"/>
      <c r="V958" s="419"/>
      <c r="W958" s="419">
        <f t="shared" si="43"/>
        <v>0</v>
      </c>
      <c r="X958" s="412"/>
      <c r="Y958" s="412"/>
      <c r="Z958" s="412"/>
      <c r="AA958" s="412">
        <v>300</v>
      </c>
      <c r="AB958" s="412"/>
      <c r="AC958" s="412"/>
      <c r="AD958" s="412"/>
      <c r="AE958" s="412"/>
      <c r="AF958" s="412"/>
      <c r="AG958" s="412"/>
      <c r="AH958" s="412"/>
      <c r="AI958" s="412"/>
      <c r="AJ958" s="412">
        <f t="shared" si="44"/>
        <v>300</v>
      </c>
      <c r="AK958" s="198"/>
      <c r="AL958" s="250" t="s">
        <v>2067</v>
      </c>
    </row>
    <row r="959" spans="1:38" ht="14.1" customHeight="1" x14ac:dyDescent="0.2">
      <c r="A959" t="s">
        <v>884</v>
      </c>
      <c r="B959" s="193">
        <v>4587</v>
      </c>
      <c r="C959" s="194" t="s">
        <v>817</v>
      </c>
      <c r="D959" s="229" t="s">
        <v>1382</v>
      </c>
      <c r="E959" s="229" t="s">
        <v>40</v>
      </c>
      <c r="F959" s="240">
        <v>300</v>
      </c>
      <c r="G959" s="196">
        <v>1</v>
      </c>
      <c r="H959" s="195">
        <v>300</v>
      </c>
      <c r="I959" s="197">
        <v>41364</v>
      </c>
      <c r="J959" s="197" t="str">
        <f t="shared" si="45"/>
        <v>ok</v>
      </c>
      <c r="K959" s="419"/>
      <c r="L959" s="419"/>
      <c r="M959" s="419"/>
      <c r="N959" s="419"/>
      <c r="O959" s="419"/>
      <c r="P959" s="419"/>
      <c r="Q959" s="419"/>
      <c r="R959" s="419"/>
      <c r="S959" s="419"/>
      <c r="T959" s="419"/>
      <c r="U959" s="419"/>
      <c r="V959" s="419"/>
      <c r="W959" s="419">
        <f t="shared" si="43"/>
        <v>0</v>
      </c>
      <c r="X959" s="412"/>
      <c r="Y959" s="412"/>
      <c r="Z959" s="412"/>
      <c r="AA959" s="412">
        <v>300</v>
      </c>
      <c r="AB959" s="412"/>
      <c r="AC959" s="412"/>
      <c r="AD959" s="412"/>
      <c r="AE959" s="412"/>
      <c r="AF959" s="412"/>
      <c r="AG959" s="412"/>
      <c r="AH959" s="412"/>
      <c r="AI959" s="412"/>
      <c r="AJ959" s="412">
        <f t="shared" si="44"/>
        <v>300</v>
      </c>
      <c r="AK959" s="198"/>
      <c r="AL959" s="250" t="s">
        <v>2067</v>
      </c>
    </row>
    <row r="960" spans="1:38" ht="14.1" customHeight="1" x14ac:dyDescent="0.2">
      <c r="A960" t="s">
        <v>893</v>
      </c>
      <c r="B960" s="193">
        <v>4588</v>
      </c>
      <c r="C960" s="194" t="s">
        <v>1116</v>
      </c>
      <c r="D960" s="229" t="s">
        <v>1603</v>
      </c>
      <c r="E960" s="229" t="s">
        <v>269</v>
      </c>
      <c r="F960" s="240">
        <v>300</v>
      </c>
      <c r="G960" s="196">
        <v>1</v>
      </c>
      <c r="H960" s="195">
        <v>600</v>
      </c>
      <c r="I960" s="197">
        <v>41364</v>
      </c>
      <c r="J960" s="197" t="str">
        <f t="shared" si="45"/>
        <v>ok</v>
      </c>
      <c r="K960" s="419"/>
      <c r="L960" s="419"/>
      <c r="M960" s="419"/>
      <c r="N960" s="419"/>
      <c r="O960" s="419"/>
      <c r="P960" s="419"/>
      <c r="Q960" s="419"/>
      <c r="R960" s="419"/>
      <c r="S960" s="419"/>
      <c r="T960" s="419"/>
      <c r="U960" s="419"/>
      <c r="V960" s="419"/>
      <c r="W960" s="419">
        <f t="shared" si="43"/>
        <v>0</v>
      </c>
      <c r="X960" s="412"/>
      <c r="Y960" s="412"/>
      <c r="Z960" s="412"/>
      <c r="AA960" s="412">
        <v>300</v>
      </c>
      <c r="AB960" s="412">
        <v>300</v>
      </c>
      <c r="AC960" s="412"/>
      <c r="AD960" s="412"/>
      <c r="AE960" s="412"/>
      <c r="AF960" s="412"/>
      <c r="AG960" s="412"/>
      <c r="AH960" s="412"/>
      <c r="AI960" s="412"/>
      <c r="AJ960" s="412">
        <f t="shared" si="44"/>
        <v>600</v>
      </c>
      <c r="AK960" s="198"/>
      <c r="AL960" s="250" t="s">
        <v>2067</v>
      </c>
    </row>
    <row r="961" spans="1:38" ht="14.1" customHeight="1" x14ac:dyDescent="0.2">
      <c r="A961" t="s">
        <v>888</v>
      </c>
      <c r="B961" s="193">
        <v>4589</v>
      </c>
      <c r="C961" s="194" t="s">
        <v>910</v>
      </c>
      <c r="D961" s="229" t="s">
        <v>1514</v>
      </c>
      <c r="E961" s="229" t="s">
        <v>1262</v>
      </c>
      <c r="F961" s="240">
        <v>150</v>
      </c>
      <c r="G961" s="196">
        <v>1</v>
      </c>
      <c r="H961" s="195">
        <v>150</v>
      </c>
      <c r="I961" s="197">
        <v>41364</v>
      </c>
      <c r="J961" s="197" t="str">
        <f t="shared" si="45"/>
        <v>ok</v>
      </c>
      <c r="K961" s="419"/>
      <c r="L961" s="419"/>
      <c r="M961" s="419"/>
      <c r="N961" s="419"/>
      <c r="O961" s="419"/>
      <c r="P961" s="419"/>
      <c r="Q961" s="419"/>
      <c r="R961" s="419"/>
      <c r="S961" s="419"/>
      <c r="T961" s="419"/>
      <c r="U961" s="419"/>
      <c r="V961" s="419"/>
      <c r="W961" s="419">
        <f t="shared" si="43"/>
        <v>0</v>
      </c>
      <c r="X961" s="412"/>
      <c r="Y961" s="412"/>
      <c r="Z961" s="412">
        <v>150</v>
      </c>
      <c r="AA961" s="412"/>
      <c r="AB961" s="412"/>
      <c r="AC961" s="412"/>
      <c r="AD961" s="412"/>
      <c r="AE961" s="412"/>
      <c r="AF961" s="412"/>
      <c r="AG961" s="412"/>
      <c r="AH961" s="412"/>
      <c r="AI961" s="412"/>
      <c r="AJ961" s="412">
        <f t="shared" si="44"/>
        <v>150</v>
      </c>
      <c r="AK961" s="198"/>
      <c r="AL961" s="250" t="s">
        <v>2067</v>
      </c>
    </row>
    <row r="962" spans="1:38" ht="14.1" customHeight="1" x14ac:dyDescent="0.2">
      <c r="A962" t="s">
        <v>893</v>
      </c>
      <c r="B962" s="193">
        <v>4590</v>
      </c>
      <c r="C962" s="194" t="s">
        <v>779</v>
      </c>
      <c r="D962" s="229" t="s">
        <v>1391</v>
      </c>
      <c r="E962" s="229" t="s">
        <v>713</v>
      </c>
      <c r="F962" s="240">
        <v>300</v>
      </c>
      <c r="G962" s="196">
        <v>1</v>
      </c>
      <c r="H962" s="195">
        <v>300</v>
      </c>
      <c r="I962" s="197">
        <v>41364</v>
      </c>
      <c r="J962" s="197" t="str">
        <f t="shared" si="45"/>
        <v>ok</v>
      </c>
      <c r="K962" s="419"/>
      <c r="L962" s="419"/>
      <c r="M962" s="419"/>
      <c r="N962" s="419"/>
      <c r="O962" s="419"/>
      <c r="P962" s="419"/>
      <c r="Q962" s="419"/>
      <c r="R962" s="419"/>
      <c r="S962" s="419"/>
      <c r="T962" s="419"/>
      <c r="U962" s="419"/>
      <c r="V962" s="419"/>
      <c r="W962" s="419">
        <f t="shared" si="43"/>
        <v>0</v>
      </c>
      <c r="X962" s="412"/>
      <c r="Y962" s="412"/>
      <c r="Z962" s="412"/>
      <c r="AA962" s="412">
        <v>300</v>
      </c>
      <c r="AB962" s="412"/>
      <c r="AC962" s="412"/>
      <c r="AD962" s="412"/>
      <c r="AE962" s="412"/>
      <c r="AF962" s="412"/>
      <c r="AG962" s="412"/>
      <c r="AH962" s="412"/>
      <c r="AI962" s="412"/>
      <c r="AJ962" s="412">
        <f t="shared" si="44"/>
        <v>300</v>
      </c>
      <c r="AK962" s="198"/>
      <c r="AL962" s="250" t="s">
        <v>2067</v>
      </c>
    </row>
    <row r="963" spans="1:38" ht="14.1" customHeight="1" x14ac:dyDescent="0.2">
      <c r="A963" t="s">
        <v>893</v>
      </c>
      <c r="B963" s="193">
        <v>4591</v>
      </c>
      <c r="C963" s="194" t="s">
        <v>1109</v>
      </c>
      <c r="D963" s="229" t="s">
        <v>1533</v>
      </c>
      <c r="E963" s="229" t="s">
        <v>1358</v>
      </c>
      <c r="F963" s="240">
        <v>300</v>
      </c>
      <c r="G963" s="196">
        <v>1</v>
      </c>
      <c r="H963" s="195">
        <v>300</v>
      </c>
      <c r="I963" s="197">
        <v>41364</v>
      </c>
      <c r="J963" s="197" t="str">
        <f t="shared" si="45"/>
        <v>ok</v>
      </c>
      <c r="K963" s="419"/>
      <c r="L963" s="419"/>
      <c r="M963" s="419"/>
      <c r="N963" s="419"/>
      <c r="O963" s="419"/>
      <c r="P963" s="419"/>
      <c r="Q963" s="419"/>
      <c r="R963" s="419"/>
      <c r="S963" s="419"/>
      <c r="T963" s="419"/>
      <c r="U963" s="419"/>
      <c r="V963" s="419"/>
      <c r="W963" s="419">
        <f t="shared" si="43"/>
        <v>0</v>
      </c>
      <c r="X963" s="412"/>
      <c r="Y963" s="412">
        <v>300</v>
      </c>
      <c r="Z963" s="412"/>
      <c r="AA963" s="412"/>
      <c r="AB963" s="412"/>
      <c r="AC963" s="412"/>
      <c r="AD963" s="412"/>
      <c r="AE963" s="412"/>
      <c r="AF963" s="412"/>
      <c r="AG963" s="412"/>
      <c r="AH963" s="412"/>
      <c r="AI963" s="412"/>
      <c r="AJ963" s="412">
        <f t="shared" si="44"/>
        <v>300</v>
      </c>
      <c r="AK963" s="198"/>
      <c r="AL963" s="250" t="s">
        <v>2067</v>
      </c>
    </row>
    <row r="964" spans="1:38" ht="14.1" customHeight="1" x14ac:dyDescent="0.2">
      <c r="A964" t="s">
        <v>884</v>
      </c>
      <c r="B964" s="193">
        <v>4592</v>
      </c>
      <c r="C964" s="194" t="s">
        <v>802</v>
      </c>
      <c r="D964" s="229" t="s">
        <v>1412</v>
      </c>
      <c r="E964" s="229" t="s">
        <v>19</v>
      </c>
      <c r="F964" s="240">
        <v>300</v>
      </c>
      <c r="G964" s="196">
        <v>1</v>
      </c>
      <c r="H964" s="195">
        <v>300</v>
      </c>
      <c r="I964" s="197">
        <v>41364</v>
      </c>
      <c r="J964" s="197" t="str">
        <f t="shared" si="45"/>
        <v>ok</v>
      </c>
      <c r="K964" s="419"/>
      <c r="L964" s="419"/>
      <c r="M964" s="419"/>
      <c r="N964" s="419"/>
      <c r="O964" s="419"/>
      <c r="P964" s="419"/>
      <c r="Q964" s="419"/>
      <c r="R964" s="419"/>
      <c r="S964" s="419"/>
      <c r="T964" s="419"/>
      <c r="U964" s="419"/>
      <c r="V964" s="419"/>
      <c r="W964" s="419">
        <f t="shared" si="43"/>
        <v>0</v>
      </c>
      <c r="X964" s="412"/>
      <c r="Y964" s="412"/>
      <c r="Z964" s="412"/>
      <c r="AA964" s="412">
        <v>300</v>
      </c>
      <c r="AB964" s="412"/>
      <c r="AC964" s="412"/>
      <c r="AD964" s="412"/>
      <c r="AE964" s="412"/>
      <c r="AF964" s="412"/>
      <c r="AG964" s="412"/>
      <c r="AH964" s="412"/>
      <c r="AI964" s="412"/>
      <c r="AJ964" s="412">
        <f t="shared" si="44"/>
        <v>300</v>
      </c>
      <c r="AK964" s="198"/>
      <c r="AL964" s="250" t="s">
        <v>2067</v>
      </c>
    </row>
    <row r="965" spans="1:38" ht="14.1" customHeight="1" x14ac:dyDescent="0.2">
      <c r="A965" t="s">
        <v>884</v>
      </c>
      <c r="B965" s="193">
        <v>4593</v>
      </c>
      <c r="C965" s="194" t="s">
        <v>821</v>
      </c>
      <c r="D965" s="229" t="s">
        <v>1428</v>
      </c>
      <c r="E965" s="229" t="s">
        <v>48</v>
      </c>
      <c r="F965" s="240">
        <v>300</v>
      </c>
      <c r="G965" s="196">
        <v>1</v>
      </c>
      <c r="H965" s="195">
        <v>600</v>
      </c>
      <c r="I965" s="197">
        <v>41364</v>
      </c>
      <c r="J965" s="197" t="str">
        <f t="shared" si="45"/>
        <v>ok</v>
      </c>
      <c r="K965" s="419"/>
      <c r="L965" s="419"/>
      <c r="M965" s="419"/>
      <c r="N965" s="419"/>
      <c r="O965" s="419"/>
      <c r="P965" s="419"/>
      <c r="Q965" s="419"/>
      <c r="R965" s="419"/>
      <c r="S965" s="419"/>
      <c r="T965" s="419"/>
      <c r="U965" s="419"/>
      <c r="V965" s="419"/>
      <c r="W965" s="419">
        <f t="shared" si="43"/>
        <v>0</v>
      </c>
      <c r="X965" s="412"/>
      <c r="Y965" s="412"/>
      <c r="Z965" s="412">
        <v>300</v>
      </c>
      <c r="AA965" s="412">
        <v>300</v>
      </c>
      <c r="AB965" s="412"/>
      <c r="AC965" s="412"/>
      <c r="AD965" s="412"/>
      <c r="AE965" s="412"/>
      <c r="AF965" s="412"/>
      <c r="AG965" s="412"/>
      <c r="AH965" s="412"/>
      <c r="AI965" s="412"/>
      <c r="AJ965" s="412">
        <f t="shared" si="44"/>
        <v>600</v>
      </c>
      <c r="AK965" s="198"/>
      <c r="AL965" s="250" t="s">
        <v>2067</v>
      </c>
    </row>
    <row r="966" spans="1:38" ht="14.1" customHeight="1" x14ac:dyDescent="0.2">
      <c r="A966" t="s">
        <v>893</v>
      </c>
      <c r="B966" s="193">
        <v>4594</v>
      </c>
      <c r="C966" s="194" t="s">
        <v>773</v>
      </c>
      <c r="D966" s="229" t="s">
        <v>1537</v>
      </c>
      <c r="E966" s="229" t="s">
        <v>317</v>
      </c>
      <c r="F966" s="240">
        <v>300</v>
      </c>
      <c r="G966" s="196">
        <v>1</v>
      </c>
      <c r="H966" s="195">
        <v>300</v>
      </c>
      <c r="I966" s="197">
        <v>41364</v>
      </c>
      <c r="J966" s="197" t="str">
        <f t="shared" si="45"/>
        <v>ok</v>
      </c>
      <c r="K966" s="419"/>
      <c r="L966" s="419"/>
      <c r="M966" s="419"/>
      <c r="N966" s="419"/>
      <c r="O966" s="419"/>
      <c r="P966" s="419"/>
      <c r="Q966" s="419"/>
      <c r="R966" s="419"/>
      <c r="S966" s="419"/>
      <c r="T966" s="419"/>
      <c r="U966" s="419"/>
      <c r="V966" s="419"/>
      <c r="W966" s="419">
        <f t="shared" si="43"/>
        <v>0</v>
      </c>
      <c r="X966" s="412"/>
      <c r="Y966" s="412"/>
      <c r="Z966" s="412"/>
      <c r="AA966" s="412">
        <v>300</v>
      </c>
      <c r="AB966" s="412"/>
      <c r="AC966" s="412"/>
      <c r="AD966" s="412"/>
      <c r="AE966" s="412"/>
      <c r="AF966" s="412"/>
      <c r="AG966" s="412"/>
      <c r="AH966" s="412"/>
      <c r="AI966" s="412"/>
      <c r="AJ966" s="412">
        <f t="shared" si="44"/>
        <v>300</v>
      </c>
      <c r="AK966" s="198"/>
      <c r="AL966" s="250" t="s">
        <v>2067</v>
      </c>
    </row>
    <row r="967" spans="1:38" ht="14.1" customHeight="1" x14ac:dyDescent="0.2">
      <c r="A967" t="s">
        <v>884</v>
      </c>
      <c r="B967" s="193">
        <v>4595</v>
      </c>
      <c r="C967" s="194" t="s">
        <v>825</v>
      </c>
      <c r="D967" s="229" t="s">
        <v>1580</v>
      </c>
      <c r="E967" s="229" t="s">
        <v>53</v>
      </c>
      <c r="F967" s="240">
        <v>300</v>
      </c>
      <c r="G967" s="196">
        <v>1</v>
      </c>
      <c r="H967" s="195">
        <v>600</v>
      </c>
      <c r="I967" s="197">
        <v>41364</v>
      </c>
      <c r="J967" s="197" t="str">
        <f t="shared" si="45"/>
        <v>ok</v>
      </c>
      <c r="K967" s="419"/>
      <c r="L967" s="419"/>
      <c r="M967" s="419"/>
      <c r="N967" s="419"/>
      <c r="O967" s="419"/>
      <c r="P967" s="419"/>
      <c r="Q967" s="419"/>
      <c r="R967" s="419"/>
      <c r="S967" s="419"/>
      <c r="T967" s="419"/>
      <c r="U967" s="419"/>
      <c r="V967" s="419"/>
      <c r="W967" s="419">
        <f t="shared" ref="W967:W1030" si="46">SUM(K967:V967)</f>
        <v>0</v>
      </c>
      <c r="X967" s="412"/>
      <c r="Y967" s="412"/>
      <c r="Z967" s="412">
        <v>300</v>
      </c>
      <c r="AA967" s="412">
        <v>300</v>
      </c>
      <c r="AB967" s="412"/>
      <c r="AC967" s="412"/>
      <c r="AD967" s="412"/>
      <c r="AE967" s="412"/>
      <c r="AF967" s="412"/>
      <c r="AG967" s="412"/>
      <c r="AH967" s="412"/>
      <c r="AI967" s="412"/>
      <c r="AJ967" s="412">
        <f t="shared" ref="AJ967:AJ1030" si="47">SUM(X967:AI967)</f>
        <v>600</v>
      </c>
      <c r="AK967" s="198"/>
      <c r="AL967" s="250" t="s">
        <v>2067</v>
      </c>
    </row>
    <row r="968" spans="1:38" ht="14.1" customHeight="1" x14ac:dyDescent="0.2">
      <c r="A968" t="s">
        <v>891</v>
      </c>
      <c r="B968" s="193">
        <v>4596</v>
      </c>
      <c r="C968" s="194" t="s">
        <v>1054</v>
      </c>
      <c r="D968" s="229" t="s">
        <v>1471</v>
      </c>
      <c r="E968" s="229" t="s">
        <v>659</v>
      </c>
      <c r="F968" s="240">
        <v>300</v>
      </c>
      <c r="G968" s="196">
        <v>1</v>
      </c>
      <c r="H968" s="195">
        <v>900</v>
      </c>
      <c r="I968" s="197">
        <v>41364</v>
      </c>
      <c r="J968" s="197" t="str">
        <f t="shared" si="45"/>
        <v>ok</v>
      </c>
      <c r="K968" s="419"/>
      <c r="L968" s="419"/>
      <c r="M968" s="419"/>
      <c r="N968" s="419"/>
      <c r="O968" s="419"/>
      <c r="P968" s="419"/>
      <c r="Q968" s="419"/>
      <c r="R968" s="419"/>
      <c r="S968" s="419"/>
      <c r="T968" s="419"/>
      <c r="U968" s="419"/>
      <c r="V968" s="419"/>
      <c r="W968" s="419">
        <f t="shared" si="46"/>
        <v>0</v>
      </c>
      <c r="X968" s="412">
        <v>300</v>
      </c>
      <c r="Y968" s="412">
        <v>300</v>
      </c>
      <c r="Z968" s="412">
        <v>300</v>
      </c>
      <c r="AA968" s="412"/>
      <c r="AB968" s="412"/>
      <c r="AC968" s="412"/>
      <c r="AD968" s="412"/>
      <c r="AE968" s="412"/>
      <c r="AF968" s="412"/>
      <c r="AG968" s="412"/>
      <c r="AH968" s="412"/>
      <c r="AI968" s="412"/>
      <c r="AJ968" s="412">
        <f t="shared" si="47"/>
        <v>900</v>
      </c>
      <c r="AK968" s="198"/>
      <c r="AL968" s="250" t="s">
        <v>2067</v>
      </c>
    </row>
    <row r="969" spans="1:38" ht="14.1" customHeight="1" x14ac:dyDescent="0.2">
      <c r="A969" t="s">
        <v>890</v>
      </c>
      <c r="B969" s="193">
        <v>4597</v>
      </c>
      <c r="C969" s="194" t="s">
        <v>1009</v>
      </c>
      <c r="D969" s="229" t="s">
        <v>1632</v>
      </c>
      <c r="E969" s="229" t="s">
        <v>502</v>
      </c>
      <c r="F969" s="240">
        <v>300</v>
      </c>
      <c r="G969" s="196">
        <v>1</v>
      </c>
      <c r="H969" s="195">
        <v>300</v>
      </c>
      <c r="I969" s="197">
        <v>41364</v>
      </c>
      <c r="J969" s="197" t="str">
        <f t="shared" si="45"/>
        <v>ok</v>
      </c>
      <c r="K969" s="419"/>
      <c r="L969" s="419"/>
      <c r="M969" s="419"/>
      <c r="N969" s="419"/>
      <c r="O969" s="419"/>
      <c r="P969" s="419"/>
      <c r="Q969" s="419"/>
      <c r="R969" s="419"/>
      <c r="S969" s="419"/>
      <c r="T969" s="419"/>
      <c r="U969" s="419"/>
      <c r="V969" s="419"/>
      <c r="W969" s="419">
        <f t="shared" si="46"/>
        <v>0</v>
      </c>
      <c r="X969" s="412"/>
      <c r="Y969" s="412"/>
      <c r="Z969" s="412"/>
      <c r="AA969" s="412">
        <v>300</v>
      </c>
      <c r="AB969" s="412"/>
      <c r="AC969" s="412"/>
      <c r="AD969" s="412"/>
      <c r="AE969" s="412"/>
      <c r="AF969" s="412"/>
      <c r="AG969" s="412"/>
      <c r="AH969" s="412"/>
      <c r="AI969" s="412"/>
      <c r="AJ969" s="412">
        <f t="shared" si="47"/>
        <v>300</v>
      </c>
      <c r="AK969" s="198"/>
      <c r="AL969" s="250" t="s">
        <v>2067</v>
      </c>
    </row>
    <row r="970" spans="1:38" ht="14.1" customHeight="1" x14ac:dyDescent="0.2">
      <c r="A970" t="s">
        <v>890</v>
      </c>
      <c r="B970" s="193">
        <v>4598</v>
      </c>
      <c r="C970" s="194" t="s">
        <v>998</v>
      </c>
      <c r="D970" s="229" t="s">
        <v>1562</v>
      </c>
      <c r="E970" s="229" t="s">
        <v>487</v>
      </c>
      <c r="F970" s="240">
        <v>300</v>
      </c>
      <c r="G970" s="196">
        <v>1</v>
      </c>
      <c r="H970" s="195">
        <v>600</v>
      </c>
      <c r="I970" s="197">
        <v>41364</v>
      </c>
      <c r="J970" s="197" t="str">
        <f t="shared" si="45"/>
        <v>ok</v>
      </c>
      <c r="K970" s="419"/>
      <c r="L970" s="419"/>
      <c r="M970" s="419"/>
      <c r="N970" s="419"/>
      <c r="O970" s="419"/>
      <c r="P970" s="419"/>
      <c r="Q970" s="419"/>
      <c r="R970" s="419"/>
      <c r="S970" s="419"/>
      <c r="T970" s="419"/>
      <c r="U970" s="419"/>
      <c r="V970" s="419"/>
      <c r="W970" s="419">
        <f t="shared" si="46"/>
        <v>0</v>
      </c>
      <c r="X970" s="412"/>
      <c r="Y970" s="412"/>
      <c r="Z970" s="412">
        <v>300</v>
      </c>
      <c r="AA970" s="412">
        <v>300</v>
      </c>
      <c r="AB970" s="412"/>
      <c r="AC970" s="412"/>
      <c r="AD970" s="412"/>
      <c r="AE970" s="412"/>
      <c r="AF970" s="412"/>
      <c r="AG970" s="412"/>
      <c r="AH970" s="412"/>
      <c r="AI970" s="412"/>
      <c r="AJ970" s="412">
        <f t="shared" si="47"/>
        <v>600</v>
      </c>
      <c r="AK970" s="198"/>
      <c r="AL970" s="250" t="s">
        <v>2067</v>
      </c>
    </row>
    <row r="971" spans="1:38" ht="14.1" customHeight="1" x14ac:dyDescent="0.2">
      <c r="A971" t="s">
        <v>890</v>
      </c>
      <c r="B971" s="193">
        <v>4598</v>
      </c>
      <c r="C971" s="194" t="s">
        <v>998</v>
      </c>
      <c r="D971" s="229" t="s">
        <v>1562</v>
      </c>
      <c r="E971" s="229" t="s">
        <v>487</v>
      </c>
      <c r="F971" s="240">
        <v>300</v>
      </c>
      <c r="G971" s="196">
        <v>4</v>
      </c>
      <c r="H971" s="195">
        <v>160</v>
      </c>
      <c r="I971" s="197">
        <v>41364</v>
      </c>
      <c r="J971" s="197" t="str">
        <f t="shared" si="45"/>
        <v>ok</v>
      </c>
      <c r="K971" s="419"/>
      <c r="L971" s="419"/>
      <c r="M971" s="419"/>
      <c r="N971" s="419"/>
      <c r="O971" s="419"/>
      <c r="P971" s="419"/>
      <c r="Q971" s="419"/>
      <c r="R971" s="419"/>
      <c r="S971" s="419"/>
      <c r="T971" s="419"/>
      <c r="U971" s="419"/>
      <c r="V971" s="419"/>
      <c r="W971" s="419">
        <f t="shared" si="46"/>
        <v>0</v>
      </c>
      <c r="X971" s="412"/>
      <c r="Y971" s="412"/>
      <c r="Z971" s="412"/>
      <c r="AA971" s="412"/>
      <c r="AB971" s="412"/>
      <c r="AC971" s="412"/>
      <c r="AD971" s="412"/>
      <c r="AE971" s="412"/>
      <c r="AF971" s="412"/>
      <c r="AG971" s="412"/>
      <c r="AH971" s="412"/>
      <c r="AI971" s="412"/>
      <c r="AJ971" s="412">
        <f t="shared" si="47"/>
        <v>0</v>
      </c>
      <c r="AK971" s="198"/>
      <c r="AL971" s="250" t="s">
        <v>2068</v>
      </c>
    </row>
    <row r="972" spans="1:38" ht="14.1" customHeight="1" x14ac:dyDescent="0.2">
      <c r="A972" t="s">
        <v>891</v>
      </c>
      <c r="B972" s="193">
        <v>4599</v>
      </c>
      <c r="C972" s="194" t="s">
        <v>1053</v>
      </c>
      <c r="D972" s="229" t="s">
        <v>1508</v>
      </c>
      <c r="E972" s="229" t="s">
        <v>657</v>
      </c>
      <c r="F972" s="240">
        <v>200</v>
      </c>
      <c r="G972" s="196">
        <v>1</v>
      </c>
      <c r="H972" s="195">
        <v>400</v>
      </c>
      <c r="I972" s="197">
        <v>41364</v>
      </c>
      <c r="J972" s="197" t="str">
        <f t="shared" si="45"/>
        <v>ok</v>
      </c>
      <c r="K972" s="419"/>
      <c r="L972" s="419"/>
      <c r="M972" s="419"/>
      <c r="N972" s="419"/>
      <c r="O972" s="419"/>
      <c r="P972" s="419"/>
      <c r="Q972" s="419"/>
      <c r="R972" s="419"/>
      <c r="S972" s="419"/>
      <c r="T972" s="419"/>
      <c r="U972" s="419"/>
      <c r="V972" s="419"/>
      <c r="W972" s="419">
        <f t="shared" si="46"/>
        <v>0</v>
      </c>
      <c r="X972" s="412"/>
      <c r="Y972" s="412">
        <v>200</v>
      </c>
      <c r="Z972" s="412">
        <v>200</v>
      </c>
      <c r="AA972" s="412"/>
      <c r="AB972" s="412"/>
      <c r="AC972" s="412"/>
      <c r="AD972" s="412"/>
      <c r="AE972" s="412"/>
      <c r="AF972" s="412"/>
      <c r="AG972" s="412"/>
      <c r="AH972" s="412"/>
      <c r="AI972" s="412"/>
      <c r="AJ972" s="412">
        <f t="shared" si="47"/>
        <v>400</v>
      </c>
      <c r="AK972" s="198"/>
      <c r="AL972" s="250" t="s">
        <v>2067</v>
      </c>
    </row>
    <row r="973" spans="1:38" ht="14.1" customHeight="1" x14ac:dyDescent="0.2">
      <c r="A973" t="s">
        <v>893</v>
      </c>
      <c r="B973" s="193">
        <v>4600</v>
      </c>
      <c r="C973" s="194" t="s">
        <v>1122</v>
      </c>
      <c r="D973" s="229" t="s">
        <v>1577</v>
      </c>
      <c r="E973" s="229" t="s">
        <v>280</v>
      </c>
      <c r="F973" s="240">
        <v>300</v>
      </c>
      <c r="G973" s="196">
        <v>1</v>
      </c>
      <c r="H973" s="195">
        <v>300</v>
      </c>
      <c r="I973" s="197">
        <v>41364</v>
      </c>
      <c r="J973" s="197" t="str">
        <f t="shared" si="45"/>
        <v>ok</v>
      </c>
      <c r="K973" s="419"/>
      <c r="L973" s="419"/>
      <c r="M973" s="419"/>
      <c r="N973" s="419"/>
      <c r="O973" s="419"/>
      <c r="P973" s="419"/>
      <c r="Q973" s="419"/>
      <c r="R973" s="419"/>
      <c r="S973" s="419"/>
      <c r="T973" s="419"/>
      <c r="U973" s="419"/>
      <c r="V973" s="419"/>
      <c r="W973" s="419">
        <f t="shared" si="46"/>
        <v>0</v>
      </c>
      <c r="X973" s="412"/>
      <c r="Y973" s="412"/>
      <c r="Z973" s="412">
        <v>300</v>
      </c>
      <c r="AA973" s="412"/>
      <c r="AB973" s="412"/>
      <c r="AC973" s="412"/>
      <c r="AD973" s="412"/>
      <c r="AE973" s="412"/>
      <c r="AF973" s="412"/>
      <c r="AG973" s="412"/>
      <c r="AH973" s="412"/>
      <c r="AI973" s="412"/>
      <c r="AJ973" s="412">
        <f t="shared" si="47"/>
        <v>300</v>
      </c>
      <c r="AK973" s="198"/>
      <c r="AL973" s="250" t="s">
        <v>2067</v>
      </c>
    </row>
    <row r="974" spans="1:38" ht="14.1" customHeight="1" x14ac:dyDescent="0.2">
      <c r="A974" t="s">
        <v>884</v>
      </c>
      <c r="B974" s="193">
        <v>4601</v>
      </c>
      <c r="C974" s="194" t="s">
        <v>836</v>
      </c>
      <c r="D974" s="229" t="s">
        <v>1383</v>
      </c>
      <c r="E974" s="229" t="s">
        <v>73</v>
      </c>
      <c r="F974" s="240">
        <v>300</v>
      </c>
      <c r="G974" s="196">
        <v>1</v>
      </c>
      <c r="H974" s="195">
        <v>300</v>
      </c>
      <c r="I974" s="197">
        <v>41364</v>
      </c>
      <c r="J974" s="197" t="str">
        <f t="shared" ref="J974:J1037" si="48">IF(OR(G974&lt;&gt;1,SUM(W974,AJ974)=H974),"ok","error")</f>
        <v>ok</v>
      </c>
      <c r="K974" s="419"/>
      <c r="L974" s="419"/>
      <c r="M974" s="419"/>
      <c r="N974" s="419"/>
      <c r="O974" s="419"/>
      <c r="P974" s="419"/>
      <c r="Q974" s="419"/>
      <c r="R974" s="419"/>
      <c r="S974" s="419"/>
      <c r="T974" s="419"/>
      <c r="U974" s="419"/>
      <c r="V974" s="419"/>
      <c r="W974" s="419">
        <f t="shared" si="46"/>
        <v>0</v>
      </c>
      <c r="X974" s="412"/>
      <c r="Y974" s="412"/>
      <c r="Z974" s="412"/>
      <c r="AA974" s="412">
        <v>300</v>
      </c>
      <c r="AB974" s="412"/>
      <c r="AC974" s="412"/>
      <c r="AD974" s="412"/>
      <c r="AE974" s="412"/>
      <c r="AF974" s="412"/>
      <c r="AG974" s="412"/>
      <c r="AH974" s="412"/>
      <c r="AI974" s="412"/>
      <c r="AJ974" s="412">
        <f t="shared" si="47"/>
        <v>300</v>
      </c>
      <c r="AK974" s="198"/>
      <c r="AL974" s="250" t="s">
        <v>2067</v>
      </c>
    </row>
    <row r="975" spans="1:38" ht="14.1" customHeight="1" x14ac:dyDescent="0.2">
      <c r="A975" t="s">
        <v>890</v>
      </c>
      <c r="B975" s="193">
        <v>4602</v>
      </c>
      <c r="C975" s="194" t="s">
        <v>1028</v>
      </c>
      <c r="D975" s="229" t="s">
        <v>1617</v>
      </c>
      <c r="E975" s="229" t="s">
        <v>732</v>
      </c>
      <c r="F975" s="240">
        <v>300</v>
      </c>
      <c r="G975" s="196">
        <v>1</v>
      </c>
      <c r="H975" s="195">
        <v>600</v>
      </c>
      <c r="I975" s="197">
        <v>41364</v>
      </c>
      <c r="J975" s="197" t="str">
        <f t="shared" si="48"/>
        <v>ok</v>
      </c>
      <c r="K975" s="419"/>
      <c r="L975" s="419"/>
      <c r="M975" s="419"/>
      <c r="N975" s="419"/>
      <c r="O975" s="419"/>
      <c r="P975" s="419"/>
      <c r="Q975" s="419"/>
      <c r="R975" s="419"/>
      <c r="S975" s="419"/>
      <c r="T975" s="419"/>
      <c r="U975" s="419"/>
      <c r="V975" s="419"/>
      <c r="W975" s="419">
        <f t="shared" si="46"/>
        <v>0</v>
      </c>
      <c r="X975" s="412"/>
      <c r="Y975" s="412"/>
      <c r="Z975" s="412">
        <v>300</v>
      </c>
      <c r="AA975" s="412">
        <v>300</v>
      </c>
      <c r="AB975" s="412"/>
      <c r="AC975" s="412"/>
      <c r="AD975" s="412"/>
      <c r="AE975" s="412"/>
      <c r="AF975" s="412"/>
      <c r="AG975" s="412"/>
      <c r="AH975" s="412"/>
      <c r="AI975" s="412"/>
      <c r="AJ975" s="412">
        <f t="shared" si="47"/>
        <v>600</v>
      </c>
      <c r="AK975" s="198"/>
      <c r="AL975" s="250" t="s">
        <v>2067</v>
      </c>
    </row>
    <row r="976" spans="1:38" ht="14.1" customHeight="1" x14ac:dyDescent="0.2">
      <c r="A976" t="s">
        <v>890</v>
      </c>
      <c r="B976" s="199">
        <v>4602</v>
      </c>
      <c r="C976" s="200" t="s">
        <v>1028</v>
      </c>
      <c r="D976" s="231" t="s">
        <v>1617</v>
      </c>
      <c r="E976" s="231" t="s">
        <v>732</v>
      </c>
      <c r="F976" s="241">
        <v>300</v>
      </c>
      <c r="G976" s="202">
        <v>5</v>
      </c>
      <c r="H976" s="201">
        <v>20</v>
      </c>
      <c r="I976" s="203">
        <v>41364</v>
      </c>
      <c r="J976" s="197" t="str">
        <f t="shared" si="48"/>
        <v>ok</v>
      </c>
      <c r="K976" s="421"/>
      <c r="L976" s="421"/>
      <c r="M976" s="421"/>
      <c r="N976" s="421"/>
      <c r="O976" s="421"/>
      <c r="P976" s="421"/>
      <c r="Q976" s="421"/>
      <c r="R976" s="421"/>
      <c r="S976" s="421"/>
      <c r="T976" s="421"/>
      <c r="U976" s="421"/>
      <c r="V976" s="421"/>
      <c r="W976" s="419">
        <f t="shared" si="46"/>
        <v>0</v>
      </c>
      <c r="X976" s="422"/>
      <c r="Y976" s="422"/>
      <c r="Z976" s="422"/>
      <c r="AA976" s="422"/>
      <c r="AB976" s="422"/>
      <c r="AC976" s="422"/>
      <c r="AD976" s="422"/>
      <c r="AE976" s="422"/>
      <c r="AF976" s="422"/>
      <c r="AG976" s="422"/>
      <c r="AH976" s="422"/>
      <c r="AI976" s="422"/>
      <c r="AJ976" s="422">
        <f t="shared" si="47"/>
        <v>0</v>
      </c>
      <c r="AK976" s="204"/>
      <c r="AL976" s="250" t="s">
        <v>2068</v>
      </c>
    </row>
    <row r="977" spans="1:38" ht="14.1" customHeight="1" x14ac:dyDescent="0.2">
      <c r="A977" t="s">
        <v>889</v>
      </c>
      <c r="B977" s="374" t="s">
        <v>1984</v>
      </c>
      <c r="C977" s="178" t="s">
        <v>973</v>
      </c>
      <c r="D977" s="370" t="s">
        <v>1855</v>
      </c>
      <c r="E977" s="370" t="s">
        <v>645</v>
      </c>
      <c r="F977" s="375">
        <v>1000</v>
      </c>
      <c r="G977" s="376">
        <v>1</v>
      </c>
      <c r="H977" s="377">
        <v>1000</v>
      </c>
      <c r="I977" s="203">
        <v>41364</v>
      </c>
      <c r="J977" s="197" t="str">
        <f t="shared" si="48"/>
        <v>ok</v>
      </c>
      <c r="K977" s="423"/>
      <c r="L977" s="423"/>
      <c r="M977" s="423"/>
      <c r="N977" s="423"/>
      <c r="O977" s="423"/>
      <c r="P977" s="423"/>
      <c r="Q977" s="423"/>
      <c r="R977" s="423"/>
      <c r="S977" s="423"/>
      <c r="T977" s="423"/>
      <c r="U977" s="423"/>
      <c r="V977" s="423"/>
      <c r="W977" s="419">
        <f t="shared" si="46"/>
        <v>0</v>
      </c>
      <c r="X977" s="424"/>
      <c r="Y977" s="424"/>
      <c r="Z977" s="424">
        <v>1000</v>
      </c>
      <c r="AA977" s="424"/>
      <c r="AB977" s="424"/>
      <c r="AC977" s="424"/>
      <c r="AD977" s="424"/>
      <c r="AE977" s="424"/>
      <c r="AF977" s="424"/>
      <c r="AG977" s="424"/>
      <c r="AH977" s="424"/>
      <c r="AI977" s="424"/>
      <c r="AJ977" s="424">
        <f t="shared" si="47"/>
        <v>1000</v>
      </c>
      <c r="AK977" s="379"/>
      <c r="AL977" s="250" t="s">
        <v>2067</v>
      </c>
    </row>
    <row r="978" spans="1:38" ht="21.95" customHeight="1" x14ac:dyDescent="0.2">
      <c r="B978" s="126" t="s">
        <v>756</v>
      </c>
      <c r="C978" s="126" t="s">
        <v>903</v>
      </c>
      <c r="D978" s="126" t="s">
        <v>885</v>
      </c>
      <c r="E978" s="126" t="s">
        <v>689</v>
      </c>
      <c r="F978" s="235" t="s">
        <v>702</v>
      </c>
      <c r="G978" s="126" t="s">
        <v>1182</v>
      </c>
      <c r="H978" s="126" t="s">
        <v>757</v>
      </c>
      <c r="I978" s="126" t="s">
        <v>758</v>
      </c>
      <c r="J978" s="126" t="s">
        <v>2069</v>
      </c>
      <c r="K978" s="126" t="s">
        <v>690</v>
      </c>
      <c r="L978" s="126" t="s">
        <v>691</v>
      </c>
      <c r="M978" s="126" t="s">
        <v>692</v>
      </c>
      <c r="N978" s="126" t="s">
        <v>693</v>
      </c>
      <c r="O978" s="126" t="s">
        <v>694</v>
      </c>
      <c r="P978" s="126" t="s">
        <v>695</v>
      </c>
      <c r="Q978" s="126" t="s">
        <v>696</v>
      </c>
      <c r="R978" s="126" t="s">
        <v>697</v>
      </c>
      <c r="S978" s="126" t="s">
        <v>698</v>
      </c>
      <c r="T978" s="126" t="s">
        <v>699</v>
      </c>
      <c r="U978" s="126" t="s">
        <v>700</v>
      </c>
      <c r="V978" s="126" t="s">
        <v>701</v>
      </c>
      <c r="W978" s="248" t="s">
        <v>1715</v>
      </c>
      <c r="X978" s="126" t="s">
        <v>690</v>
      </c>
      <c r="Y978" s="126" t="s">
        <v>691</v>
      </c>
      <c r="Z978" s="126" t="s">
        <v>692</v>
      </c>
      <c r="AA978" s="126" t="s">
        <v>693</v>
      </c>
      <c r="AB978" s="126" t="s">
        <v>694</v>
      </c>
      <c r="AC978" s="126" t="s">
        <v>695</v>
      </c>
      <c r="AD978" s="126" t="s">
        <v>696</v>
      </c>
      <c r="AE978" s="126" t="s">
        <v>697</v>
      </c>
      <c r="AF978" s="126" t="s">
        <v>698</v>
      </c>
      <c r="AG978" s="126" t="s">
        <v>699</v>
      </c>
      <c r="AH978" s="126" t="s">
        <v>700</v>
      </c>
      <c r="AI978" s="126" t="s">
        <v>701</v>
      </c>
      <c r="AJ978" s="248" t="s">
        <v>1834</v>
      </c>
      <c r="AK978" s="126" t="s">
        <v>759</v>
      </c>
      <c r="AL978" s="250" t="e">
        <v>#VALUE!</v>
      </c>
    </row>
    <row r="979" spans="1:38" ht="14.1" customHeight="1" x14ac:dyDescent="0.2">
      <c r="A979" t="s">
        <v>888</v>
      </c>
      <c r="B979" s="187">
        <v>4603</v>
      </c>
      <c r="C979" s="188" t="s">
        <v>920</v>
      </c>
      <c r="D979" s="232" t="s">
        <v>1424</v>
      </c>
      <c r="E979" s="232" t="s">
        <v>361</v>
      </c>
      <c r="F979" s="239">
        <v>300</v>
      </c>
      <c r="G979" s="190">
        <v>1</v>
      </c>
      <c r="H979" s="189">
        <v>600</v>
      </c>
      <c r="I979" s="191">
        <v>41365</v>
      </c>
      <c r="J979" s="197" t="str">
        <f t="shared" si="48"/>
        <v>ok</v>
      </c>
      <c r="K979" s="418"/>
      <c r="L979" s="418"/>
      <c r="M979" s="418"/>
      <c r="N979" s="418"/>
      <c r="O979" s="418"/>
      <c r="P979" s="418"/>
      <c r="Q979" s="418"/>
      <c r="R979" s="418"/>
      <c r="S979" s="418"/>
      <c r="T979" s="418"/>
      <c r="U979" s="418"/>
      <c r="V979" s="418"/>
      <c r="W979" s="419">
        <f t="shared" si="46"/>
        <v>0</v>
      </c>
      <c r="X979" s="420"/>
      <c r="Y979" s="420">
        <v>300</v>
      </c>
      <c r="Z979" s="420">
        <v>300</v>
      </c>
      <c r="AA979" s="420"/>
      <c r="AB979" s="420"/>
      <c r="AC979" s="420"/>
      <c r="AD979" s="420"/>
      <c r="AE979" s="420"/>
      <c r="AF979" s="420"/>
      <c r="AG979" s="420"/>
      <c r="AH979" s="420"/>
      <c r="AI979" s="420"/>
      <c r="AJ979" s="420">
        <f t="shared" si="47"/>
        <v>600</v>
      </c>
      <c r="AK979" s="192"/>
      <c r="AL979" s="250" t="s">
        <v>2067</v>
      </c>
    </row>
    <row r="980" spans="1:38" ht="14.1" customHeight="1" x14ac:dyDescent="0.2">
      <c r="A980" t="s">
        <v>893</v>
      </c>
      <c r="B980" s="193">
        <v>4604</v>
      </c>
      <c r="C980" s="194" t="s">
        <v>1149</v>
      </c>
      <c r="D980" s="229" t="s">
        <v>1440</v>
      </c>
      <c r="E980" s="229" t="s">
        <v>335</v>
      </c>
      <c r="F980" s="240">
        <v>300</v>
      </c>
      <c r="G980" s="196">
        <v>1</v>
      </c>
      <c r="H980" s="195">
        <v>300</v>
      </c>
      <c r="I980" s="197">
        <v>41366</v>
      </c>
      <c r="J980" s="197" t="str">
        <f t="shared" si="48"/>
        <v>ok</v>
      </c>
      <c r="K980" s="419"/>
      <c r="L980" s="419"/>
      <c r="M980" s="419"/>
      <c r="N980" s="419"/>
      <c r="O980" s="419"/>
      <c r="P980" s="419"/>
      <c r="Q980" s="419"/>
      <c r="R980" s="419"/>
      <c r="S980" s="419"/>
      <c r="T980" s="419"/>
      <c r="U980" s="419"/>
      <c r="V980" s="419"/>
      <c r="W980" s="419">
        <f t="shared" si="46"/>
        <v>0</v>
      </c>
      <c r="X980" s="412"/>
      <c r="Y980" s="412"/>
      <c r="Z980" s="412">
        <v>300</v>
      </c>
      <c r="AA980" s="412"/>
      <c r="AB980" s="412"/>
      <c r="AC980" s="412"/>
      <c r="AD980" s="412"/>
      <c r="AE980" s="412"/>
      <c r="AF980" s="412"/>
      <c r="AG980" s="412"/>
      <c r="AH980" s="412"/>
      <c r="AI980" s="412"/>
      <c r="AJ980" s="412">
        <f t="shared" si="47"/>
        <v>300</v>
      </c>
      <c r="AK980" s="198"/>
      <c r="AL980" s="250" t="s">
        <v>2067</v>
      </c>
    </row>
    <row r="981" spans="1:38" ht="14.1" customHeight="1" x14ac:dyDescent="0.2">
      <c r="A981" t="s">
        <v>884</v>
      </c>
      <c r="B981" s="193">
        <v>4605</v>
      </c>
      <c r="C981" s="194" t="s">
        <v>764</v>
      </c>
      <c r="D981" s="229" t="s">
        <v>1386</v>
      </c>
      <c r="E981" s="229" t="s">
        <v>133</v>
      </c>
      <c r="F981" s="240">
        <v>200</v>
      </c>
      <c r="G981" s="196">
        <v>1</v>
      </c>
      <c r="H981" s="195">
        <v>200</v>
      </c>
      <c r="I981" s="197">
        <v>41366</v>
      </c>
      <c r="J981" s="197" t="str">
        <f t="shared" si="48"/>
        <v>ok</v>
      </c>
      <c r="K981" s="419"/>
      <c r="L981" s="419"/>
      <c r="M981" s="419"/>
      <c r="N981" s="419"/>
      <c r="O981" s="419"/>
      <c r="P981" s="419"/>
      <c r="Q981" s="419"/>
      <c r="R981" s="419"/>
      <c r="S981" s="419"/>
      <c r="T981" s="419"/>
      <c r="U981" s="419"/>
      <c r="V981" s="419"/>
      <c r="W981" s="419">
        <f t="shared" si="46"/>
        <v>0</v>
      </c>
      <c r="X981" s="412"/>
      <c r="Y981" s="412"/>
      <c r="Z981" s="412"/>
      <c r="AA981" s="412">
        <v>200</v>
      </c>
      <c r="AB981" s="412"/>
      <c r="AC981" s="412"/>
      <c r="AD981" s="412"/>
      <c r="AE981" s="412"/>
      <c r="AF981" s="412"/>
      <c r="AG981" s="412"/>
      <c r="AH981" s="412"/>
      <c r="AI981" s="412"/>
      <c r="AJ981" s="412">
        <f t="shared" si="47"/>
        <v>200</v>
      </c>
      <c r="AK981" s="198"/>
      <c r="AL981" s="250" t="s">
        <v>2067</v>
      </c>
    </row>
    <row r="982" spans="1:38" ht="14.1" customHeight="1" x14ac:dyDescent="0.2">
      <c r="A982" t="s">
        <v>884</v>
      </c>
      <c r="B982" s="193">
        <v>4606</v>
      </c>
      <c r="C982" s="194" t="s">
        <v>859</v>
      </c>
      <c r="D982" s="229" t="s">
        <v>1404</v>
      </c>
      <c r="E982" s="229" t="s">
        <v>105</v>
      </c>
      <c r="F982" s="240">
        <v>150</v>
      </c>
      <c r="G982" s="196">
        <v>1</v>
      </c>
      <c r="H982" s="195">
        <v>150</v>
      </c>
      <c r="I982" s="197">
        <v>41366</v>
      </c>
      <c r="J982" s="197" t="str">
        <f t="shared" si="48"/>
        <v>ok</v>
      </c>
      <c r="K982" s="419"/>
      <c r="L982" s="419"/>
      <c r="M982" s="419"/>
      <c r="N982" s="419"/>
      <c r="O982" s="419"/>
      <c r="P982" s="419"/>
      <c r="Q982" s="419"/>
      <c r="R982" s="419"/>
      <c r="S982" s="419"/>
      <c r="T982" s="419"/>
      <c r="U982" s="419"/>
      <c r="V982" s="419"/>
      <c r="W982" s="419">
        <f t="shared" si="46"/>
        <v>0</v>
      </c>
      <c r="X982" s="412"/>
      <c r="Y982" s="412"/>
      <c r="Z982" s="412"/>
      <c r="AA982" s="412">
        <v>150</v>
      </c>
      <c r="AB982" s="412"/>
      <c r="AC982" s="412"/>
      <c r="AD982" s="412"/>
      <c r="AE982" s="412"/>
      <c r="AF982" s="412"/>
      <c r="AG982" s="412"/>
      <c r="AH982" s="412"/>
      <c r="AI982" s="412"/>
      <c r="AJ982" s="412">
        <f t="shared" si="47"/>
        <v>150</v>
      </c>
      <c r="AK982" s="198"/>
      <c r="AL982" s="250" t="s">
        <v>2067</v>
      </c>
    </row>
    <row r="983" spans="1:38" ht="14.1" customHeight="1" x14ac:dyDescent="0.2">
      <c r="A983" t="s">
        <v>884</v>
      </c>
      <c r="B983" s="193">
        <v>4607</v>
      </c>
      <c r="C983" s="194" t="s">
        <v>847</v>
      </c>
      <c r="D983" s="229" t="s">
        <v>1647</v>
      </c>
      <c r="E983" s="229" t="s">
        <v>88</v>
      </c>
      <c r="F983" s="240">
        <v>300</v>
      </c>
      <c r="G983" s="196">
        <v>1</v>
      </c>
      <c r="H983" s="195">
        <v>900</v>
      </c>
      <c r="I983" s="197">
        <v>41366</v>
      </c>
      <c r="J983" s="197" t="str">
        <f t="shared" si="48"/>
        <v>ok</v>
      </c>
      <c r="K983" s="419"/>
      <c r="L983" s="419"/>
      <c r="M983" s="419"/>
      <c r="N983" s="419"/>
      <c r="O983" s="419"/>
      <c r="P983" s="419"/>
      <c r="Q983" s="419"/>
      <c r="R983" s="419"/>
      <c r="S983" s="419"/>
      <c r="T983" s="419"/>
      <c r="U983" s="419"/>
      <c r="V983" s="419"/>
      <c r="W983" s="419">
        <f t="shared" si="46"/>
        <v>0</v>
      </c>
      <c r="X983" s="412">
        <v>300</v>
      </c>
      <c r="Y983" s="412">
        <v>300</v>
      </c>
      <c r="Z983" s="412">
        <v>300</v>
      </c>
      <c r="AA983" s="412"/>
      <c r="AB983" s="412"/>
      <c r="AC983" s="412"/>
      <c r="AD983" s="412"/>
      <c r="AE983" s="412"/>
      <c r="AF983" s="412"/>
      <c r="AG983" s="412"/>
      <c r="AH983" s="412"/>
      <c r="AI983" s="412"/>
      <c r="AJ983" s="412">
        <f t="shared" si="47"/>
        <v>900</v>
      </c>
      <c r="AK983" s="198"/>
      <c r="AL983" s="250" t="s">
        <v>2067</v>
      </c>
    </row>
    <row r="984" spans="1:38" ht="14.1" customHeight="1" x14ac:dyDescent="0.2">
      <c r="A984" t="s">
        <v>888</v>
      </c>
      <c r="B984" s="193">
        <v>4608</v>
      </c>
      <c r="C984" s="194" t="s">
        <v>924</v>
      </c>
      <c r="D984" s="229" t="s">
        <v>1648</v>
      </c>
      <c r="E984" s="229" t="s">
        <v>371</v>
      </c>
      <c r="F984" s="240">
        <v>300</v>
      </c>
      <c r="G984" s="196">
        <v>1</v>
      </c>
      <c r="H984" s="195">
        <v>300</v>
      </c>
      <c r="I984" s="197">
        <v>41366</v>
      </c>
      <c r="J984" s="197" t="str">
        <f t="shared" si="48"/>
        <v>ok</v>
      </c>
      <c r="K984" s="419"/>
      <c r="L984" s="419"/>
      <c r="M984" s="419"/>
      <c r="N984" s="419"/>
      <c r="O984" s="419"/>
      <c r="P984" s="419"/>
      <c r="Q984" s="419"/>
      <c r="R984" s="419"/>
      <c r="S984" s="419"/>
      <c r="T984" s="419"/>
      <c r="U984" s="419"/>
      <c r="V984" s="419"/>
      <c r="W984" s="419">
        <f t="shared" si="46"/>
        <v>0</v>
      </c>
      <c r="X984" s="412"/>
      <c r="Y984" s="412"/>
      <c r="Z984" s="412">
        <v>300</v>
      </c>
      <c r="AA984" s="412"/>
      <c r="AB984" s="412"/>
      <c r="AC984" s="412"/>
      <c r="AD984" s="412"/>
      <c r="AE984" s="412"/>
      <c r="AF984" s="412"/>
      <c r="AG984" s="412"/>
      <c r="AH984" s="412"/>
      <c r="AI984" s="412"/>
      <c r="AJ984" s="412">
        <f t="shared" si="47"/>
        <v>300</v>
      </c>
      <c r="AK984" s="198"/>
      <c r="AL984" s="250" t="s">
        <v>2067</v>
      </c>
    </row>
    <row r="985" spans="1:38" ht="14.1" customHeight="1" x14ac:dyDescent="0.2">
      <c r="A985" t="s">
        <v>894</v>
      </c>
      <c r="B985" s="193">
        <v>4609</v>
      </c>
      <c r="C985" s="194" t="s">
        <v>1172</v>
      </c>
      <c r="D985" s="229" t="s">
        <v>1390</v>
      </c>
      <c r="E985" s="229" t="s">
        <v>626</v>
      </c>
      <c r="F985" s="240">
        <v>300</v>
      </c>
      <c r="G985" s="196">
        <v>1</v>
      </c>
      <c r="H985" s="195">
        <v>300</v>
      </c>
      <c r="I985" s="197">
        <v>41368</v>
      </c>
      <c r="J985" s="197" t="str">
        <f t="shared" si="48"/>
        <v>ok</v>
      </c>
      <c r="K985" s="419"/>
      <c r="L985" s="419"/>
      <c r="M985" s="419"/>
      <c r="N985" s="419"/>
      <c r="O985" s="419"/>
      <c r="P985" s="419"/>
      <c r="Q985" s="419"/>
      <c r="R985" s="419"/>
      <c r="S985" s="419"/>
      <c r="T985" s="419"/>
      <c r="U985" s="419"/>
      <c r="V985" s="419"/>
      <c r="W985" s="419">
        <f t="shared" si="46"/>
        <v>0</v>
      </c>
      <c r="X985" s="412"/>
      <c r="Y985" s="412"/>
      <c r="Z985" s="412"/>
      <c r="AA985" s="412">
        <v>300</v>
      </c>
      <c r="AB985" s="412"/>
      <c r="AC985" s="412"/>
      <c r="AD985" s="412"/>
      <c r="AE985" s="412"/>
      <c r="AF985" s="412"/>
      <c r="AG985" s="412"/>
      <c r="AH985" s="412"/>
      <c r="AI985" s="412"/>
      <c r="AJ985" s="412">
        <f t="shared" si="47"/>
        <v>300</v>
      </c>
      <c r="AK985" s="198"/>
      <c r="AL985" s="250" t="s">
        <v>2067</v>
      </c>
    </row>
    <row r="986" spans="1:38" ht="14.1" customHeight="1" x14ac:dyDescent="0.2">
      <c r="A986" t="s">
        <v>888</v>
      </c>
      <c r="B986" s="193">
        <v>4610</v>
      </c>
      <c r="C986" s="194" t="s">
        <v>957</v>
      </c>
      <c r="D986" s="229" t="s">
        <v>1649</v>
      </c>
      <c r="E986" s="229" t="s">
        <v>438</v>
      </c>
      <c r="F986" s="240">
        <v>300</v>
      </c>
      <c r="G986" s="196">
        <v>1</v>
      </c>
      <c r="H986" s="195">
        <v>1800</v>
      </c>
      <c r="I986" s="197">
        <v>41368</v>
      </c>
      <c r="J986" s="197" t="str">
        <f t="shared" si="48"/>
        <v>ok</v>
      </c>
      <c r="K986" s="419"/>
      <c r="L986" s="419"/>
      <c r="M986" s="419"/>
      <c r="N986" s="419"/>
      <c r="O986" s="419"/>
      <c r="P986" s="419"/>
      <c r="Q986" s="419"/>
      <c r="R986" s="419"/>
      <c r="S986" s="419"/>
      <c r="T986" s="419"/>
      <c r="U986" s="419"/>
      <c r="V986" s="419"/>
      <c r="W986" s="419">
        <f t="shared" si="46"/>
        <v>0</v>
      </c>
      <c r="X986" s="412">
        <v>300</v>
      </c>
      <c r="Y986" s="412">
        <v>300</v>
      </c>
      <c r="Z986" s="412">
        <v>300</v>
      </c>
      <c r="AA986" s="412">
        <v>300</v>
      </c>
      <c r="AB986" s="412">
        <v>300</v>
      </c>
      <c r="AC986" s="412">
        <v>300</v>
      </c>
      <c r="AD986" s="412"/>
      <c r="AE986" s="412"/>
      <c r="AF986" s="412"/>
      <c r="AG986" s="412"/>
      <c r="AH986" s="412"/>
      <c r="AI986" s="412"/>
      <c r="AJ986" s="412">
        <f t="shared" si="47"/>
        <v>1800</v>
      </c>
      <c r="AK986" s="198"/>
      <c r="AL986" s="250" t="s">
        <v>2067</v>
      </c>
    </row>
    <row r="987" spans="1:38" ht="14.1" customHeight="1" x14ac:dyDescent="0.2">
      <c r="A987" t="s">
        <v>888</v>
      </c>
      <c r="B987" s="193">
        <v>4611</v>
      </c>
      <c r="C987" s="194" t="s">
        <v>957</v>
      </c>
      <c r="D987" s="229" t="s">
        <v>1649</v>
      </c>
      <c r="E987" s="229" t="s">
        <v>438</v>
      </c>
      <c r="F987" s="240">
        <v>300</v>
      </c>
      <c r="G987" s="196">
        <v>3</v>
      </c>
      <c r="H987" s="195">
        <v>150</v>
      </c>
      <c r="I987" s="197">
        <v>41368</v>
      </c>
      <c r="J987" s="197" t="str">
        <f t="shared" si="48"/>
        <v>ok</v>
      </c>
      <c r="K987" s="419"/>
      <c r="L987" s="419"/>
      <c r="M987" s="419"/>
      <c r="N987" s="419"/>
      <c r="O987" s="419"/>
      <c r="P987" s="419"/>
      <c r="Q987" s="419"/>
      <c r="R987" s="419"/>
      <c r="S987" s="419"/>
      <c r="T987" s="419"/>
      <c r="U987" s="419"/>
      <c r="V987" s="419"/>
      <c r="W987" s="419">
        <f t="shared" si="46"/>
        <v>0</v>
      </c>
      <c r="X987" s="412"/>
      <c r="Y987" s="412"/>
      <c r="Z987" s="412"/>
      <c r="AA987" s="412"/>
      <c r="AB987" s="412"/>
      <c r="AC987" s="412"/>
      <c r="AD987" s="412"/>
      <c r="AE987" s="412"/>
      <c r="AF987" s="412"/>
      <c r="AG987" s="412"/>
      <c r="AH987" s="412"/>
      <c r="AI987" s="412"/>
      <c r="AJ987" s="412">
        <f t="shared" si="47"/>
        <v>0</v>
      </c>
      <c r="AK987" s="198"/>
      <c r="AL987" s="250" t="s">
        <v>2068</v>
      </c>
    </row>
    <row r="988" spans="1:38" ht="14.1" customHeight="1" x14ac:dyDescent="0.2">
      <c r="A988" t="s">
        <v>889</v>
      </c>
      <c r="B988" s="193">
        <v>4612</v>
      </c>
      <c r="C988" s="194" t="s">
        <v>970</v>
      </c>
      <c r="D988" s="229" t="s">
        <v>1444</v>
      </c>
      <c r="E988" s="229" t="s">
        <v>1247</v>
      </c>
      <c r="F988" s="240">
        <v>300</v>
      </c>
      <c r="G988" s="196">
        <v>1</v>
      </c>
      <c r="H988" s="195">
        <v>300</v>
      </c>
      <c r="I988" s="197">
        <v>41369</v>
      </c>
      <c r="J988" s="197" t="str">
        <f t="shared" si="48"/>
        <v>ok</v>
      </c>
      <c r="K988" s="419"/>
      <c r="L988" s="419"/>
      <c r="M988" s="419"/>
      <c r="N988" s="419"/>
      <c r="O988" s="419"/>
      <c r="P988" s="419"/>
      <c r="Q988" s="419"/>
      <c r="R988" s="419"/>
      <c r="S988" s="419"/>
      <c r="T988" s="419"/>
      <c r="U988" s="419"/>
      <c r="V988" s="419"/>
      <c r="W988" s="419">
        <f t="shared" si="46"/>
        <v>0</v>
      </c>
      <c r="X988" s="412"/>
      <c r="Y988" s="412"/>
      <c r="Z988" s="412"/>
      <c r="AA988" s="412">
        <v>300</v>
      </c>
      <c r="AB988" s="412"/>
      <c r="AC988" s="412"/>
      <c r="AD988" s="412"/>
      <c r="AE988" s="412"/>
      <c r="AF988" s="412"/>
      <c r="AG988" s="412"/>
      <c r="AH988" s="412"/>
      <c r="AI988" s="412"/>
      <c r="AJ988" s="412">
        <f t="shared" si="47"/>
        <v>300</v>
      </c>
      <c r="AK988" s="198"/>
      <c r="AL988" s="250" t="s">
        <v>2067</v>
      </c>
    </row>
    <row r="989" spans="1:38" ht="14.1" customHeight="1" x14ac:dyDescent="0.2">
      <c r="A989" t="s">
        <v>893</v>
      </c>
      <c r="B989" s="193">
        <v>4613</v>
      </c>
      <c r="C989" s="194" t="s">
        <v>1085</v>
      </c>
      <c r="D989" s="229" t="s">
        <v>1408</v>
      </c>
      <c r="E989" s="229" t="s">
        <v>211</v>
      </c>
      <c r="F989" s="240">
        <v>300</v>
      </c>
      <c r="G989" s="196">
        <v>1</v>
      </c>
      <c r="H989" s="195">
        <v>600</v>
      </c>
      <c r="I989" s="197">
        <v>41371</v>
      </c>
      <c r="J989" s="197" t="str">
        <f t="shared" si="48"/>
        <v>ok</v>
      </c>
      <c r="K989" s="419"/>
      <c r="L989" s="419"/>
      <c r="M989" s="419"/>
      <c r="N989" s="419"/>
      <c r="O989" s="419"/>
      <c r="P989" s="419"/>
      <c r="Q989" s="419"/>
      <c r="R989" s="419"/>
      <c r="S989" s="419"/>
      <c r="T989" s="419"/>
      <c r="U989" s="419"/>
      <c r="V989" s="419"/>
      <c r="W989" s="419">
        <f t="shared" si="46"/>
        <v>0</v>
      </c>
      <c r="X989" s="412"/>
      <c r="Y989" s="412"/>
      <c r="Z989" s="412"/>
      <c r="AA989" s="412">
        <v>300</v>
      </c>
      <c r="AB989" s="412">
        <v>300</v>
      </c>
      <c r="AC989" s="412"/>
      <c r="AD989" s="412"/>
      <c r="AE989" s="412"/>
      <c r="AF989" s="412"/>
      <c r="AG989" s="412"/>
      <c r="AH989" s="412"/>
      <c r="AI989" s="412"/>
      <c r="AJ989" s="412">
        <f t="shared" si="47"/>
        <v>600</v>
      </c>
      <c r="AK989" s="198"/>
      <c r="AL989" s="250" t="s">
        <v>2067</v>
      </c>
    </row>
    <row r="990" spans="1:38" ht="14.1" customHeight="1" x14ac:dyDescent="0.2">
      <c r="A990" t="s">
        <v>893</v>
      </c>
      <c r="B990" s="193">
        <v>4613</v>
      </c>
      <c r="C990" s="194" t="s">
        <v>1085</v>
      </c>
      <c r="D990" s="229" t="s">
        <v>1408</v>
      </c>
      <c r="E990" s="229" t="s">
        <v>211</v>
      </c>
      <c r="F990" s="240">
        <v>300</v>
      </c>
      <c r="G990" s="196">
        <v>4</v>
      </c>
      <c r="H990" s="195">
        <v>160</v>
      </c>
      <c r="I990" s="197">
        <v>41371</v>
      </c>
      <c r="J990" s="197" t="str">
        <f t="shared" si="48"/>
        <v>ok</v>
      </c>
      <c r="K990" s="419"/>
      <c r="L990" s="419"/>
      <c r="M990" s="419"/>
      <c r="N990" s="419"/>
      <c r="O990" s="419"/>
      <c r="P990" s="419"/>
      <c r="Q990" s="419"/>
      <c r="R990" s="419"/>
      <c r="S990" s="419"/>
      <c r="T990" s="419"/>
      <c r="U990" s="419"/>
      <c r="V990" s="419"/>
      <c r="W990" s="419">
        <f t="shared" si="46"/>
        <v>0</v>
      </c>
      <c r="X990" s="412"/>
      <c r="Y990" s="412"/>
      <c r="Z990" s="412"/>
      <c r="AA990" s="412"/>
      <c r="AB990" s="412"/>
      <c r="AC990" s="412"/>
      <c r="AD990" s="412"/>
      <c r="AE990" s="412"/>
      <c r="AF990" s="412"/>
      <c r="AG990" s="412"/>
      <c r="AH990" s="412"/>
      <c r="AI990" s="412"/>
      <c r="AJ990" s="412">
        <f t="shared" si="47"/>
        <v>0</v>
      </c>
      <c r="AK990" s="198"/>
      <c r="AL990" s="250" t="s">
        <v>2068</v>
      </c>
    </row>
    <row r="991" spans="1:38" ht="14.1" customHeight="1" x14ac:dyDescent="0.2">
      <c r="A991" t="s">
        <v>890</v>
      </c>
      <c r="B991" s="193">
        <v>4614</v>
      </c>
      <c r="C991" s="194" t="s">
        <v>1032</v>
      </c>
      <c r="D991" s="229" t="s">
        <v>1476</v>
      </c>
      <c r="E991" s="229" t="s">
        <v>537</v>
      </c>
      <c r="F991" s="240">
        <v>300</v>
      </c>
      <c r="G991" s="196">
        <v>1</v>
      </c>
      <c r="H991" s="195">
        <v>600</v>
      </c>
      <c r="I991" s="197">
        <v>41371</v>
      </c>
      <c r="J991" s="197" t="str">
        <f t="shared" si="48"/>
        <v>ok</v>
      </c>
      <c r="K991" s="419"/>
      <c r="L991" s="419"/>
      <c r="M991" s="419"/>
      <c r="N991" s="419"/>
      <c r="O991" s="419"/>
      <c r="P991" s="419"/>
      <c r="Q991" s="419"/>
      <c r="R991" s="419"/>
      <c r="S991" s="419"/>
      <c r="T991" s="419"/>
      <c r="U991" s="419"/>
      <c r="V991" s="419"/>
      <c r="W991" s="419">
        <f t="shared" si="46"/>
        <v>0</v>
      </c>
      <c r="X991" s="412"/>
      <c r="Y991" s="412"/>
      <c r="Z991" s="412">
        <v>300</v>
      </c>
      <c r="AA991" s="412">
        <v>300</v>
      </c>
      <c r="AB991" s="412"/>
      <c r="AC991" s="412"/>
      <c r="AD991" s="412"/>
      <c r="AE991" s="412"/>
      <c r="AF991" s="412"/>
      <c r="AG991" s="412"/>
      <c r="AH991" s="412"/>
      <c r="AI991" s="412"/>
      <c r="AJ991" s="412">
        <f t="shared" si="47"/>
        <v>600</v>
      </c>
      <c r="AK991" s="198"/>
      <c r="AL991" s="250" t="s">
        <v>2067</v>
      </c>
    </row>
    <row r="992" spans="1:38" ht="14.1" customHeight="1" x14ac:dyDescent="0.2">
      <c r="A992" t="s">
        <v>894</v>
      </c>
      <c r="B992" s="193">
        <v>4615</v>
      </c>
      <c r="C992" s="194" t="s">
        <v>1176</v>
      </c>
      <c r="D992" s="229" t="s">
        <v>1414</v>
      </c>
      <c r="E992" s="229" t="s">
        <v>634</v>
      </c>
      <c r="F992" s="240">
        <v>250</v>
      </c>
      <c r="G992" s="196">
        <v>1</v>
      </c>
      <c r="H992" s="195">
        <v>250</v>
      </c>
      <c r="I992" s="197">
        <v>41371</v>
      </c>
      <c r="J992" s="197" t="str">
        <f t="shared" si="48"/>
        <v>ok</v>
      </c>
      <c r="K992" s="419"/>
      <c r="L992" s="419"/>
      <c r="M992" s="419"/>
      <c r="N992" s="419"/>
      <c r="O992" s="419"/>
      <c r="P992" s="419"/>
      <c r="Q992" s="419"/>
      <c r="R992" s="419"/>
      <c r="S992" s="419"/>
      <c r="T992" s="419"/>
      <c r="U992" s="419"/>
      <c r="V992" s="419"/>
      <c r="W992" s="419">
        <f t="shared" si="46"/>
        <v>0</v>
      </c>
      <c r="X992" s="412"/>
      <c r="Y992" s="412"/>
      <c r="Z992" s="412"/>
      <c r="AA992" s="412">
        <v>250</v>
      </c>
      <c r="AB992" s="412"/>
      <c r="AC992" s="412"/>
      <c r="AD992" s="412"/>
      <c r="AE992" s="412"/>
      <c r="AF992" s="412"/>
      <c r="AG992" s="412"/>
      <c r="AH992" s="412"/>
      <c r="AI992" s="412"/>
      <c r="AJ992" s="412">
        <f t="shared" si="47"/>
        <v>250</v>
      </c>
      <c r="AK992" s="198"/>
      <c r="AL992" s="250" t="s">
        <v>2067</v>
      </c>
    </row>
    <row r="993" spans="1:38" ht="14.1" customHeight="1" x14ac:dyDescent="0.2">
      <c r="A993" t="s">
        <v>893</v>
      </c>
      <c r="B993" s="193">
        <v>4616</v>
      </c>
      <c r="C993" s="194" t="s">
        <v>1136</v>
      </c>
      <c r="D993" s="229" t="s">
        <v>1502</v>
      </c>
      <c r="E993" s="229" t="s">
        <v>308</v>
      </c>
      <c r="F993" s="240">
        <v>300</v>
      </c>
      <c r="G993" s="196">
        <v>1</v>
      </c>
      <c r="H993" s="195">
        <v>300</v>
      </c>
      <c r="I993" s="197">
        <v>41371</v>
      </c>
      <c r="J993" s="197" t="str">
        <f t="shared" si="48"/>
        <v>ok</v>
      </c>
      <c r="K993" s="419"/>
      <c r="L993" s="419"/>
      <c r="M993" s="419"/>
      <c r="N993" s="419"/>
      <c r="O993" s="419"/>
      <c r="P993" s="419"/>
      <c r="Q993" s="419"/>
      <c r="R993" s="419"/>
      <c r="S993" s="419"/>
      <c r="T993" s="419"/>
      <c r="U993" s="419"/>
      <c r="V993" s="419"/>
      <c r="W993" s="419">
        <f t="shared" si="46"/>
        <v>0</v>
      </c>
      <c r="X993" s="412"/>
      <c r="Y993" s="412"/>
      <c r="Z993" s="412"/>
      <c r="AA993" s="412">
        <v>300</v>
      </c>
      <c r="AB993" s="412"/>
      <c r="AC993" s="412"/>
      <c r="AD993" s="412"/>
      <c r="AE993" s="412"/>
      <c r="AF993" s="412"/>
      <c r="AG993" s="412"/>
      <c r="AH993" s="412"/>
      <c r="AI993" s="412"/>
      <c r="AJ993" s="412">
        <f t="shared" si="47"/>
        <v>300</v>
      </c>
      <c r="AK993" s="198"/>
      <c r="AL993" s="250" t="s">
        <v>2067</v>
      </c>
    </row>
    <row r="994" spans="1:38" ht="14.1" customHeight="1" x14ac:dyDescent="0.2">
      <c r="A994" t="s">
        <v>890</v>
      </c>
      <c r="B994" s="193">
        <v>4617</v>
      </c>
      <c r="C994" s="194" t="s">
        <v>997</v>
      </c>
      <c r="D994" s="229" t="s">
        <v>1377</v>
      </c>
      <c r="E994" s="229" t="s">
        <v>485</v>
      </c>
      <c r="F994" s="240">
        <v>200</v>
      </c>
      <c r="G994" s="196">
        <v>1</v>
      </c>
      <c r="H994" s="195">
        <v>200</v>
      </c>
      <c r="I994" s="197">
        <v>41371</v>
      </c>
      <c r="J994" s="197" t="str">
        <f t="shared" si="48"/>
        <v>ok</v>
      </c>
      <c r="K994" s="419"/>
      <c r="L994" s="419"/>
      <c r="M994" s="419"/>
      <c r="N994" s="419"/>
      <c r="O994" s="419"/>
      <c r="P994" s="419"/>
      <c r="Q994" s="419"/>
      <c r="R994" s="419"/>
      <c r="S994" s="419"/>
      <c r="T994" s="419"/>
      <c r="U994" s="419"/>
      <c r="V994" s="419"/>
      <c r="W994" s="419">
        <f t="shared" si="46"/>
        <v>0</v>
      </c>
      <c r="X994" s="412"/>
      <c r="Y994" s="412"/>
      <c r="Z994" s="412"/>
      <c r="AA994" s="412">
        <v>200</v>
      </c>
      <c r="AB994" s="412"/>
      <c r="AC994" s="412"/>
      <c r="AD994" s="412"/>
      <c r="AE994" s="412"/>
      <c r="AF994" s="412"/>
      <c r="AG994" s="412"/>
      <c r="AH994" s="412"/>
      <c r="AI994" s="412"/>
      <c r="AJ994" s="412">
        <f t="shared" si="47"/>
        <v>200</v>
      </c>
      <c r="AK994" s="198"/>
      <c r="AL994" s="250" t="s">
        <v>2067</v>
      </c>
    </row>
    <row r="995" spans="1:38" ht="14.1" customHeight="1" x14ac:dyDescent="0.2">
      <c r="A995" t="s">
        <v>884</v>
      </c>
      <c r="B995" s="193">
        <v>4618</v>
      </c>
      <c r="C995" s="194" t="s">
        <v>788</v>
      </c>
      <c r="D995" s="229" t="s">
        <v>1468</v>
      </c>
      <c r="E995" s="229" t="s">
        <v>1269</v>
      </c>
      <c r="F995" s="240">
        <v>300</v>
      </c>
      <c r="G995" s="196">
        <v>1</v>
      </c>
      <c r="H995" s="195">
        <v>300</v>
      </c>
      <c r="I995" s="197">
        <v>41371</v>
      </c>
      <c r="J995" s="197" t="str">
        <f t="shared" si="48"/>
        <v>ok</v>
      </c>
      <c r="K995" s="419"/>
      <c r="L995" s="419"/>
      <c r="M995" s="419"/>
      <c r="N995" s="419"/>
      <c r="O995" s="419"/>
      <c r="P995" s="419"/>
      <c r="Q995" s="419"/>
      <c r="R995" s="419"/>
      <c r="S995" s="419"/>
      <c r="T995" s="419"/>
      <c r="U995" s="419"/>
      <c r="V995" s="419"/>
      <c r="W995" s="419">
        <f t="shared" si="46"/>
        <v>0</v>
      </c>
      <c r="X995" s="412"/>
      <c r="Y995" s="412"/>
      <c r="Z995" s="412"/>
      <c r="AA995" s="412">
        <v>300</v>
      </c>
      <c r="AB995" s="412"/>
      <c r="AC995" s="412"/>
      <c r="AD995" s="412"/>
      <c r="AE995" s="412"/>
      <c r="AF995" s="412"/>
      <c r="AG995" s="412"/>
      <c r="AH995" s="412"/>
      <c r="AI995" s="412"/>
      <c r="AJ995" s="412">
        <f t="shared" si="47"/>
        <v>300</v>
      </c>
      <c r="AK995" s="198"/>
      <c r="AL995" s="250" t="s">
        <v>2067</v>
      </c>
    </row>
    <row r="996" spans="1:38" ht="14.1" customHeight="1" x14ac:dyDescent="0.2">
      <c r="A996" t="s">
        <v>890</v>
      </c>
      <c r="B996" s="193">
        <v>4619</v>
      </c>
      <c r="C996" s="194" t="s">
        <v>986</v>
      </c>
      <c r="D996" s="229" t="s">
        <v>1483</v>
      </c>
      <c r="E996" s="229" t="s">
        <v>473</v>
      </c>
      <c r="F996" s="240">
        <v>250</v>
      </c>
      <c r="G996" s="196">
        <v>1</v>
      </c>
      <c r="H996" s="195">
        <v>250</v>
      </c>
      <c r="I996" s="197">
        <v>41371</v>
      </c>
      <c r="J996" s="197" t="str">
        <f t="shared" si="48"/>
        <v>ok</v>
      </c>
      <c r="K996" s="419"/>
      <c r="L996" s="419"/>
      <c r="M996" s="419"/>
      <c r="N996" s="419"/>
      <c r="O996" s="419"/>
      <c r="P996" s="419"/>
      <c r="Q996" s="419"/>
      <c r="R996" s="419"/>
      <c r="S996" s="419"/>
      <c r="T996" s="419"/>
      <c r="U996" s="419"/>
      <c r="V996" s="419"/>
      <c r="W996" s="419">
        <f t="shared" si="46"/>
        <v>0</v>
      </c>
      <c r="X996" s="412"/>
      <c r="Y996" s="412"/>
      <c r="Z996" s="412"/>
      <c r="AA996" s="412">
        <v>250</v>
      </c>
      <c r="AB996" s="412"/>
      <c r="AC996" s="412"/>
      <c r="AD996" s="412"/>
      <c r="AE996" s="412"/>
      <c r="AF996" s="412"/>
      <c r="AG996" s="412"/>
      <c r="AH996" s="412"/>
      <c r="AI996" s="412"/>
      <c r="AJ996" s="412">
        <f t="shared" si="47"/>
        <v>250</v>
      </c>
      <c r="AK996" s="198"/>
      <c r="AL996" s="250" t="s">
        <v>2067</v>
      </c>
    </row>
    <row r="997" spans="1:38" ht="14.1" customHeight="1" x14ac:dyDescent="0.2">
      <c r="A997" t="s">
        <v>888</v>
      </c>
      <c r="B997" s="193">
        <v>4620</v>
      </c>
      <c r="C997" s="194" t="s">
        <v>919</v>
      </c>
      <c r="D997" s="229" t="s">
        <v>1510</v>
      </c>
      <c r="E997" s="229" t="s">
        <v>359</v>
      </c>
      <c r="F997" s="240">
        <v>300</v>
      </c>
      <c r="G997" s="196">
        <v>1</v>
      </c>
      <c r="H997" s="195">
        <v>300</v>
      </c>
      <c r="I997" s="197">
        <v>41371</v>
      </c>
      <c r="J997" s="197" t="str">
        <f t="shared" si="48"/>
        <v>ok</v>
      </c>
      <c r="K997" s="419"/>
      <c r="L997" s="419"/>
      <c r="M997" s="419"/>
      <c r="N997" s="419"/>
      <c r="O997" s="419"/>
      <c r="P997" s="419"/>
      <c r="Q997" s="419"/>
      <c r="R997" s="419"/>
      <c r="S997" s="419"/>
      <c r="T997" s="419"/>
      <c r="U997" s="419"/>
      <c r="V997" s="419"/>
      <c r="W997" s="419">
        <f t="shared" si="46"/>
        <v>0</v>
      </c>
      <c r="X997" s="412"/>
      <c r="Y997" s="412"/>
      <c r="Z997" s="412"/>
      <c r="AA997" s="412">
        <v>300</v>
      </c>
      <c r="AB997" s="412"/>
      <c r="AC997" s="412"/>
      <c r="AD997" s="412"/>
      <c r="AE997" s="412"/>
      <c r="AF997" s="412"/>
      <c r="AG997" s="412"/>
      <c r="AH997" s="412"/>
      <c r="AI997" s="412"/>
      <c r="AJ997" s="412">
        <f t="shared" si="47"/>
        <v>300</v>
      </c>
      <c r="AK997" s="198"/>
      <c r="AL997" s="250" t="s">
        <v>2067</v>
      </c>
    </row>
    <row r="998" spans="1:38" ht="14.1" customHeight="1" x14ac:dyDescent="0.2">
      <c r="A998" t="s">
        <v>892</v>
      </c>
      <c r="B998" s="193">
        <v>4621</v>
      </c>
      <c r="C998" s="194" t="s">
        <v>1060</v>
      </c>
      <c r="D998" s="229" t="s">
        <v>1460</v>
      </c>
      <c r="E998" s="229" t="s">
        <v>737</v>
      </c>
      <c r="F998" s="240">
        <v>300</v>
      </c>
      <c r="G998" s="196">
        <v>1</v>
      </c>
      <c r="H998" s="195">
        <v>300</v>
      </c>
      <c r="I998" s="197">
        <v>41371</v>
      </c>
      <c r="J998" s="197" t="str">
        <f t="shared" si="48"/>
        <v>ok</v>
      </c>
      <c r="K998" s="419"/>
      <c r="L998" s="419"/>
      <c r="M998" s="419"/>
      <c r="N998" s="419"/>
      <c r="O998" s="419"/>
      <c r="P998" s="419"/>
      <c r="Q998" s="419"/>
      <c r="R998" s="419"/>
      <c r="S998" s="419"/>
      <c r="T998" s="419"/>
      <c r="U998" s="419"/>
      <c r="V998" s="419"/>
      <c r="W998" s="419">
        <f t="shared" si="46"/>
        <v>0</v>
      </c>
      <c r="X998" s="412"/>
      <c r="Y998" s="412"/>
      <c r="Z998" s="412"/>
      <c r="AA998" s="412">
        <v>300</v>
      </c>
      <c r="AB998" s="412"/>
      <c r="AC998" s="412"/>
      <c r="AD998" s="412"/>
      <c r="AE998" s="412"/>
      <c r="AF998" s="412"/>
      <c r="AG998" s="412"/>
      <c r="AH998" s="412"/>
      <c r="AI998" s="412"/>
      <c r="AJ998" s="412">
        <f t="shared" si="47"/>
        <v>300</v>
      </c>
      <c r="AK998" s="198"/>
      <c r="AL998" s="250" t="s">
        <v>2067</v>
      </c>
    </row>
    <row r="999" spans="1:38" ht="14.1" customHeight="1" x14ac:dyDescent="0.2">
      <c r="A999" t="s">
        <v>893</v>
      </c>
      <c r="B999" s="193">
        <v>4622</v>
      </c>
      <c r="C999" s="194" t="s">
        <v>1092</v>
      </c>
      <c r="D999" s="229" t="s">
        <v>1569</v>
      </c>
      <c r="E999" s="229" t="s">
        <v>223</v>
      </c>
      <c r="F999" s="240">
        <v>300</v>
      </c>
      <c r="G999" s="196">
        <v>1</v>
      </c>
      <c r="H999" s="195">
        <v>300</v>
      </c>
      <c r="I999" s="197">
        <v>41371</v>
      </c>
      <c r="J999" s="197" t="str">
        <f t="shared" si="48"/>
        <v>ok</v>
      </c>
      <c r="K999" s="419"/>
      <c r="L999" s="419"/>
      <c r="M999" s="419"/>
      <c r="N999" s="419"/>
      <c r="O999" s="419"/>
      <c r="P999" s="419"/>
      <c r="Q999" s="419"/>
      <c r="R999" s="419"/>
      <c r="S999" s="419"/>
      <c r="T999" s="419"/>
      <c r="U999" s="419"/>
      <c r="V999" s="419"/>
      <c r="W999" s="419">
        <f t="shared" si="46"/>
        <v>0</v>
      </c>
      <c r="X999" s="412"/>
      <c r="Y999" s="412"/>
      <c r="Z999" s="412"/>
      <c r="AA999" s="412">
        <v>300</v>
      </c>
      <c r="AB999" s="412"/>
      <c r="AC999" s="412"/>
      <c r="AD999" s="412"/>
      <c r="AE999" s="412"/>
      <c r="AF999" s="412"/>
      <c r="AG999" s="412"/>
      <c r="AH999" s="412"/>
      <c r="AI999" s="412"/>
      <c r="AJ999" s="412">
        <f t="shared" si="47"/>
        <v>300</v>
      </c>
      <c r="AK999" s="198"/>
      <c r="AL999" s="250" t="s">
        <v>2067</v>
      </c>
    </row>
    <row r="1000" spans="1:38" ht="14.1" customHeight="1" x14ac:dyDescent="0.2">
      <c r="A1000" t="s">
        <v>893</v>
      </c>
      <c r="B1000" s="193">
        <v>4622</v>
      </c>
      <c r="C1000" s="194" t="s">
        <v>1092</v>
      </c>
      <c r="D1000" s="229" t="s">
        <v>1569</v>
      </c>
      <c r="E1000" s="229" t="s">
        <v>223</v>
      </c>
      <c r="F1000" s="240">
        <v>300</v>
      </c>
      <c r="G1000" s="196">
        <v>4</v>
      </c>
      <c r="H1000" s="195">
        <v>160</v>
      </c>
      <c r="I1000" s="197">
        <v>41371</v>
      </c>
      <c r="J1000" s="197" t="str">
        <f t="shared" si="48"/>
        <v>ok</v>
      </c>
      <c r="K1000" s="419"/>
      <c r="L1000" s="419"/>
      <c r="M1000" s="419"/>
      <c r="N1000" s="419"/>
      <c r="O1000" s="419"/>
      <c r="P1000" s="419"/>
      <c r="Q1000" s="419"/>
      <c r="R1000" s="419"/>
      <c r="S1000" s="419"/>
      <c r="T1000" s="419"/>
      <c r="U1000" s="419"/>
      <c r="V1000" s="419"/>
      <c r="W1000" s="419">
        <f t="shared" si="46"/>
        <v>0</v>
      </c>
      <c r="X1000" s="412"/>
      <c r="Y1000" s="412"/>
      <c r="Z1000" s="412"/>
      <c r="AA1000" s="412"/>
      <c r="AB1000" s="412"/>
      <c r="AC1000" s="412"/>
      <c r="AD1000" s="412"/>
      <c r="AE1000" s="412"/>
      <c r="AF1000" s="412"/>
      <c r="AG1000" s="412"/>
      <c r="AH1000" s="412"/>
      <c r="AI1000" s="412"/>
      <c r="AJ1000" s="412">
        <f t="shared" si="47"/>
        <v>0</v>
      </c>
      <c r="AK1000" s="198"/>
      <c r="AL1000" s="250" t="s">
        <v>2068</v>
      </c>
    </row>
    <row r="1001" spans="1:38" ht="14.1" customHeight="1" x14ac:dyDescent="0.2">
      <c r="A1001" t="s">
        <v>893</v>
      </c>
      <c r="B1001" s="193">
        <v>4622</v>
      </c>
      <c r="C1001" s="194" t="s">
        <v>1092</v>
      </c>
      <c r="D1001" s="229" t="s">
        <v>1569</v>
      </c>
      <c r="E1001" s="229" t="s">
        <v>223</v>
      </c>
      <c r="F1001" s="240">
        <v>300</v>
      </c>
      <c r="G1001" s="196">
        <v>5</v>
      </c>
      <c r="H1001" s="195">
        <v>20</v>
      </c>
      <c r="I1001" s="197">
        <v>41371</v>
      </c>
      <c r="J1001" s="197" t="str">
        <f t="shared" si="48"/>
        <v>ok</v>
      </c>
      <c r="K1001" s="419"/>
      <c r="L1001" s="419"/>
      <c r="M1001" s="419"/>
      <c r="N1001" s="419"/>
      <c r="O1001" s="419"/>
      <c r="P1001" s="419"/>
      <c r="Q1001" s="419"/>
      <c r="R1001" s="419"/>
      <c r="S1001" s="419"/>
      <c r="T1001" s="419"/>
      <c r="U1001" s="419"/>
      <c r="V1001" s="419"/>
      <c r="W1001" s="419">
        <f t="shared" si="46"/>
        <v>0</v>
      </c>
      <c r="X1001" s="412"/>
      <c r="Y1001" s="412"/>
      <c r="Z1001" s="412"/>
      <c r="AA1001" s="412"/>
      <c r="AB1001" s="412"/>
      <c r="AC1001" s="412"/>
      <c r="AD1001" s="412"/>
      <c r="AE1001" s="412"/>
      <c r="AF1001" s="412"/>
      <c r="AG1001" s="412"/>
      <c r="AH1001" s="412"/>
      <c r="AI1001" s="412"/>
      <c r="AJ1001" s="412">
        <f t="shared" si="47"/>
        <v>0</v>
      </c>
      <c r="AK1001" s="198"/>
      <c r="AL1001" s="250" t="s">
        <v>2068</v>
      </c>
    </row>
    <row r="1002" spans="1:38" ht="14.1" customHeight="1" x14ac:dyDescent="0.2">
      <c r="A1002" t="s">
        <v>893</v>
      </c>
      <c r="B1002" s="193">
        <v>4623</v>
      </c>
      <c r="C1002" s="194" t="s">
        <v>1103</v>
      </c>
      <c r="D1002" s="229" t="s">
        <v>1407</v>
      </c>
      <c r="E1002" s="229" t="s">
        <v>248</v>
      </c>
      <c r="F1002" s="240">
        <v>300</v>
      </c>
      <c r="G1002" s="196">
        <v>1</v>
      </c>
      <c r="H1002" s="195">
        <v>300</v>
      </c>
      <c r="I1002" s="197">
        <v>41371</v>
      </c>
      <c r="J1002" s="197" t="str">
        <f t="shared" si="48"/>
        <v>ok</v>
      </c>
      <c r="K1002" s="419"/>
      <c r="L1002" s="419"/>
      <c r="M1002" s="419"/>
      <c r="N1002" s="419"/>
      <c r="O1002" s="419"/>
      <c r="P1002" s="419"/>
      <c r="Q1002" s="419"/>
      <c r="R1002" s="419"/>
      <c r="S1002" s="419"/>
      <c r="T1002" s="419"/>
      <c r="U1002" s="419"/>
      <c r="V1002" s="419"/>
      <c r="W1002" s="419">
        <f t="shared" si="46"/>
        <v>0</v>
      </c>
      <c r="X1002" s="412"/>
      <c r="Y1002" s="412"/>
      <c r="Z1002" s="412"/>
      <c r="AA1002" s="412">
        <v>300</v>
      </c>
      <c r="AB1002" s="412"/>
      <c r="AC1002" s="412"/>
      <c r="AD1002" s="412"/>
      <c r="AE1002" s="412"/>
      <c r="AF1002" s="412"/>
      <c r="AG1002" s="412"/>
      <c r="AH1002" s="412"/>
      <c r="AI1002" s="412"/>
      <c r="AJ1002" s="412">
        <f t="shared" si="47"/>
        <v>300</v>
      </c>
      <c r="AK1002" s="198"/>
      <c r="AL1002" s="250" t="s">
        <v>2067</v>
      </c>
    </row>
    <row r="1003" spans="1:38" ht="14.1" customHeight="1" x14ac:dyDescent="0.2">
      <c r="B1003" s="193">
        <v>4624</v>
      </c>
      <c r="C1003" s="194"/>
      <c r="D1003" s="229" t="s">
        <v>1362</v>
      </c>
      <c r="E1003" s="229" t="s">
        <v>1362</v>
      </c>
      <c r="F1003" s="240" t="s">
        <v>1362</v>
      </c>
      <c r="G1003" s="196">
        <v>8</v>
      </c>
      <c r="H1003" s="195"/>
      <c r="I1003" s="197"/>
      <c r="J1003" s="197" t="str">
        <f t="shared" si="48"/>
        <v>ok</v>
      </c>
      <c r="K1003" s="419"/>
      <c r="L1003" s="419"/>
      <c r="M1003" s="419"/>
      <c r="N1003" s="419"/>
      <c r="O1003" s="419"/>
      <c r="P1003" s="419"/>
      <c r="Q1003" s="419"/>
      <c r="R1003" s="419"/>
      <c r="S1003" s="419"/>
      <c r="T1003" s="419"/>
      <c r="U1003" s="419"/>
      <c r="V1003" s="419"/>
      <c r="W1003" s="419">
        <f t="shared" si="46"/>
        <v>0</v>
      </c>
      <c r="X1003" s="412"/>
      <c r="Y1003" s="412"/>
      <c r="Z1003" s="412"/>
      <c r="AA1003" s="412"/>
      <c r="AB1003" s="412"/>
      <c r="AC1003" s="412"/>
      <c r="AD1003" s="412"/>
      <c r="AE1003" s="412"/>
      <c r="AF1003" s="412"/>
      <c r="AG1003" s="412"/>
      <c r="AH1003" s="412"/>
      <c r="AI1003" s="412"/>
      <c r="AJ1003" s="412">
        <f t="shared" si="47"/>
        <v>0</v>
      </c>
      <c r="AK1003" s="198" t="s">
        <v>755</v>
      </c>
      <c r="AL1003" s="250" t="s">
        <v>2067</v>
      </c>
    </row>
    <row r="1004" spans="1:38" ht="14.1" customHeight="1" x14ac:dyDescent="0.2">
      <c r="A1004" t="s">
        <v>892</v>
      </c>
      <c r="B1004" s="193">
        <v>4625</v>
      </c>
      <c r="C1004" s="194" t="s">
        <v>776</v>
      </c>
      <c r="D1004" s="229" t="s">
        <v>1413</v>
      </c>
      <c r="E1004" s="229" t="s">
        <v>736</v>
      </c>
      <c r="F1004" s="240">
        <v>300</v>
      </c>
      <c r="G1004" s="196">
        <v>1</v>
      </c>
      <c r="H1004" s="195">
        <v>300</v>
      </c>
      <c r="I1004" s="197">
        <v>41371</v>
      </c>
      <c r="J1004" s="197" t="str">
        <f t="shared" si="48"/>
        <v>ok</v>
      </c>
      <c r="K1004" s="419"/>
      <c r="L1004" s="419"/>
      <c r="M1004" s="419"/>
      <c r="N1004" s="419"/>
      <c r="O1004" s="419"/>
      <c r="P1004" s="419"/>
      <c r="Q1004" s="419"/>
      <c r="R1004" s="419"/>
      <c r="S1004" s="419"/>
      <c r="T1004" s="419"/>
      <c r="U1004" s="419"/>
      <c r="V1004" s="419"/>
      <c r="W1004" s="419">
        <f t="shared" si="46"/>
        <v>0</v>
      </c>
      <c r="X1004" s="412"/>
      <c r="Y1004" s="412"/>
      <c r="Z1004" s="412"/>
      <c r="AA1004" s="412">
        <v>300</v>
      </c>
      <c r="AB1004" s="412"/>
      <c r="AC1004" s="412"/>
      <c r="AD1004" s="412"/>
      <c r="AE1004" s="412"/>
      <c r="AF1004" s="412"/>
      <c r="AG1004" s="412"/>
      <c r="AH1004" s="412"/>
      <c r="AI1004" s="412"/>
      <c r="AJ1004" s="412">
        <f t="shared" si="47"/>
        <v>300</v>
      </c>
      <c r="AK1004" s="198"/>
      <c r="AL1004" s="250" t="s">
        <v>2067</v>
      </c>
    </row>
    <row r="1005" spans="1:38" ht="14.1" customHeight="1" x14ac:dyDescent="0.2">
      <c r="A1005" t="s">
        <v>888</v>
      </c>
      <c r="B1005" s="193">
        <v>4626</v>
      </c>
      <c r="C1005" s="194" t="s">
        <v>768</v>
      </c>
      <c r="D1005" s="229" t="s">
        <v>1399</v>
      </c>
      <c r="E1005" s="229" t="s">
        <v>365</v>
      </c>
      <c r="F1005" s="240">
        <v>300</v>
      </c>
      <c r="G1005" s="196">
        <v>1</v>
      </c>
      <c r="H1005" s="195">
        <v>300</v>
      </c>
      <c r="I1005" s="197">
        <v>41371</v>
      </c>
      <c r="J1005" s="197" t="str">
        <f t="shared" si="48"/>
        <v>ok</v>
      </c>
      <c r="K1005" s="419"/>
      <c r="L1005" s="419"/>
      <c r="M1005" s="419"/>
      <c r="N1005" s="419"/>
      <c r="O1005" s="419"/>
      <c r="P1005" s="419"/>
      <c r="Q1005" s="419"/>
      <c r="R1005" s="419"/>
      <c r="S1005" s="419"/>
      <c r="T1005" s="419"/>
      <c r="U1005" s="419"/>
      <c r="V1005" s="419"/>
      <c r="W1005" s="419">
        <f t="shared" si="46"/>
        <v>0</v>
      </c>
      <c r="X1005" s="412"/>
      <c r="Y1005" s="412"/>
      <c r="Z1005" s="412"/>
      <c r="AA1005" s="412">
        <v>300</v>
      </c>
      <c r="AB1005" s="412"/>
      <c r="AC1005" s="412"/>
      <c r="AD1005" s="412"/>
      <c r="AE1005" s="412"/>
      <c r="AF1005" s="412"/>
      <c r="AG1005" s="412"/>
      <c r="AH1005" s="412"/>
      <c r="AI1005" s="412"/>
      <c r="AJ1005" s="412">
        <f t="shared" si="47"/>
        <v>300</v>
      </c>
      <c r="AK1005" s="198"/>
      <c r="AL1005" s="250" t="s">
        <v>2067</v>
      </c>
    </row>
    <row r="1006" spans="1:38" ht="14.1" customHeight="1" x14ac:dyDescent="0.2">
      <c r="A1006" t="s">
        <v>884</v>
      </c>
      <c r="B1006" s="193">
        <v>4627</v>
      </c>
      <c r="C1006" s="194" t="s">
        <v>772</v>
      </c>
      <c r="D1006" s="229" t="s">
        <v>1409</v>
      </c>
      <c r="E1006" s="229" t="s">
        <v>705</v>
      </c>
      <c r="F1006" s="240">
        <v>125</v>
      </c>
      <c r="G1006" s="196">
        <v>1</v>
      </c>
      <c r="H1006" s="195">
        <v>125</v>
      </c>
      <c r="I1006" s="197">
        <v>41371</v>
      </c>
      <c r="J1006" s="197" t="str">
        <f t="shared" si="48"/>
        <v>ok</v>
      </c>
      <c r="K1006" s="419"/>
      <c r="L1006" s="419"/>
      <c r="M1006" s="419"/>
      <c r="N1006" s="419"/>
      <c r="O1006" s="419"/>
      <c r="P1006" s="419"/>
      <c r="Q1006" s="419"/>
      <c r="R1006" s="419"/>
      <c r="S1006" s="419"/>
      <c r="T1006" s="419"/>
      <c r="U1006" s="419"/>
      <c r="V1006" s="419"/>
      <c r="W1006" s="419">
        <f t="shared" si="46"/>
        <v>0</v>
      </c>
      <c r="X1006" s="412"/>
      <c r="Y1006" s="412"/>
      <c r="Z1006" s="412"/>
      <c r="AA1006" s="412">
        <v>125</v>
      </c>
      <c r="AB1006" s="412"/>
      <c r="AC1006" s="412"/>
      <c r="AD1006" s="412"/>
      <c r="AE1006" s="412"/>
      <c r="AF1006" s="412"/>
      <c r="AG1006" s="412"/>
      <c r="AH1006" s="412"/>
      <c r="AI1006" s="412"/>
      <c r="AJ1006" s="412">
        <f t="shared" si="47"/>
        <v>125</v>
      </c>
      <c r="AK1006" s="198"/>
      <c r="AL1006" s="250" t="s">
        <v>2067</v>
      </c>
    </row>
    <row r="1007" spans="1:38" ht="14.1" customHeight="1" x14ac:dyDescent="0.2">
      <c r="A1007" t="s">
        <v>893</v>
      </c>
      <c r="B1007" s="193">
        <v>4628</v>
      </c>
      <c r="C1007" s="194" t="s">
        <v>1145</v>
      </c>
      <c r="D1007" s="229" t="s">
        <v>1489</v>
      </c>
      <c r="E1007" s="229" t="s">
        <v>325</v>
      </c>
      <c r="F1007" s="240">
        <v>300</v>
      </c>
      <c r="G1007" s="196">
        <v>1</v>
      </c>
      <c r="H1007" s="195">
        <v>300</v>
      </c>
      <c r="I1007" s="197">
        <v>41371</v>
      </c>
      <c r="J1007" s="197" t="str">
        <f t="shared" si="48"/>
        <v>ok</v>
      </c>
      <c r="K1007" s="419"/>
      <c r="L1007" s="419"/>
      <c r="M1007" s="419"/>
      <c r="N1007" s="419"/>
      <c r="O1007" s="419"/>
      <c r="P1007" s="419"/>
      <c r="Q1007" s="419"/>
      <c r="R1007" s="419"/>
      <c r="S1007" s="419"/>
      <c r="T1007" s="419"/>
      <c r="U1007" s="419"/>
      <c r="V1007" s="419"/>
      <c r="W1007" s="419">
        <f t="shared" si="46"/>
        <v>0</v>
      </c>
      <c r="X1007" s="412"/>
      <c r="Y1007" s="412"/>
      <c r="Z1007" s="412"/>
      <c r="AA1007" s="412">
        <v>300</v>
      </c>
      <c r="AB1007" s="412"/>
      <c r="AC1007" s="412"/>
      <c r="AD1007" s="412"/>
      <c r="AE1007" s="412"/>
      <c r="AF1007" s="412"/>
      <c r="AG1007" s="412"/>
      <c r="AH1007" s="412"/>
      <c r="AI1007" s="412"/>
      <c r="AJ1007" s="412">
        <f t="shared" si="47"/>
        <v>300</v>
      </c>
      <c r="AK1007" s="198"/>
      <c r="AL1007" s="250" t="s">
        <v>2067</v>
      </c>
    </row>
    <row r="1008" spans="1:38" ht="14.1" customHeight="1" x14ac:dyDescent="0.2">
      <c r="A1008" t="s">
        <v>893</v>
      </c>
      <c r="B1008" s="193">
        <v>4628</v>
      </c>
      <c r="C1008" s="194" t="s">
        <v>1145</v>
      </c>
      <c r="D1008" s="229" t="s">
        <v>1489</v>
      </c>
      <c r="E1008" s="229" t="s">
        <v>325</v>
      </c>
      <c r="F1008" s="240">
        <v>300</v>
      </c>
      <c r="G1008" s="196">
        <v>4</v>
      </c>
      <c r="H1008" s="195">
        <v>160</v>
      </c>
      <c r="I1008" s="197">
        <v>41371</v>
      </c>
      <c r="J1008" s="197" t="str">
        <f t="shared" si="48"/>
        <v>ok</v>
      </c>
      <c r="K1008" s="419"/>
      <c r="L1008" s="419"/>
      <c r="M1008" s="419"/>
      <c r="N1008" s="419"/>
      <c r="O1008" s="419"/>
      <c r="P1008" s="419"/>
      <c r="Q1008" s="419"/>
      <c r="R1008" s="419"/>
      <c r="S1008" s="419"/>
      <c r="T1008" s="419"/>
      <c r="U1008" s="419"/>
      <c r="V1008" s="419"/>
      <c r="W1008" s="419">
        <f t="shared" si="46"/>
        <v>0</v>
      </c>
      <c r="X1008" s="412"/>
      <c r="Y1008" s="412"/>
      <c r="Z1008" s="412"/>
      <c r="AA1008" s="412"/>
      <c r="AB1008" s="412"/>
      <c r="AC1008" s="412"/>
      <c r="AD1008" s="412"/>
      <c r="AE1008" s="412"/>
      <c r="AF1008" s="412"/>
      <c r="AG1008" s="412"/>
      <c r="AH1008" s="412"/>
      <c r="AI1008" s="412"/>
      <c r="AJ1008" s="412">
        <f t="shared" si="47"/>
        <v>0</v>
      </c>
      <c r="AK1008" s="198"/>
      <c r="AL1008" s="250" t="s">
        <v>2068</v>
      </c>
    </row>
    <row r="1009" spans="1:38" ht="14.1" customHeight="1" x14ac:dyDescent="0.2">
      <c r="A1009" t="s">
        <v>890</v>
      </c>
      <c r="B1009" s="193">
        <v>4629</v>
      </c>
      <c r="C1009" s="194" t="s">
        <v>770</v>
      </c>
      <c r="D1009" s="229" t="s">
        <v>1438</v>
      </c>
      <c r="E1009" s="229" t="s">
        <v>536</v>
      </c>
      <c r="F1009" s="240">
        <v>300</v>
      </c>
      <c r="G1009" s="196">
        <v>1</v>
      </c>
      <c r="H1009" s="195">
        <v>300</v>
      </c>
      <c r="I1009" s="197">
        <v>41371</v>
      </c>
      <c r="J1009" s="197" t="str">
        <f t="shared" si="48"/>
        <v>ok</v>
      </c>
      <c r="K1009" s="419"/>
      <c r="L1009" s="419"/>
      <c r="M1009" s="419"/>
      <c r="N1009" s="419"/>
      <c r="O1009" s="419"/>
      <c r="P1009" s="419"/>
      <c r="Q1009" s="419"/>
      <c r="R1009" s="419"/>
      <c r="S1009" s="419"/>
      <c r="T1009" s="419"/>
      <c r="U1009" s="419"/>
      <c r="V1009" s="419"/>
      <c r="W1009" s="419">
        <f t="shared" si="46"/>
        <v>0</v>
      </c>
      <c r="X1009" s="412"/>
      <c r="Y1009" s="412"/>
      <c r="Z1009" s="412"/>
      <c r="AA1009" s="412">
        <v>300</v>
      </c>
      <c r="AB1009" s="412"/>
      <c r="AC1009" s="412"/>
      <c r="AD1009" s="412"/>
      <c r="AE1009" s="412"/>
      <c r="AF1009" s="412"/>
      <c r="AG1009" s="412"/>
      <c r="AH1009" s="412"/>
      <c r="AI1009" s="412"/>
      <c r="AJ1009" s="412">
        <f t="shared" si="47"/>
        <v>300</v>
      </c>
      <c r="AK1009" s="198"/>
      <c r="AL1009" s="250" t="s">
        <v>2067</v>
      </c>
    </row>
    <row r="1010" spans="1:38" ht="14.1" customHeight="1" x14ac:dyDescent="0.2">
      <c r="A1010" t="s">
        <v>884</v>
      </c>
      <c r="B1010" s="193">
        <v>4630</v>
      </c>
      <c r="C1010" s="194" t="s">
        <v>811</v>
      </c>
      <c r="D1010" s="229" t="s">
        <v>1650</v>
      </c>
      <c r="E1010" s="229" t="s">
        <v>32</v>
      </c>
      <c r="F1010" s="240">
        <v>300</v>
      </c>
      <c r="G1010" s="196">
        <v>1</v>
      </c>
      <c r="H1010" s="195">
        <v>900</v>
      </c>
      <c r="I1010" s="197">
        <v>41371</v>
      </c>
      <c r="J1010" s="197" t="str">
        <f t="shared" si="48"/>
        <v>ok</v>
      </c>
      <c r="K1010" s="419"/>
      <c r="L1010" s="419"/>
      <c r="M1010" s="419"/>
      <c r="N1010" s="419"/>
      <c r="O1010" s="419"/>
      <c r="P1010" s="419"/>
      <c r="Q1010" s="419"/>
      <c r="R1010" s="419"/>
      <c r="S1010" s="419"/>
      <c r="T1010" s="419"/>
      <c r="U1010" s="419"/>
      <c r="V1010" s="419"/>
      <c r="W1010" s="419">
        <f t="shared" si="46"/>
        <v>0</v>
      </c>
      <c r="X1010" s="412">
        <v>300</v>
      </c>
      <c r="Y1010" s="412">
        <v>300</v>
      </c>
      <c r="Z1010" s="412">
        <v>300</v>
      </c>
      <c r="AA1010" s="412"/>
      <c r="AB1010" s="412"/>
      <c r="AC1010" s="412"/>
      <c r="AD1010" s="412"/>
      <c r="AE1010" s="412"/>
      <c r="AF1010" s="412"/>
      <c r="AG1010" s="412"/>
      <c r="AH1010" s="412"/>
      <c r="AI1010" s="412"/>
      <c r="AJ1010" s="412">
        <f t="shared" si="47"/>
        <v>900</v>
      </c>
      <c r="AK1010" s="198"/>
      <c r="AL1010" s="250" t="s">
        <v>2067</v>
      </c>
    </row>
    <row r="1011" spans="1:38" ht="14.1" customHeight="1" x14ac:dyDescent="0.2">
      <c r="A1011" t="s">
        <v>884</v>
      </c>
      <c r="B1011" s="193">
        <v>4630</v>
      </c>
      <c r="C1011" s="194" t="s">
        <v>811</v>
      </c>
      <c r="D1011" s="229" t="s">
        <v>1650</v>
      </c>
      <c r="E1011" s="229" t="s">
        <v>32</v>
      </c>
      <c r="F1011" s="240">
        <v>300</v>
      </c>
      <c r="G1011" s="196">
        <v>4</v>
      </c>
      <c r="H1011" s="195">
        <v>160</v>
      </c>
      <c r="I1011" s="197">
        <v>41371</v>
      </c>
      <c r="J1011" s="197" t="str">
        <f t="shared" si="48"/>
        <v>ok</v>
      </c>
      <c r="K1011" s="419"/>
      <c r="L1011" s="419"/>
      <c r="M1011" s="419"/>
      <c r="N1011" s="419"/>
      <c r="O1011" s="419"/>
      <c r="P1011" s="419"/>
      <c r="Q1011" s="419"/>
      <c r="R1011" s="419"/>
      <c r="S1011" s="419"/>
      <c r="T1011" s="419"/>
      <c r="U1011" s="419"/>
      <c r="V1011" s="419"/>
      <c r="W1011" s="419">
        <f t="shared" si="46"/>
        <v>0</v>
      </c>
      <c r="X1011" s="412"/>
      <c r="Y1011" s="412"/>
      <c r="Z1011" s="412"/>
      <c r="AA1011" s="412"/>
      <c r="AB1011" s="412"/>
      <c r="AC1011" s="412"/>
      <c r="AD1011" s="412"/>
      <c r="AE1011" s="412"/>
      <c r="AF1011" s="412"/>
      <c r="AG1011" s="412"/>
      <c r="AH1011" s="412"/>
      <c r="AI1011" s="412"/>
      <c r="AJ1011" s="412">
        <f t="shared" si="47"/>
        <v>0</v>
      </c>
      <c r="AK1011" s="198"/>
      <c r="AL1011" s="250" t="s">
        <v>2068</v>
      </c>
    </row>
    <row r="1012" spans="1:38" ht="14.1" customHeight="1" x14ac:dyDescent="0.2">
      <c r="A1012" t="s">
        <v>893</v>
      </c>
      <c r="B1012" s="193">
        <v>4631</v>
      </c>
      <c r="C1012" s="194" t="s">
        <v>780</v>
      </c>
      <c r="D1012" s="229" t="s">
        <v>1593</v>
      </c>
      <c r="E1012" s="229" t="s">
        <v>294</v>
      </c>
      <c r="F1012" s="240">
        <v>300</v>
      </c>
      <c r="G1012" s="196">
        <v>1</v>
      </c>
      <c r="H1012" s="195">
        <v>300</v>
      </c>
      <c r="I1012" s="197">
        <v>41371</v>
      </c>
      <c r="J1012" s="197" t="str">
        <f t="shared" si="48"/>
        <v>ok</v>
      </c>
      <c r="K1012" s="419"/>
      <c r="L1012" s="419"/>
      <c r="M1012" s="419"/>
      <c r="N1012" s="419"/>
      <c r="O1012" s="419"/>
      <c r="P1012" s="419"/>
      <c r="Q1012" s="419"/>
      <c r="R1012" s="419"/>
      <c r="S1012" s="419"/>
      <c r="T1012" s="419"/>
      <c r="U1012" s="419"/>
      <c r="V1012" s="419"/>
      <c r="W1012" s="419">
        <f t="shared" si="46"/>
        <v>0</v>
      </c>
      <c r="X1012" s="412"/>
      <c r="Y1012" s="412"/>
      <c r="Z1012" s="412"/>
      <c r="AA1012" s="412">
        <v>300</v>
      </c>
      <c r="AB1012" s="412"/>
      <c r="AC1012" s="412"/>
      <c r="AD1012" s="412"/>
      <c r="AE1012" s="412"/>
      <c r="AF1012" s="412"/>
      <c r="AG1012" s="412"/>
      <c r="AH1012" s="412"/>
      <c r="AI1012" s="412"/>
      <c r="AJ1012" s="412">
        <f t="shared" si="47"/>
        <v>300</v>
      </c>
      <c r="AK1012" s="198"/>
      <c r="AL1012" s="250" t="s">
        <v>2067</v>
      </c>
    </row>
    <row r="1013" spans="1:38" ht="14.1" customHeight="1" x14ac:dyDescent="0.2">
      <c r="A1013" t="s">
        <v>884</v>
      </c>
      <c r="B1013" s="193">
        <v>4632</v>
      </c>
      <c r="C1013" s="194" t="s">
        <v>775</v>
      </c>
      <c r="D1013" s="229" t="s">
        <v>1388</v>
      </c>
      <c r="E1013" s="229" t="s">
        <v>1207</v>
      </c>
      <c r="F1013" s="240">
        <v>300</v>
      </c>
      <c r="G1013" s="196">
        <v>1</v>
      </c>
      <c r="H1013" s="195">
        <v>300</v>
      </c>
      <c r="I1013" s="197">
        <v>41371</v>
      </c>
      <c r="J1013" s="197" t="str">
        <f t="shared" si="48"/>
        <v>ok</v>
      </c>
      <c r="K1013" s="419"/>
      <c r="L1013" s="419"/>
      <c r="M1013" s="419"/>
      <c r="N1013" s="419"/>
      <c r="O1013" s="419"/>
      <c r="P1013" s="419"/>
      <c r="Q1013" s="419"/>
      <c r="R1013" s="419"/>
      <c r="S1013" s="419"/>
      <c r="T1013" s="419"/>
      <c r="U1013" s="419"/>
      <c r="V1013" s="419"/>
      <c r="W1013" s="419">
        <f t="shared" si="46"/>
        <v>0</v>
      </c>
      <c r="X1013" s="412"/>
      <c r="Y1013" s="412"/>
      <c r="Z1013" s="412"/>
      <c r="AA1013" s="412">
        <v>300</v>
      </c>
      <c r="AB1013" s="412"/>
      <c r="AC1013" s="412"/>
      <c r="AD1013" s="412"/>
      <c r="AE1013" s="412"/>
      <c r="AF1013" s="412"/>
      <c r="AG1013" s="412"/>
      <c r="AH1013" s="412"/>
      <c r="AI1013" s="412"/>
      <c r="AJ1013" s="412">
        <f t="shared" si="47"/>
        <v>300</v>
      </c>
      <c r="AK1013" s="198"/>
      <c r="AL1013" s="250" t="s">
        <v>2067</v>
      </c>
    </row>
    <row r="1014" spans="1:38" ht="14.1" customHeight="1" x14ac:dyDescent="0.2">
      <c r="A1014" t="s">
        <v>893</v>
      </c>
      <c r="B1014" s="193">
        <v>4633</v>
      </c>
      <c r="C1014" s="194" t="s">
        <v>1122</v>
      </c>
      <c r="D1014" s="229" t="s">
        <v>1577</v>
      </c>
      <c r="E1014" s="229" t="s">
        <v>280</v>
      </c>
      <c r="F1014" s="240">
        <v>300</v>
      </c>
      <c r="G1014" s="196">
        <v>1</v>
      </c>
      <c r="H1014" s="195">
        <v>300</v>
      </c>
      <c r="I1014" s="197">
        <v>41371</v>
      </c>
      <c r="J1014" s="197" t="str">
        <f t="shared" si="48"/>
        <v>ok</v>
      </c>
      <c r="K1014" s="419"/>
      <c r="L1014" s="419"/>
      <c r="M1014" s="419"/>
      <c r="N1014" s="419"/>
      <c r="O1014" s="419"/>
      <c r="P1014" s="419"/>
      <c r="Q1014" s="419"/>
      <c r="R1014" s="419"/>
      <c r="S1014" s="419"/>
      <c r="T1014" s="419"/>
      <c r="U1014" s="419"/>
      <c r="V1014" s="419"/>
      <c r="W1014" s="419">
        <f t="shared" si="46"/>
        <v>0</v>
      </c>
      <c r="X1014" s="412"/>
      <c r="Y1014" s="412"/>
      <c r="Z1014" s="412"/>
      <c r="AA1014" s="412">
        <v>300</v>
      </c>
      <c r="AB1014" s="412"/>
      <c r="AC1014" s="412"/>
      <c r="AD1014" s="412"/>
      <c r="AE1014" s="412"/>
      <c r="AF1014" s="412"/>
      <c r="AG1014" s="412"/>
      <c r="AH1014" s="412"/>
      <c r="AI1014" s="412"/>
      <c r="AJ1014" s="412">
        <f t="shared" si="47"/>
        <v>300</v>
      </c>
      <c r="AK1014" s="198"/>
      <c r="AL1014" s="250" t="s">
        <v>2067</v>
      </c>
    </row>
    <row r="1015" spans="1:38" ht="14.1" customHeight="1" x14ac:dyDescent="0.2">
      <c r="A1015" t="s">
        <v>893</v>
      </c>
      <c r="B1015" s="193">
        <v>4633</v>
      </c>
      <c r="C1015" s="194" t="s">
        <v>1122</v>
      </c>
      <c r="D1015" s="229" t="s">
        <v>1577</v>
      </c>
      <c r="E1015" s="229" t="s">
        <v>280</v>
      </c>
      <c r="F1015" s="240">
        <v>300</v>
      </c>
      <c r="G1015" s="196">
        <v>4</v>
      </c>
      <c r="H1015" s="195">
        <v>160</v>
      </c>
      <c r="I1015" s="197">
        <v>41371</v>
      </c>
      <c r="J1015" s="197" t="str">
        <f t="shared" si="48"/>
        <v>ok</v>
      </c>
      <c r="K1015" s="419"/>
      <c r="L1015" s="419"/>
      <c r="M1015" s="419"/>
      <c r="N1015" s="419"/>
      <c r="O1015" s="419"/>
      <c r="P1015" s="419"/>
      <c r="Q1015" s="419"/>
      <c r="R1015" s="419"/>
      <c r="S1015" s="419"/>
      <c r="T1015" s="419"/>
      <c r="U1015" s="419"/>
      <c r="V1015" s="419"/>
      <c r="W1015" s="419">
        <f t="shared" si="46"/>
        <v>0</v>
      </c>
      <c r="X1015" s="412"/>
      <c r="Y1015" s="412"/>
      <c r="Z1015" s="412"/>
      <c r="AA1015" s="412"/>
      <c r="AB1015" s="412"/>
      <c r="AC1015" s="412"/>
      <c r="AD1015" s="412"/>
      <c r="AE1015" s="412"/>
      <c r="AF1015" s="412"/>
      <c r="AG1015" s="412"/>
      <c r="AH1015" s="412"/>
      <c r="AI1015" s="412"/>
      <c r="AJ1015" s="412">
        <f t="shared" si="47"/>
        <v>0</v>
      </c>
      <c r="AK1015" s="198"/>
      <c r="AL1015" s="250" t="s">
        <v>2068</v>
      </c>
    </row>
    <row r="1016" spans="1:38" ht="14.1" customHeight="1" x14ac:dyDescent="0.2">
      <c r="A1016" t="s">
        <v>884</v>
      </c>
      <c r="B1016" s="193">
        <v>4634</v>
      </c>
      <c r="C1016" s="194" t="s">
        <v>867</v>
      </c>
      <c r="D1016" s="229" t="s">
        <v>1513</v>
      </c>
      <c r="E1016" s="229" t="s">
        <v>118</v>
      </c>
      <c r="F1016" s="240">
        <v>300</v>
      </c>
      <c r="G1016" s="196">
        <v>1</v>
      </c>
      <c r="H1016" s="195">
        <v>300</v>
      </c>
      <c r="I1016" s="197">
        <v>41371</v>
      </c>
      <c r="J1016" s="197" t="str">
        <f t="shared" si="48"/>
        <v>ok</v>
      </c>
      <c r="K1016" s="419"/>
      <c r="L1016" s="419"/>
      <c r="M1016" s="419"/>
      <c r="N1016" s="419"/>
      <c r="O1016" s="419"/>
      <c r="P1016" s="419"/>
      <c r="Q1016" s="419"/>
      <c r="R1016" s="419"/>
      <c r="S1016" s="419"/>
      <c r="T1016" s="419"/>
      <c r="U1016" s="419"/>
      <c r="V1016" s="419"/>
      <c r="W1016" s="419">
        <f t="shared" si="46"/>
        <v>0</v>
      </c>
      <c r="X1016" s="412"/>
      <c r="Y1016" s="412"/>
      <c r="Z1016" s="412"/>
      <c r="AA1016" s="412">
        <v>300</v>
      </c>
      <c r="AB1016" s="412"/>
      <c r="AC1016" s="412"/>
      <c r="AD1016" s="412"/>
      <c r="AE1016" s="412"/>
      <c r="AF1016" s="412"/>
      <c r="AG1016" s="412"/>
      <c r="AH1016" s="412"/>
      <c r="AI1016" s="412"/>
      <c r="AJ1016" s="412">
        <f t="shared" si="47"/>
        <v>300</v>
      </c>
      <c r="AK1016" s="198"/>
      <c r="AL1016" s="250" t="s">
        <v>2067</v>
      </c>
    </row>
    <row r="1017" spans="1:38" ht="14.1" customHeight="1" x14ac:dyDescent="0.2">
      <c r="A1017" t="s">
        <v>890</v>
      </c>
      <c r="B1017" s="193">
        <v>4635</v>
      </c>
      <c r="C1017" s="194" t="s">
        <v>992</v>
      </c>
      <c r="D1017" s="229" t="s">
        <v>1624</v>
      </c>
      <c r="E1017" s="229" t="s">
        <v>727</v>
      </c>
      <c r="F1017" s="240">
        <v>300</v>
      </c>
      <c r="G1017" s="196">
        <v>1</v>
      </c>
      <c r="H1017" s="195">
        <v>300</v>
      </c>
      <c r="I1017" s="197">
        <v>41371</v>
      </c>
      <c r="J1017" s="197" t="str">
        <f t="shared" si="48"/>
        <v>ok</v>
      </c>
      <c r="K1017" s="419"/>
      <c r="L1017" s="419"/>
      <c r="M1017" s="419"/>
      <c r="N1017" s="419"/>
      <c r="O1017" s="419"/>
      <c r="P1017" s="419"/>
      <c r="Q1017" s="419"/>
      <c r="R1017" s="419"/>
      <c r="S1017" s="419"/>
      <c r="T1017" s="419"/>
      <c r="U1017" s="419"/>
      <c r="V1017" s="419"/>
      <c r="W1017" s="419">
        <f t="shared" si="46"/>
        <v>0</v>
      </c>
      <c r="X1017" s="412"/>
      <c r="Y1017" s="412"/>
      <c r="Z1017" s="412">
        <v>300</v>
      </c>
      <c r="AA1017" s="412"/>
      <c r="AB1017" s="412"/>
      <c r="AC1017" s="412"/>
      <c r="AD1017" s="412"/>
      <c r="AE1017" s="412"/>
      <c r="AF1017" s="412"/>
      <c r="AG1017" s="412"/>
      <c r="AH1017" s="412"/>
      <c r="AI1017" s="412"/>
      <c r="AJ1017" s="412">
        <f t="shared" si="47"/>
        <v>300</v>
      </c>
      <c r="AK1017" s="198"/>
      <c r="AL1017" s="250" t="s">
        <v>2067</v>
      </c>
    </row>
    <row r="1018" spans="1:38" ht="14.1" customHeight="1" x14ac:dyDescent="0.2">
      <c r="A1018" t="s">
        <v>893</v>
      </c>
      <c r="B1018" s="193">
        <v>4636</v>
      </c>
      <c r="C1018" s="194" t="s">
        <v>1117</v>
      </c>
      <c r="D1018" s="229" t="s">
        <v>1430</v>
      </c>
      <c r="E1018" s="229" t="s">
        <v>271</v>
      </c>
      <c r="F1018" s="240">
        <v>300</v>
      </c>
      <c r="G1018" s="196">
        <v>1</v>
      </c>
      <c r="H1018" s="195">
        <v>300</v>
      </c>
      <c r="I1018" s="197">
        <v>41371</v>
      </c>
      <c r="J1018" s="197" t="str">
        <f t="shared" si="48"/>
        <v>ok</v>
      </c>
      <c r="K1018" s="419"/>
      <c r="L1018" s="419"/>
      <c r="M1018" s="419"/>
      <c r="N1018" s="419"/>
      <c r="O1018" s="419"/>
      <c r="P1018" s="419"/>
      <c r="Q1018" s="419"/>
      <c r="R1018" s="419"/>
      <c r="S1018" s="419"/>
      <c r="T1018" s="419"/>
      <c r="U1018" s="419"/>
      <c r="V1018" s="419"/>
      <c r="W1018" s="419">
        <f t="shared" si="46"/>
        <v>0</v>
      </c>
      <c r="X1018" s="412"/>
      <c r="Y1018" s="412"/>
      <c r="Z1018" s="412"/>
      <c r="AA1018" s="412">
        <v>300</v>
      </c>
      <c r="AB1018" s="412"/>
      <c r="AC1018" s="412"/>
      <c r="AD1018" s="412"/>
      <c r="AE1018" s="412"/>
      <c r="AF1018" s="412"/>
      <c r="AG1018" s="412"/>
      <c r="AH1018" s="412"/>
      <c r="AI1018" s="412"/>
      <c r="AJ1018" s="412">
        <f t="shared" si="47"/>
        <v>300</v>
      </c>
      <c r="AK1018" s="198"/>
      <c r="AL1018" s="250" t="s">
        <v>2067</v>
      </c>
    </row>
    <row r="1019" spans="1:38" ht="14.1" customHeight="1" x14ac:dyDescent="0.2">
      <c r="A1019" t="s">
        <v>894</v>
      </c>
      <c r="B1019" s="193">
        <v>4637</v>
      </c>
      <c r="C1019" s="194" t="s">
        <v>1164</v>
      </c>
      <c r="D1019" s="229" t="s">
        <v>1406</v>
      </c>
      <c r="E1019" s="229" t="s">
        <v>612</v>
      </c>
      <c r="F1019" s="240">
        <v>300</v>
      </c>
      <c r="G1019" s="196">
        <v>1</v>
      </c>
      <c r="H1019" s="195">
        <v>300</v>
      </c>
      <c r="I1019" s="197">
        <v>41371</v>
      </c>
      <c r="J1019" s="197" t="str">
        <f t="shared" si="48"/>
        <v>ok</v>
      </c>
      <c r="K1019" s="419"/>
      <c r="L1019" s="419"/>
      <c r="M1019" s="419"/>
      <c r="N1019" s="419"/>
      <c r="O1019" s="419"/>
      <c r="P1019" s="419"/>
      <c r="Q1019" s="419"/>
      <c r="R1019" s="419"/>
      <c r="S1019" s="419"/>
      <c r="T1019" s="419"/>
      <c r="U1019" s="419"/>
      <c r="V1019" s="419"/>
      <c r="W1019" s="419">
        <f t="shared" si="46"/>
        <v>0</v>
      </c>
      <c r="X1019" s="412"/>
      <c r="Y1019" s="412"/>
      <c r="Z1019" s="412"/>
      <c r="AA1019" s="412">
        <v>300</v>
      </c>
      <c r="AB1019" s="412"/>
      <c r="AC1019" s="412"/>
      <c r="AD1019" s="412"/>
      <c r="AE1019" s="412"/>
      <c r="AF1019" s="412"/>
      <c r="AG1019" s="412"/>
      <c r="AH1019" s="412"/>
      <c r="AI1019" s="412"/>
      <c r="AJ1019" s="412">
        <f t="shared" si="47"/>
        <v>300</v>
      </c>
      <c r="AK1019" s="198"/>
      <c r="AL1019" s="250" t="s">
        <v>2067</v>
      </c>
    </row>
    <row r="1020" spans="1:38" ht="14.1" customHeight="1" x14ac:dyDescent="0.2">
      <c r="A1020" t="s">
        <v>888</v>
      </c>
      <c r="B1020" s="193">
        <v>4638</v>
      </c>
      <c r="C1020" s="194" t="s">
        <v>938</v>
      </c>
      <c r="D1020" s="229" t="s">
        <v>1368</v>
      </c>
      <c r="E1020" s="229" t="s">
        <v>35</v>
      </c>
      <c r="F1020" s="240">
        <v>300</v>
      </c>
      <c r="G1020" s="196">
        <v>1</v>
      </c>
      <c r="H1020" s="195">
        <v>900</v>
      </c>
      <c r="I1020" s="197">
        <v>41371</v>
      </c>
      <c r="J1020" s="197" t="str">
        <f t="shared" si="48"/>
        <v>ok</v>
      </c>
      <c r="K1020" s="419"/>
      <c r="L1020" s="419"/>
      <c r="M1020" s="419"/>
      <c r="N1020" s="419"/>
      <c r="O1020" s="419"/>
      <c r="P1020" s="419"/>
      <c r="Q1020" s="419"/>
      <c r="R1020" s="419"/>
      <c r="S1020" s="419"/>
      <c r="T1020" s="419"/>
      <c r="U1020" s="419"/>
      <c r="V1020" s="419"/>
      <c r="W1020" s="419">
        <f t="shared" si="46"/>
        <v>0</v>
      </c>
      <c r="X1020" s="412"/>
      <c r="Y1020" s="412">
        <v>300</v>
      </c>
      <c r="Z1020" s="412">
        <v>300</v>
      </c>
      <c r="AA1020" s="412">
        <v>300</v>
      </c>
      <c r="AB1020" s="412"/>
      <c r="AC1020" s="412"/>
      <c r="AD1020" s="412"/>
      <c r="AE1020" s="412"/>
      <c r="AF1020" s="412"/>
      <c r="AG1020" s="412"/>
      <c r="AH1020" s="412"/>
      <c r="AI1020" s="412"/>
      <c r="AJ1020" s="412">
        <f t="shared" si="47"/>
        <v>900</v>
      </c>
      <c r="AK1020" s="198"/>
      <c r="AL1020" s="250" t="s">
        <v>2067</v>
      </c>
    </row>
    <row r="1021" spans="1:38" ht="14.1" customHeight="1" x14ac:dyDescent="0.2">
      <c r="A1021" t="s">
        <v>893</v>
      </c>
      <c r="B1021" s="193">
        <v>4639</v>
      </c>
      <c r="C1021" s="194" t="s">
        <v>1079</v>
      </c>
      <c r="D1021" s="229" t="s">
        <v>1552</v>
      </c>
      <c r="E1021" s="229" t="s">
        <v>198</v>
      </c>
      <c r="F1021" s="240">
        <v>150</v>
      </c>
      <c r="G1021" s="196">
        <v>1</v>
      </c>
      <c r="H1021" s="195">
        <v>150</v>
      </c>
      <c r="I1021" s="197">
        <v>41371</v>
      </c>
      <c r="J1021" s="197" t="str">
        <f t="shared" si="48"/>
        <v>ok</v>
      </c>
      <c r="K1021" s="419"/>
      <c r="L1021" s="419"/>
      <c r="M1021" s="419"/>
      <c r="N1021" s="419"/>
      <c r="O1021" s="419"/>
      <c r="P1021" s="419"/>
      <c r="Q1021" s="419"/>
      <c r="R1021" s="419"/>
      <c r="S1021" s="419"/>
      <c r="T1021" s="419"/>
      <c r="U1021" s="419"/>
      <c r="V1021" s="419"/>
      <c r="W1021" s="419">
        <f t="shared" si="46"/>
        <v>0</v>
      </c>
      <c r="X1021" s="412"/>
      <c r="Y1021" s="412"/>
      <c r="Z1021" s="412"/>
      <c r="AA1021" s="412">
        <v>150</v>
      </c>
      <c r="AB1021" s="412"/>
      <c r="AC1021" s="412"/>
      <c r="AD1021" s="412"/>
      <c r="AE1021" s="412"/>
      <c r="AF1021" s="412"/>
      <c r="AG1021" s="412"/>
      <c r="AH1021" s="412"/>
      <c r="AI1021" s="412"/>
      <c r="AJ1021" s="412">
        <f t="shared" si="47"/>
        <v>150</v>
      </c>
      <c r="AK1021" s="198"/>
      <c r="AL1021" s="250" t="s">
        <v>2067</v>
      </c>
    </row>
    <row r="1022" spans="1:38" ht="14.1" customHeight="1" x14ac:dyDescent="0.2">
      <c r="A1022" t="s">
        <v>893</v>
      </c>
      <c r="B1022" s="193">
        <v>4640</v>
      </c>
      <c r="C1022" s="194" t="s">
        <v>1138</v>
      </c>
      <c r="D1022" s="229" t="s">
        <v>1493</v>
      </c>
      <c r="E1022" s="229" t="s">
        <v>1274</v>
      </c>
      <c r="F1022" s="240">
        <v>300</v>
      </c>
      <c r="G1022" s="196">
        <v>1</v>
      </c>
      <c r="H1022" s="195">
        <v>300</v>
      </c>
      <c r="I1022" s="197">
        <v>41371</v>
      </c>
      <c r="J1022" s="197" t="str">
        <f t="shared" si="48"/>
        <v>ok</v>
      </c>
      <c r="K1022" s="419"/>
      <c r="L1022" s="419"/>
      <c r="M1022" s="419"/>
      <c r="N1022" s="419"/>
      <c r="O1022" s="419"/>
      <c r="P1022" s="419"/>
      <c r="Q1022" s="419"/>
      <c r="R1022" s="419"/>
      <c r="S1022" s="419"/>
      <c r="T1022" s="419"/>
      <c r="U1022" s="419"/>
      <c r="V1022" s="419"/>
      <c r="W1022" s="419">
        <f t="shared" si="46"/>
        <v>0</v>
      </c>
      <c r="X1022" s="412"/>
      <c r="Y1022" s="412"/>
      <c r="Z1022" s="412"/>
      <c r="AA1022" s="412">
        <v>300</v>
      </c>
      <c r="AB1022" s="412"/>
      <c r="AC1022" s="412"/>
      <c r="AD1022" s="412"/>
      <c r="AE1022" s="412"/>
      <c r="AF1022" s="412"/>
      <c r="AG1022" s="412"/>
      <c r="AH1022" s="412"/>
      <c r="AI1022" s="412"/>
      <c r="AJ1022" s="412">
        <f t="shared" si="47"/>
        <v>300</v>
      </c>
      <c r="AK1022" s="198"/>
      <c r="AL1022" s="250" t="s">
        <v>2067</v>
      </c>
    </row>
    <row r="1023" spans="1:38" ht="14.1" customHeight="1" x14ac:dyDescent="0.2">
      <c r="A1023" t="s">
        <v>890</v>
      </c>
      <c r="B1023" s="193">
        <v>4641</v>
      </c>
      <c r="C1023" s="194" t="s">
        <v>769</v>
      </c>
      <c r="D1023" s="229" t="s">
        <v>1451</v>
      </c>
      <c r="E1023" s="229" t="s">
        <v>546</v>
      </c>
      <c r="F1023" s="240">
        <v>300</v>
      </c>
      <c r="G1023" s="196">
        <v>1</v>
      </c>
      <c r="H1023" s="195">
        <v>300</v>
      </c>
      <c r="I1023" s="197">
        <v>41371</v>
      </c>
      <c r="J1023" s="197" t="str">
        <f t="shared" si="48"/>
        <v>ok</v>
      </c>
      <c r="K1023" s="419"/>
      <c r="L1023" s="419"/>
      <c r="M1023" s="419"/>
      <c r="N1023" s="419"/>
      <c r="O1023" s="419"/>
      <c r="P1023" s="419"/>
      <c r="Q1023" s="419"/>
      <c r="R1023" s="419"/>
      <c r="S1023" s="419"/>
      <c r="T1023" s="419"/>
      <c r="U1023" s="419"/>
      <c r="V1023" s="419"/>
      <c r="W1023" s="419">
        <f t="shared" si="46"/>
        <v>0</v>
      </c>
      <c r="X1023" s="412"/>
      <c r="Y1023" s="412"/>
      <c r="Z1023" s="412"/>
      <c r="AA1023" s="412">
        <v>300</v>
      </c>
      <c r="AB1023" s="412"/>
      <c r="AC1023" s="412"/>
      <c r="AD1023" s="412"/>
      <c r="AE1023" s="412"/>
      <c r="AF1023" s="412"/>
      <c r="AG1023" s="412"/>
      <c r="AH1023" s="412"/>
      <c r="AI1023" s="412"/>
      <c r="AJ1023" s="412">
        <f t="shared" si="47"/>
        <v>300</v>
      </c>
      <c r="AK1023" s="198"/>
      <c r="AL1023" s="250" t="s">
        <v>2067</v>
      </c>
    </row>
    <row r="1024" spans="1:38" ht="14.1" customHeight="1" x14ac:dyDescent="0.2">
      <c r="A1024" t="s">
        <v>884</v>
      </c>
      <c r="B1024" s="193">
        <v>4642</v>
      </c>
      <c r="C1024" s="194" t="s">
        <v>839</v>
      </c>
      <c r="D1024" s="229" t="s">
        <v>1365</v>
      </c>
      <c r="E1024" s="229" t="s">
        <v>1204</v>
      </c>
      <c r="F1024" s="240">
        <v>300</v>
      </c>
      <c r="G1024" s="196">
        <v>1</v>
      </c>
      <c r="H1024" s="195">
        <v>300</v>
      </c>
      <c r="I1024" s="197">
        <v>41371</v>
      </c>
      <c r="J1024" s="197" t="str">
        <f t="shared" si="48"/>
        <v>ok</v>
      </c>
      <c r="K1024" s="419"/>
      <c r="L1024" s="419"/>
      <c r="M1024" s="419"/>
      <c r="N1024" s="419"/>
      <c r="O1024" s="419"/>
      <c r="P1024" s="419"/>
      <c r="Q1024" s="419"/>
      <c r="R1024" s="419"/>
      <c r="S1024" s="419"/>
      <c r="T1024" s="419"/>
      <c r="U1024" s="419"/>
      <c r="V1024" s="419"/>
      <c r="W1024" s="419">
        <f t="shared" si="46"/>
        <v>0</v>
      </c>
      <c r="X1024" s="412"/>
      <c r="Y1024" s="412"/>
      <c r="Z1024" s="412"/>
      <c r="AA1024" s="412">
        <v>300</v>
      </c>
      <c r="AB1024" s="412"/>
      <c r="AC1024" s="412"/>
      <c r="AD1024" s="412"/>
      <c r="AE1024" s="412"/>
      <c r="AF1024" s="412"/>
      <c r="AG1024" s="412"/>
      <c r="AH1024" s="412"/>
      <c r="AI1024" s="412"/>
      <c r="AJ1024" s="412">
        <f t="shared" si="47"/>
        <v>300</v>
      </c>
      <c r="AK1024" s="198"/>
      <c r="AL1024" s="250" t="s">
        <v>2067</v>
      </c>
    </row>
    <row r="1025" spans="1:38" ht="14.1" customHeight="1" x14ac:dyDescent="0.2">
      <c r="A1025" t="s">
        <v>890</v>
      </c>
      <c r="B1025" s="193">
        <v>4643</v>
      </c>
      <c r="C1025" s="194" t="s">
        <v>769</v>
      </c>
      <c r="D1025" s="229" t="s">
        <v>1451</v>
      </c>
      <c r="E1025" s="229" t="s">
        <v>546</v>
      </c>
      <c r="F1025" s="240">
        <v>300</v>
      </c>
      <c r="G1025" s="196">
        <v>5</v>
      </c>
      <c r="H1025" s="195">
        <v>20</v>
      </c>
      <c r="I1025" s="197">
        <v>41371</v>
      </c>
      <c r="J1025" s="197" t="str">
        <f t="shared" si="48"/>
        <v>ok</v>
      </c>
      <c r="K1025" s="419"/>
      <c r="L1025" s="419"/>
      <c r="M1025" s="419"/>
      <c r="N1025" s="419"/>
      <c r="O1025" s="419"/>
      <c r="P1025" s="419"/>
      <c r="Q1025" s="419"/>
      <c r="R1025" s="419"/>
      <c r="S1025" s="419"/>
      <c r="T1025" s="419"/>
      <c r="U1025" s="419"/>
      <c r="V1025" s="419"/>
      <c r="W1025" s="419">
        <f t="shared" si="46"/>
        <v>0</v>
      </c>
      <c r="X1025" s="412"/>
      <c r="Y1025" s="412"/>
      <c r="Z1025" s="412"/>
      <c r="AA1025" s="412"/>
      <c r="AB1025" s="412"/>
      <c r="AC1025" s="412"/>
      <c r="AD1025" s="412"/>
      <c r="AE1025" s="412"/>
      <c r="AF1025" s="412"/>
      <c r="AG1025" s="412"/>
      <c r="AH1025" s="412"/>
      <c r="AI1025" s="412"/>
      <c r="AJ1025" s="412">
        <f t="shared" si="47"/>
        <v>0</v>
      </c>
      <c r="AK1025" s="198"/>
      <c r="AL1025" s="250" t="s">
        <v>2068</v>
      </c>
    </row>
    <row r="1026" spans="1:38" ht="14.1" customHeight="1" x14ac:dyDescent="0.2">
      <c r="A1026" t="s">
        <v>884</v>
      </c>
      <c r="B1026" s="193">
        <v>4644</v>
      </c>
      <c r="C1026" s="194" t="s">
        <v>849</v>
      </c>
      <c r="D1026" s="229" t="s">
        <v>1558</v>
      </c>
      <c r="E1026" s="229" t="s">
        <v>89</v>
      </c>
      <c r="F1026" s="240">
        <v>150</v>
      </c>
      <c r="G1026" s="196">
        <v>1</v>
      </c>
      <c r="H1026" s="195">
        <v>150</v>
      </c>
      <c r="I1026" s="197">
        <v>41371</v>
      </c>
      <c r="J1026" s="197" t="str">
        <f t="shared" si="48"/>
        <v>ok</v>
      </c>
      <c r="K1026" s="419"/>
      <c r="L1026" s="419"/>
      <c r="M1026" s="419"/>
      <c r="N1026" s="419"/>
      <c r="O1026" s="419"/>
      <c r="P1026" s="419"/>
      <c r="Q1026" s="419"/>
      <c r="R1026" s="419"/>
      <c r="S1026" s="419"/>
      <c r="T1026" s="419"/>
      <c r="U1026" s="419"/>
      <c r="V1026" s="419"/>
      <c r="W1026" s="419">
        <f t="shared" si="46"/>
        <v>0</v>
      </c>
      <c r="X1026" s="412"/>
      <c r="Y1026" s="412"/>
      <c r="Z1026" s="412"/>
      <c r="AA1026" s="412">
        <v>150</v>
      </c>
      <c r="AB1026" s="412"/>
      <c r="AC1026" s="412"/>
      <c r="AD1026" s="412"/>
      <c r="AE1026" s="412"/>
      <c r="AF1026" s="412"/>
      <c r="AG1026" s="412"/>
      <c r="AH1026" s="412"/>
      <c r="AI1026" s="412"/>
      <c r="AJ1026" s="412">
        <f t="shared" si="47"/>
        <v>150</v>
      </c>
      <c r="AK1026" s="198"/>
      <c r="AL1026" s="250" t="s">
        <v>2067</v>
      </c>
    </row>
    <row r="1027" spans="1:38" ht="14.1" customHeight="1" x14ac:dyDescent="0.2">
      <c r="A1027" t="s">
        <v>884</v>
      </c>
      <c r="B1027" s="193">
        <v>4645</v>
      </c>
      <c r="C1027" s="194" t="s">
        <v>783</v>
      </c>
      <c r="D1027" s="229" t="s">
        <v>1572</v>
      </c>
      <c r="E1027" s="229" t="s">
        <v>1202</v>
      </c>
      <c r="F1027" s="240">
        <v>300</v>
      </c>
      <c r="G1027" s="196">
        <v>1</v>
      </c>
      <c r="H1027" s="195">
        <v>300</v>
      </c>
      <c r="I1027" s="197">
        <v>41371</v>
      </c>
      <c r="J1027" s="197" t="str">
        <f t="shared" si="48"/>
        <v>ok</v>
      </c>
      <c r="K1027" s="419"/>
      <c r="L1027" s="419"/>
      <c r="M1027" s="419"/>
      <c r="N1027" s="419"/>
      <c r="O1027" s="419"/>
      <c r="P1027" s="419"/>
      <c r="Q1027" s="419"/>
      <c r="R1027" s="419"/>
      <c r="S1027" s="419"/>
      <c r="T1027" s="419"/>
      <c r="U1027" s="419"/>
      <c r="V1027" s="419"/>
      <c r="W1027" s="419">
        <f t="shared" si="46"/>
        <v>0</v>
      </c>
      <c r="X1027" s="412"/>
      <c r="Y1027" s="412"/>
      <c r="Z1027" s="412"/>
      <c r="AA1027" s="412">
        <v>300</v>
      </c>
      <c r="AB1027" s="412"/>
      <c r="AC1027" s="412"/>
      <c r="AD1027" s="412"/>
      <c r="AE1027" s="412"/>
      <c r="AF1027" s="412"/>
      <c r="AG1027" s="412"/>
      <c r="AH1027" s="412"/>
      <c r="AI1027" s="412"/>
      <c r="AJ1027" s="412">
        <f t="shared" si="47"/>
        <v>300</v>
      </c>
      <c r="AK1027" s="198"/>
      <c r="AL1027" s="250" t="s">
        <v>2067</v>
      </c>
    </row>
    <row r="1028" spans="1:38" ht="14.1" customHeight="1" x14ac:dyDescent="0.2">
      <c r="A1028" t="s">
        <v>894</v>
      </c>
      <c r="B1028" s="193">
        <v>4646</v>
      </c>
      <c r="C1028" s="194" t="s">
        <v>784</v>
      </c>
      <c r="D1028" s="229" t="s">
        <v>1422</v>
      </c>
      <c r="E1028" s="229" t="s">
        <v>595</v>
      </c>
      <c r="F1028" s="240">
        <v>300</v>
      </c>
      <c r="G1028" s="196">
        <v>1</v>
      </c>
      <c r="H1028" s="195">
        <v>300</v>
      </c>
      <c r="I1028" s="197">
        <v>41371</v>
      </c>
      <c r="J1028" s="197" t="str">
        <f t="shared" si="48"/>
        <v>ok</v>
      </c>
      <c r="K1028" s="419"/>
      <c r="L1028" s="419"/>
      <c r="M1028" s="419"/>
      <c r="N1028" s="419"/>
      <c r="O1028" s="419"/>
      <c r="P1028" s="419"/>
      <c r="Q1028" s="419"/>
      <c r="R1028" s="419"/>
      <c r="S1028" s="419"/>
      <c r="T1028" s="419"/>
      <c r="U1028" s="419"/>
      <c r="V1028" s="419"/>
      <c r="W1028" s="419">
        <f t="shared" si="46"/>
        <v>0</v>
      </c>
      <c r="X1028" s="412"/>
      <c r="Y1028" s="412"/>
      <c r="Z1028" s="412">
        <v>300</v>
      </c>
      <c r="AA1028" s="412"/>
      <c r="AB1028" s="412"/>
      <c r="AC1028" s="412"/>
      <c r="AD1028" s="412"/>
      <c r="AE1028" s="412"/>
      <c r="AF1028" s="412"/>
      <c r="AG1028" s="412"/>
      <c r="AH1028" s="412"/>
      <c r="AI1028" s="412"/>
      <c r="AJ1028" s="412">
        <f t="shared" si="47"/>
        <v>300</v>
      </c>
      <c r="AK1028" s="198"/>
      <c r="AL1028" s="250" t="s">
        <v>2067</v>
      </c>
    </row>
    <row r="1029" spans="1:38" ht="14.1" customHeight="1" x14ac:dyDescent="0.2">
      <c r="A1029" t="s">
        <v>888</v>
      </c>
      <c r="B1029" s="193">
        <v>4647</v>
      </c>
      <c r="C1029" s="194" t="s">
        <v>916</v>
      </c>
      <c r="D1029" s="229" t="s">
        <v>1651</v>
      </c>
      <c r="E1029" s="229" t="s">
        <v>353</v>
      </c>
      <c r="F1029" s="240">
        <v>150</v>
      </c>
      <c r="G1029" s="196">
        <v>5</v>
      </c>
      <c r="H1029" s="195">
        <v>20</v>
      </c>
      <c r="I1029" s="197">
        <v>41371</v>
      </c>
      <c r="J1029" s="197" t="str">
        <f t="shared" si="48"/>
        <v>ok</v>
      </c>
      <c r="K1029" s="419"/>
      <c r="L1029" s="419"/>
      <c r="M1029" s="419"/>
      <c r="N1029" s="419"/>
      <c r="O1029" s="419"/>
      <c r="P1029" s="419"/>
      <c r="Q1029" s="419"/>
      <c r="R1029" s="419"/>
      <c r="S1029" s="419"/>
      <c r="T1029" s="419"/>
      <c r="U1029" s="419"/>
      <c r="V1029" s="419"/>
      <c r="W1029" s="419">
        <f t="shared" si="46"/>
        <v>0</v>
      </c>
      <c r="X1029" s="412"/>
      <c r="Y1029" s="412"/>
      <c r="Z1029" s="412"/>
      <c r="AA1029" s="412"/>
      <c r="AB1029" s="412"/>
      <c r="AC1029" s="412"/>
      <c r="AD1029" s="412"/>
      <c r="AE1029" s="412"/>
      <c r="AF1029" s="412"/>
      <c r="AG1029" s="412"/>
      <c r="AH1029" s="412"/>
      <c r="AI1029" s="412"/>
      <c r="AJ1029" s="412">
        <f t="shared" si="47"/>
        <v>0</v>
      </c>
      <c r="AK1029" s="198"/>
      <c r="AL1029" s="250" t="s">
        <v>2068</v>
      </c>
    </row>
    <row r="1030" spans="1:38" ht="14.1" customHeight="1" x14ac:dyDescent="0.2">
      <c r="A1030" t="s">
        <v>892</v>
      </c>
      <c r="B1030" s="193">
        <v>4648</v>
      </c>
      <c r="C1030" s="194" t="s">
        <v>1066</v>
      </c>
      <c r="D1030" s="229" t="s">
        <v>1591</v>
      </c>
      <c r="E1030" s="229" t="s">
        <v>663</v>
      </c>
      <c r="F1030" s="240">
        <v>300</v>
      </c>
      <c r="G1030" s="196">
        <v>1</v>
      </c>
      <c r="H1030" s="195">
        <v>300</v>
      </c>
      <c r="I1030" s="197">
        <v>41371</v>
      </c>
      <c r="J1030" s="197" t="str">
        <f t="shared" si="48"/>
        <v>ok</v>
      </c>
      <c r="K1030" s="419"/>
      <c r="L1030" s="419"/>
      <c r="M1030" s="419"/>
      <c r="N1030" s="419"/>
      <c r="O1030" s="419"/>
      <c r="P1030" s="419"/>
      <c r="Q1030" s="419"/>
      <c r="R1030" s="419"/>
      <c r="S1030" s="419"/>
      <c r="T1030" s="419"/>
      <c r="U1030" s="419"/>
      <c r="V1030" s="419"/>
      <c r="W1030" s="419">
        <f t="shared" si="46"/>
        <v>0</v>
      </c>
      <c r="X1030" s="412"/>
      <c r="Y1030" s="412"/>
      <c r="Z1030" s="412"/>
      <c r="AA1030" s="412">
        <v>300</v>
      </c>
      <c r="AB1030" s="412"/>
      <c r="AC1030" s="412"/>
      <c r="AD1030" s="412"/>
      <c r="AE1030" s="412"/>
      <c r="AF1030" s="412"/>
      <c r="AG1030" s="412"/>
      <c r="AH1030" s="412"/>
      <c r="AI1030" s="412"/>
      <c r="AJ1030" s="412">
        <f t="shared" si="47"/>
        <v>300</v>
      </c>
      <c r="AK1030" s="198"/>
      <c r="AL1030" s="250" t="s">
        <v>2067</v>
      </c>
    </row>
    <row r="1031" spans="1:38" ht="14.1" customHeight="1" x14ac:dyDescent="0.2">
      <c r="A1031" t="s">
        <v>890</v>
      </c>
      <c r="B1031" s="193">
        <v>4649</v>
      </c>
      <c r="C1031" s="194" t="s">
        <v>1006</v>
      </c>
      <c r="D1031" s="229" t="s">
        <v>1370</v>
      </c>
      <c r="E1031" s="229" t="s">
        <v>1217</v>
      </c>
      <c r="F1031" s="240">
        <v>300</v>
      </c>
      <c r="G1031" s="196">
        <v>1</v>
      </c>
      <c r="H1031" s="195">
        <v>300</v>
      </c>
      <c r="I1031" s="197">
        <v>41371</v>
      </c>
      <c r="J1031" s="197" t="str">
        <f t="shared" si="48"/>
        <v>ok</v>
      </c>
      <c r="K1031" s="419"/>
      <c r="L1031" s="419"/>
      <c r="M1031" s="419"/>
      <c r="N1031" s="419"/>
      <c r="O1031" s="419"/>
      <c r="P1031" s="419"/>
      <c r="Q1031" s="419"/>
      <c r="R1031" s="419"/>
      <c r="S1031" s="419"/>
      <c r="T1031" s="419"/>
      <c r="U1031" s="419"/>
      <c r="V1031" s="419"/>
      <c r="W1031" s="419">
        <f t="shared" ref="W1031:W1094" si="49">SUM(K1031:V1031)</f>
        <v>0</v>
      </c>
      <c r="X1031" s="412"/>
      <c r="Y1031" s="412"/>
      <c r="Z1031" s="412"/>
      <c r="AA1031" s="412">
        <v>300</v>
      </c>
      <c r="AB1031" s="412"/>
      <c r="AC1031" s="412"/>
      <c r="AD1031" s="412"/>
      <c r="AE1031" s="412"/>
      <c r="AF1031" s="412"/>
      <c r="AG1031" s="412"/>
      <c r="AH1031" s="412"/>
      <c r="AI1031" s="412"/>
      <c r="AJ1031" s="412">
        <f t="shared" ref="AJ1031:AJ1094" si="50">SUM(X1031:AI1031)</f>
        <v>300</v>
      </c>
      <c r="AK1031" s="198"/>
      <c r="AL1031" s="250" t="s">
        <v>2067</v>
      </c>
    </row>
    <row r="1032" spans="1:38" ht="14.1" customHeight="1" x14ac:dyDescent="0.2">
      <c r="A1032" t="s">
        <v>890</v>
      </c>
      <c r="B1032" s="193">
        <v>4650</v>
      </c>
      <c r="C1032" s="194" t="s">
        <v>1023</v>
      </c>
      <c r="D1032" s="229" t="s">
        <v>1541</v>
      </c>
      <c r="E1032" s="229" t="s">
        <v>522</v>
      </c>
      <c r="F1032" s="240">
        <v>300</v>
      </c>
      <c r="G1032" s="196">
        <v>1</v>
      </c>
      <c r="H1032" s="195">
        <v>300</v>
      </c>
      <c r="I1032" s="197">
        <v>41371</v>
      </c>
      <c r="J1032" s="197" t="str">
        <f t="shared" si="48"/>
        <v>ok</v>
      </c>
      <c r="K1032" s="419"/>
      <c r="L1032" s="419"/>
      <c r="M1032" s="419"/>
      <c r="N1032" s="419"/>
      <c r="O1032" s="419"/>
      <c r="P1032" s="419"/>
      <c r="Q1032" s="419"/>
      <c r="R1032" s="419"/>
      <c r="S1032" s="419"/>
      <c r="T1032" s="419"/>
      <c r="U1032" s="419"/>
      <c r="V1032" s="419"/>
      <c r="W1032" s="419">
        <f t="shared" si="49"/>
        <v>0</v>
      </c>
      <c r="X1032" s="412"/>
      <c r="Y1032" s="412"/>
      <c r="Z1032" s="412"/>
      <c r="AA1032" s="412">
        <v>300</v>
      </c>
      <c r="AB1032" s="412"/>
      <c r="AC1032" s="412"/>
      <c r="AD1032" s="412"/>
      <c r="AE1032" s="412"/>
      <c r="AF1032" s="412"/>
      <c r="AG1032" s="412"/>
      <c r="AH1032" s="412"/>
      <c r="AI1032" s="412"/>
      <c r="AJ1032" s="412">
        <f t="shared" si="50"/>
        <v>300</v>
      </c>
      <c r="AK1032" s="198"/>
      <c r="AL1032" s="250" t="s">
        <v>2067</v>
      </c>
    </row>
    <row r="1033" spans="1:38" ht="14.1" customHeight="1" x14ac:dyDescent="0.2">
      <c r="A1033" t="s">
        <v>884</v>
      </c>
      <c r="B1033" s="193">
        <v>4651</v>
      </c>
      <c r="C1033" s="194" t="s">
        <v>861</v>
      </c>
      <c r="D1033" s="229" t="s">
        <v>1446</v>
      </c>
      <c r="E1033" s="229" t="s">
        <v>1208</v>
      </c>
      <c r="F1033" s="240">
        <v>150</v>
      </c>
      <c r="G1033" s="196">
        <v>1</v>
      </c>
      <c r="H1033" s="195">
        <v>150</v>
      </c>
      <c r="I1033" s="197">
        <v>41371</v>
      </c>
      <c r="J1033" s="197" t="str">
        <f t="shared" si="48"/>
        <v>ok</v>
      </c>
      <c r="K1033" s="419"/>
      <c r="L1033" s="419"/>
      <c r="M1033" s="419"/>
      <c r="N1033" s="419"/>
      <c r="O1033" s="419"/>
      <c r="P1033" s="419"/>
      <c r="Q1033" s="419"/>
      <c r="R1033" s="419"/>
      <c r="S1033" s="419"/>
      <c r="T1033" s="419"/>
      <c r="U1033" s="419"/>
      <c r="V1033" s="419"/>
      <c r="W1033" s="419">
        <f t="shared" si="49"/>
        <v>0</v>
      </c>
      <c r="X1033" s="412"/>
      <c r="Y1033" s="412"/>
      <c r="Z1033" s="412"/>
      <c r="AA1033" s="412">
        <v>150</v>
      </c>
      <c r="AB1033" s="412"/>
      <c r="AC1033" s="412"/>
      <c r="AD1033" s="412"/>
      <c r="AE1033" s="412"/>
      <c r="AF1033" s="412"/>
      <c r="AG1033" s="412"/>
      <c r="AH1033" s="412"/>
      <c r="AI1033" s="412"/>
      <c r="AJ1033" s="412">
        <f t="shared" si="50"/>
        <v>150</v>
      </c>
      <c r="AK1033" s="198"/>
      <c r="AL1033" s="250" t="s">
        <v>2067</v>
      </c>
    </row>
    <row r="1034" spans="1:38" ht="14.1" customHeight="1" x14ac:dyDescent="0.2">
      <c r="A1034" t="s">
        <v>888</v>
      </c>
      <c r="B1034" s="193">
        <v>4652</v>
      </c>
      <c r="C1034" s="194" t="s">
        <v>935</v>
      </c>
      <c r="D1034" s="229" t="s">
        <v>1613</v>
      </c>
      <c r="E1034" s="229" t="s">
        <v>721</v>
      </c>
      <c r="F1034" s="240">
        <v>300</v>
      </c>
      <c r="G1034" s="196">
        <v>1</v>
      </c>
      <c r="H1034" s="195">
        <v>600</v>
      </c>
      <c r="I1034" s="197">
        <v>41371</v>
      </c>
      <c r="J1034" s="197" t="str">
        <f t="shared" si="48"/>
        <v>ok</v>
      </c>
      <c r="K1034" s="419"/>
      <c r="L1034" s="419"/>
      <c r="M1034" s="419"/>
      <c r="N1034" s="419"/>
      <c r="O1034" s="419"/>
      <c r="P1034" s="419"/>
      <c r="Q1034" s="419"/>
      <c r="R1034" s="419"/>
      <c r="S1034" s="419"/>
      <c r="T1034" s="419"/>
      <c r="U1034" s="419"/>
      <c r="V1034" s="419"/>
      <c r="W1034" s="419">
        <f t="shared" si="49"/>
        <v>0</v>
      </c>
      <c r="X1034" s="412"/>
      <c r="Y1034" s="412"/>
      <c r="Z1034" s="412"/>
      <c r="AA1034" s="412">
        <v>300</v>
      </c>
      <c r="AB1034" s="412">
        <v>300</v>
      </c>
      <c r="AC1034" s="412"/>
      <c r="AD1034" s="412"/>
      <c r="AE1034" s="412"/>
      <c r="AF1034" s="412"/>
      <c r="AG1034" s="412"/>
      <c r="AH1034" s="412"/>
      <c r="AI1034" s="412"/>
      <c r="AJ1034" s="412">
        <f t="shared" si="50"/>
        <v>600</v>
      </c>
      <c r="AK1034" s="198"/>
      <c r="AL1034" s="250" t="s">
        <v>2067</v>
      </c>
    </row>
    <row r="1035" spans="1:38" ht="14.1" customHeight="1" x14ac:dyDescent="0.2">
      <c r="A1035" t="s">
        <v>884</v>
      </c>
      <c r="B1035" s="193">
        <v>4653</v>
      </c>
      <c r="C1035" s="194" t="s">
        <v>872</v>
      </c>
      <c r="D1035" s="229" t="s">
        <v>1501</v>
      </c>
      <c r="E1035" s="229" t="s">
        <v>125</v>
      </c>
      <c r="F1035" s="240">
        <v>300</v>
      </c>
      <c r="G1035" s="196">
        <v>1</v>
      </c>
      <c r="H1035" s="195">
        <v>300</v>
      </c>
      <c r="I1035" s="197">
        <v>41376</v>
      </c>
      <c r="J1035" s="197" t="str">
        <f t="shared" si="48"/>
        <v>ok</v>
      </c>
      <c r="K1035" s="419"/>
      <c r="L1035" s="419"/>
      <c r="M1035" s="419"/>
      <c r="N1035" s="419"/>
      <c r="O1035" s="419"/>
      <c r="P1035" s="419"/>
      <c r="Q1035" s="419"/>
      <c r="R1035" s="419"/>
      <c r="S1035" s="419"/>
      <c r="T1035" s="419"/>
      <c r="U1035" s="419"/>
      <c r="V1035" s="419"/>
      <c r="W1035" s="419">
        <f t="shared" si="49"/>
        <v>0</v>
      </c>
      <c r="X1035" s="412"/>
      <c r="Y1035" s="412"/>
      <c r="Z1035" s="412"/>
      <c r="AA1035" s="412">
        <v>300</v>
      </c>
      <c r="AB1035" s="412"/>
      <c r="AC1035" s="412"/>
      <c r="AD1035" s="412"/>
      <c r="AE1035" s="412"/>
      <c r="AF1035" s="412"/>
      <c r="AG1035" s="412"/>
      <c r="AH1035" s="412"/>
      <c r="AI1035" s="412"/>
      <c r="AJ1035" s="412">
        <f t="shared" si="50"/>
        <v>300</v>
      </c>
      <c r="AK1035" s="198"/>
      <c r="AL1035" s="250" t="s">
        <v>2067</v>
      </c>
    </row>
    <row r="1036" spans="1:38" ht="14.1" customHeight="1" x14ac:dyDescent="0.2">
      <c r="A1036" t="s">
        <v>888</v>
      </c>
      <c r="B1036" s="193">
        <v>4654</v>
      </c>
      <c r="C1036" s="194" t="s">
        <v>924</v>
      </c>
      <c r="D1036" s="229" t="s">
        <v>1648</v>
      </c>
      <c r="E1036" s="229" t="s">
        <v>371</v>
      </c>
      <c r="F1036" s="240">
        <v>300</v>
      </c>
      <c r="G1036" s="196">
        <v>1</v>
      </c>
      <c r="H1036" s="195">
        <v>300</v>
      </c>
      <c r="I1036" s="197">
        <v>41378</v>
      </c>
      <c r="J1036" s="197" t="str">
        <f t="shared" si="48"/>
        <v>ok</v>
      </c>
      <c r="K1036" s="419"/>
      <c r="L1036" s="419"/>
      <c r="M1036" s="419"/>
      <c r="N1036" s="419"/>
      <c r="O1036" s="419"/>
      <c r="P1036" s="419"/>
      <c r="Q1036" s="419"/>
      <c r="R1036" s="419"/>
      <c r="S1036" s="419"/>
      <c r="T1036" s="419"/>
      <c r="U1036" s="419"/>
      <c r="V1036" s="419"/>
      <c r="W1036" s="419">
        <f t="shared" si="49"/>
        <v>0</v>
      </c>
      <c r="X1036" s="412"/>
      <c r="Y1036" s="412"/>
      <c r="Z1036" s="412"/>
      <c r="AA1036" s="412">
        <v>300</v>
      </c>
      <c r="AB1036" s="412"/>
      <c r="AC1036" s="412"/>
      <c r="AD1036" s="412"/>
      <c r="AE1036" s="412"/>
      <c r="AF1036" s="412"/>
      <c r="AG1036" s="412"/>
      <c r="AH1036" s="412"/>
      <c r="AI1036" s="412"/>
      <c r="AJ1036" s="412">
        <f t="shared" si="50"/>
        <v>300</v>
      </c>
      <c r="AK1036" s="198"/>
      <c r="AL1036" s="250" t="s">
        <v>2067</v>
      </c>
    </row>
    <row r="1037" spans="1:38" ht="14.1" customHeight="1" x14ac:dyDescent="0.2">
      <c r="A1037" t="s">
        <v>884</v>
      </c>
      <c r="B1037" s="193">
        <v>4655</v>
      </c>
      <c r="C1037" s="194" t="s">
        <v>788</v>
      </c>
      <c r="D1037" s="229" t="s">
        <v>1468</v>
      </c>
      <c r="E1037" s="229" t="s">
        <v>1269</v>
      </c>
      <c r="F1037" s="240">
        <v>300</v>
      </c>
      <c r="G1037" s="196">
        <v>3</v>
      </c>
      <c r="H1037" s="195">
        <v>150</v>
      </c>
      <c r="I1037" s="197">
        <v>41378</v>
      </c>
      <c r="J1037" s="197" t="str">
        <f t="shared" si="48"/>
        <v>ok</v>
      </c>
      <c r="K1037" s="419"/>
      <c r="L1037" s="419"/>
      <c r="M1037" s="419"/>
      <c r="N1037" s="419"/>
      <c r="O1037" s="419"/>
      <c r="P1037" s="419"/>
      <c r="Q1037" s="419"/>
      <c r="R1037" s="419"/>
      <c r="S1037" s="419"/>
      <c r="T1037" s="419"/>
      <c r="U1037" s="419"/>
      <c r="V1037" s="419"/>
      <c r="W1037" s="419">
        <f t="shared" si="49"/>
        <v>0</v>
      </c>
      <c r="X1037" s="412"/>
      <c r="Y1037" s="412"/>
      <c r="Z1037" s="412"/>
      <c r="AA1037" s="412"/>
      <c r="AB1037" s="412"/>
      <c r="AC1037" s="412"/>
      <c r="AD1037" s="412"/>
      <c r="AE1037" s="412"/>
      <c r="AF1037" s="412"/>
      <c r="AG1037" s="412"/>
      <c r="AH1037" s="412"/>
      <c r="AI1037" s="412"/>
      <c r="AJ1037" s="412">
        <f t="shared" si="50"/>
        <v>0</v>
      </c>
      <c r="AK1037" s="198"/>
      <c r="AL1037" s="250" t="s">
        <v>2068</v>
      </c>
    </row>
    <row r="1038" spans="1:38" ht="14.1" customHeight="1" x14ac:dyDescent="0.2">
      <c r="A1038" t="s">
        <v>884</v>
      </c>
      <c r="B1038" s="193">
        <v>4655</v>
      </c>
      <c r="C1038" s="194" t="s">
        <v>788</v>
      </c>
      <c r="D1038" s="229" t="s">
        <v>1468</v>
      </c>
      <c r="E1038" s="229" t="s">
        <v>1269</v>
      </c>
      <c r="F1038" s="240">
        <v>300</v>
      </c>
      <c r="G1038" s="196">
        <v>4</v>
      </c>
      <c r="H1038" s="195">
        <v>160</v>
      </c>
      <c r="I1038" s="197">
        <v>41378</v>
      </c>
      <c r="J1038" s="197" t="str">
        <f t="shared" ref="J1038:J1101" si="51">IF(OR(G1038&lt;&gt;1,SUM(W1038,AJ1038)=H1038),"ok","error")</f>
        <v>ok</v>
      </c>
      <c r="K1038" s="419"/>
      <c r="L1038" s="419"/>
      <c r="M1038" s="419"/>
      <c r="N1038" s="419"/>
      <c r="O1038" s="419"/>
      <c r="P1038" s="419"/>
      <c r="Q1038" s="419"/>
      <c r="R1038" s="419"/>
      <c r="S1038" s="419"/>
      <c r="T1038" s="419"/>
      <c r="U1038" s="419"/>
      <c r="V1038" s="419"/>
      <c r="W1038" s="419">
        <f t="shared" si="49"/>
        <v>0</v>
      </c>
      <c r="X1038" s="412"/>
      <c r="Y1038" s="412"/>
      <c r="Z1038" s="412"/>
      <c r="AA1038" s="412"/>
      <c r="AB1038" s="412"/>
      <c r="AC1038" s="412"/>
      <c r="AD1038" s="412"/>
      <c r="AE1038" s="412"/>
      <c r="AF1038" s="412"/>
      <c r="AG1038" s="412"/>
      <c r="AH1038" s="412"/>
      <c r="AI1038" s="412"/>
      <c r="AJ1038" s="412">
        <f t="shared" si="50"/>
        <v>0</v>
      </c>
      <c r="AK1038" s="198"/>
      <c r="AL1038" s="250" t="s">
        <v>2068</v>
      </c>
    </row>
    <row r="1039" spans="1:38" ht="14.1" customHeight="1" x14ac:dyDescent="0.2">
      <c r="A1039" t="s">
        <v>884</v>
      </c>
      <c r="B1039" s="193">
        <v>4656</v>
      </c>
      <c r="C1039" s="194" t="s">
        <v>853</v>
      </c>
      <c r="D1039" s="229" t="s">
        <v>1486</v>
      </c>
      <c r="E1039" s="229" t="s">
        <v>93</v>
      </c>
      <c r="F1039" s="240">
        <v>300</v>
      </c>
      <c r="G1039" s="196">
        <v>1</v>
      </c>
      <c r="H1039" s="195">
        <v>600</v>
      </c>
      <c r="I1039" s="197">
        <v>41378</v>
      </c>
      <c r="J1039" s="197" t="str">
        <f t="shared" si="51"/>
        <v>ok</v>
      </c>
      <c r="K1039" s="419"/>
      <c r="L1039" s="419"/>
      <c r="M1039" s="419"/>
      <c r="N1039" s="419"/>
      <c r="O1039" s="419"/>
      <c r="P1039" s="419"/>
      <c r="Q1039" s="419"/>
      <c r="R1039" s="419"/>
      <c r="S1039" s="419"/>
      <c r="T1039" s="419"/>
      <c r="U1039" s="419"/>
      <c r="V1039" s="419"/>
      <c r="W1039" s="419">
        <f t="shared" si="49"/>
        <v>0</v>
      </c>
      <c r="X1039" s="412"/>
      <c r="Y1039" s="412"/>
      <c r="Z1039" s="412"/>
      <c r="AA1039" s="412">
        <v>300</v>
      </c>
      <c r="AB1039" s="412">
        <v>300</v>
      </c>
      <c r="AC1039" s="412"/>
      <c r="AD1039" s="412"/>
      <c r="AE1039" s="412"/>
      <c r="AF1039" s="412"/>
      <c r="AG1039" s="412"/>
      <c r="AH1039" s="412"/>
      <c r="AI1039" s="412"/>
      <c r="AJ1039" s="412">
        <f t="shared" si="50"/>
        <v>600</v>
      </c>
      <c r="AK1039" s="198"/>
      <c r="AL1039" s="250" t="s">
        <v>2067</v>
      </c>
    </row>
    <row r="1040" spans="1:38" ht="14.1" customHeight="1" x14ac:dyDescent="0.2">
      <c r="A1040" t="s">
        <v>894</v>
      </c>
      <c r="B1040" s="193">
        <v>4657</v>
      </c>
      <c r="C1040" s="194" t="s">
        <v>767</v>
      </c>
      <c r="D1040" s="229" t="s">
        <v>1411</v>
      </c>
      <c r="E1040" s="229" t="s">
        <v>607</v>
      </c>
      <c r="F1040" s="240">
        <v>300</v>
      </c>
      <c r="G1040" s="196">
        <v>1</v>
      </c>
      <c r="H1040" s="195">
        <v>300</v>
      </c>
      <c r="I1040" s="197">
        <v>41378</v>
      </c>
      <c r="J1040" s="197" t="str">
        <f t="shared" si="51"/>
        <v>ok</v>
      </c>
      <c r="K1040" s="419"/>
      <c r="L1040" s="419"/>
      <c r="M1040" s="419"/>
      <c r="N1040" s="419"/>
      <c r="O1040" s="419"/>
      <c r="P1040" s="419"/>
      <c r="Q1040" s="419"/>
      <c r="R1040" s="419"/>
      <c r="S1040" s="419"/>
      <c r="T1040" s="419"/>
      <c r="U1040" s="419"/>
      <c r="V1040" s="419"/>
      <c r="W1040" s="419">
        <f t="shared" si="49"/>
        <v>0</v>
      </c>
      <c r="X1040" s="412"/>
      <c r="Y1040" s="412"/>
      <c r="Z1040" s="412"/>
      <c r="AA1040" s="412">
        <v>300</v>
      </c>
      <c r="AB1040" s="412"/>
      <c r="AC1040" s="412"/>
      <c r="AD1040" s="412"/>
      <c r="AE1040" s="412"/>
      <c r="AF1040" s="412"/>
      <c r="AG1040" s="412"/>
      <c r="AH1040" s="412"/>
      <c r="AI1040" s="412"/>
      <c r="AJ1040" s="412">
        <f t="shared" si="50"/>
        <v>300</v>
      </c>
      <c r="AK1040" s="198"/>
      <c r="AL1040" s="250" t="s">
        <v>2067</v>
      </c>
    </row>
    <row r="1041" spans="1:38" ht="14.1" customHeight="1" x14ac:dyDescent="0.2">
      <c r="A1041" t="s">
        <v>884</v>
      </c>
      <c r="B1041" s="193">
        <v>4658</v>
      </c>
      <c r="C1041" s="194" t="s">
        <v>874</v>
      </c>
      <c r="D1041" s="229" t="s">
        <v>1459</v>
      </c>
      <c r="E1041" s="229" t="s">
        <v>127</v>
      </c>
      <c r="F1041" s="240">
        <v>300</v>
      </c>
      <c r="G1041" s="196">
        <v>1</v>
      </c>
      <c r="H1041" s="195">
        <v>300</v>
      </c>
      <c r="I1041" s="197">
        <v>41378</v>
      </c>
      <c r="J1041" s="197" t="str">
        <f t="shared" si="51"/>
        <v>ok</v>
      </c>
      <c r="K1041" s="419"/>
      <c r="L1041" s="419"/>
      <c r="M1041" s="419"/>
      <c r="N1041" s="419"/>
      <c r="O1041" s="419"/>
      <c r="P1041" s="419"/>
      <c r="Q1041" s="419"/>
      <c r="R1041" s="419"/>
      <c r="S1041" s="419"/>
      <c r="T1041" s="419"/>
      <c r="U1041" s="419"/>
      <c r="V1041" s="419"/>
      <c r="W1041" s="419">
        <f t="shared" si="49"/>
        <v>0</v>
      </c>
      <c r="X1041" s="412"/>
      <c r="Y1041" s="412"/>
      <c r="Z1041" s="412"/>
      <c r="AA1041" s="412">
        <v>300</v>
      </c>
      <c r="AB1041" s="412"/>
      <c r="AC1041" s="412"/>
      <c r="AD1041" s="412"/>
      <c r="AE1041" s="412"/>
      <c r="AF1041" s="412"/>
      <c r="AG1041" s="412"/>
      <c r="AH1041" s="412"/>
      <c r="AI1041" s="412"/>
      <c r="AJ1041" s="412">
        <f t="shared" si="50"/>
        <v>300</v>
      </c>
      <c r="AK1041" s="198"/>
      <c r="AL1041" s="250" t="s">
        <v>2067</v>
      </c>
    </row>
    <row r="1042" spans="1:38" ht="14.1" customHeight="1" x14ac:dyDescent="0.2">
      <c r="A1042" t="s">
        <v>884</v>
      </c>
      <c r="B1042" s="193">
        <v>4659</v>
      </c>
      <c r="C1042" s="194" t="s">
        <v>812</v>
      </c>
      <c r="D1042" s="229" t="s">
        <v>1420</v>
      </c>
      <c r="E1042" s="229" t="s">
        <v>33</v>
      </c>
      <c r="F1042" s="240">
        <v>300</v>
      </c>
      <c r="G1042" s="196">
        <v>1</v>
      </c>
      <c r="H1042" s="195">
        <v>300</v>
      </c>
      <c r="I1042" s="197">
        <v>41378</v>
      </c>
      <c r="J1042" s="197" t="str">
        <f t="shared" si="51"/>
        <v>ok</v>
      </c>
      <c r="K1042" s="419"/>
      <c r="L1042" s="419"/>
      <c r="M1042" s="419"/>
      <c r="N1042" s="419"/>
      <c r="O1042" s="419"/>
      <c r="P1042" s="419"/>
      <c r="Q1042" s="419"/>
      <c r="R1042" s="419"/>
      <c r="S1042" s="419"/>
      <c r="T1042" s="419"/>
      <c r="U1042" s="419"/>
      <c r="V1042" s="419"/>
      <c r="W1042" s="419">
        <f t="shared" si="49"/>
        <v>0</v>
      </c>
      <c r="X1042" s="412"/>
      <c r="Y1042" s="412"/>
      <c r="Z1042" s="412"/>
      <c r="AA1042" s="412">
        <v>300</v>
      </c>
      <c r="AB1042" s="412"/>
      <c r="AC1042" s="412"/>
      <c r="AD1042" s="412"/>
      <c r="AE1042" s="412"/>
      <c r="AF1042" s="412"/>
      <c r="AG1042" s="412"/>
      <c r="AH1042" s="412"/>
      <c r="AI1042" s="412"/>
      <c r="AJ1042" s="412">
        <f t="shared" si="50"/>
        <v>300</v>
      </c>
      <c r="AK1042" s="198"/>
      <c r="AL1042" s="250" t="s">
        <v>2067</v>
      </c>
    </row>
    <row r="1043" spans="1:38" ht="14.1" customHeight="1" x14ac:dyDescent="0.2">
      <c r="A1043" t="s">
        <v>893</v>
      </c>
      <c r="B1043" s="193">
        <v>4660</v>
      </c>
      <c r="C1043" s="194" t="s">
        <v>1082</v>
      </c>
      <c r="D1043" s="229" t="s">
        <v>1544</v>
      </c>
      <c r="E1043" s="229" t="s">
        <v>204</v>
      </c>
      <c r="F1043" s="240">
        <v>300</v>
      </c>
      <c r="G1043" s="196">
        <v>1</v>
      </c>
      <c r="H1043" s="195">
        <v>300</v>
      </c>
      <c r="I1043" s="197">
        <v>41378</v>
      </c>
      <c r="J1043" s="197" t="str">
        <f t="shared" si="51"/>
        <v>ok</v>
      </c>
      <c r="K1043" s="419"/>
      <c r="L1043" s="419"/>
      <c r="M1043" s="419"/>
      <c r="N1043" s="419"/>
      <c r="O1043" s="419"/>
      <c r="P1043" s="419"/>
      <c r="Q1043" s="419"/>
      <c r="R1043" s="419"/>
      <c r="S1043" s="419"/>
      <c r="T1043" s="419"/>
      <c r="U1043" s="419"/>
      <c r="V1043" s="419"/>
      <c r="W1043" s="419">
        <f t="shared" si="49"/>
        <v>0</v>
      </c>
      <c r="X1043" s="412"/>
      <c r="Y1043" s="412"/>
      <c r="Z1043" s="412"/>
      <c r="AA1043" s="412">
        <v>300</v>
      </c>
      <c r="AB1043" s="412"/>
      <c r="AC1043" s="412"/>
      <c r="AD1043" s="412"/>
      <c r="AE1043" s="412"/>
      <c r="AF1043" s="412"/>
      <c r="AG1043" s="412"/>
      <c r="AH1043" s="412"/>
      <c r="AI1043" s="412"/>
      <c r="AJ1043" s="412">
        <f t="shared" si="50"/>
        <v>300</v>
      </c>
      <c r="AK1043" s="198"/>
      <c r="AL1043" s="250" t="s">
        <v>2067</v>
      </c>
    </row>
    <row r="1044" spans="1:38" ht="14.1" customHeight="1" x14ac:dyDescent="0.2">
      <c r="A1044" t="s">
        <v>884</v>
      </c>
      <c r="B1044" s="193">
        <v>4661</v>
      </c>
      <c r="C1044" s="194" t="s">
        <v>862</v>
      </c>
      <c r="D1044" s="229" t="s">
        <v>1589</v>
      </c>
      <c r="E1044" s="229" t="s">
        <v>110</v>
      </c>
      <c r="F1044" s="240">
        <v>300</v>
      </c>
      <c r="G1044" s="196">
        <v>1</v>
      </c>
      <c r="H1044" s="195">
        <v>900</v>
      </c>
      <c r="I1044" s="197">
        <v>41378</v>
      </c>
      <c r="J1044" s="197" t="str">
        <f t="shared" si="51"/>
        <v>ok</v>
      </c>
      <c r="K1044" s="419"/>
      <c r="L1044" s="419"/>
      <c r="M1044" s="419"/>
      <c r="N1044" s="419"/>
      <c r="O1044" s="419"/>
      <c r="P1044" s="419"/>
      <c r="Q1044" s="419"/>
      <c r="R1044" s="419"/>
      <c r="S1044" s="419"/>
      <c r="T1044" s="419"/>
      <c r="U1044" s="419"/>
      <c r="V1044" s="419"/>
      <c r="W1044" s="419">
        <f t="shared" si="49"/>
        <v>0</v>
      </c>
      <c r="X1044" s="412"/>
      <c r="Y1044" s="412"/>
      <c r="Z1044" s="412"/>
      <c r="AA1044" s="412">
        <v>300</v>
      </c>
      <c r="AB1044" s="412">
        <v>300</v>
      </c>
      <c r="AC1044" s="412">
        <v>300</v>
      </c>
      <c r="AD1044" s="412"/>
      <c r="AE1044" s="412"/>
      <c r="AF1044" s="412"/>
      <c r="AG1044" s="412"/>
      <c r="AH1044" s="412"/>
      <c r="AI1044" s="412"/>
      <c r="AJ1044" s="412">
        <f t="shared" si="50"/>
        <v>900</v>
      </c>
      <c r="AK1044" s="198"/>
      <c r="AL1044" s="250" t="s">
        <v>2067</v>
      </c>
    </row>
    <row r="1045" spans="1:38" ht="14.1" customHeight="1" x14ac:dyDescent="0.2">
      <c r="A1045" t="s">
        <v>893</v>
      </c>
      <c r="B1045" s="193">
        <v>4662</v>
      </c>
      <c r="C1045" s="194" t="s">
        <v>1077</v>
      </c>
      <c r="D1045" s="229" t="s">
        <v>1429</v>
      </c>
      <c r="E1045" s="229" t="s">
        <v>195</v>
      </c>
      <c r="F1045" s="240">
        <v>200</v>
      </c>
      <c r="G1045" s="196">
        <v>1</v>
      </c>
      <c r="H1045" s="195">
        <v>200</v>
      </c>
      <c r="I1045" s="197">
        <v>41378</v>
      </c>
      <c r="J1045" s="197" t="str">
        <f t="shared" si="51"/>
        <v>ok</v>
      </c>
      <c r="K1045" s="419"/>
      <c r="L1045" s="419"/>
      <c r="M1045" s="419"/>
      <c r="N1045" s="419"/>
      <c r="O1045" s="419"/>
      <c r="P1045" s="419"/>
      <c r="Q1045" s="419"/>
      <c r="R1045" s="419"/>
      <c r="S1045" s="419"/>
      <c r="T1045" s="419"/>
      <c r="U1045" s="419"/>
      <c r="V1045" s="419"/>
      <c r="W1045" s="419">
        <f t="shared" si="49"/>
        <v>0</v>
      </c>
      <c r="X1045" s="412"/>
      <c r="Y1045" s="412"/>
      <c r="Z1045" s="412"/>
      <c r="AA1045" s="412">
        <v>200</v>
      </c>
      <c r="AB1045" s="412"/>
      <c r="AC1045" s="412"/>
      <c r="AD1045" s="412"/>
      <c r="AE1045" s="412"/>
      <c r="AF1045" s="412"/>
      <c r="AG1045" s="412"/>
      <c r="AH1045" s="412"/>
      <c r="AI1045" s="412"/>
      <c r="AJ1045" s="412">
        <f t="shared" si="50"/>
        <v>200</v>
      </c>
      <c r="AK1045" s="198"/>
      <c r="AL1045" s="250" t="s">
        <v>2067</v>
      </c>
    </row>
    <row r="1046" spans="1:38" ht="14.1" customHeight="1" x14ac:dyDescent="0.2">
      <c r="A1046" t="s">
        <v>893</v>
      </c>
      <c r="B1046" s="193">
        <v>4663</v>
      </c>
      <c r="C1046" s="194" t="s">
        <v>1091</v>
      </c>
      <c r="D1046" s="229" t="s">
        <v>1372</v>
      </c>
      <c r="E1046" s="229" t="s">
        <v>221</v>
      </c>
      <c r="F1046" s="240">
        <v>300</v>
      </c>
      <c r="G1046" s="196">
        <v>1</v>
      </c>
      <c r="H1046" s="195">
        <v>300</v>
      </c>
      <c r="I1046" s="197">
        <v>41378</v>
      </c>
      <c r="J1046" s="197" t="str">
        <f t="shared" si="51"/>
        <v>ok</v>
      </c>
      <c r="K1046" s="419"/>
      <c r="L1046" s="419"/>
      <c r="M1046" s="419"/>
      <c r="N1046" s="419"/>
      <c r="O1046" s="419"/>
      <c r="P1046" s="419"/>
      <c r="Q1046" s="419"/>
      <c r="R1046" s="419"/>
      <c r="S1046" s="419"/>
      <c r="T1046" s="419"/>
      <c r="U1046" s="419"/>
      <c r="V1046" s="419"/>
      <c r="W1046" s="419">
        <f t="shared" si="49"/>
        <v>0</v>
      </c>
      <c r="X1046" s="412"/>
      <c r="Y1046" s="412"/>
      <c r="Z1046" s="412"/>
      <c r="AA1046" s="412">
        <v>300</v>
      </c>
      <c r="AB1046" s="412"/>
      <c r="AC1046" s="412"/>
      <c r="AD1046" s="412"/>
      <c r="AE1046" s="412"/>
      <c r="AF1046" s="412"/>
      <c r="AG1046" s="412"/>
      <c r="AH1046" s="412"/>
      <c r="AI1046" s="412"/>
      <c r="AJ1046" s="412">
        <f t="shared" si="50"/>
        <v>300</v>
      </c>
      <c r="AK1046" s="198"/>
      <c r="AL1046" s="250" t="s">
        <v>2067</v>
      </c>
    </row>
    <row r="1047" spans="1:38" ht="14.1" customHeight="1" x14ac:dyDescent="0.2">
      <c r="A1047" t="s">
        <v>894</v>
      </c>
      <c r="B1047" s="193">
        <v>4664</v>
      </c>
      <c r="C1047" s="194" t="s">
        <v>1160</v>
      </c>
      <c r="D1047" s="229" t="s">
        <v>1608</v>
      </c>
      <c r="E1047" s="229" t="s">
        <v>1275</v>
      </c>
      <c r="F1047" s="240">
        <v>300</v>
      </c>
      <c r="G1047" s="196">
        <v>1</v>
      </c>
      <c r="H1047" s="195">
        <v>300</v>
      </c>
      <c r="I1047" s="197">
        <v>41378</v>
      </c>
      <c r="J1047" s="197" t="str">
        <f t="shared" si="51"/>
        <v>ok</v>
      </c>
      <c r="K1047" s="419"/>
      <c r="L1047" s="419"/>
      <c r="M1047" s="419"/>
      <c r="N1047" s="419"/>
      <c r="O1047" s="419"/>
      <c r="P1047" s="419"/>
      <c r="Q1047" s="419"/>
      <c r="R1047" s="419"/>
      <c r="S1047" s="419"/>
      <c r="T1047" s="419"/>
      <c r="U1047" s="419"/>
      <c r="V1047" s="419"/>
      <c r="W1047" s="419">
        <f t="shared" si="49"/>
        <v>0</v>
      </c>
      <c r="X1047" s="412"/>
      <c r="Y1047" s="412"/>
      <c r="Z1047" s="412"/>
      <c r="AA1047" s="412">
        <v>300</v>
      </c>
      <c r="AB1047" s="412"/>
      <c r="AC1047" s="412"/>
      <c r="AD1047" s="412"/>
      <c r="AE1047" s="412"/>
      <c r="AF1047" s="412"/>
      <c r="AG1047" s="412"/>
      <c r="AH1047" s="412"/>
      <c r="AI1047" s="412"/>
      <c r="AJ1047" s="412">
        <f t="shared" si="50"/>
        <v>300</v>
      </c>
      <c r="AK1047" s="198"/>
      <c r="AL1047" s="250" t="s">
        <v>2067</v>
      </c>
    </row>
    <row r="1048" spans="1:38" ht="14.1" customHeight="1" x14ac:dyDescent="0.2">
      <c r="A1048" t="s">
        <v>890</v>
      </c>
      <c r="B1048" s="193">
        <v>4665</v>
      </c>
      <c r="C1048" s="194" t="s">
        <v>990</v>
      </c>
      <c r="D1048" s="229" t="s">
        <v>1542</v>
      </c>
      <c r="E1048" s="229" t="s">
        <v>449</v>
      </c>
      <c r="F1048" s="240">
        <v>150</v>
      </c>
      <c r="G1048" s="196">
        <v>1</v>
      </c>
      <c r="H1048" s="195">
        <v>150</v>
      </c>
      <c r="I1048" s="197">
        <v>41378</v>
      </c>
      <c r="J1048" s="197" t="str">
        <f t="shared" si="51"/>
        <v>ok</v>
      </c>
      <c r="K1048" s="419"/>
      <c r="L1048" s="419"/>
      <c r="M1048" s="419"/>
      <c r="N1048" s="419"/>
      <c r="O1048" s="419"/>
      <c r="P1048" s="419"/>
      <c r="Q1048" s="419"/>
      <c r="R1048" s="419"/>
      <c r="S1048" s="419"/>
      <c r="T1048" s="419"/>
      <c r="U1048" s="419"/>
      <c r="V1048" s="419"/>
      <c r="W1048" s="419">
        <f t="shared" si="49"/>
        <v>0</v>
      </c>
      <c r="X1048" s="412"/>
      <c r="Y1048" s="412"/>
      <c r="Z1048" s="412">
        <v>150</v>
      </c>
      <c r="AA1048" s="412"/>
      <c r="AB1048" s="412"/>
      <c r="AC1048" s="412"/>
      <c r="AD1048" s="412"/>
      <c r="AE1048" s="412"/>
      <c r="AF1048" s="412"/>
      <c r="AG1048" s="412"/>
      <c r="AH1048" s="412"/>
      <c r="AI1048" s="412"/>
      <c r="AJ1048" s="412">
        <f t="shared" si="50"/>
        <v>150</v>
      </c>
      <c r="AK1048" s="198"/>
      <c r="AL1048" s="250" t="s">
        <v>2067</v>
      </c>
    </row>
    <row r="1049" spans="1:38" ht="14.1" customHeight="1" x14ac:dyDescent="0.2">
      <c r="A1049" t="s">
        <v>892</v>
      </c>
      <c r="B1049" s="193">
        <v>4666</v>
      </c>
      <c r="C1049" s="194" t="s">
        <v>1059</v>
      </c>
      <c r="D1049" s="229" t="s">
        <v>1426</v>
      </c>
      <c r="E1049" s="229" t="s">
        <v>660</v>
      </c>
      <c r="F1049" s="240">
        <v>150</v>
      </c>
      <c r="G1049" s="196">
        <v>1</v>
      </c>
      <c r="H1049" s="195">
        <v>300</v>
      </c>
      <c r="I1049" s="197">
        <v>41378</v>
      </c>
      <c r="J1049" s="197" t="str">
        <f t="shared" si="51"/>
        <v>ok</v>
      </c>
      <c r="K1049" s="419"/>
      <c r="L1049" s="419"/>
      <c r="M1049" s="419"/>
      <c r="N1049" s="419"/>
      <c r="O1049" s="419"/>
      <c r="P1049" s="419"/>
      <c r="Q1049" s="419"/>
      <c r="R1049" s="419"/>
      <c r="S1049" s="419"/>
      <c r="T1049" s="419"/>
      <c r="U1049" s="419"/>
      <c r="V1049" s="419"/>
      <c r="W1049" s="419">
        <f t="shared" si="49"/>
        <v>0</v>
      </c>
      <c r="X1049" s="412"/>
      <c r="Y1049" s="412"/>
      <c r="Z1049" s="412">
        <v>150</v>
      </c>
      <c r="AA1049" s="412">
        <v>150</v>
      </c>
      <c r="AB1049" s="412"/>
      <c r="AC1049" s="412"/>
      <c r="AD1049" s="412"/>
      <c r="AE1049" s="412"/>
      <c r="AF1049" s="412"/>
      <c r="AG1049" s="412"/>
      <c r="AH1049" s="412"/>
      <c r="AI1049" s="412"/>
      <c r="AJ1049" s="412">
        <f t="shared" si="50"/>
        <v>300</v>
      </c>
      <c r="AK1049" s="198"/>
      <c r="AL1049" s="250" t="s">
        <v>2067</v>
      </c>
    </row>
    <row r="1050" spans="1:38" ht="14.1" customHeight="1" x14ac:dyDescent="0.2">
      <c r="A1050" t="s">
        <v>888</v>
      </c>
      <c r="B1050" s="193">
        <v>4667</v>
      </c>
      <c r="C1050" s="194" t="s">
        <v>942</v>
      </c>
      <c r="D1050" s="229" t="s">
        <v>1473</v>
      </c>
      <c r="E1050" s="229" t="s">
        <v>401</v>
      </c>
      <c r="F1050" s="240">
        <v>300</v>
      </c>
      <c r="G1050" s="196">
        <v>1</v>
      </c>
      <c r="H1050" s="195">
        <v>600</v>
      </c>
      <c r="I1050" s="197">
        <v>41378</v>
      </c>
      <c r="J1050" s="197" t="str">
        <f t="shared" si="51"/>
        <v>ok</v>
      </c>
      <c r="K1050" s="419"/>
      <c r="L1050" s="419"/>
      <c r="M1050" s="419"/>
      <c r="N1050" s="419"/>
      <c r="O1050" s="419"/>
      <c r="P1050" s="419"/>
      <c r="Q1050" s="419"/>
      <c r="R1050" s="419"/>
      <c r="S1050" s="419"/>
      <c r="T1050" s="419"/>
      <c r="U1050" s="419"/>
      <c r="V1050" s="419"/>
      <c r="W1050" s="419">
        <f t="shared" si="49"/>
        <v>0</v>
      </c>
      <c r="X1050" s="412"/>
      <c r="Y1050" s="412"/>
      <c r="Z1050" s="412"/>
      <c r="AA1050" s="412">
        <v>300</v>
      </c>
      <c r="AB1050" s="412">
        <v>300</v>
      </c>
      <c r="AC1050" s="412"/>
      <c r="AD1050" s="412"/>
      <c r="AE1050" s="412"/>
      <c r="AF1050" s="412"/>
      <c r="AG1050" s="412"/>
      <c r="AH1050" s="412"/>
      <c r="AI1050" s="412"/>
      <c r="AJ1050" s="412">
        <f t="shared" si="50"/>
        <v>600</v>
      </c>
      <c r="AK1050" s="198"/>
      <c r="AL1050" s="250" t="s">
        <v>2067</v>
      </c>
    </row>
    <row r="1051" spans="1:38" ht="14.1" customHeight="1" x14ac:dyDescent="0.2">
      <c r="A1051" t="s">
        <v>884</v>
      </c>
      <c r="B1051" s="193">
        <v>4668</v>
      </c>
      <c r="C1051" s="194" t="s">
        <v>843</v>
      </c>
      <c r="D1051" s="229" t="s">
        <v>1434</v>
      </c>
      <c r="E1051" s="229" t="s">
        <v>1189</v>
      </c>
      <c r="F1051" s="240">
        <v>300</v>
      </c>
      <c r="G1051" s="196">
        <v>1</v>
      </c>
      <c r="H1051" s="195">
        <v>300</v>
      </c>
      <c r="I1051" s="197">
        <v>41378</v>
      </c>
      <c r="J1051" s="197" t="str">
        <f t="shared" si="51"/>
        <v>ok</v>
      </c>
      <c r="K1051" s="419"/>
      <c r="L1051" s="419"/>
      <c r="M1051" s="419"/>
      <c r="N1051" s="419"/>
      <c r="O1051" s="419"/>
      <c r="P1051" s="419"/>
      <c r="Q1051" s="419"/>
      <c r="R1051" s="419"/>
      <c r="S1051" s="419"/>
      <c r="T1051" s="419"/>
      <c r="U1051" s="419"/>
      <c r="V1051" s="419"/>
      <c r="W1051" s="419">
        <f t="shared" si="49"/>
        <v>0</v>
      </c>
      <c r="X1051" s="412"/>
      <c r="Y1051" s="412"/>
      <c r="Z1051" s="412"/>
      <c r="AA1051" s="412">
        <v>300</v>
      </c>
      <c r="AB1051" s="412"/>
      <c r="AC1051" s="412"/>
      <c r="AD1051" s="412"/>
      <c r="AE1051" s="412"/>
      <c r="AF1051" s="412"/>
      <c r="AG1051" s="412"/>
      <c r="AH1051" s="412"/>
      <c r="AI1051" s="412"/>
      <c r="AJ1051" s="412">
        <f t="shared" si="50"/>
        <v>300</v>
      </c>
      <c r="AK1051" s="198"/>
      <c r="AL1051" s="250" t="s">
        <v>2067</v>
      </c>
    </row>
    <row r="1052" spans="1:38" ht="14.1" customHeight="1" x14ac:dyDescent="0.2">
      <c r="A1052" t="s">
        <v>884</v>
      </c>
      <c r="B1052" s="193">
        <v>4669</v>
      </c>
      <c r="C1052" s="194" t="s">
        <v>881</v>
      </c>
      <c r="D1052" s="229" t="s">
        <v>1564</v>
      </c>
      <c r="E1052" s="229" t="s">
        <v>135</v>
      </c>
      <c r="F1052" s="240">
        <v>300</v>
      </c>
      <c r="G1052" s="196">
        <v>1</v>
      </c>
      <c r="H1052" s="195">
        <v>300</v>
      </c>
      <c r="I1052" s="197">
        <v>41378</v>
      </c>
      <c r="J1052" s="197" t="str">
        <f t="shared" si="51"/>
        <v>ok</v>
      </c>
      <c r="K1052" s="419"/>
      <c r="L1052" s="419"/>
      <c r="M1052" s="419"/>
      <c r="N1052" s="419"/>
      <c r="O1052" s="419"/>
      <c r="P1052" s="419"/>
      <c r="Q1052" s="419"/>
      <c r="R1052" s="419"/>
      <c r="S1052" s="419"/>
      <c r="T1052" s="419"/>
      <c r="U1052" s="419"/>
      <c r="V1052" s="419"/>
      <c r="W1052" s="419">
        <f t="shared" si="49"/>
        <v>0</v>
      </c>
      <c r="X1052" s="412"/>
      <c r="Y1052" s="412"/>
      <c r="Z1052" s="412"/>
      <c r="AA1052" s="412">
        <v>300</v>
      </c>
      <c r="AB1052" s="412"/>
      <c r="AC1052" s="412"/>
      <c r="AD1052" s="412"/>
      <c r="AE1052" s="412"/>
      <c r="AF1052" s="412"/>
      <c r="AG1052" s="412"/>
      <c r="AH1052" s="412"/>
      <c r="AI1052" s="412"/>
      <c r="AJ1052" s="412">
        <f t="shared" si="50"/>
        <v>300</v>
      </c>
      <c r="AK1052" s="198"/>
      <c r="AL1052" s="250" t="s">
        <v>2067</v>
      </c>
    </row>
    <row r="1053" spans="1:38" ht="14.1" customHeight="1" x14ac:dyDescent="0.2">
      <c r="A1053" t="s">
        <v>893</v>
      </c>
      <c r="B1053" s="193">
        <v>4670</v>
      </c>
      <c r="C1053" s="194" t="s">
        <v>1076</v>
      </c>
      <c r="D1053" s="229" t="s">
        <v>1395</v>
      </c>
      <c r="E1053" s="229" t="s">
        <v>193</v>
      </c>
      <c r="F1053" s="240">
        <v>300</v>
      </c>
      <c r="G1053" s="196">
        <v>1</v>
      </c>
      <c r="H1053" s="195">
        <v>300</v>
      </c>
      <c r="I1053" s="197">
        <v>41378</v>
      </c>
      <c r="J1053" s="197" t="str">
        <f t="shared" si="51"/>
        <v>ok</v>
      </c>
      <c r="K1053" s="419"/>
      <c r="L1053" s="419"/>
      <c r="M1053" s="419"/>
      <c r="N1053" s="419"/>
      <c r="O1053" s="419"/>
      <c r="P1053" s="419"/>
      <c r="Q1053" s="419"/>
      <c r="R1053" s="419"/>
      <c r="S1053" s="419"/>
      <c r="T1053" s="419"/>
      <c r="U1053" s="419"/>
      <c r="V1053" s="419"/>
      <c r="W1053" s="419">
        <f t="shared" si="49"/>
        <v>0</v>
      </c>
      <c r="X1053" s="412"/>
      <c r="Y1053" s="412"/>
      <c r="Z1053" s="412"/>
      <c r="AA1053" s="412">
        <v>300</v>
      </c>
      <c r="AB1053" s="412"/>
      <c r="AC1053" s="412"/>
      <c r="AD1053" s="412"/>
      <c r="AE1053" s="412"/>
      <c r="AF1053" s="412"/>
      <c r="AG1053" s="412"/>
      <c r="AH1053" s="412"/>
      <c r="AI1053" s="412"/>
      <c r="AJ1053" s="412">
        <f t="shared" si="50"/>
        <v>300</v>
      </c>
      <c r="AK1053" s="198"/>
      <c r="AL1053" s="250" t="s">
        <v>2067</v>
      </c>
    </row>
    <row r="1054" spans="1:38" ht="14.1" customHeight="1" x14ac:dyDescent="0.2">
      <c r="A1054" t="s">
        <v>888</v>
      </c>
      <c r="B1054" s="193">
        <v>4671</v>
      </c>
      <c r="C1054" s="194" t="s">
        <v>921</v>
      </c>
      <c r="D1054" s="229" t="s">
        <v>1546</v>
      </c>
      <c r="E1054" s="229" t="s">
        <v>363</v>
      </c>
      <c r="F1054" s="240">
        <v>300</v>
      </c>
      <c r="G1054" s="196">
        <v>1</v>
      </c>
      <c r="H1054" s="195">
        <v>300</v>
      </c>
      <c r="I1054" s="197">
        <v>41378</v>
      </c>
      <c r="J1054" s="197" t="str">
        <f t="shared" si="51"/>
        <v>ok</v>
      </c>
      <c r="K1054" s="419"/>
      <c r="L1054" s="419"/>
      <c r="M1054" s="419"/>
      <c r="N1054" s="419"/>
      <c r="O1054" s="419"/>
      <c r="P1054" s="419"/>
      <c r="Q1054" s="419"/>
      <c r="R1054" s="419"/>
      <c r="S1054" s="419"/>
      <c r="T1054" s="419"/>
      <c r="U1054" s="419"/>
      <c r="V1054" s="419"/>
      <c r="W1054" s="419">
        <f t="shared" si="49"/>
        <v>0</v>
      </c>
      <c r="X1054" s="412"/>
      <c r="Y1054" s="412"/>
      <c r="Z1054" s="412"/>
      <c r="AA1054" s="412">
        <v>300</v>
      </c>
      <c r="AB1054" s="412"/>
      <c r="AC1054" s="412"/>
      <c r="AD1054" s="412"/>
      <c r="AE1054" s="412"/>
      <c r="AF1054" s="412"/>
      <c r="AG1054" s="412"/>
      <c r="AH1054" s="412"/>
      <c r="AI1054" s="412"/>
      <c r="AJ1054" s="412">
        <f t="shared" si="50"/>
        <v>300</v>
      </c>
      <c r="AK1054" s="198"/>
      <c r="AL1054" s="250" t="s">
        <v>2067</v>
      </c>
    </row>
    <row r="1055" spans="1:38" ht="14.1" customHeight="1" x14ac:dyDescent="0.2">
      <c r="A1055" t="s">
        <v>893</v>
      </c>
      <c r="B1055" s="193">
        <v>4672</v>
      </c>
      <c r="C1055" s="194" t="s">
        <v>1081</v>
      </c>
      <c r="D1055" s="229" t="s">
        <v>1652</v>
      </c>
      <c r="E1055" s="229" t="s">
        <v>202</v>
      </c>
      <c r="F1055" s="240">
        <v>300</v>
      </c>
      <c r="G1055" s="196">
        <v>1</v>
      </c>
      <c r="H1055" s="195">
        <v>300</v>
      </c>
      <c r="I1055" s="197">
        <v>41378</v>
      </c>
      <c r="J1055" s="197" t="str">
        <f t="shared" si="51"/>
        <v>ok</v>
      </c>
      <c r="K1055" s="419"/>
      <c r="L1055" s="419"/>
      <c r="M1055" s="419"/>
      <c r="N1055" s="419"/>
      <c r="O1055" s="419"/>
      <c r="P1055" s="419"/>
      <c r="Q1055" s="419"/>
      <c r="R1055" s="419"/>
      <c r="S1055" s="419"/>
      <c r="T1055" s="419"/>
      <c r="U1055" s="419"/>
      <c r="V1055" s="419"/>
      <c r="W1055" s="419">
        <f t="shared" si="49"/>
        <v>0</v>
      </c>
      <c r="X1055" s="412">
        <v>300</v>
      </c>
      <c r="Y1055" s="412"/>
      <c r="Z1055" s="412"/>
      <c r="AA1055" s="412"/>
      <c r="AB1055" s="412"/>
      <c r="AC1055" s="412"/>
      <c r="AD1055" s="412"/>
      <c r="AE1055" s="412"/>
      <c r="AF1055" s="412"/>
      <c r="AG1055" s="412"/>
      <c r="AH1055" s="412"/>
      <c r="AI1055" s="412"/>
      <c r="AJ1055" s="412">
        <f t="shared" si="50"/>
        <v>300</v>
      </c>
      <c r="AK1055" s="198"/>
      <c r="AL1055" s="250" t="s">
        <v>2067</v>
      </c>
    </row>
    <row r="1056" spans="1:38" ht="14.1" customHeight="1" x14ac:dyDescent="0.2">
      <c r="A1056" t="s">
        <v>892</v>
      </c>
      <c r="B1056" s="193">
        <v>4673</v>
      </c>
      <c r="C1056" s="194" t="s">
        <v>1057</v>
      </c>
      <c r="D1056" s="229" t="s">
        <v>1548</v>
      </c>
      <c r="E1056" s="229" t="s">
        <v>46</v>
      </c>
      <c r="F1056" s="240">
        <v>300</v>
      </c>
      <c r="G1056" s="196">
        <v>1</v>
      </c>
      <c r="H1056" s="195">
        <v>300</v>
      </c>
      <c r="I1056" s="197">
        <v>41378</v>
      </c>
      <c r="J1056" s="197" t="str">
        <f t="shared" si="51"/>
        <v>ok</v>
      </c>
      <c r="K1056" s="419"/>
      <c r="L1056" s="419"/>
      <c r="M1056" s="419"/>
      <c r="N1056" s="419"/>
      <c r="O1056" s="419"/>
      <c r="P1056" s="419"/>
      <c r="Q1056" s="419"/>
      <c r="R1056" s="419"/>
      <c r="S1056" s="419"/>
      <c r="T1056" s="419"/>
      <c r="U1056" s="419"/>
      <c r="V1056" s="419"/>
      <c r="W1056" s="419">
        <f t="shared" si="49"/>
        <v>0</v>
      </c>
      <c r="X1056" s="412"/>
      <c r="Y1056" s="412"/>
      <c r="Z1056" s="412"/>
      <c r="AA1056" s="412">
        <v>300</v>
      </c>
      <c r="AB1056" s="412"/>
      <c r="AC1056" s="412"/>
      <c r="AD1056" s="412"/>
      <c r="AE1056" s="412"/>
      <c r="AF1056" s="412"/>
      <c r="AG1056" s="412"/>
      <c r="AH1056" s="412"/>
      <c r="AI1056" s="412"/>
      <c r="AJ1056" s="412">
        <f t="shared" si="50"/>
        <v>300</v>
      </c>
      <c r="AK1056" s="198"/>
      <c r="AL1056" s="250" t="s">
        <v>2067</v>
      </c>
    </row>
    <row r="1057" spans="1:38" ht="14.1" customHeight="1" x14ac:dyDescent="0.2">
      <c r="A1057" t="s">
        <v>888</v>
      </c>
      <c r="B1057" s="193">
        <v>4674</v>
      </c>
      <c r="C1057" s="194" t="s">
        <v>913</v>
      </c>
      <c r="D1057" s="229" t="s">
        <v>1415</v>
      </c>
      <c r="E1057" s="229" t="s">
        <v>348</v>
      </c>
      <c r="F1057" s="240">
        <v>200</v>
      </c>
      <c r="G1057" s="196">
        <v>1</v>
      </c>
      <c r="H1057" s="195">
        <v>200</v>
      </c>
      <c r="I1057" s="197">
        <v>41378</v>
      </c>
      <c r="J1057" s="197" t="str">
        <f t="shared" si="51"/>
        <v>ok</v>
      </c>
      <c r="K1057" s="419"/>
      <c r="L1057" s="419"/>
      <c r="M1057" s="419"/>
      <c r="N1057" s="419"/>
      <c r="O1057" s="419"/>
      <c r="P1057" s="419"/>
      <c r="Q1057" s="419"/>
      <c r="R1057" s="419"/>
      <c r="S1057" s="419"/>
      <c r="T1057" s="419"/>
      <c r="U1057" s="419"/>
      <c r="V1057" s="419"/>
      <c r="W1057" s="419">
        <f t="shared" si="49"/>
        <v>0</v>
      </c>
      <c r="X1057" s="412"/>
      <c r="Y1057" s="412"/>
      <c r="Z1057" s="412"/>
      <c r="AA1057" s="412">
        <v>200</v>
      </c>
      <c r="AB1057" s="412"/>
      <c r="AC1057" s="412"/>
      <c r="AD1057" s="412"/>
      <c r="AE1057" s="412"/>
      <c r="AF1057" s="412"/>
      <c r="AG1057" s="412"/>
      <c r="AH1057" s="412"/>
      <c r="AI1057" s="412"/>
      <c r="AJ1057" s="412">
        <f t="shared" si="50"/>
        <v>200</v>
      </c>
      <c r="AK1057" s="198"/>
      <c r="AL1057" s="250" t="s">
        <v>2067</v>
      </c>
    </row>
    <row r="1058" spans="1:38" ht="14.1" customHeight="1" x14ac:dyDescent="0.2">
      <c r="A1058" t="s">
        <v>888</v>
      </c>
      <c r="B1058" s="193">
        <v>4675</v>
      </c>
      <c r="C1058" s="194" t="s">
        <v>930</v>
      </c>
      <c r="D1058" s="229" t="s">
        <v>1539</v>
      </c>
      <c r="E1058" s="229" t="s">
        <v>1273</v>
      </c>
      <c r="F1058" s="240">
        <v>300</v>
      </c>
      <c r="G1058" s="196">
        <v>1</v>
      </c>
      <c r="H1058" s="195">
        <v>300</v>
      </c>
      <c r="I1058" s="197">
        <v>41378</v>
      </c>
      <c r="J1058" s="197" t="str">
        <f t="shared" si="51"/>
        <v>ok</v>
      </c>
      <c r="K1058" s="419"/>
      <c r="L1058" s="419"/>
      <c r="M1058" s="419"/>
      <c r="N1058" s="419"/>
      <c r="O1058" s="419"/>
      <c r="P1058" s="419"/>
      <c r="Q1058" s="419"/>
      <c r="R1058" s="419"/>
      <c r="S1058" s="419"/>
      <c r="T1058" s="419"/>
      <c r="U1058" s="419"/>
      <c r="V1058" s="419"/>
      <c r="W1058" s="419">
        <f t="shared" si="49"/>
        <v>0</v>
      </c>
      <c r="X1058" s="412"/>
      <c r="Y1058" s="412"/>
      <c r="Z1058" s="412"/>
      <c r="AA1058" s="412">
        <v>300</v>
      </c>
      <c r="AB1058" s="412"/>
      <c r="AC1058" s="412"/>
      <c r="AD1058" s="412"/>
      <c r="AE1058" s="412"/>
      <c r="AF1058" s="412"/>
      <c r="AG1058" s="412"/>
      <c r="AH1058" s="412"/>
      <c r="AI1058" s="412"/>
      <c r="AJ1058" s="412">
        <f t="shared" si="50"/>
        <v>300</v>
      </c>
      <c r="AK1058" s="198"/>
      <c r="AL1058" s="250" t="s">
        <v>2067</v>
      </c>
    </row>
    <row r="1059" spans="1:38" ht="14.1" customHeight="1" x14ac:dyDescent="0.2">
      <c r="A1059" t="s">
        <v>893</v>
      </c>
      <c r="B1059" s="193">
        <v>4676</v>
      </c>
      <c r="C1059" s="194" t="s">
        <v>1146</v>
      </c>
      <c r="D1059" s="229" t="s">
        <v>1576</v>
      </c>
      <c r="E1059" s="229" t="s">
        <v>327</v>
      </c>
      <c r="F1059" s="240">
        <v>300</v>
      </c>
      <c r="G1059" s="196">
        <v>1</v>
      </c>
      <c r="H1059" s="195">
        <v>300</v>
      </c>
      <c r="I1059" s="197">
        <v>41378</v>
      </c>
      <c r="J1059" s="197" t="str">
        <f t="shared" si="51"/>
        <v>ok</v>
      </c>
      <c r="K1059" s="419"/>
      <c r="L1059" s="419"/>
      <c r="M1059" s="419"/>
      <c r="N1059" s="419"/>
      <c r="O1059" s="419"/>
      <c r="P1059" s="419"/>
      <c r="Q1059" s="419"/>
      <c r="R1059" s="419"/>
      <c r="S1059" s="419"/>
      <c r="T1059" s="419"/>
      <c r="U1059" s="419"/>
      <c r="V1059" s="419"/>
      <c r="W1059" s="419">
        <f t="shared" si="49"/>
        <v>0</v>
      </c>
      <c r="X1059" s="412"/>
      <c r="Y1059" s="412"/>
      <c r="Z1059" s="412"/>
      <c r="AA1059" s="412">
        <v>300</v>
      </c>
      <c r="AB1059" s="412"/>
      <c r="AC1059" s="412"/>
      <c r="AD1059" s="412"/>
      <c r="AE1059" s="412"/>
      <c r="AF1059" s="412"/>
      <c r="AG1059" s="412"/>
      <c r="AH1059" s="412"/>
      <c r="AI1059" s="412"/>
      <c r="AJ1059" s="412">
        <f t="shared" si="50"/>
        <v>300</v>
      </c>
      <c r="AK1059" s="198"/>
      <c r="AL1059" s="250" t="s">
        <v>2067</v>
      </c>
    </row>
    <row r="1060" spans="1:38" ht="14.1" customHeight="1" x14ac:dyDescent="0.2">
      <c r="A1060" t="s">
        <v>891</v>
      </c>
      <c r="B1060" s="193">
        <v>4677</v>
      </c>
      <c r="C1060" s="194" t="s">
        <v>1050</v>
      </c>
      <c r="D1060" s="229" t="s">
        <v>1380</v>
      </c>
      <c r="E1060" s="229" t="s">
        <v>1220</v>
      </c>
      <c r="F1060" s="240">
        <v>150</v>
      </c>
      <c r="G1060" s="196">
        <v>1</v>
      </c>
      <c r="H1060" s="195">
        <v>150</v>
      </c>
      <c r="I1060" s="197">
        <v>41378</v>
      </c>
      <c r="J1060" s="197" t="str">
        <f t="shared" si="51"/>
        <v>ok</v>
      </c>
      <c r="K1060" s="419"/>
      <c r="L1060" s="419"/>
      <c r="M1060" s="419"/>
      <c r="N1060" s="419"/>
      <c r="O1060" s="419"/>
      <c r="P1060" s="419"/>
      <c r="Q1060" s="419"/>
      <c r="R1060" s="419"/>
      <c r="S1060" s="419"/>
      <c r="T1060" s="419"/>
      <c r="U1060" s="419"/>
      <c r="V1060" s="419"/>
      <c r="W1060" s="419">
        <f t="shared" si="49"/>
        <v>0</v>
      </c>
      <c r="X1060" s="412"/>
      <c r="Y1060" s="412"/>
      <c r="Z1060" s="412"/>
      <c r="AA1060" s="412"/>
      <c r="AB1060" s="412">
        <v>150</v>
      </c>
      <c r="AC1060" s="412"/>
      <c r="AD1060" s="412"/>
      <c r="AE1060" s="412"/>
      <c r="AF1060" s="412"/>
      <c r="AG1060" s="412"/>
      <c r="AH1060" s="412"/>
      <c r="AI1060" s="412"/>
      <c r="AJ1060" s="412">
        <f t="shared" si="50"/>
        <v>150</v>
      </c>
      <c r="AK1060" s="198"/>
      <c r="AL1060" s="250" t="s">
        <v>2067</v>
      </c>
    </row>
    <row r="1061" spans="1:38" ht="14.1" customHeight="1" x14ac:dyDescent="0.2">
      <c r="A1061" t="s">
        <v>893</v>
      </c>
      <c r="B1061" s="193">
        <v>4678</v>
      </c>
      <c r="C1061" s="194" t="s">
        <v>1131</v>
      </c>
      <c r="D1061" s="229" t="s">
        <v>1373</v>
      </c>
      <c r="E1061" s="229" t="s">
        <v>299</v>
      </c>
      <c r="F1061" s="240">
        <v>300</v>
      </c>
      <c r="G1061" s="196">
        <v>1</v>
      </c>
      <c r="H1061" s="195">
        <v>300</v>
      </c>
      <c r="I1061" s="197">
        <v>41378</v>
      </c>
      <c r="J1061" s="197" t="str">
        <f t="shared" si="51"/>
        <v>ok</v>
      </c>
      <c r="K1061" s="419"/>
      <c r="L1061" s="419"/>
      <c r="M1061" s="419"/>
      <c r="N1061" s="419"/>
      <c r="O1061" s="419"/>
      <c r="P1061" s="419"/>
      <c r="Q1061" s="419"/>
      <c r="R1061" s="419"/>
      <c r="S1061" s="419"/>
      <c r="T1061" s="419"/>
      <c r="U1061" s="419"/>
      <c r="V1061" s="419"/>
      <c r="W1061" s="419">
        <f t="shared" si="49"/>
        <v>0</v>
      </c>
      <c r="X1061" s="412"/>
      <c r="Y1061" s="412"/>
      <c r="Z1061" s="412"/>
      <c r="AA1061" s="412">
        <v>300</v>
      </c>
      <c r="AB1061" s="412"/>
      <c r="AC1061" s="412"/>
      <c r="AD1061" s="412"/>
      <c r="AE1061" s="412"/>
      <c r="AF1061" s="412"/>
      <c r="AG1061" s="412"/>
      <c r="AH1061" s="412"/>
      <c r="AI1061" s="412"/>
      <c r="AJ1061" s="412">
        <f t="shared" si="50"/>
        <v>300</v>
      </c>
      <c r="AK1061" s="198"/>
      <c r="AL1061" s="250" t="s">
        <v>2067</v>
      </c>
    </row>
    <row r="1062" spans="1:38" ht="14.1" customHeight="1" x14ac:dyDescent="0.2">
      <c r="A1062" t="s">
        <v>890</v>
      </c>
      <c r="B1062" s="193">
        <v>4679</v>
      </c>
      <c r="C1062" s="194" t="s">
        <v>992</v>
      </c>
      <c r="D1062" s="229" t="s">
        <v>1624</v>
      </c>
      <c r="E1062" s="229" t="s">
        <v>727</v>
      </c>
      <c r="F1062" s="240">
        <v>300</v>
      </c>
      <c r="G1062" s="196">
        <v>1</v>
      </c>
      <c r="H1062" s="195">
        <v>300</v>
      </c>
      <c r="I1062" s="197">
        <v>41378</v>
      </c>
      <c r="J1062" s="197" t="str">
        <f t="shared" si="51"/>
        <v>ok</v>
      </c>
      <c r="K1062" s="419"/>
      <c r="L1062" s="419"/>
      <c r="M1062" s="419"/>
      <c r="N1062" s="419"/>
      <c r="O1062" s="419"/>
      <c r="P1062" s="419"/>
      <c r="Q1062" s="419"/>
      <c r="R1062" s="419"/>
      <c r="S1062" s="419"/>
      <c r="T1062" s="419"/>
      <c r="U1062" s="419"/>
      <c r="V1062" s="419"/>
      <c r="W1062" s="419">
        <f t="shared" si="49"/>
        <v>0</v>
      </c>
      <c r="X1062" s="412"/>
      <c r="Y1062" s="412"/>
      <c r="Z1062" s="412"/>
      <c r="AA1062" s="412">
        <v>300</v>
      </c>
      <c r="AB1062" s="412"/>
      <c r="AC1062" s="412"/>
      <c r="AD1062" s="412"/>
      <c r="AE1062" s="412"/>
      <c r="AF1062" s="412"/>
      <c r="AG1062" s="412"/>
      <c r="AH1062" s="412"/>
      <c r="AI1062" s="412"/>
      <c r="AJ1062" s="412">
        <f t="shared" si="50"/>
        <v>300</v>
      </c>
      <c r="AK1062" s="198"/>
      <c r="AL1062" s="250" t="s">
        <v>2067</v>
      </c>
    </row>
    <row r="1063" spans="1:38" ht="14.1" customHeight="1" x14ac:dyDescent="0.2">
      <c r="A1063" t="s">
        <v>890</v>
      </c>
      <c r="B1063" s="193">
        <v>4680</v>
      </c>
      <c r="C1063" s="194" t="s">
        <v>1029</v>
      </c>
      <c r="D1063" s="229" t="s">
        <v>1482</v>
      </c>
      <c r="E1063" s="229" t="s">
        <v>529</v>
      </c>
      <c r="F1063" s="240">
        <v>300</v>
      </c>
      <c r="G1063" s="196">
        <v>1</v>
      </c>
      <c r="H1063" s="195">
        <v>300</v>
      </c>
      <c r="I1063" s="197">
        <v>41378</v>
      </c>
      <c r="J1063" s="197" t="str">
        <f t="shared" si="51"/>
        <v>ok</v>
      </c>
      <c r="K1063" s="419"/>
      <c r="L1063" s="419"/>
      <c r="M1063" s="419"/>
      <c r="N1063" s="419"/>
      <c r="O1063" s="419"/>
      <c r="P1063" s="419"/>
      <c r="Q1063" s="419"/>
      <c r="R1063" s="419"/>
      <c r="S1063" s="419"/>
      <c r="T1063" s="419"/>
      <c r="U1063" s="419"/>
      <c r="V1063" s="419"/>
      <c r="W1063" s="419">
        <f t="shared" si="49"/>
        <v>0</v>
      </c>
      <c r="X1063" s="412"/>
      <c r="Y1063" s="412"/>
      <c r="Z1063" s="412"/>
      <c r="AA1063" s="412">
        <v>300</v>
      </c>
      <c r="AB1063" s="412"/>
      <c r="AC1063" s="412"/>
      <c r="AD1063" s="412"/>
      <c r="AE1063" s="412"/>
      <c r="AF1063" s="412"/>
      <c r="AG1063" s="412"/>
      <c r="AH1063" s="412"/>
      <c r="AI1063" s="412"/>
      <c r="AJ1063" s="412">
        <f t="shared" si="50"/>
        <v>300</v>
      </c>
      <c r="AK1063" s="198"/>
      <c r="AL1063" s="250" t="s">
        <v>2067</v>
      </c>
    </row>
    <row r="1064" spans="1:38" ht="14.1" customHeight="1" x14ac:dyDescent="0.2">
      <c r="A1064" t="s">
        <v>888</v>
      </c>
      <c r="B1064" s="193">
        <v>4681</v>
      </c>
      <c r="C1064" s="194" t="s">
        <v>915</v>
      </c>
      <c r="D1064" s="229" t="s">
        <v>1592</v>
      </c>
      <c r="E1064" s="229" t="s">
        <v>717</v>
      </c>
      <c r="F1064" s="240">
        <v>200</v>
      </c>
      <c r="G1064" s="196">
        <v>1</v>
      </c>
      <c r="H1064" s="195">
        <v>400</v>
      </c>
      <c r="I1064" s="197">
        <v>41378</v>
      </c>
      <c r="J1064" s="197" t="str">
        <f t="shared" si="51"/>
        <v>ok</v>
      </c>
      <c r="K1064" s="419"/>
      <c r="L1064" s="419"/>
      <c r="M1064" s="419"/>
      <c r="N1064" s="419"/>
      <c r="O1064" s="419"/>
      <c r="P1064" s="419"/>
      <c r="Q1064" s="419"/>
      <c r="R1064" s="419"/>
      <c r="S1064" s="419"/>
      <c r="T1064" s="419"/>
      <c r="U1064" s="419"/>
      <c r="V1064" s="419"/>
      <c r="W1064" s="419">
        <f t="shared" si="49"/>
        <v>0</v>
      </c>
      <c r="X1064" s="412"/>
      <c r="Y1064" s="412"/>
      <c r="Z1064" s="412">
        <v>200</v>
      </c>
      <c r="AA1064" s="412">
        <v>200</v>
      </c>
      <c r="AB1064" s="412"/>
      <c r="AC1064" s="412"/>
      <c r="AD1064" s="412"/>
      <c r="AE1064" s="412"/>
      <c r="AF1064" s="412"/>
      <c r="AG1064" s="412"/>
      <c r="AH1064" s="412"/>
      <c r="AI1064" s="412"/>
      <c r="AJ1064" s="412">
        <f t="shared" si="50"/>
        <v>400</v>
      </c>
      <c r="AK1064" s="198"/>
      <c r="AL1064" s="250" t="s">
        <v>2067</v>
      </c>
    </row>
    <row r="1065" spans="1:38" ht="14.1" customHeight="1" x14ac:dyDescent="0.2">
      <c r="A1065" t="s">
        <v>893</v>
      </c>
      <c r="B1065" s="193">
        <v>4682</v>
      </c>
      <c r="C1065" s="194" t="s">
        <v>1113</v>
      </c>
      <c r="D1065" s="229" t="s">
        <v>1531</v>
      </c>
      <c r="E1065" s="229" t="s">
        <v>57</v>
      </c>
      <c r="F1065" s="240">
        <v>150</v>
      </c>
      <c r="G1065" s="196">
        <v>1</v>
      </c>
      <c r="H1065" s="195">
        <v>150</v>
      </c>
      <c r="I1065" s="197">
        <v>41378</v>
      </c>
      <c r="J1065" s="197" t="str">
        <f t="shared" si="51"/>
        <v>ok</v>
      </c>
      <c r="K1065" s="419"/>
      <c r="L1065" s="419"/>
      <c r="M1065" s="419"/>
      <c r="N1065" s="419"/>
      <c r="O1065" s="419"/>
      <c r="P1065" s="419"/>
      <c r="Q1065" s="419"/>
      <c r="R1065" s="419"/>
      <c r="S1065" s="419"/>
      <c r="T1065" s="419"/>
      <c r="U1065" s="419"/>
      <c r="V1065" s="419"/>
      <c r="W1065" s="419">
        <f t="shared" si="49"/>
        <v>0</v>
      </c>
      <c r="X1065" s="412"/>
      <c r="Y1065" s="412"/>
      <c r="Z1065" s="412">
        <v>150</v>
      </c>
      <c r="AA1065" s="412"/>
      <c r="AB1065" s="412"/>
      <c r="AC1065" s="412"/>
      <c r="AD1065" s="412"/>
      <c r="AE1065" s="412"/>
      <c r="AF1065" s="412"/>
      <c r="AG1065" s="412"/>
      <c r="AH1065" s="412"/>
      <c r="AI1065" s="412"/>
      <c r="AJ1065" s="412">
        <f t="shared" si="50"/>
        <v>150</v>
      </c>
      <c r="AK1065" s="198"/>
      <c r="AL1065" s="250" t="s">
        <v>2067</v>
      </c>
    </row>
    <row r="1066" spans="1:38" ht="14.1" customHeight="1" x14ac:dyDescent="0.2">
      <c r="A1066" t="s">
        <v>893</v>
      </c>
      <c r="B1066" s="193">
        <v>4683</v>
      </c>
      <c r="C1066" s="194" t="s">
        <v>1108</v>
      </c>
      <c r="D1066" s="229" t="s">
        <v>1466</v>
      </c>
      <c r="E1066" s="229" t="s">
        <v>257</v>
      </c>
      <c r="F1066" s="240">
        <v>300</v>
      </c>
      <c r="G1066" s="196">
        <v>1</v>
      </c>
      <c r="H1066" s="195">
        <v>600</v>
      </c>
      <c r="I1066" s="197">
        <v>41380</v>
      </c>
      <c r="J1066" s="197" t="str">
        <f t="shared" si="51"/>
        <v>ok</v>
      </c>
      <c r="K1066" s="419"/>
      <c r="L1066" s="419"/>
      <c r="M1066" s="419"/>
      <c r="N1066" s="419"/>
      <c r="O1066" s="419"/>
      <c r="P1066" s="419"/>
      <c r="Q1066" s="419"/>
      <c r="R1066" s="419"/>
      <c r="S1066" s="419"/>
      <c r="T1066" s="419"/>
      <c r="U1066" s="419"/>
      <c r="V1066" s="419"/>
      <c r="W1066" s="419">
        <f t="shared" si="49"/>
        <v>0</v>
      </c>
      <c r="X1066" s="412"/>
      <c r="Y1066" s="412"/>
      <c r="Z1066" s="412">
        <v>300</v>
      </c>
      <c r="AA1066" s="412">
        <v>300</v>
      </c>
      <c r="AB1066" s="412"/>
      <c r="AC1066" s="412"/>
      <c r="AD1066" s="412"/>
      <c r="AE1066" s="412"/>
      <c r="AF1066" s="412"/>
      <c r="AG1066" s="412"/>
      <c r="AH1066" s="412"/>
      <c r="AI1066" s="412"/>
      <c r="AJ1066" s="412">
        <f t="shared" si="50"/>
        <v>600</v>
      </c>
      <c r="AK1066" s="198"/>
      <c r="AL1066" s="250" t="s">
        <v>2067</v>
      </c>
    </row>
    <row r="1067" spans="1:38" ht="14.1" customHeight="1" x14ac:dyDescent="0.2">
      <c r="A1067" t="s">
        <v>884</v>
      </c>
      <c r="B1067" s="193">
        <v>4684</v>
      </c>
      <c r="C1067" s="194" t="s">
        <v>858</v>
      </c>
      <c r="D1067" s="229" t="s">
        <v>1527</v>
      </c>
      <c r="E1067" s="229" t="s">
        <v>103</v>
      </c>
      <c r="F1067" s="240">
        <v>300</v>
      </c>
      <c r="G1067" s="196">
        <v>1</v>
      </c>
      <c r="H1067" s="195">
        <v>300</v>
      </c>
      <c r="I1067" s="197">
        <v>41378</v>
      </c>
      <c r="J1067" s="197" t="str">
        <f t="shared" si="51"/>
        <v>ok</v>
      </c>
      <c r="K1067" s="419"/>
      <c r="L1067" s="419"/>
      <c r="M1067" s="419"/>
      <c r="N1067" s="419"/>
      <c r="O1067" s="419"/>
      <c r="P1067" s="419"/>
      <c r="Q1067" s="419"/>
      <c r="R1067" s="419"/>
      <c r="S1067" s="419"/>
      <c r="T1067" s="419"/>
      <c r="U1067" s="419"/>
      <c r="V1067" s="419"/>
      <c r="W1067" s="419">
        <f t="shared" si="49"/>
        <v>0</v>
      </c>
      <c r="X1067" s="412"/>
      <c r="Y1067" s="412"/>
      <c r="Z1067" s="412"/>
      <c r="AA1067" s="412">
        <v>300</v>
      </c>
      <c r="AB1067" s="412"/>
      <c r="AC1067" s="412"/>
      <c r="AD1067" s="412"/>
      <c r="AE1067" s="412"/>
      <c r="AF1067" s="412"/>
      <c r="AG1067" s="412"/>
      <c r="AH1067" s="412"/>
      <c r="AI1067" s="412"/>
      <c r="AJ1067" s="412">
        <f t="shared" si="50"/>
        <v>300</v>
      </c>
      <c r="AK1067" s="198"/>
      <c r="AL1067" s="250" t="s">
        <v>2067</v>
      </c>
    </row>
    <row r="1068" spans="1:38" ht="14.1" customHeight="1" x14ac:dyDescent="0.2">
      <c r="A1068" t="s">
        <v>888</v>
      </c>
      <c r="B1068" s="193">
        <v>4685</v>
      </c>
      <c r="C1068" s="194" t="s">
        <v>929</v>
      </c>
      <c r="D1068" s="229" t="s">
        <v>1642</v>
      </c>
      <c r="E1068" s="229" t="s">
        <v>380</v>
      </c>
      <c r="F1068" s="240">
        <v>300</v>
      </c>
      <c r="G1068" s="196">
        <v>1</v>
      </c>
      <c r="H1068" s="195">
        <v>900</v>
      </c>
      <c r="I1068" s="197">
        <v>41378</v>
      </c>
      <c r="J1068" s="197" t="str">
        <f t="shared" si="51"/>
        <v>ok</v>
      </c>
      <c r="K1068" s="419"/>
      <c r="L1068" s="419"/>
      <c r="M1068" s="419"/>
      <c r="N1068" s="419"/>
      <c r="O1068" s="419"/>
      <c r="P1068" s="419"/>
      <c r="Q1068" s="419"/>
      <c r="R1068" s="419"/>
      <c r="S1068" s="419"/>
      <c r="T1068" s="419"/>
      <c r="U1068" s="419"/>
      <c r="V1068" s="419"/>
      <c r="W1068" s="419">
        <f t="shared" si="49"/>
        <v>0</v>
      </c>
      <c r="X1068" s="412">
        <v>300</v>
      </c>
      <c r="Y1068" s="412">
        <v>300</v>
      </c>
      <c r="Z1068" s="412">
        <v>300</v>
      </c>
      <c r="AA1068" s="412"/>
      <c r="AB1068" s="412"/>
      <c r="AC1068" s="412"/>
      <c r="AD1068" s="412"/>
      <c r="AE1068" s="412"/>
      <c r="AF1068" s="412"/>
      <c r="AG1068" s="412"/>
      <c r="AH1068" s="412"/>
      <c r="AI1068" s="412"/>
      <c r="AJ1068" s="412">
        <f t="shared" si="50"/>
        <v>900</v>
      </c>
      <c r="AK1068" s="198"/>
      <c r="AL1068" s="250" t="s">
        <v>2067</v>
      </c>
    </row>
    <row r="1069" spans="1:38" ht="14.1" customHeight="1" x14ac:dyDescent="0.2">
      <c r="A1069" t="s">
        <v>884</v>
      </c>
      <c r="B1069" s="193">
        <v>4686</v>
      </c>
      <c r="C1069" s="194" t="s">
        <v>813</v>
      </c>
      <c r="D1069" s="229" t="s">
        <v>1653</v>
      </c>
      <c r="E1069" s="229" t="s">
        <v>35</v>
      </c>
      <c r="F1069" s="240">
        <v>150</v>
      </c>
      <c r="G1069" s="196">
        <v>1</v>
      </c>
      <c r="H1069" s="195">
        <v>450</v>
      </c>
      <c r="I1069" s="197">
        <v>41378</v>
      </c>
      <c r="J1069" s="197" t="str">
        <f t="shared" si="51"/>
        <v>ok</v>
      </c>
      <c r="K1069" s="419"/>
      <c r="L1069" s="419"/>
      <c r="M1069" s="419"/>
      <c r="N1069" s="419"/>
      <c r="O1069" s="419"/>
      <c r="P1069" s="419"/>
      <c r="Q1069" s="419"/>
      <c r="R1069" s="419"/>
      <c r="S1069" s="419"/>
      <c r="T1069" s="419"/>
      <c r="U1069" s="419"/>
      <c r="V1069" s="419"/>
      <c r="W1069" s="419">
        <f t="shared" si="49"/>
        <v>0</v>
      </c>
      <c r="X1069" s="412">
        <v>150</v>
      </c>
      <c r="Y1069" s="412">
        <v>150</v>
      </c>
      <c r="Z1069" s="412">
        <v>150</v>
      </c>
      <c r="AA1069" s="412"/>
      <c r="AB1069" s="412"/>
      <c r="AC1069" s="412"/>
      <c r="AD1069" s="412"/>
      <c r="AE1069" s="412"/>
      <c r="AF1069" s="412"/>
      <c r="AG1069" s="412"/>
      <c r="AH1069" s="412"/>
      <c r="AI1069" s="412"/>
      <c r="AJ1069" s="412">
        <f t="shared" si="50"/>
        <v>450</v>
      </c>
      <c r="AK1069" s="198"/>
      <c r="AL1069" s="250" t="s">
        <v>2067</v>
      </c>
    </row>
    <row r="1070" spans="1:38" ht="14.1" customHeight="1" x14ac:dyDescent="0.2">
      <c r="A1070" t="s">
        <v>884</v>
      </c>
      <c r="B1070" s="193">
        <v>4687</v>
      </c>
      <c r="C1070" s="194" t="s">
        <v>837</v>
      </c>
      <c r="D1070" s="229" t="s">
        <v>1628</v>
      </c>
      <c r="E1070" s="229" t="s">
        <v>75</v>
      </c>
      <c r="F1070" s="240">
        <v>300</v>
      </c>
      <c r="G1070" s="196">
        <v>1</v>
      </c>
      <c r="H1070" s="195">
        <v>600</v>
      </c>
      <c r="I1070" s="197">
        <v>41378</v>
      </c>
      <c r="J1070" s="197" t="str">
        <f t="shared" si="51"/>
        <v>ok</v>
      </c>
      <c r="K1070" s="419"/>
      <c r="L1070" s="419"/>
      <c r="M1070" s="419"/>
      <c r="N1070" s="419"/>
      <c r="O1070" s="419"/>
      <c r="P1070" s="419"/>
      <c r="Q1070" s="419"/>
      <c r="R1070" s="419"/>
      <c r="S1070" s="419"/>
      <c r="T1070" s="419"/>
      <c r="U1070" s="419"/>
      <c r="V1070" s="419"/>
      <c r="W1070" s="419">
        <f t="shared" si="49"/>
        <v>0</v>
      </c>
      <c r="X1070" s="412"/>
      <c r="Y1070" s="412"/>
      <c r="Z1070" s="412"/>
      <c r="AA1070" s="412">
        <v>300</v>
      </c>
      <c r="AB1070" s="412">
        <v>300</v>
      </c>
      <c r="AC1070" s="412"/>
      <c r="AD1070" s="412"/>
      <c r="AE1070" s="412"/>
      <c r="AF1070" s="412"/>
      <c r="AG1070" s="412"/>
      <c r="AH1070" s="412"/>
      <c r="AI1070" s="412"/>
      <c r="AJ1070" s="412">
        <f t="shared" si="50"/>
        <v>600</v>
      </c>
      <c r="AK1070" s="198"/>
      <c r="AL1070" s="250" t="s">
        <v>2067</v>
      </c>
    </row>
    <row r="1071" spans="1:38" ht="14.1" customHeight="1" x14ac:dyDescent="0.2">
      <c r="A1071" t="s">
        <v>884</v>
      </c>
      <c r="B1071" s="193">
        <v>4688</v>
      </c>
      <c r="C1071" s="194" t="s">
        <v>845</v>
      </c>
      <c r="D1071" s="229" t="s">
        <v>1619</v>
      </c>
      <c r="E1071" s="229" t="s">
        <v>84</v>
      </c>
      <c r="F1071" s="240">
        <v>300</v>
      </c>
      <c r="G1071" s="196">
        <v>1</v>
      </c>
      <c r="H1071" s="195">
        <v>600</v>
      </c>
      <c r="I1071" s="197">
        <v>41378</v>
      </c>
      <c r="J1071" s="197" t="str">
        <f t="shared" si="51"/>
        <v>ok</v>
      </c>
      <c r="K1071" s="419"/>
      <c r="L1071" s="419"/>
      <c r="M1071" s="419"/>
      <c r="N1071" s="419"/>
      <c r="O1071" s="419"/>
      <c r="P1071" s="419"/>
      <c r="Q1071" s="419"/>
      <c r="R1071" s="419"/>
      <c r="S1071" s="419"/>
      <c r="T1071" s="419"/>
      <c r="U1071" s="419"/>
      <c r="V1071" s="419"/>
      <c r="W1071" s="419">
        <f t="shared" si="49"/>
        <v>0</v>
      </c>
      <c r="X1071" s="412"/>
      <c r="Y1071" s="412"/>
      <c r="Z1071" s="412">
        <v>300</v>
      </c>
      <c r="AA1071" s="412">
        <v>300</v>
      </c>
      <c r="AB1071" s="412"/>
      <c r="AC1071" s="412"/>
      <c r="AD1071" s="412"/>
      <c r="AE1071" s="412"/>
      <c r="AF1071" s="412"/>
      <c r="AG1071" s="412"/>
      <c r="AH1071" s="412"/>
      <c r="AI1071" s="412"/>
      <c r="AJ1071" s="412">
        <f t="shared" si="50"/>
        <v>600</v>
      </c>
      <c r="AK1071" s="198"/>
      <c r="AL1071" s="250" t="s">
        <v>2067</v>
      </c>
    </row>
    <row r="1072" spans="1:38" ht="14.1" customHeight="1" x14ac:dyDescent="0.2">
      <c r="A1072" t="s">
        <v>884</v>
      </c>
      <c r="B1072" s="193">
        <v>4689</v>
      </c>
      <c r="C1072" s="194" t="s">
        <v>852</v>
      </c>
      <c r="D1072" s="229" t="s">
        <v>1477</v>
      </c>
      <c r="E1072" s="229" t="s">
        <v>92</v>
      </c>
      <c r="F1072" s="240">
        <v>150</v>
      </c>
      <c r="G1072" s="196">
        <v>1</v>
      </c>
      <c r="H1072" s="195">
        <v>150</v>
      </c>
      <c r="I1072" s="197">
        <v>41378</v>
      </c>
      <c r="J1072" s="197" t="str">
        <f t="shared" si="51"/>
        <v>ok</v>
      </c>
      <c r="K1072" s="419"/>
      <c r="L1072" s="419"/>
      <c r="M1072" s="419"/>
      <c r="N1072" s="419"/>
      <c r="O1072" s="419"/>
      <c r="P1072" s="419"/>
      <c r="Q1072" s="419"/>
      <c r="R1072" s="419"/>
      <c r="S1072" s="419"/>
      <c r="T1072" s="419"/>
      <c r="U1072" s="419"/>
      <c r="V1072" s="419"/>
      <c r="W1072" s="419">
        <f t="shared" si="49"/>
        <v>0</v>
      </c>
      <c r="X1072" s="412"/>
      <c r="Y1072" s="412"/>
      <c r="Z1072" s="412"/>
      <c r="AA1072" s="412">
        <v>150</v>
      </c>
      <c r="AB1072" s="412"/>
      <c r="AC1072" s="412"/>
      <c r="AD1072" s="412"/>
      <c r="AE1072" s="412"/>
      <c r="AF1072" s="412"/>
      <c r="AG1072" s="412"/>
      <c r="AH1072" s="412"/>
      <c r="AI1072" s="412"/>
      <c r="AJ1072" s="412">
        <f t="shared" si="50"/>
        <v>150</v>
      </c>
      <c r="AK1072" s="198"/>
      <c r="AL1072" s="250" t="s">
        <v>2067</v>
      </c>
    </row>
    <row r="1073" spans="1:38" ht="14.1" customHeight="1" x14ac:dyDescent="0.2">
      <c r="A1073" t="s">
        <v>890</v>
      </c>
      <c r="B1073" s="193">
        <v>4690</v>
      </c>
      <c r="C1073" s="194" t="s">
        <v>996</v>
      </c>
      <c r="D1073" s="229" t="s">
        <v>1595</v>
      </c>
      <c r="E1073" s="229" t="s">
        <v>1216</v>
      </c>
      <c r="F1073" s="240">
        <v>300</v>
      </c>
      <c r="G1073" s="196">
        <v>1</v>
      </c>
      <c r="H1073" s="195">
        <v>600</v>
      </c>
      <c r="I1073" s="197">
        <v>41378</v>
      </c>
      <c r="J1073" s="197" t="str">
        <f t="shared" si="51"/>
        <v>ok</v>
      </c>
      <c r="K1073" s="419"/>
      <c r="L1073" s="419"/>
      <c r="M1073" s="419"/>
      <c r="N1073" s="419"/>
      <c r="O1073" s="419"/>
      <c r="P1073" s="419"/>
      <c r="Q1073" s="419"/>
      <c r="R1073" s="419"/>
      <c r="S1073" s="419"/>
      <c r="T1073" s="419"/>
      <c r="U1073" s="419"/>
      <c r="V1073" s="419"/>
      <c r="W1073" s="419">
        <f t="shared" si="49"/>
        <v>0</v>
      </c>
      <c r="X1073" s="412"/>
      <c r="Y1073" s="412"/>
      <c r="Z1073" s="412"/>
      <c r="AA1073" s="412">
        <v>300</v>
      </c>
      <c r="AB1073" s="412">
        <v>300</v>
      </c>
      <c r="AC1073" s="412"/>
      <c r="AD1073" s="412"/>
      <c r="AE1073" s="412"/>
      <c r="AF1073" s="412"/>
      <c r="AG1073" s="412"/>
      <c r="AH1073" s="412"/>
      <c r="AI1073" s="412"/>
      <c r="AJ1073" s="412">
        <f t="shared" si="50"/>
        <v>600</v>
      </c>
      <c r="AK1073" s="198"/>
      <c r="AL1073" s="250" t="s">
        <v>2067</v>
      </c>
    </row>
    <row r="1074" spans="1:38" ht="14.1" customHeight="1" x14ac:dyDescent="0.2">
      <c r="A1074" t="s">
        <v>890</v>
      </c>
      <c r="B1074" s="193">
        <v>4691</v>
      </c>
      <c r="C1074" s="194" t="s">
        <v>993</v>
      </c>
      <c r="D1074" s="229" t="s">
        <v>1416</v>
      </c>
      <c r="E1074" s="229" t="s">
        <v>728</v>
      </c>
      <c r="F1074" s="240">
        <v>200</v>
      </c>
      <c r="G1074" s="196">
        <v>1</v>
      </c>
      <c r="H1074" s="195">
        <v>600</v>
      </c>
      <c r="I1074" s="197">
        <v>41378</v>
      </c>
      <c r="J1074" s="197" t="str">
        <f t="shared" si="51"/>
        <v>ok</v>
      </c>
      <c r="K1074" s="419"/>
      <c r="L1074" s="419"/>
      <c r="M1074" s="419"/>
      <c r="N1074" s="419"/>
      <c r="O1074" s="419"/>
      <c r="P1074" s="419"/>
      <c r="Q1074" s="419"/>
      <c r="R1074" s="419"/>
      <c r="S1074" s="419"/>
      <c r="T1074" s="419"/>
      <c r="U1074" s="419"/>
      <c r="V1074" s="419"/>
      <c r="W1074" s="419">
        <f t="shared" si="49"/>
        <v>0</v>
      </c>
      <c r="X1074" s="412">
        <v>200</v>
      </c>
      <c r="Y1074" s="412">
        <v>200</v>
      </c>
      <c r="Z1074" s="412">
        <v>200</v>
      </c>
      <c r="AA1074" s="412"/>
      <c r="AB1074" s="412"/>
      <c r="AC1074" s="412"/>
      <c r="AD1074" s="412"/>
      <c r="AE1074" s="412"/>
      <c r="AF1074" s="412"/>
      <c r="AG1074" s="412"/>
      <c r="AH1074" s="412"/>
      <c r="AI1074" s="412"/>
      <c r="AJ1074" s="412">
        <f t="shared" si="50"/>
        <v>600</v>
      </c>
      <c r="AK1074" s="198"/>
      <c r="AL1074" s="250" t="s">
        <v>2067</v>
      </c>
    </row>
    <row r="1075" spans="1:38" ht="14.1" customHeight="1" x14ac:dyDescent="0.2">
      <c r="A1075" t="s">
        <v>894</v>
      </c>
      <c r="B1075" s="193">
        <v>4692</v>
      </c>
      <c r="C1075" s="194" t="s">
        <v>1163</v>
      </c>
      <c r="D1075" s="229" t="s">
        <v>1492</v>
      </c>
      <c r="E1075" s="229" t="s">
        <v>1225</v>
      </c>
      <c r="F1075" s="240">
        <v>250</v>
      </c>
      <c r="G1075" s="196">
        <v>1</v>
      </c>
      <c r="H1075" s="195">
        <v>750</v>
      </c>
      <c r="I1075" s="197">
        <v>41378</v>
      </c>
      <c r="J1075" s="197" t="str">
        <f t="shared" si="51"/>
        <v>ok</v>
      </c>
      <c r="K1075" s="419"/>
      <c r="L1075" s="419"/>
      <c r="M1075" s="419"/>
      <c r="N1075" s="419"/>
      <c r="O1075" s="419"/>
      <c r="P1075" s="419"/>
      <c r="Q1075" s="419"/>
      <c r="R1075" s="419"/>
      <c r="S1075" s="419"/>
      <c r="T1075" s="419"/>
      <c r="U1075" s="419"/>
      <c r="V1075" s="419"/>
      <c r="W1075" s="419">
        <f t="shared" si="49"/>
        <v>0</v>
      </c>
      <c r="X1075" s="412"/>
      <c r="Y1075" s="412">
        <v>250</v>
      </c>
      <c r="Z1075" s="412">
        <v>250</v>
      </c>
      <c r="AA1075" s="412">
        <v>250</v>
      </c>
      <c r="AB1075" s="412"/>
      <c r="AC1075" s="412"/>
      <c r="AD1075" s="412"/>
      <c r="AE1075" s="412"/>
      <c r="AF1075" s="412"/>
      <c r="AG1075" s="412"/>
      <c r="AH1075" s="412"/>
      <c r="AI1075" s="412"/>
      <c r="AJ1075" s="412">
        <f t="shared" si="50"/>
        <v>750</v>
      </c>
      <c r="AK1075" s="198"/>
      <c r="AL1075" s="250" t="s">
        <v>2067</v>
      </c>
    </row>
    <row r="1076" spans="1:38" ht="14.1" customHeight="1" x14ac:dyDescent="0.2">
      <c r="A1076" t="s">
        <v>888</v>
      </c>
      <c r="B1076" s="193">
        <v>4693</v>
      </c>
      <c r="C1076" s="194" t="s">
        <v>928</v>
      </c>
      <c r="D1076" s="229" t="s">
        <v>1393</v>
      </c>
      <c r="E1076" s="229" t="s">
        <v>719</v>
      </c>
      <c r="F1076" s="240">
        <v>300</v>
      </c>
      <c r="G1076" s="196">
        <v>1</v>
      </c>
      <c r="H1076" s="195">
        <v>300</v>
      </c>
      <c r="I1076" s="197">
        <v>41378</v>
      </c>
      <c r="J1076" s="197" t="str">
        <f t="shared" si="51"/>
        <v>ok</v>
      </c>
      <c r="K1076" s="419"/>
      <c r="L1076" s="419"/>
      <c r="M1076" s="419"/>
      <c r="N1076" s="419"/>
      <c r="O1076" s="419"/>
      <c r="P1076" s="419"/>
      <c r="Q1076" s="419"/>
      <c r="R1076" s="419"/>
      <c r="S1076" s="419"/>
      <c r="T1076" s="419"/>
      <c r="U1076" s="419"/>
      <c r="V1076" s="419"/>
      <c r="W1076" s="419">
        <f t="shared" si="49"/>
        <v>0</v>
      </c>
      <c r="X1076" s="412"/>
      <c r="Y1076" s="412"/>
      <c r="Z1076" s="412"/>
      <c r="AA1076" s="412">
        <v>300</v>
      </c>
      <c r="AB1076" s="412"/>
      <c r="AC1076" s="412"/>
      <c r="AD1076" s="412"/>
      <c r="AE1076" s="412"/>
      <c r="AF1076" s="412"/>
      <c r="AG1076" s="412"/>
      <c r="AH1076" s="412"/>
      <c r="AI1076" s="412"/>
      <c r="AJ1076" s="412">
        <f t="shared" si="50"/>
        <v>300</v>
      </c>
      <c r="AK1076" s="198"/>
      <c r="AL1076" s="250" t="s">
        <v>2067</v>
      </c>
    </row>
    <row r="1077" spans="1:38" ht="14.1" customHeight="1" x14ac:dyDescent="0.2">
      <c r="A1077" t="s">
        <v>888</v>
      </c>
      <c r="B1077" s="193">
        <v>4694</v>
      </c>
      <c r="C1077" s="194" t="s">
        <v>933</v>
      </c>
      <c r="D1077" s="229" t="s">
        <v>1427</v>
      </c>
      <c r="E1077" s="229" t="s">
        <v>1212</v>
      </c>
      <c r="F1077" s="240">
        <v>300</v>
      </c>
      <c r="G1077" s="196">
        <v>1</v>
      </c>
      <c r="H1077" s="195">
        <v>300</v>
      </c>
      <c r="I1077" s="197">
        <v>41378</v>
      </c>
      <c r="J1077" s="197" t="str">
        <f t="shared" si="51"/>
        <v>ok</v>
      </c>
      <c r="K1077" s="419"/>
      <c r="L1077" s="419"/>
      <c r="M1077" s="419"/>
      <c r="N1077" s="419"/>
      <c r="O1077" s="419"/>
      <c r="P1077" s="419"/>
      <c r="Q1077" s="419"/>
      <c r="R1077" s="419"/>
      <c r="S1077" s="419"/>
      <c r="T1077" s="419"/>
      <c r="U1077" s="419"/>
      <c r="V1077" s="419"/>
      <c r="W1077" s="419">
        <f t="shared" si="49"/>
        <v>0</v>
      </c>
      <c r="X1077" s="412"/>
      <c r="Y1077" s="412"/>
      <c r="Z1077" s="412"/>
      <c r="AA1077" s="412">
        <v>300</v>
      </c>
      <c r="AB1077" s="412"/>
      <c r="AC1077" s="412"/>
      <c r="AD1077" s="412"/>
      <c r="AE1077" s="412"/>
      <c r="AF1077" s="412"/>
      <c r="AG1077" s="412"/>
      <c r="AH1077" s="412"/>
      <c r="AI1077" s="412"/>
      <c r="AJ1077" s="412">
        <f t="shared" si="50"/>
        <v>300</v>
      </c>
      <c r="AK1077" s="198"/>
      <c r="AL1077" s="250" t="s">
        <v>2067</v>
      </c>
    </row>
    <row r="1078" spans="1:38" ht="14.1" customHeight="1" x14ac:dyDescent="0.2">
      <c r="A1078" t="s">
        <v>888</v>
      </c>
      <c r="B1078" s="193">
        <v>4695</v>
      </c>
      <c r="C1078" s="194" t="s">
        <v>966</v>
      </c>
      <c r="D1078" s="229" t="s">
        <v>1526</v>
      </c>
      <c r="E1078" s="229" t="s">
        <v>432</v>
      </c>
      <c r="F1078" s="240">
        <v>250</v>
      </c>
      <c r="G1078" s="196">
        <v>1</v>
      </c>
      <c r="H1078" s="195">
        <v>500</v>
      </c>
      <c r="I1078" s="197">
        <v>41378</v>
      </c>
      <c r="J1078" s="197" t="str">
        <f t="shared" si="51"/>
        <v>ok</v>
      </c>
      <c r="K1078" s="419"/>
      <c r="L1078" s="419"/>
      <c r="M1078" s="419"/>
      <c r="N1078" s="419"/>
      <c r="O1078" s="419"/>
      <c r="P1078" s="419"/>
      <c r="Q1078" s="419"/>
      <c r="R1078" s="419"/>
      <c r="S1078" s="419"/>
      <c r="T1078" s="419"/>
      <c r="U1078" s="419"/>
      <c r="V1078" s="419"/>
      <c r="W1078" s="419">
        <f t="shared" si="49"/>
        <v>0</v>
      </c>
      <c r="X1078" s="412"/>
      <c r="Y1078" s="412">
        <v>250</v>
      </c>
      <c r="Z1078" s="412">
        <v>250</v>
      </c>
      <c r="AA1078" s="412"/>
      <c r="AB1078" s="412"/>
      <c r="AC1078" s="412"/>
      <c r="AD1078" s="412"/>
      <c r="AE1078" s="412"/>
      <c r="AF1078" s="412"/>
      <c r="AG1078" s="412"/>
      <c r="AH1078" s="412"/>
      <c r="AI1078" s="412"/>
      <c r="AJ1078" s="412">
        <f t="shared" si="50"/>
        <v>500</v>
      </c>
      <c r="AK1078" s="198"/>
      <c r="AL1078" s="250" t="s">
        <v>2067</v>
      </c>
    </row>
    <row r="1079" spans="1:38" ht="14.1" customHeight="1" x14ac:dyDescent="0.2">
      <c r="A1079" t="s">
        <v>892</v>
      </c>
      <c r="B1079" s="193">
        <v>4696</v>
      </c>
      <c r="C1079" s="194" t="s">
        <v>1055</v>
      </c>
      <c r="D1079" s="229" t="s">
        <v>1467</v>
      </c>
      <c r="E1079" s="229" t="s">
        <v>371</v>
      </c>
      <c r="F1079" s="240">
        <v>300</v>
      </c>
      <c r="G1079" s="196">
        <v>1</v>
      </c>
      <c r="H1079" s="195">
        <v>300</v>
      </c>
      <c r="I1079" s="197">
        <v>41378</v>
      </c>
      <c r="J1079" s="197" t="str">
        <f t="shared" si="51"/>
        <v>ok</v>
      </c>
      <c r="K1079" s="419"/>
      <c r="L1079" s="419"/>
      <c r="M1079" s="419"/>
      <c r="N1079" s="419"/>
      <c r="O1079" s="419"/>
      <c r="P1079" s="419"/>
      <c r="Q1079" s="419"/>
      <c r="R1079" s="419"/>
      <c r="S1079" s="419"/>
      <c r="T1079" s="419"/>
      <c r="U1079" s="419"/>
      <c r="V1079" s="419"/>
      <c r="W1079" s="419">
        <f t="shared" si="49"/>
        <v>0</v>
      </c>
      <c r="X1079" s="412"/>
      <c r="Y1079" s="412"/>
      <c r="Z1079" s="412"/>
      <c r="AA1079" s="412">
        <v>300</v>
      </c>
      <c r="AB1079" s="412"/>
      <c r="AC1079" s="412"/>
      <c r="AD1079" s="412"/>
      <c r="AE1079" s="412"/>
      <c r="AF1079" s="412"/>
      <c r="AG1079" s="412"/>
      <c r="AH1079" s="412"/>
      <c r="AI1079" s="412"/>
      <c r="AJ1079" s="412">
        <f t="shared" si="50"/>
        <v>300</v>
      </c>
      <c r="AK1079" s="198"/>
      <c r="AL1079" s="250" t="s">
        <v>2067</v>
      </c>
    </row>
    <row r="1080" spans="1:38" ht="14.1" customHeight="1" x14ac:dyDescent="0.2">
      <c r="A1080" t="s">
        <v>890</v>
      </c>
      <c r="B1080" s="193">
        <v>4697</v>
      </c>
      <c r="C1080" s="194" t="s">
        <v>1041</v>
      </c>
      <c r="D1080" s="229" t="s">
        <v>1654</v>
      </c>
      <c r="E1080" s="229" t="s">
        <v>550</v>
      </c>
      <c r="F1080" s="240">
        <v>150</v>
      </c>
      <c r="G1080" s="196">
        <v>1</v>
      </c>
      <c r="H1080" s="195">
        <v>300</v>
      </c>
      <c r="I1080" s="197">
        <v>41378</v>
      </c>
      <c r="J1080" s="197" t="str">
        <f t="shared" si="51"/>
        <v>ok</v>
      </c>
      <c r="K1080" s="419"/>
      <c r="L1080" s="419"/>
      <c r="M1080" s="419"/>
      <c r="N1080" s="419"/>
      <c r="O1080" s="419"/>
      <c r="P1080" s="419"/>
      <c r="Q1080" s="419"/>
      <c r="R1080" s="419"/>
      <c r="S1080" s="419"/>
      <c r="T1080" s="419"/>
      <c r="U1080" s="419"/>
      <c r="V1080" s="419"/>
      <c r="W1080" s="419">
        <f t="shared" si="49"/>
        <v>0</v>
      </c>
      <c r="X1080" s="412">
        <v>150</v>
      </c>
      <c r="Y1080" s="412">
        <v>150</v>
      </c>
      <c r="Z1080" s="412"/>
      <c r="AA1080" s="412"/>
      <c r="AB1080" s="412"/>
      <c r="AC1080" s="412"/>
      <c r="AD1080" s="412"/>
      <c r="AE1080" s="412"/>
      <c r="AF1080" s="412"/>
      <c r="AG1080" s="412"/>
      <c r="AH1080" s="412"/>
      <c r="AI1080" s="412"/>
      <c r="AJ1080" s="412">
        <f t="shared" si="50"/>
        <v>300</v>
      </c>
      <c r="AK1080" s="198"/>
      <c r="AL1080" s="250" t="s">
        <v>2067</v>
      </c>
    </row>
    <row r="1081" spans="1:38" ht="14.1" customHeight="1" x14ac:dyDescent="0.2">
      <c r="A1081" t="s">
        <v>890</v>
      </c>
      <c r="B1081" s="193">
        <v>4698</v>
      </c>
      <c r="C1081" s="194" t="s">
        <v>989</v>
      </c>
      <c r="D1081" s="229" t="s">
        <v>1392</v>
      </c>
      <c r="E1081" s="229" t="s">
        <v>478</v>
      </c>
      <c r="F1081" s="240">
        <v>300</v>
      </c>
      <c r="G1081" s="196">
        <v>1</v>
      </c>
      <c r="H1081" s="195">
        <v>300</v>
      </c>
      <c r="I1081" s="197">
        <v>41378</v>
      </c>
      <c r="J1081" s="197" t="str">
        <f t="shared" si="51"/>
        <v>ok</v>
      </c>
      <c r="K1081" s="419"/>
      <c r="L1081" s="419"/>
      <c r="M1081" s="419"/>
      <c r="N1081" s="419"/>
      <c r="O1081" s="419"/>
      <c r="P1081" s="419"/>
      <c r="Q1081" s="419"/>
      <c r="R1081" s="419"/>
      <c r="S1081" s="419"/>
      <c r="T1081" s="419"/>
      <c r="U1081" s="419"/>
      <c r="V1081" s="419"/>
      <c r="W1081" s="419">
        <f t="shared" si="49"/>
        <v>0</v>
      </c>
      <c r="X1081" s="412"/>
      <c r="Y1081" s="412"/>
      <c r="Z1081" s="412"/>
      <c r="AA1081" s="412">
        <v>300</v>
      </c>
      <c r="AB1081" s="412"/>
      <c r="AC1081" s="412"/>
      <c r="AD1081" s="412"/>
      <c r="AE1081" s="412"/>
      <c r="AF1081" s="412"/>
      <c r="AG1081" s="412"/>
      <c r="AH1081" s="412"/>
      <c r="AI1081" s="412"/>
      <c r="AJ1081" s="412">
        <f t="shared" si="50"/>
        <v>300</v>
      </c>
      <c r="AK1081" s="198"/>
      <c r="AL1081" s="250" t="s">
        <v>2067</v>
      </c>
    </row>
    <row r="1082" spans="1:38" ht="14.1" customHeight="1" x14ac:dyDescent="0.2">
      <c r="A1082" t="s">
        <v>884</v>
      </c>
      <c r="B1082" s="193">
        <v>4699</v>
      </c>
      <c r="C1082" s="194" t="s">
        <v>859</v>
      </c>
      <c r="D1082" s="229" t="s">
        <v>1404</v>
      </c>
      <c r="E1082" s="229" t="s">
        <v>105</v>
      </c>
      <c r="F1082" s="240">
        <v>150</v>
      </c>
      <c r="G1082" s="196">
        <v>1</v>
      </c>
      <c r="H1082" s="195">
        <v>150</v>
      </c>
      <c r="I1082" s="197">
        <v>41378</v>
      </c>
      <c r="J1082" s="197" t="str">
        <f t="shared" si="51"/>
        <v>ok</v>
      </c>
      <c r="K1082" s="419"/>
      <c r="L1082" s="419"/>
      <c r="M1082" s="419"/>
      <c r="N1082" s="419"/>
      <c r="O1082" s="419"/>
      <c r="P1082" s="419"/>
      <c r="Q1082" s="419"/>
      <c r="R1082" s="419"/>
      <c r="S1082" s="419"/>
      <c r="T1082" s="419"/>
      <c r="U1082" s="419"/>
      <c r="V1082" s="419"/>
      <c r="W1082" s="419">
        <f t="shared" si="49"/>
        <v>0</v>
      </c>
      <c r="X1082" s="412"/>
      <c r="Y1082" s="412"/>
      <c r="Z1082" s="412"/>
      <c r="AA1082" s="412">
        <v>150</v>
      </c>
      <c r="AB1082" s="412"/>
      <c r="AC1082" s="412"/>
      <c r="AD1082" s="412"/>
      <c r="AE1082" s="412"/>
      <c r="AF1082" s="412"/>
      <c r="AG1082" s="412"/>
      <c r="AH1082" s="412"/>
      <c r="AI1082" s="412"/>
      <c r="AJ1082" s="412">
        <f t="shared" si="50"/>
        <v>150</v>
      </c>
      <c r="AK1082" s="198"/>
      <c r="AL1082" s="250" t="s">
        <v>2067</v>
      </c>
    </row>
    <row r="1083" spans="1:38" ht="14.1" customHeight="1" x14ac:dyDescent="0.2">
      <c r="A1083" t="s">
        <v>890</v>
      </c>
      <c r="B1083" s="193">
        <v>4700</v>
      </c>
      <c r="C1083" s="194" t="s">
        <v>1012</v>
      </c>
      <c r="D1083" s="229" t="s">
        <v>1474</v>
      </c>
      <c r="E1083" s="229" t="s">
        <v>729</v>
      </c>
      <c r="F1083" s="240">
        <v>300</v>
      </c>
      <c r="G1083" s="196">
        <v>1</v>
      </c>
      <c r="H1083" s="195">
        <v>300</v>
      </c>
      <c r="I1083" s="197">
        <v>41378</v>
      </c>
      <c r="J1083" s="197" t="str">
        <f t="shared" si="51"/>
        <v>ok</v>
      </c>
      <c r="K1083" s="419"/>
      <c r="L1083" s="419"/>
      <c r="M1083" s="419"/>
      <c r="N1083" s="419"/>
      <c r="O1083" s="419"/>
      <c r="P1083" s="419"/>
      <c r="Q1083" s="419"/>
      <c r="R1083" s="419"/>
      <c r="S1083" s="419"/>
      <c r="T1083" s="419"/>
      <c r="U1083" s="419"/>
      <c r="V1083" s="419"/>
      <c r="W1083" s="419">
        <f t="shared" si="49"/>
        <v>0</v>
      </c>
      <c r="X1083" s="412"/>
      <c r="Y1083" s="412"/>
      <c r="Z1083" s="412"/>
      <c r="AA1083" s="412">
        <v>300</v>
      </c>
      <c r="AB1083" s="412"/>
      <c r="AC1083" s="412"/>
      <c r="AD1083" s="412"/>
      <c r="AE1083" s="412"/>
      <c r="AF1083" s="412"/>
      <c r="AG1083" s="412"/>
      <c r="AH1083" s="412"/>
      <c r="AI1083" s="412"/>
      <c r="AJ1083" s="412">
        <f t="shared" si="50"/>
        <v>300</v>
      </c>
      <c r="AK1083" s="198"/>
      <c r="AL1083" s="250" t="s">
        <v>2067</v>
      </c>
    </row>
    <row r="1084" spans="1:38" ht="14.1" customHeight="1" x14ac:dyDescent="0.2">
      <c r="A1084" t="s">
        <v>892</v>
      </c>
      <c r="B1084" s="193">
        <v>4701</v>
      </c>
      <c r="C1084" s="194" t="s">
        <v>1181</v>
      </c>
      <c r="D1084" s="229" t="s">
        <v>1425</v>
      </c>
      <c r="E1084" s="229" t="s">
        <v>557</v>
      </c>
      <c r="F1084" s="240">
        <v>300</v>
      </c>
      <c r="G1084" s="196">
        <v>1</v>
      </c>
      <c r="H1084" s="195">
        <v>300</v>
      </c>
      <c r="I1084" s="197">
        <v>41378</v>
      </c>
      <c r="J1084" s="197" t="str">
        <f t="shared" si="51"/>
        <v>ok</v>
      </c>
      <c r="K1084" s="419"/>
      <c r="L1084" s="419"/>
      <c r="M1084" s="419"/>
      <c r="N1084" s="419"/>
      <c r="O1084" s="419"/>
      <c r="P1084" s="419"/>
      <c r="Q1084" s="419"/>
      <c r="R1084" s="419"/>
      <c r="S1084" s="419"/>
      <c r="T1084" s="419"/>
      <c r="U1084" s="419"/>
      <c r="V1084" s="419"/>
      <c r="W1084" s="419">
        <f t="shared" si="49"/>
        <v>0</v>
      </c>
      <c r="X1084" s="412"/>
      <c r="Y1084" s="412"/>
      <c r="Z1084" s="412"/>
      <c r="AA1084" s="412">
        <v>300</v>
      </c>
      <c r="AB1084" s="412"/>
      <c r="AC1084" s="412"/>
      <c r="AD1084" s="412"/>
      <c r="AE1084" s="412"/>
      <c r="AF1084" s="412"/>
      <c r="AG1084" s="412"/>
      <c r="AH1084" s="412"/>
      <c r="AI1084" s="412"/>
      <c r="AJ1084" s="412">
        <f t="shared" si="50"/>
        <v>300</v>
      </c>
      <c r="AK1084" s="198"/>
      <c r="AL1084" s="250" t="s">
        <v>2067</v>
      </c>
    </row>
    <row r="1085" spans="1:38" ht="14.1" customHeight="1" x14ac:dyDescent="0.2">
      <c r="A1085" t="s">
        <v>888</v>
      </c>
      <c r="B1085" s="193">
        <v>4702</v>
      </c>
      <c r="C1085" s="194" t="s">
        <v>940</v>
      </c>
      <c r="D1085" s="229" t="s">
        <v>1575</v>
      </c>
      <c r="E1085" s="229" t="s">
        <v>397</v>
      </c>
      <c r="F1085" s="240">
        <v>300</v>
      </c>
      <c r="G1085" s="196">
        <v>1</v>
      </c>
      <c r="H1085" s="195">
        <v>300</v>
      </c>
      <c r="I1085" s="197">
        <v>41378</v>
      </c>
      <c r="J1085" s="197" t="str">
        <f t="shared" si="51"/>
        <v>ok</v>
      </c>
      <c r="K1085" s="419"/>
      <c r="L1085" s="419"/>
      <c r="M1085" s="419"/>
      <c r="N1085" s="419"/>
      <c r="O1085" s="419"/>
      <c r="P1085" s="419"/>
      <c r="Q1085" s="419"/>
      <c r="R1085" s="419"/>
      <c r="S1085" s="419"/>
      <c r="T1085" s="419"/>
      <c r="U1085" s="419"/>
      <c r="V1085" s="419"/>
      <c r="W1085" s="419">
        <f t="shared" si="49"/>
        <v>0</v>
      </c>
      <c r="X1085" s="412"/>
      <c r="Y1085" s="412"/>
      <c r="Z1085" s="412"/>
      <c r="AA1085" s="412">
        <v>300</v>
      </c>
      <c r="AB1085" s="412"/>
      <c r="AC1085" s="412"/>
      <c r="AD1085" s="412"/>
      <c r="AE1085" s="412"/>
      <c r="AF1085" s="412"/>
      <c r="AG1085" s="412"/>
      <c r="AH1085" s="412"/>
      <c r="AI1085" s="412"/>
      <c r="AJ1085" s="412">
        <f t="shared" si="50"/>
        <v>300</v>
      </c>
      <c r="AK1085" s="198"/>
      <c r="AL1085" s="250" t="s">
        <v>2067</v>
      </c>
    </row>
    <row r="1086" spans="1:38" ht="14.1" customHeight="1" x14ac:dyDescent="0.2">
      <c r="A1086" t="s">
        <v>893</v>
      </c>
      <c r="B1086" s="193">
        <v>4703</v>
      </c>
      <c r="C1086" s="194" t="s">
        <v>1143</v>
      </c>
      <c r="D1086" s="229" t="s">
        <v>1475</v>
      </c>
      <c r="E1086" s="229" t="s">
        <v>322</v>
      </c>
      <c r="F1086" s="240">
        <v>150</v>
      </c>
      <c r="G1086" s="196">
        <v>1</v>
      </c>
      <c r="H1086" s="195">
        <v>300</v>
      </c>
      <c r="I1086" s="197">
        <v>41378</v>
      </c>
      <c r="J1086" s="197" t="str">
        <f t="shared" si="51"/>
        <v>ok</v>
      </c>
      <c r="K1086" s="419"/>
      <c r="L1086" s="419"/>
      <c r="M1086" s="419"/>
      <c r="N1086" s="419"/>
      <c r="O1086" s="419"/>
      <c r="P1086" s="419"/>
      <c r="Q1086" s="419"/>
      <c r="R1086" s="419"/>
      <c r="S1086" s="419"/>
      <c r="T1086" s="419"/>
      <c r="U1086" s="419"/>
      <c r="V1086" s="419"/>
      <c r="W1086" s="419">
        <f t="shared" si="49"/>
        <v>0</v>
      </c>
      <c r="X1086" s="412"/>
      <c r="Y1086" s="412"/>
      <c r="Z1086" s="412">
        <v>150</v>
      </c>
      <c r="AA1086" s="412">
        <v>150</v>
      </c>
      <c r="AB1086" s="412"/>
      <c r="AC1086" s="412"/>
      <c r="AD1086" s="412"/>
      <c r="AE1086" s="412"/>
      <c r="AF1086" s="412"/>
      <c r="AG1086" s="412"/>
      <c r="AH1086" s="412"/>
      <c r="AI1086" s="412"/>
      <c r="AJ1086" s="412">
        <f t="shared" si="50"/>
        <v>300</v>
      </c>
      <c r="AK1086" s="198"/>
      <c r="AL1086" s="250" t="s">
        <v>2067</v>
      </c>
    </row>
    <row r="1087" spans="1:38" ht="14.1" customHeight="1" x14ac:dyDescent="0.2">
      <c r="A1087" t="s">
        <v>893</v>
      </c>
      <c r="B1087" s="193">
        <v>4704</v>
      </c>
      <c r="C1087" s="194" t="s">
        <v>1143</v>
      </c>
      <c r="D1087" s="229" t="s">
        <v>1475</v>
      </c>
      <c r="E1087" s="229" t="s">
        <v>322</v>
      </c>
      <c r="F1087" s="240">
        <v>150</v>
      </c>
      <c r="G1087" s="196">
        <v>5</v>
      </c>
      <c r="H1087" s="195">
        <v>20</v>
      </c>
      <c r="I1087" s="197">
        <v>41378</v>
      </c>
      <c r="J1087" s="197" t="str">
        <f t="shared" si="51"/>
        <v>ok</v>
      </c>
      <c r="K1087" s="419"/>
      <c r="L1087" s="419"/>
      <c r="M1087" s="419"/>
      <c r="N1087" s="419"/>
      <c r="O1087" s="419"/>
      <c r="P1087" s="419"/>
      <c r="Q1087" s="419"/>
      <c r="R1087" s="419"/>
      <c r="S1087" s="419"/>
      <c r="T1087" s="419"/>
      <c r="U1087" s="419"/>
      <c r="V1087" s="419"/>
      <c r="W1087" s="419">
        <f t="shared" si="49"/>
        <v>0</v>
      </c>
      <c r="X1087" s="412"/>
      <c r="Y1087" s="412"/>
      <c r="Z1087" s="412"/>
      <c r="AA1087" s="412"/>
      <c r="AB1087" s="412"/>
      <c r="AC1087" s="412"/>
      <c r="AD1087" s="412"/>
      <c r="AE1087" s="412"/>
      <c r="AF1087" s="412"/>
      <c r="AG1087" s="412"/>
      <c r="AH1087" s="412"/>
      <c r="AI1087" s="412"/>
      <c r="AJ1087" s="412">
        <f t="shared" si="50"/>
        <v>0</v>
      </c>
      <c r="AK1087" s="198"/>
      <c r="AL1087" s="250" t="s">
        <v>2068</v>
      </c>
    </row>
    <row r="1088" spans="1:38" ht="14.1" customHeight="1" x14ac:dyDescent="0.2">
      <c r="A1088" t="s">
        <v>890</v>
      </c>
      <c r="B1088" s="193">
        <v>4705</v>
      </c>
      <c r="C1088" s="194" t="s">
        <v>1043</v>
      </c>
      <c r="D1088" s="229" t="s">
        <v>1568</v>
      </c>
      <c r="E1088" s="229" t="s">
        <v>554</v>
      </c>
      <c r="F1088" s="240">
        <v>300</v>
      </c>
      <c r="G1088" s="196">
        <v>1</v>
      </c>
      <c r="H1088" s="195">
        <v>300</v>
      </c>
      <c r="I1088" s="197">
        <v>41380</v>
      </c>
      <c r="J1088" s="197" t="str">
        <f t="shared" si="51"/>
        <v>ok</v>
      </c>
      <c r="K1088" s="419"/>
      <c r="L1088" s="419"/>
      <c r="M1088" s="419"/>
      <c r="N1088" s="419"/>
      <c r="O1088" s="419"/>
      <c r="P1088" s="419"/>
      <c r="Q1088" s="419"/>
      <c r="R1088" s="419"/>
      <c r="S1088" s="419"/>
      <c r="T1088" s="419"/>
      <c r="U1088" s="419"/>
      <c r="V1088" s="419"/>
      <c r="W1088" s="419">
        <f t="shared" si="49"/>
        <v>0</v>
      </c>
      <c r="X1088" s="412"/>
      <c r="Y1088" s="412">
        <v>300</v>
      </c>
      <c r="Z1088" s="412"/>
      <c r="AA1088" s="412"/>
      <c r="AB1088" s="412"/>
      <c r="AC1088" s="412"/>
      <c r="AD1088" s="412"/>
      <c r="AE1088" s="412"/>
      <c r="AF1088" s="412"/>
      <c r="AG1088" s="412"/>
      <c r="AH1088" s="412"/>
      <c r="AI1088" s="412"/>
      <c r="AJ1088" s="412">
        <f t="shared" si="50"/>
        <v>300</v>
      </c>
      <c r="AK1088" s="198"/>
      <c r="AL1088" s="250" t="s">
        <v>2067</v>
      </c>
    </row>
    <row r="1089" spans="1:38" ht="14.1" customHeight="1" x14ac:dyDescent="0.2">
      <c r="A1089" t="s">
        <v>888</v>
      </c>
      <c r="B1089" s="193">
        <v>4706</v>
      </c>
      <c r="C1089" s="194" t="s">
        <v>925</v>
      </c>
      <c r="D1089" s="229" t="s">
        <v>1371</v>
      </c>
      <c r="E1089" s="229" t="s">
        <v>373</v>
      </c>
      <c r="F1089" s="240">
        <v>300</v>
      </c>
      <c r="G1089" s="196">
        <v>1</v>
      </c>
      <c r="H1089" s="195">
        <v>300</v>
      </c>
      <c r="I1089" s="197">
        <v>41380</v>
      </c>
      <c r="J1089" s="197" t="str">
        <f t="shared" si="51"/>
        <v>ok</v>
      </c>
      <c r="K1089" s="419"/>
      <c r="L1089" s="419"/>
      <c r="M1089" s="419"/>
      <c r="N1089" s="419"/>
      <c r="O1089" s="419"/>
      <c r="P1089" s="419"/>
      <c r="Q1089" s="419"/>
      <c r="R1089" s="419"/>
      <c r="S1089" s="419"/>
      <c r="T1089" s="419"/>
      <c r="U1089" s="419"/>
      <c r="V1089" s="419"/>
      <c r="W1089" s="419">
        <f t="shared" si="49"/>
        <v>0</v>
      </c>
      <c r="X1089" s="412"/>
      <c r="Y1089" s="412"/>
      <c r="Z1089" s="412"/>
      <c r="AA1089" s="412">
        <v>300</v>
      </c>
      <c r="AB1089" s="412"/>
      <c r="AC1089" s="412"/>
      <c r="AD1089" s="412"/>
      <c r="AE1089" s="412"/>
      <c r="AF1089" s="412"/>
      <c r="AG1089" s="412"/>
      <c r="AH1089" s="412"/>
      <c r="AI1089" s="412"/>
      <c r="AJ1089" s="412">
        <f t="shared" si="50"/>
        <v>300</v>
      </c>
      <c r="AK1089" s="198"/>
      <c r="AL1089" s="250" t="s">
        <v>2067</v>
      </c>
    </row>
    <row r="1090" spans="1:38" ht="14.1" customHeight="1" x14ac:dyDescent="0.2">
      <c r="A1090" t="s">
        <v>888</v>
      </c>
      <c r="B1090" s="193">
        <v>4707</v>
      </c>
      <c r="C1090" s="194" t="s">
        <v>962</v>
      </c>
      <c r="D1090" s="229" t="s">
        <v>1609</v>
      </c>
      <c r="E1090" s="229" t="s">
        <v>451</v>
      </c>
      <c r="F1090" s="240">
        <v>150</v>
      </c>
      <c r="G1090" s="196">
        <v>1</v>
      </c>
      <c r="H1090" s="195">
        <v>150</v>
      </c>
      <c r="I1090" s="197">
        <v>41380</v>
      </c>
      <c r="J1090" s="197" t="str">
        <f t="shared" si="51"/>
        <v>ok</v>
      </c>
      <c r="K1090" s="419"/>
      <c r="L1090" s="419"/>
      <c r="M1090" s="419"/>
      <c r="N1090" s="419"/>
      <c r="O1090" s="419"/>
      <c r="P1090" s="419"/>
      <c r="Q1090" s="419"/>
      <c r="R1090" s="419"/>
      <c r="S1090" s="419"/>
      <c r="T1090" s="419"/>
      <c r="U1090" s="419"/>
      <c r="V1090" s="419"/>
      <c r="W1090" s="419">
        <f t="shared" si="49"/>
        <v>0</v>
      </c>
      <c r="X1090" s="412"/>
      <c r="Y1090" s="412"/>
      <c r="Z1090" s="412"/>
      <c r="AA1090" s="412">
        <v>150</v>
      </c>
      <c r="AB1090" s="412"/>
      <c r="AC1090" s="412"/>
      <c r="AD1090" s="412"/>
      <c r="AE1090" s="412"/>
      <c r="AF1090" s="412"/>
      <c r="AG1090" s="412"/>
      <c r="AH1090" s="412"/>
      <c r="AI1090" s="412"/>
      <c r="AJ1090" s="412">
        <f t="shared" si="50"/>
        <v>150</v>
      </c>
      <c r="AK1090" s="198"/>
      <c r="AL1090" s="250" t="s">
        <v>2067</v>
      </c>
    </row>
    <row r="1091" spans="1:38" ht="14.1" customHeight="1" x14ac:dyDescent="0.2">
      <c r="A1091" t="s">
        <v>884</v>
      </c>
      <c r="B1091" s="193">
        <v>4708</v>
      </c>
      <c r="C1091" s="194" t="s">
        <v>814</v>
      </c>
      <c r="D1091" s="229" t="s">
        <v>1505</v>
      </c>
      <c r="E1091" s="229" t="s">
        <v>1201</v>
      </c>
      <c r="F1091" s="240">
        <v>300</v>
      </c>
      <c r="G1091" s="196">
        <v>1</v>
      </c>
      <c r="H1091" s="195">
        <v>300</v>
      </c>
      <c r="I1091" s="197">
        <v>41380</v>
      </c>
      <c r="J1091" s="197" t="str">
        <f t="shared" si="51"/>
        <v>ok</v>
      </c>
      <c r="K1091" s="419"/>
      <c r="L1091" s="419"/>
      <c r="M1091" s="419"/>
      <c r="N1091" s="419"/>
      <c r="O1091" s="419"/>
      <c r="P1091" s="419"/>
      <c r="Q1091" s="419"/>
      <c r="R1091" s="419"/>
      <c r="S1091" s="419"/>
      <c r="T1091" s="419"/>
      <c r="U1091" s="419"/>
      <c r="V1091" s="419"/>
      <c r="W1091" s="419">
        <f t="shared" si="49"/>
        <v>0</v>
      </c>
      <c r="X1091" s="412"/>
      <c r="Y1091" s="412"/>
      <c r="Z1091" s="412"/>
      <c r="AA1091" s="412">
        <v>300</v>
      </c>
      <c r="AB1091" s="412"/>
      <c r="AC1091" s="412"/>
      <c r="AD1091" s="412"/>
      <c r="AE1091" s="412"/>
      <c r="AF1091" s="412"/>
      <c r="AG1091" s="412"/>
      <c r="AH1091" s="412"/>
      <c r="AI1091" s="412"/>
      <c r="AJ1091" s="412">
        <f t="shared" si="50"/>
        <v>300</v>
      </c>
      <c r="AK1091" s="198"/>
      <c r="AL1091" s="250" t="s">
        <v>2067</v>
      </c>
    </row>
    <row r="1092" spans="1:38" ht="14.1" customHeight="1" x14ac:dyDescent="0.2">
      <c r="A1092" t="s">
        <v>893</v>
      </c>
      <c r="B1092" s="193">
        <v>4709</v>
      </c>
      <c r="C1092" s="194" t="s">
        <v>1139</v>
      </c>
      <c r="D1092" s="229" t="s">
        <v>1528</v>
      </c>
      <c r="E1092" s="229" t="s">
        <v>313</v>
      </c>
      <c r="F1092" s="240">
        <v>300</v>
      </c>
      <c r="G1092" s="196">
        <v>1</v>
      </c>
      <c r="H1092" s="195">
        <v>600</v>
      </c>
      <c r="I1092" s="197">
        <v>41378</v>
      </c>
      <c r="J1092" s="197" t="str">
        <f t="shared" si="51"/>
        <v>ok</v>
      </c>
      <c r="K1092" s="419"/>
      <c r="L1092" s="419"/>
      <c r="M1092" s="419"/>
      <c r="N1092" s="419"/>
      <c r="O1092" s="419"/>
      <c r="P1092" s="419"/>
      <c r="Q1092" s="419"/>
      <c r="R1092" s="419"/>
      <c r="S1092" s="419"/>
      <c r="T1092" s="419"/>
      <c r="U1092" s="419"/>
      <c r="V1092" s="419"/>
      <c r="W1092" s="419">
        <f t="shared" si="49"/>
        <v>0</v>
      </c>
      <c r="X1092" s="412"/>
      <c r="Y1092" s="412"/>
      <c r="Z1092" s="412">
        <v>300</v>
      </c>
      <c r="AA1092" s="412">
        <v>300</v>
      </c>
      <c r="AB1092" s="412"/>
      <c r="AC1092" s="412"/>
      <c r="AD1092" s="412"/>
      <c r="AE1092" s="412"/>
      <c r="AF1092" s="412"/>
      <c r="AG1092" s="412"/>
      <c r="AH1092" s="412"/>
      <c r="AI1092" s="412"/>
      <c r="AJ1092" s="412">
        <f t="shared" si="50"/>
        <v>600</v>
      </c>
      <c r="AK1092" s="198"/>
      <c r="AL1092" s="250" t="s">
        <v>2067</v>
      </c>
    </row>
    <row r="1093" spans="1:38" ht="14.1" customHeight="1" x14ac:dyDescent="0.2">
      <c r="A1093" t="s">
        <v>894</v>
      </c>
      <c r="B1093" s="193">
        <v>4710</v>
      </c>
      <c r="C1093" s="194" t="s">
        <v>1166</v>
      </c>
      <c r="D1093" s="229" t="s">
        <v>1498</v>
      </c>
      <c r="E1093" s="229" t="s">
        <v>615</v>
      </c>
      <c r="F1093" s="240">
        <v>300</v>
      </c>
      <c r="G1093" s="196">
        <v>1</v>
      </c>
      <c r="H1093" s="195">
        <v>300</v>
      </c>
      <c r="I1093" s="197">
        <v>41378</v>
      </c>
      <c r="J1093" s="197" t="str">
        <f t="shared" si="51"/>
        <v>ok</v>
      </c>
      <c r="K1093" s="419"/>
      <c r="L1093" s="419"/>
      <c r="M1093" s="419"/>
      <c r="N1093" s="419"/>
      <c r="O1093" s="419"/>
      <c r="P1093" s="419"/>
      <c r="Q1093" s="419"/>
      <c r="R1093" s="419"/>
      <c r="S1093" s="419"/>
      <c r="T1093" s="419"/>
      <c r="U1093" s="419"/>
      <c r="V1093" s="419"/>
      <c r="W1093" s="419">
        <f t="shared" si="49"/>
        <v>0</v>
      </c>
      <c r="X1093" s="412"/>
      <c r="Y1093" s="412"/>
      <c r="Z1093" s="412">
        <v>300</v>
      </c>
      <c r="AA1093" s="412"/>
      <c r="AB1093" s="412"/>
      <c r="AC1093" s="412"/>
      <c r="AD1093" s="412"/>
      <c r="AE1093" s="412"/>
      <c r="AF1093" s="412"/>
      <c r="AG1093" s="412"/>
      <c r="AH1093" s="412"/>
      <c r="AI1093" s="412"/>
      <c r="AJ1093" s="412">
        <f t="shared" si="50"/>
        <v>300</v>
      </c>
      <c r="AK1093" s="198"/>
      <c r="AL1093" s="250" t="s">
        <v>2067</v>
      </c>
    </row>
    <row r="1094" spans="1:38" ht="14.1" customHeight="1" x14ac:dyDescent="0.2">
      <c r="A1094" t="s">
        <v>890</v>
      </c>
      <c r="B1094" s="193">
        <v>4711</v>
      </c>
      <c r="C1094" s="194" t="s">
        <v>977</v>
      </c>
      <c r="D1094" s="229" t="s">
        <v>1494</v>
      </c>
      <c r="E1094" s="229" t="s">
        <v>359</v>
      </c>
      <c r="F1094" s="240">
        <v>150</v>
      </c>
      <c r="G1094" s="196">
        <v>1</v>
      </c>
      <c r="H1094" s="195">
        <v>150</v>
      </c>
      <c r="I1094" s="197">
        <v>41378</v>
      </c>
      <c r="J1094" s="197" t="str">
        <f t="shared" si="51"/>
        <v>ok</v>
      </c>
      <c r="K1094" s="419"/>
      <c r="L1094" s="419"/>
      <c r="M1094" s="419"/>
      <c r="N1094" s="419"/>
      <c r="O1094" s="419"/>
      <c r="P1094" s="419"/>
      <c r="Q1094" s="419"/>
      <c r="R1094" s="419"/>
      <c r="S1094" s="419"/>
      <c r="T1094" s="419"/>
      <c r="U1094" s="419"/>
      <c r="V1094" s="419"/>
      <c r="W1094" s="419">
        <f t="shared" si="49"/>
        <v>0</v>
      </c>
      <c r="X1094" s="412"/>
      <c r="Y1094" s="412"/>
      <c r="Z1094" s="412"/>
      <c r="AA1094" s="412">
        <v>150</v>
      </c>
      <c r="AB1094" s="412"/>
      <c r="AC1094" s="412"/>
      <c r="AD1094" s="412"/>
      <c r="AE1094" s="412"/>
      <c r="AF1094" s="412"/>
      <c r="AG1094" s="412"/>
      <c r="AH1094" s="412"/>
      <c r="AI1094" s="412"/>
      <c r="AJ1094" s="412">
        <f t="shared" si="50"/>
        <v>150</v>
      </c>
      <c r="AK1094" s="198"/>
      <c r="AL1094" s="250" t="s">
        <v>2067</v>
      </c>
    </row>
    <row r="1095" spans="1:38" ht="14.1" customHeight="1" x14ac:dyDescent="0.2">
      <c r="A1095" t="s">
        <v>893</v>
      </c>
      <c r="B1095" s="193">
        <v>4712</v>
      </c>
      <c r="C1095" s="194" t="s">
        <v>1101</v>
      </c>
      <c r="D1095" s="229" t="s">
        <v>1563</v>
      </c>
      <c r="E1095" s="229" t="s">
        <v>244</v>
      </c>
      <c r="F1095" s="240">
        <v>200</v>
      </c>
      <c r="G1095" s="196">
        <v>1</v>
      </c>
      <c r="H1095" s="195">
        <v>600</v>
      </c>
      <c r="I1095" s="197">
        <v>41378</v>
      </c>
      <c r="J1095" s="197" t="str">
        <f t="shared" si="51"/>
        <v>ok</v>
      </c>
      <c r="K1095" s="419"/>
      <c r="L1095" s="419"/>
      <c r="M1095" s="419"/>
      <c r="N1095" s="419"/>
      <c r="O1095" s="419"/>
      <c r="P1095" s="419"/>
      <c r="Q1095" s="419"/>
      <c r="R1095" s="419"/>
      <c r="S1095" s="419"/>
      <c r="T1095" s="419"/>
      <c r="U1095" s="419"/>
      <c r="V1095" s="419"/>
      <c r="W1095" s="419">
        <f t="shared" ref="W1095:W1158" si="52">SUM(K1095:V1095)</f>
        <v>0</v>
      </c>
      <c r="X1095" s="412"/>
      <c r="Y1095" s="412"/>
      <c r="Z1095" s="412">
        <v>200</v>
      </c>
      <c r="AA1095" s="412">
        <v>200</v>
      </c>
      <c r="AB1095" s="412">
        <v>200</v>
      </c>
      <c r="AC1095" s="412"/>
      <c r="AD1095" s="412"/>
      <c r="AE1095" s="412"/>
      <c r="AF1095" s="412"/>
      <c r="AG1095" s="412"/>
      <c r="AH1095" s="412"/>
      <c r="AI1095" s="412"/>
      <c r="AJ1095" s="412">
        <f t="shared" ref="AJ1095:AJ1158" si="53">SUM(X1095:AI1095)</f>
        <v>600</v>
      </c>
      <c r="AK1095" s="198"/>
      <c r="AL1095" s="250" t="s">
        <v>2067</v>
      </c>
    </row>
    <row r="1096" spans="1:38" ht="14.1" customHeight="1" x14ac:dyDescent="0.2">
      <c r="A1096" t="s">
        <v>884</v>
      </c>
      <c r="B1096" s="193">
        <v>4713</v>
      </c>
      <c r="C1096" s="194" t="s">
        <v>851</v>
      </c>
      <c r="D1096" s="229" t="s">
        <v>1465</v>
      </c>
      <c r="E1096" s="229" t="s">
        <v>91</v>
      </c>
      <c r="F1096" s="240">
        <v>300</v>
      </c>
      <c r="G1096" s="196">
        <v>1</v>
      </c>
      <c r="H1096" s="195">
        <v>300</v>
      </c>
      <c r="I1096" s="197">
        <v>41378</v>
      </c>
      <c r="J1096" s="197" t="str">
        <f t="shared" si="51"/>
        <v>ok</v>
      </c>
      <c r="K1096" s="419"/>
      <c r="L1096" s="419"/>
      <c r="M1096" s="419"/>
      <c r="N1096" s="419"/>
      <c r="O1096" s="419"/>
      <c r="P1096" s="419"/>
      <c r="Q1096" s="419"/>
      <c r="R1096" s="419"/>
      <c r="S1096" s="419"/>
      <c r="T1096" s="419"/>
      <c r="U1096" s="419"/>
      <c r="V1096" s="419"/>
      <c r="W1096" s="419">
        <f t="shared" si="52"/>
        <v>0</v>
      </c>
      <c r="X1096" s="412"/>
      <c r="Y1096" s="412"/>
      <c r="Z1096" s="412"/>
      <c r="AA1096" s="412">
        <v>300</v>
      </c>
      <c r="AB1096" s="412"/>
      <c r="AC1096" s="412"/>
      <c r="AD1096" s="412"/>
      <c r="AE1096" s="412"/>
      <c r="AF1096" s="412"/>
      <c r="AG1096" s="412"/>
      <c r="AH1096" s="412"/>
      <c r="AI1096" s="412"/>
      <c r="AJ1096" s="412">
        <f t="shared" si="53"/>
        <v>300</v>
      </c>
      <c r="AK1096" s="198"/>
      <c r="AL1096" s="250" t="s">
        <v>2067</v>
      </c>
    </row>
    <row r="1097" spans="1:38" ht="14.1" customHeight="1" x14ac:dyDescent="0.2">
      <c r="A1097" t="s">
        <v>892</v>
      </c>
      <c r="B1097" s="193">
        <v>4714</v>
      </c>
      <c r="C1097" s="194" t="s">
        <v>1058</v>
      </c>
      <c r="D1097" s="229" t="s">
        <v>1594</v>
      </c>
      <c r="E1097" s="229" t="s">
        <v>1309</v>
      </c>
      <c r="F1097" s="240">
        <v>300</v>
      </c>
      <c r="G1097" s="196">
        <v>1</v>
      </c>
      <c r="H1097" s="195">
        <v>300</v>
      </c>
      <c r="I1097" s="197">
        <v>41378</v>
      </c>
      <c r="J1097" s="197" t="str">
        <f t="shared" si="51"/>
        <v>ok</v>
      </c>
      <c r="K1097" s="419"/>
      <c r="L1097" s="419"/>
      <c r="M1097" s="419"/>
      <c r="N1097" s="419"/>
      <c r="O1097" s="419"/>
      <c r="P1097" s="419"/>
      <c r="Q1097" s="419"/>
      <c r="R1097" s="419"/>
      <c r="S1097" s="419"/>
      <c r="T1097" s="419"/>
      <c r="U1097" s="419"/>
      <c r="V1097" s="419"/>
      <c r="W1097" s="419">
        <f t="shared" si="52"/>
        <v>0</v>
      </c>
      <c r="X1097" s="412"/>
      <c r="Y1097" s="412"/>
      <c r="Z1097" s="412"/>
      <c r="AA1097" s="412">
        <v>300</v>
      </c>
      <c r="AB1097" s="412"/>
      <c r="AC1097" s="412"/>
      <c r="AD1097" s="412"/>
      <c r="AE1097" s="412"/>
      <c r="AF1097" s="412"/>
      <c r="AG1097" s="412"/>
      <c r="AH1097" s="412"/>
      <c r="AI1097" s="412"/>
      <c r="AJ1097" s="412">
        <f t="shared" si="53"/>
        <v>300</v>
      </c>
      <c r="AK1097" s="198"/>
      <c r="AL1097" s="250" t="s">
        <v>2067</v>
      </c>
    </row>
    <row r="1098" spans="1:38" ht="14.1" customHeight="1" x14ac:dyDescent="0.2">
      <c r="A1098" t="s">
        <v>884</v>
      </c>
      <c r="B1098" s="193">
        <v>4715</v>
      </c>
      <c r="C1098" s="194" t="s">
        <v>789</v>
      </c>
      <c r="D1098" s="229" t="s">
        <v>1485</v>
      </c>
      <c r="E1098" s="229" t="s">
        <v>104</v>
      </c>
      <c r="F1098" s="240">
        <v>300</v>
      </c>
      <c r="G1098" s="196">
        <v>1</v>
      </c>
      <c r="H1098" s="195">
        <v>300</v>
      </c>
      <c r="I1098" s="197">
        <v>41378</v>
      </c>
      <c r="J1098" s="197" t="str">
        <f t="shared" si="51"/>
        <v>ok</v>
      </c>
      <c r="K1098" s="419"/>
      <c r="L1098" s="419"/>
      <c r="M1098" s="419"/>
      <c r="N1098" s="419"/>
      <c r="O1098" s="419"/>
      <c r="P1098" s="419"/>
      <c r="Q1098" s="419"/>
      <c r="R1098" s="419"/>
      <c r="S1098" s="419"/>
      <c r="T1098" s="419"/>
      <c r="U1098" s="419"/>
      <c r="V1098" s="419"/>
      <c r="W1098" s="419">
        <f t="shared" si="52"/>
        <v>0</v>
      </c>
      <c r="X1098" s="412"/>
      <c r="Y1098" s="412"/>
      <c r="Z1098" s="412"/>
      <c r="AA1098" s="412">
        <v>300</v>
      </c>
      <c r="AB1098" s="412"/>
      <c r="AC1098" s="412"/>
      <c r="AD1098" s="412"/>
      <c r="AE1098" s="412"/>
      <c r="AF1098" s="412"/>
      <c r="AG1098" s="412"/>
      <c r="AH1098" s="412"/>
      <c r="AI1098" s="412"/>
      <c r="AJ1098" s="412">
        <f t="shared" si="53"/>
        <v>300</v>
      </c>
      <c r="AK1098" s="198"/>
      <c r="AL1098" s="250" t="s">
        <v>2067</v>
      </c>
    </row>
    <row r="1099" spans="1:38" ht="14.1" customHeight="1" x14ac:dyDescent="0.2">
      <c r="A1099" t="s">
        <v>890</v>
      </c>
      <c r="B1099" s="193">
        <v>4716</v>
      </c>
      <c r="C1099" s="194" t="s">
        <v>1045</v>
      </c>
      <c r="D1099" s="229" t="s">
        <v>1435</v>
      </c>
      <c r="E1099" s="229" t="s">
        <v>557</v>
      </c>
      <c r="F1099" s="240">
        <v>300</v>
      </c>
      <c r="G1099" s="196">
        <v>1</v>
      </c>
      <c r="H1099" s="195">
        <v>300</v>
      </c>
      <c r="I1099" s="197">
        <v>41378</v>
      </c>
      <c r="J1099" s="197" t="str">
        <f t="shared" si="51"/>
        <v>ok</v>
      </c>
      <c r="K1099" s="419"/>
      <c r="L1099" s="419"/>
      <c r="M1099" s="419"/>
      <c r="N1099" s="419"/>
      <c r="O1099" s="419"/>
      <c r="P1099" s="419"/>
      <c r="Q1099" s="419"/>
      <c r="R1099" s="419"/>
      <c r="S1099" s="419"/>
      <c r="T1099" s="419"/>
      <c r="U1099" s="419"/>
      <c r="V1099" s="419"/>
      <c r="W1099" s="419">
        <f t="shared" si="52"/>
        <v>0</v>
      </c>
      <c r="X1099" s="412"/>
      <c r="Y1099" s="412"/>
      <c r="Z1099" s="412">
        <v>300</v>
      </c>
      <c r="AA1099" s="412"/>
      <c r="AB1099" s="412"/>
      <c r="AC1099" s="412"/>
      <c r="AD1099" s="412"/>
      <c r="AE1099" s="412"/>
      <c r="AF1099" s="412"/>
      <c r="AG1099" s="412"/>
      <c r="AH1099" s="412"/>
      <c r="AI1099" s="412"/>
      <c r="AJ1099" s="412">
        <f t="shared" si="53"/>
        <v>300</v>
      </c>
      <c r="AK1099" s="198"/>
      <c r="AL1099" s="250" t="s">
        <v>2067</v>
      </c>
    </row>
    <row r="1100" spans="1:38" ht="14.1" customHeight="1" x14ac:dyDescent="0.2">
      <c r="A1100" t="s">
        <v>890</v>
      </c>
      <c r="B1100" s="193">
        <v>4717</v>
      </c>
      <c r="C1100" s="194" t="s">
        <v>981</v>
      </c>
      <c r="D1100" s="229" t="s">
        <v>1655</v>
      </c>
      <c r="E1100" s="229" t="s">
        <v>468</v>
      </c>
      <c r="F1100" s="240">
        <v>300</v>
      </c>
      <c r="G1100" s="196">
        <v>1</v>
      </c>
      <c r="H1100" s="195">
        <v>1200</v>
      </c>
      <c r="I1100" s="197">
        <v>41378</v>
      </c>
      <c r="J1100" s="197" t="str">
        <f t="shared" si="51"/>
        <v>ok</v>
      </c>
      <c r="K1100" s="419"/>
      <c r="L1100" s="419"/>
      <c r="M1100" s="419"/>
      <c r="N1100" s="419"/>
      <c r="O1100" s="419"/>
      <c r="P1100" s="419"/>
      <c r="Q1100" s="419"/>
      <c r="R1100" s="419"/>
      <c r="S1100" s="419"/>
      <c r="T1100" s="419"/>
      <c r="U1100" s="419"/>
      <c r="V1100" s="419"/>
      <c r="W1100" s="419">
        <f t="shared" si="52"/>
        <v>0</v>
      </c>
      <c r="X1100" s="412">
        <v>300</v>
      </c>
      <c r="Y1100" s="412">
        <v>300</v>
      </c>
      <c r="Z1100" s="412">
        <v>300</v>
      </c>
      <c r="AA1100" s="412">
        <v>300</v>
      </c>
      <c r="AB1100" s="412"/>
      <c r="AC1100" s="412"/>
      <c r="AD1100" s="412"/>
      <c r="AE1100" s="412"/>
      <c r="AF1100" s="412"/>
      <c r="AG1100" s="412"/>
      <c r="AH1100" s="412"/>
      <c r="AI1100" s="412"/>
      <c r="AJ1100" s="412">
        <f t="shared" si="53"/>
        <v>1200</v>
      </c>
      <c r="AK1100" s="198"/>
      <c r="AL1100" s="250" t="s">
        <v>2067</v>
      </c>
    </row>
    <row r="1101" spans="1:38" ht="14.1" customHeight="1" x14ac:dyDescent="0.2">
      <c r="A1101" t="s">
        <v>888</v>
      </c>
      <c r="B1101" s="193">
        <v>4718</v>
      </c>
      <c r="C1101" s="194" t="s">
        <v>1703</v>
      </c>
      <c r="D1101" s="229" t="s">
        <v>1450</v>
      </c>
      <c r="E1101" s="229" t="s">
        <v>428</v>
      </c>
      <c r="F1101" s="240">
        <v>10000</v>
      </c>
      <c r="G1101" s="196">
        <v>3</v>
      </c>
      <c r="H1101" s="195">
        <v>640</v>
      </c>
      <c r="I1101" s="197">
        <v>41381</v>
      </c>
      <c r="J1101" s="197" t="str">
        <f t="shared" si="51"/>
        <v>ok</v>
      </c>
      <c r="K1101" s="419"/>
      <c r="L1101" s="419"/>
      <c r="M1101" s="419"/>
      <c r="N1101" s="419"/>
      <c r="O1101" s="419"/>
      <c r="P1101" s="419"/>
      <c r="Q1101" s="419"/>
      <c r="R1101" s="419"/>
      <c r="S1101" s="419"/>
      <c r="T1101" s="419"/>
      <c r="U1101" s="419"/>
      <c r="V1101" s="419"/>
      <c r="W1101" s="419">
        <f t="shared" si="52"/>
        <v>0</v>
      </c>
      <c r="X1101" s="412"/>
      <c r="Y1101" s="412"/>
      <c r="Z1101" s="412"/>
      <c r="AA1101" s="412"/>
      <c r="AB1101" s="412"/>
      <c r="AC1101" s="412"/>
      <c r="AD1101" s="412"/>
      <c r="AE1101" s="412"/>
      <c r="AF1101" s="412"/>
      <c r="AG1101" s="412"/>
      <c r="AH1101" s="412"/>
      <c r="AI1101" s="412"/>
      <c r="AJ1101" s="412">
        <f t="shared" si="53"/>
        <v>0</v>
      </c>
      <c r="AK1101" s="198"/>
      <c r="AL1101" s="250" t="s">
        <v>2068</v>
      </c>
    </row>
    <row r="1102" spans="1:38" ht="14.1" customHeight="1" x14ac:dyDescent="0.2">
      <c r="B1102" s="193">
        <v>4719</v>
      </c>
      <c r="C1102" s="194"/>
      <c r="D1102" s="229" t="s">
        <v>1362</v>
      </c>
      <c r="E1102" s="229" t="s">
        <v>1362</v>
      </c>
      <c r="F1102" s="240" t="s">
        <v>1362</v>
      </c>
      <c r="G1102" s="196">
        <v>8</v>
      </c>
      <c r="H1102" s="195"/>
      <c r="I1102" s="197"/>
      <c r="J1102" s="197" t="str">
        <f t="shared" ref="J1102:J1165" si="54">IF(OR(G1102&lt;&gt;1,SUM(W1102,AJ1102)=H1102),"ok","error")</f>
        <v>ok</v>
      </c>
      <c r="K1102" s="419"/>
      <c r="L1102" s="419"/>
      <c r="M1102" s="419"/>
      <c r="N1102" s="419"/>
      <c r="O1102" s="419"/>
      <c r="P1102" s="419"/>
      <c r="Q1102" s="419"/>
      <c r="R1102" s="419"/>
      <c r="S1102" s="419"/>
      <c r="T1102" s="419"/>
      <c r="U1102" s="419"/>
      <c r="V1102" s="419"/>
      <c r="W1102" s="419">
        <f t="shared" si="52"/>
        <v>0</v>
      </c>
      <c r="X1102" s="412"/>
      <c r="Y1102" s="412"/>
      <c r="Z1102" s="412"/>
      <c r="AA1102" s="412"/>
      <c r="AB1102" s="412"/>
      <c r="AC1102" s="412"/>
      <c r="AD1102" s="412"/>
      <c r="AE1102" s="412"/>
      <c r="AF1102" s="412"/>
      <c r="AG1102" s="412"/>
      <c r="AH1102" s="412"/>
      <c r="AI1102" s="412"/>
      <c r="AJ1102" s="412">
        <f t="shared" si="53"/>
        <v>0</v>
      </c>
      <c r="AK1102" s="198" t="s">
        <v>755</v>
      </c>
      <c r="AL1102" s="250" t="s">
        <v>2067</v>
      </c>
    </row>
    <row r="1103" spans="1:38" ht="14.1" customHeight="1" x14ac:dyDescent="0.2">
      <c r="A1103" t="s">
        <v>884</v>
      </c>
      <c r="B1103" s="193">
        <v>4720</v>
      </c>
      <c r="C1103" s="194" t="s">
        <v>811</v>
      </c>
      <c r="D1103" s="229" t="s">
        <v>1650</v>
      </c>
      <c r="E1103" s="229" t="s">
        <v>32</v>
      </c>
      <c r="F1103" s="240">
        <v>300</v>
      </c>
      <c r="G1103" s="196">
        <v>3</v>
      </c>
      <c r="H1103" s="195">
        <v>150</v>
      </c>
      <c r="I1103" s="197">
        <v>41383</v>
      </c>
      <c r="J1103" s="197" t="str">
        <f t="shared" si="54"/>
        <v>ok</v>
      </c>
      <c r="K1103" s="419"/>
      <c r="L1103" s="419"/>
      <c r="M1103" s="419"/>
      <c r="N1103" s="419"/>
      <c r="O1103" s="419"/>
      <c r="P1103" s="419"/>
      <c r="Q1103" s="419"/>
      <c r="R1103" s="419"/>
      <c r="S1103" s="419"/>
      <c r="T1103" s="419"/>
      <c r="U1103" s="419"/>
      <c r="V1103" s="419"/>
      <c r="W1103" s="419">
        <f t="shared" si="52"/>
        <v>0</v>
      </c>
      <c r="X1103" s="412"/>
      <c r="Y1103" s="412"/>
      <c r="Z1103" s="412"/>
      <c r="AA1103" s="412"/>
      <c r="AB1103" s="412"/>
      <c r="AC1103" s="412"/>
      <c r="AD1103" s="412"/>
      <c r="AE1103" s="412"/>
      <c r="AF1103" s="412"/>
      <c r="AG1103" s="412"/>
      <c r="AH1103" s="412"/>
      <c r="AI1103" s="412"/>
      <c r="AJ1103" s="412">
        <f t="shared" si="53"/>
        <v>0</v>
      </c>
      <c r="AK1103" s="198"/>
      <c r="AL1103" s="250" t="s">
        <v>2068</v>
      </c>
    </row>
    <row r="1104" spans="1:38" ht="14.1" customHeight="1" x14ac:dyDescent="0.2">
      <c r="A1104" t="s">
        <v>891</v>
      </c>
      <c r="B1104" s="193">
        <v>4721</v>
      </c>
      <c r="C1104" s="194" t="s">
        <v>1051</v>
      </c>
      <c r="D1104" s="229" t="s">
        <v>1442</v>
      </c>
      <c r="E1104" s="229" t="s">
        <v>651</v>
      </c>
      <c r="F1104" s="240">
        <v>300</v>
      </c>
      <c r="G1104" s="196">
        <v>1</v>
      </c>
      <c r="H1104" s="195">
        <v>600</v>
      </c>
      <c r="I1104" s="197">
        <v>41385</v>
      </c>
      <c r="J1104" s="197" t="str">
        <f t="shared" si="54"/>
        <v>ok</v>
      </c>
      <c r="K1104" s="419"/>
      <c r="L1104" s="419"/>
      <c r="M1104" s="419"/>
      <c r="N1104" s="419"/>
      <c r="O1104" s="419"/>
      <c r="P1104" s="419"/>
      <c r="Q1104" s="419"/>
      <c r="R1104" s="419"/>
      <c r="S1104" s="419"/>
      <c r="T1104" s="419"/>
      <c r="U1104" s="419"/>
      <c r="V1104" s="419"/>
      <c r="W1104" s="419">
        <f t="shared" si="52"/>
        <v>0</v>
      </c>
      <c r="X1104" s="412"/>
      <c r="Y1104" s="412"/>
      <c r="Z1104" s="412">
        <v>300</v>
      </c>
      <c r="AA1104" s="412">
        <v>300</v>
      </c>
      <c r="AB1104" s="412"/>
      <c r="AC1104" s="412"/>
      <c r="AD1104" s="412"/>
      <c r="AE1104" s="412"/>
      <c r="AF1104" s="412"/>
      <c r="AG1104" s="412"/>
      <c r="AH1104" s="412"/>
      <c r="AI1104" s="412"/>
      <c r="AJ1104" s="412">
        <f t="shared" si="53"/>
        <v>600</v>
      </c>
      <c r="AK1104" s="198"/>
      <c r="AL1104" s="250" t="s">
        <v>2067</v>
      </c>
    </row>
    <row r="1105" spans="1:38" ht="14.1" customHeight="1" x14ac:dyDescent="0.2">
      <c r="A1105" t="s">
        <v>884</v>
      </c>
      <c r="B1105" s="193">
        <v>4722</v>
      </c>
      <c r="C1105" s="194" t="s">
        <v>764</v>
      </c>
      <c r="D1105" s="229" t="s">
        <v>1386</v>
      </c>
      <c r="E1105" s="229" t="s">
        <v>133</v>
      </c>
      <c r="F1105" s="240">
        <v>200</v>
      </c>
      <c r="G1105" s="196">
        <v>5</v>
      </c>
      <c r="H1105" s="195">
        <v>20</v>
      </c>
      <c r="I1105" s="197">
        <v>41385</v>
      </c>
      <c r="J1105" s="197" t="str">
        <f t="shared" si="54"/>
        <v>ok</v>
      </c>
      <c r="K1105" s="419"/>
      <c r="L1105" s="419"/>
      <c r="M1105" s="419"/>
      <c r="N1105" s="419"/>
      <c r="O1105" s="419"/>
      <c r="P1105" s="419"/>
      <c r="Q1105" s="419"/>
      <c r="R1105" s="419"/>
      <c r="S1105" s="419"/>
      <c r="T1105" s="419"/>
      <c r="U1105" s="419"/>
      <c r="V1105" s="419"/>
      <c r="W1105" s="419">
        <f t="shared" si="52"/>
        <v>0</v>
      </c>
      <c r="X1105" s="412"/>
      <c r="Y1105" s="412"/>
      <c r="Z1105" s="412"/>
      <c r="AA1105" s="412"/>
      <c r="AB1105" s="412"/>
      <c r="AC1105" s="412"/>
      <c r="AD1105" s="412"/>
      <c r="AE1105" s="412"/>
      <c r="AF1105" s="412"/>
      <c r="AG1105" s="412"/>
      <c r="AH1105" s="412"/>
      <c r="AI1105" s="412"/>
      <c r="AJ1105" s="412">
        <f t="shared" si="53"/>
        <v>0</v>
      </c>
      <c r="AK1105" s="198"/>
      <c r="AL1105" s="250" t="s">
        <v>2068</v>
      </c>
    </row>
    <row r="1106" spans="1:38" ht="14.1" customHeight="1" x14ac:dyDescent="0.2">
      <c r="A1106" t="s">
        <v>890</v>
      </c>
      <c r="B1106" s="193">
        <v>4723</v>
      </c>
      <c r="C1106" s="194" t="s">
        <v>1037</v>
      </c>
      <c r="D1106" s="229" t="s">
        <v>1612</v>
      </c>
      <c r="E1106" s="229" t="s">
        <v>543</v>
      </c>
      <c r="F1106" s="240">
        <v>300</v>
      </c>
      <c r="G1106" s="196">
        <v>1</v>
      </c>
      <c r="H1106" s="195">
        <v>600</v>
      </c>
      <c r="I1106" s="197">
        <v>41385</v>
      </c>
      <c r="J1106" s="197" t="str">
        <f t="shared" si="54"/>
        <v>ok</v>
      </c>
      <c r="K1106" s="419"/>
      <c r="L1106" s="419"/>
      <c r="M1106" s="419"/>
      <c r="N1106" s="419"/>
      <c r="O1106" s="419"/>
      <c r="P1106" s="419"/>
      <c r="Q1106" s="419"/>
      <c r="R1106" s="419"/>
      <c r="S1106" s="419"/>
      <c r="T1106" s="419"/>
      <c r="U1106" s="419"/>
      <c r="V1106" s="419"/>
      <c r="W1106" s="419">
        <f t="shared" si="52"/>
        <v>0</v>
      </c>
      <c r="X1106" s="412"/>
      <c r="Y1106" s="412"/>
      <c r="Z1106" s="412"/>
      <c r="AA1106" s="412">
        <v>300</v>
      </c>
      <c r="AB1106" s="412">
        <v>300</v>
      </c>
      <c r="AC1106" s="412"/>
      <c r="AD1106" s="412"/>
      <c r="AE1106" s="412"/>
      <c r="AF1106" s="412"/>
      <c r="AG1106" s="412"/>
      <c r="AH1106" s="412"/>
      <c r="AI1106" s="412"/>
      <c r="AJ1106" s="412">
        <f t="shared" si="53"/>
        <v>600</v>
      </c>
      <c r="AK1106" s="198"/>
      <c r="AL1106" s="250" t="s">
        <v>2067</v>
      </c>
    </row>
    <row r="1107" spans="1:38" ht="14.1" customHeight="1" x14ac:dyDescent="0.2">
      <c r="A1107" t="s">
        <v>894</v>
      </c>
      <c r="B1107" s="193">
        <v>4724</v>
      </c>
      <c r="C1107" s="194" t="s">
        <v>1177</v>
      </c>
      <c r="D1107" s="229" t="s">
        <v>1519</v>
      </c>
      <c r="E1107" s="229" t="s">
        <v>1227</v>
      </c>
      <c r="F1107" s="240">
        <v>150</v>
      </c>
      <c r="G1107" s="196">
        <v>1</v>
      </c>
      <c r="H1107" s="195">
        <v>450</v>
      </c>
      <c r="I1107" s="197">
        <v>41385</v>
      </c>
      <c r="J1107" s="197" t="str">
        <f t="shared" si="54"/>
        <v>ok</v>
      </c>
      <c r="K1107" s="419"/>
      <c r="L1107" s="419"/>
      <c r="M1107" s="419"/>
      <c r="N1107" s="419"/>
      <c r="O1107" s="419"/>
      <c r="P1107" s="419"/>
      <c r="Q1107" s="419"/>
      <c r="R1107" s="419"/>
      <c r="S1107" s="419"/>
      <c r="T1107" s="419"/>
      <c r="U1107" s="419"/>
      <c r="V1107" s="419"/>
      <c r="W1107" s="419">
        <f t="shared" si="52"/>
        <v>0</v>
      </c>
      <c r="X1107" s="412">
        <v>150</v>
      </c>
      <c r="Y1107" s="412">
        <v>150</v>
      </c>
      <c r="Z1107" s="412">
        <v>150</v>
      </c>
      <c r="AA1107" s="412"/>
      <c r="AB1107" s="412"/>
      <c r="AC1107" s="412"/>
      <c r="AD1107" s="412"/>
      <c r="AE1107" s="412"/>
      <c r="AF1107" s="412"/>
      <c r="AG1107" s="412"/>
      <c r="AH1107" s="412"/>
      <c r="AI1107" s="412"/>
      <c r="AJ1107" s="412">
        <f t="shared" si="53"/>
        <v>450</v>
      </c>
      <c r="AK1107" s="198"/>
      <c r="AL1107" s="250" t="s">
        <v>2067</v>
      </c>
    </row>
    <row r="1108" spans="1:38" ht="14.1" customHeight="1" x14ac:dyDescent="0.2">
      <c r="A1108" t="s">
        <v>884</v>
      </c>
      <c r="B1108" s="193">
        <v>4725</v>
      </c>
      <c r="C1108" s="194" t="s">
        <v>818</v>
      </c>
      <c r="D1108" s="229" t="s">
        <v>1375</v>
      </c>
      <c r="E1108" s="229" t="s">
        <v>42</v>
      </c>
      <c r="F1108" s="240">
        <v>250</v>
      </c>
      <c r="G1108" s="196">
        <v>1</v>
      </c>
      <c r="H1108" s="195">
        <v>250</v>
      </c>
      <c r="I1108" s="197">
        <v>41385</v>
      </c>
      <c r="J1108" s="197" t="str">
        <f t="shared" si="54"/>
        <v>ok</v>
      </c>
      <c r="K1108" s="419"/>
      <c r="L1108" s="419"/>
      <c r="M1108" s="419"/>
      <c r="N1108" s="419"/>
      <c r="O1108" s="419"/>
      <c r="P1108" s="419"/>
      <c r="Q1108" s="419"/>
      <c r="R1108" s="419"/>
      <c r="S1108" s="419"/>
      <c r="T1108" s="419"/>
      <c r="U1108" s="419"/>
      <c r="V1108" s="419"/>
      <c r="W1108" s="419">
        <f t="shared" si="52"/>
        <v>0</v>
      </c>
      <c r="X1108" s="412"/>
      <c r="Y1108" s="412"/>
      <c r="Z1108" s="412"/>
      <c r="AA1108" s="412">
        <v>250</v>
      </c>
      <c r="AB1108" s="412"/>
      <c r="AC1108" s="412"/>
      <c r="AD1108" s="412"/>
      <c r="AE1108" s="412"/>
      <c r="AF1108" s="412"/>
      <c r="AG1108" s="412"/>
      <c r="AH1108" s="412"/>
      <c r="AI1108" s="412"/>
      <c r="AJ1108" s="412">
        <f t="shared" si="53"/>
        <v>250</v>
      </c>
      <c r="AK1108" s="198"/>
      <c r="AL1108" s="250" t="s">
        <v>2067</v>
      </c>
    </row>
    <row r="1109" spans="1:38" ht="14.1" customHeight="1" x14ac:dyDescent="0.2">
      <c r="A1109" t="s">
        <v>893</v>
      </c>
      <c r="B1109" s="193">
        <v>4726</v>
      </c>
      <c r="C1109" s="194" t="s">
        <v>1096</v>
      </c>
      <c r="D1109" s="229" t="s">
        <v>1656</v>
      </c>
      <c r="E1109" s="229" t="s">
        <v>234</v>
      </c>
      <c r="F1109" s="240">
        <v>300</v>
      </c>
      <c r="G1109" s="196">
        <v>3</v>
      </c>
      <c r="H1109" s="195">
        <v>150</v>
      </c>
      <c r="I1109" s="197">
        <v>41385</v>
      </c>
      <c r="J1109" s="197" t="str">
        <f t="shared" si="54"/>
        <v>ok</v>
      </c>
      <c r="K1109" s="419"/>
      <c r="L1109" s="419"/>
      <c r="M1109" s="419"/>
      <c r="N1109" s="419"/>
      <c r="O1109" s="419"/>
      <c r="P1109" s="419"/>
      <c r="Q1109" s="419"/>
      <c r="R1109" s="419"/>
      <c r="S1109" s="419"/>
      <c r="T1109" s="419"/>
      <c r="U1109" s="419"/>
      <c r="V1109" s="419"/>
      <c r="W1109" s="419">
        <f t="shared" si="52"/>
        <v>0</v>
      </c>
      <c r="X1109" s="412"/>
      <c r="Y1109" s="412"/>
      <c r="Z1109" s="412"/>
      <c r="AA1109" s="412"/>
      <c r="AB1109" s="412"/>
      <c r="AC1109" s="412"/>
      <c r="AD1109" s="412"/>
      <c r="AE1109" s="412"/>
      <c r="AF1109" s="412"/>
      <c r="AG1109" s="412"/>
      <c r="AH1109" s="412"/>
      <c r="AI1109" s="412"/>
      <c r="AJ1109" s="412">
        <f t="shared" si="53"/>
        <v>0</v>
      </c>
      <c r="AK1109" s="198"/>
      <c r="AL1109" s="250" t="s">
        <v>2068</v>
      </c>
    </row>
    <row r="1110" spans="1:38" ht="14.1" customHeight="1" x14ac:dyDescent="0.2">
      <c r="A1110" t="s">
        <v>893</v>
      </c>
      <c r="B1110" s="193">
        <v>4726</v>
      </c>
      <c r="C1110" s="194" t="s">
        <v>1096</v>
      </c>
      <c r="D1110" s="229" t="s">
        <v>1656</v>
      </c>
      <c r="E1110" s="229" t="s">
        <v>234</v>
      </c>
      <c r="F1110" s="240">
        <v>300</v>
      </c>
      <c r="G1110" s="196">
        <v>4</v>
      </c>
      <c r="H1110" s="195">
        <v>160</v>
      </c>
      <c r="I1110" s="197">
        <v>41385</v>
      </c>
      <c r="J1110" s="197" t="str">
        <f t="shared" si="54"/>
        <v>ok</v>
      </c>
      <c r="K1110" s="419"/>
      <c r="L1110" s="419"/>
      <c r="M1110" s="419"/>
      <c r="N1110" s="419"/>
      <c r="O1110" s="419"/>
      <c r="P1110" s="419"/>
      <c r="Q1110" s="419"/>
      <c r="R1110" s="419"/>
      <c r="S1110" s="419"/>
      <c r="T1110" s="419"/>
      <c r="U1110" s="419"/>
      <c r="V1110" s="419"/>
      <c r="W1110" s="419">
        <f t="shared" si="52"/>
        <v>0</v>
      </c>
      <c r="X1110" s="412"/>
      <c r="Y1110" s="412"/>
      <c r="Z1110" s="412"/>
      <c r="AA1110" s="412"/>
      <c r="AB1110" s="412"/>
      <c r="AC1110" s="412"/>
      <c r="AD1110" s="412"/>
      <c r="AE1110" s="412"/>
      <c r="AF1110" s="412"/>
      <c r="AG1110" s="412"/>
      <c r="AH1110" s="412"/>
      <c r="AI1110" s="412"/>
      <c r="AJ1110" s="412">
        <f t="shared" si="53"/>
        <v>0</v>
      </c>
      <c r="AK1110" s="198"/>
      <c r="AL1110" s="250" t="s">
        <v>2068</v>
      </c>
    </row>
    <row r="1111" spans="1:38" ht="14.1" customHeight="1" x14ac:dyDescent="0.2">
      <c r="A1111" t="s">
        <v>894</v>
      </c>
      <c r="B1111" s="193">
        <v>4727</v>
      </c>
      <c r="C1111" s="194" t="s">
        <v>1155</v>
      </c>
      <c r="D1111" s="229" t="s">
        <v>1596</v>
      </c>
      <c r="E1111" s="229" t="s">
        <v>734</v>
      </c>
      <c r="F1111" s="240">
        <v>300</v>
      </c>
      <c r="G1111" s="196">
        <v>1</v>
      </c>
      <c r="H1111" s="195">
        <v>600</v>
      </c>
      <c r="I1111" s="197">
        <v>41385</v>
      </c>
      <c r="J1111" s="197" t="str">
        <f t="shared" si="54"/>
        <v>ok</v>
      </c>
      <c r="K1111" s="419"/>
      <c r="L1111" s="419"/>
      <c r="M1111" s="419"/>
      <c r="N1111" s="419"/>
      <c r="O1111" s="419"/>
      <c r="P1111" s="419"/>
      <c r="Q1111" s="419"/>
      <c r="R1111" s="419"/>
      <c r="S1111" s="419"/>
      <c r="T1111" s="419"/>
      <c r="U1111" s="419"/>
      <c r="V1111" s="419"/>
      <c r="W1111" s="419">
        <f t="shared" si="52"/>
        <v>0</v>
      </c>
      <c r="X1111" s="412"/>
      <c r="Y1111" s="412"/>
      <c r="Z1111" s="412">
        <v>300</v>
      </c>
      <c r="AA1111" s="412">
        <v>300</v>
      </c>
      <c r="AB1111" s="412"/>
      <c r="AC1111" s="412"/>
      <c r="AD1111" s="412"/>
      <c r="AE1111" s="412"/>
      <c r="AF1111" s="412"/>
      <c r="AG1111" s="412"/>
      <c r="AH1111" s="412"/>
      <c r="AI1111" s="412"/>
      <c r="AJ1111" s="412">
        <f t="shared" si="53"/>
        <v>600</v>
      </c>
      <c r="AK1111" s="198"/>
      <c r="AL1111" s="250" t="s">
        <v>2067</v>
      </c>
    </row>
    <row r="1112" spans="1:38" ht="14.1" customHeight="1" x14ac:dyDescent="0.2">
      <c r="A1112" t="s">
        <v>888</v>
      </c>
      <c r="B1112" s="193">
        <v>4728</v>
      </c>
      <c r="C1112" s="194" t="s">
        <v>961</v>
      </c>
      <c r="D1112" s="229" t="s">
        <v>1481</v>
      </c>
      <c r="E1112" s="229" t="s">
        <v>449</v>
      </c>
      <c r="F1112" s="240">
        <v>250</v>
      </c>
      <c r="G1112" s="196">
        <v>1</v>
      </c>
      <c r="H1112" s="195">
        <v>250</v>
      </c>
      <c r="I1112" s="197">
        <v>41385</v>
      </c>
      <c r="J1112" s="197" t="str">
        <f t="shared" si="54"/>
        <v>ok</v>
      </c>
      <c r="K1112" s="419"/>
      <c r="L1112" s="419"/>
      <c r="M1112" s="419"/>
      <c r="N1112" s="419"/>
      <c r="O1112" s="419"/>
      <c r="P1112" s="419"/>
      <c r="Q1112" s="419"/>
      <c r="R1112" s="419"/>
      <c r="S1112" s="419"/>
      <c r="T1112" s="419"/>
      <c r="U1112" s="419"/>
      <c r="V1112" s="419"/>
      <c r="W1112" s="419">
        <f t="shared" si="52"/>
        <v>0</v>
      </c>
      <c r="X1112" s="412"/>
      <c r="Y1112" s="412"/>
      <c r="Z1112" s="412"/>
      <c r="AA1112" s="412">
        <v>250</v>
      </c>
      <c r="AB1112" s="412"/>
      <c r="AC1112" s="412"/>
      <c r="AD1112" s="412"/>
      <c r="AE1112" s="412"/>
      <c r="AF1112" s="412"/>
      <c r="AG1112" s="412"/>
      <c r="AH1112" s="412"/>
      <c r="AI1112" s="412"/>
      <c r="AJ1112" s="412">
        <f t="shared" si="53"/>
        <v>250</v>
      </c>
      <c r="AK1112" s="198"/>
      <c r="AL1112" s="250" t="s">
        <v>2067</v>
      </c>
    </row>
    <row r="1113" spans="1:38" ht="14.1" customHeight="1" x14ac:dyDescent="0.2">
      <c r="A1113" t="s">
        <v>890</v>
      </c>
      <c r="B1113" s="193">
        <v>4729</v>
      </c>
      <c r="C1113" s="194" t="s">
        <v>1022</v>
      </c>
      <c r="D1113" s="229" t="s">
        <v>1611</v>
      </c>
      <c r="E1113" s="229" t="s">
        <v>521</v>
      </c>
      <c r="F1113" s="240">
        <v>300</v>
      </c>
      <c r="G1113" s="196">
        <v>1</v>
      </c>
      <c r="H1113" s="195">
        <v>600</v>
      </c>
      <c r="I1113" s="197">
        <v>41385</v>
      </c>
      <c r="J1113" s="197" t="str">
        <f t="shared" si="54"/>
        <v>ok</v>
      </c>
      <c r="K1113" s="419"/>
      <c r="L1113" s="419"/>
      <c r="M1113" s="419"/>
      <c r="N1113" s="419"/>
      <c r="O1113" s="419"/>
      <c r="P1113" s="419"/>
      <c r="Q1113" s="419"/>
      <c r="R1113" s="419"/>
      <c r="S1113" s="419"/>
      <c r="T1113" s="419"/>
      <c r="U1113" s="419"/>
      <c r="V1113" s="419"/>
      <c r="W1113" s="419">
        <f t="shared" si="52"/>
        <v>0</v>
      </c>
      <c r="X1113" s="412"/>
      <c r="Y1113" s="412"/>
      <c r="Z1113" s="412">
        <v>300</v>
      </c>
      <c r="AA1113" s="412">
        <v>300</v>
      </c>
      <c r="AB1113" s="412"/>
      <c r="AC1113" s="412"/>
      <c r="AD1113" s="412"/>
      <c r="AE1113" s="412"/>
      <c r="AF1113" s="412"/>
      <c r="AG1113" s="412"/>
      <c r="AH1113" s="412"/>
      <c r="AI1113" s="412"/>
      <c r="AJ1113" s="412">
        <f t="shared" si="53"/>
        <v>600</v>
      </c>
      <c r="AK1113" s="198"/>
      <c r="AL1113" s="250" t="s">
        <v>2067</v>
      </c>
    </row>
    <row r="1114" spans="1:38" ht="14.1" customHeight="1" x14ac:dyDescent="0.2">
      <c r="A1114" t="s">
        <v>893</v>
      </c>
      <c r="B1114" s="193">
        <v>4730</v>
      </c>
      <c r="C1114" s="194" t="s">
        <v>1140</v>
      </c>
      <c r="D1114" s="229" t="s">
        <v>1574</v>
      </c>
      <c r="E1114" s="229" t="s">
        <v>315</v>
      </c>
      <c r="F1114" s="240">
        <v>300</v>
      </c>
      <c r="G1114" s="196">
        <v>1</v>
      </c>
      <c r="H1114" s="195">
        <v>300</v>
      </c>
      <c r="I1114" s="197">
        <v>41385</v>
      </c>
      <c r="J1114" s="197" t="str">
        <f t="shared" si="54"/>
        <v>ok</v>
      </c>
      <c r="K1114" s="419"/>
      <c r="L1114" s="419"/>
      <c r="M1114" s="419"/>
      <c r="N1114" s="419"/>
      <c r="O1114" s="419"/>
      <c r="P1114" s="419"/>
      <c r="Q1114" s="419"/>
      <c r="R1114" s="419"/>
      <c r="S1114" s="419"/>
      <c r="T1114" s="419"/>
      <c r="U1114" s="419"/>
      <c r="V1114" s="419"/>
      <c r="W1114" s="419">
        <f t="shared" si="52"/>
        <v>0</v>
      </c>
      <c r="X1114" s="412"/>
      <c r="Y1114" s="412"/>
      <c r="Z1114" s="412"/>
      <c r="AA1114" s="412">
        <v>300</v>
      </c>
      <c r="AB1114" s="412"/>
      <c r="AC1114" s="412"/>
      <c r="AD1114" s="412"/>
      <c r="AE1114" s="412"/>
      <c r="AF1114" s="412"/>
      <c r="AG1114" s="412"/>
      <c r="AH1114" s="412"/>
      <c r="AI1114" s="412"/>
      <c r="AJ1114" s="412">
        <f t="shared" si="53"/>
        <v>300</v>
      </c>
      <c r="AK1114" s="198"/>
      <c r="AL1114" s="250" t="s">
        <v>2067</v>
      </c>
    </row>
    <row r="1115" spans="1:38" ht="14.1" customHeight="1" x14ac:dyDescent="0.2">
      <c r="A1115" t="s">
        <v>890</v>
      </c>
      <c r="B1115" s="193">
        <v>4731</v>
      </c>
      <c r="C1115" s="194" t="s">
        <v>1045</v>
      </c>
      <c r="D1115" s="229" t="s">
        <v>1435</v>
      </c>
      <c r="E1115" s="229" t="s">
        <v>557</v>
      </c>
      <c r="F1115" s="240">
        <v>300</v>
      </c>
      <c r="G1115" s="196">
        <v>1</v>
      </c>
      <c r="H1115" s="195">
        <v>300</v>
      </c>
      <c r="I1115" s="197">
        <v>41385</v>
      </c>
      <c r="J1115" s="197" t="str">
        <f t="shared" si="54"/>
        <v>ok</v>
      </c>
      <c r="K1115" s="419"/>
      <c r="L1115" s="419"/>
      <c r="M1115" s="419"/>
      <c r="N1115" s="419"/>
      <c r="O1115" s="419"/>
      <c r="P1115" s="419"/>
      <c r="Q1115" s="419"/>
      <c r="R1115" s="419"/>
      <c r="S1115" s="419"/>
      <c r="T1115" s="419"/>
      <c r="U1115" s="419"/>
      <c r="V1115" s="419"/>
      <c r="W1115" s="419">
        <f t="shared" si="52"/>
        <v>0</v>
      </c>
      <c r="X1115" s="412"/>
      <c r="Y1115" s="412"/>
      <c r="Z1115" s="412"/>
      <c r="AA1115" s="412">
        <v>300</v>
      </c>
      <c r="AB1115" s="412"/>
      <c r="AC1115" s="412"/>
      <c r="AD1115" s="412"/>
      <c r="AE1115" s="412"/>
      <c r="AF1115" s="412"/>
      <c r="AG1115" s="412"/>
      <c r="AH1115" s="412"/>
      <c r="AI1115" s="412"/>
      <c r="AJ1115" s="412">
        <f t="shared" si="53"/>
        <v>300</v>
      </c>
      <c r="AK1115" s="198"/>
      <c r="AL1115" s="250" t="s">
        <v>2067</v>
      </c>
    </row>
    <row r="1116" spans="1:38" ht="14.1" customHeight="1" x14ac:dyDescent="0.2">
      <c r="A1116" t="s">
        <v>894</v>
      </c>
      <c r="B1116" s="193">
        <v>4732</v>
      </c>
      <c r="C1116" s="194" t="s">
        <v>1179</v>
      </c>
      <c r="D1116" s="229" t="s">
        <v>1452</v>
      </c>
      <c r="E1116" s="229" t="s">
        <v>639</v>
      </c>
      <c r="F1116" s="240">
        <v>250</v>
      </c>
      <c r="G1116" s="196">
        <v>1</v>
      </c>
      <c r="H1116" s="195">
        <v>250</v>
      </c>
      <c r="I1116" s="197">
        <v>41385</v>
      </c>
      <c r="J1116" s="197" t="str">
        <f t="shared" si="54"/>
        <v>ok</v>
      </c>
      <c r="K1116" s="419"/>
      <c r="L1116" s="419"/>
      <c r="M1116" s="419"/>
      <c r="N1116" s="419"/>
      <c r="O1116" s="419"/>
      <c r="P1116" s="419"/>
      <c r="Q1116" s="419"/>
      <c r="R1116" s="419"/>
      <c r="S1116" s="419"/>
      <c r="T1116" s="419"/>
      <c r="U1116" s="419"/>
      <c r="V1116" s="419"/>
      <c r="W1116" s="419">
        <f t="shared" si="52"/>
        <v>0</v>
      </c>
      <c r="X1116" s="412"/>
      <c r="Y1116" s="412"/>
      <c r="Z1116" s="412"/>
      <c r="AA1116" s="412">
        <v>250</v>
      </c>
      <c r="AB1116" s="412"/>
      <c r="AC1116" s="412"/>
      <c r="AD1116" s="412"/>
      <c r="AE1116" s="412"/>
      <c r="AF1116" s="412"/>
      <c r="AG1116" s="412"/>
      <c r="AH1116" s="412"/>
      <c r="AI1116" s="412"/>
      <c r="AJ1116" s="412">
        <f t="shared" si="53"/>
        <v>250</v>
      </c>
      <c r="AK1116" s="198"/>
      <c r="AL1116" s="250" t="s">
        <v>2067</v>
      </c>
    </row>
    <row r="1117" spans="1:38" ht="14.1" customHeight="1" x14ac:dyDescent="0.2">
      <c r="A1117" t="s">
        <v>884</v>
      </c>
      <c r="B1117" s="193">
        <v>4733</v>
      </c>
      <c r="C1117" s="194" t="s">
        <v>791</v>
      </c>
      <c r="D1117" s="229" t="s">
        <v>1555</v>
      </c>
      <c r="E1117" s="229" t="s">
        <v>380</v>
      </c>
      <c r="F1117" s="240">
        <v>100</v>
      </c>
      <c r="G1117" s="196">
        <v>1</v>
      </c>
      <c r="H1117" s="195">
        <v>300</v>
      </c>
      <c r="I1117" s="197">
        <v>41385</v>
      </c>
      <c r="J1117" s="197" t="str">
        <f t="shared" si="54"/>
        <v>ok</v>
      </c>
      <c r="K1117" s="419"/>
      <c r="L1117" s="419"/>
      <c r="M1117" s="419"/>
      <c r="N1117" s="419"/>
      <c r="O1117" s="419"/>
      <c r="P1117" s="419"/>
      <c r="Q1117" s="419"/>
      <c r="R1117" s="419"/>
      <c r="S1117" s="419"/>
      <c r="T1117" s="419"/>
      <c r="U1117" s="419"/>
      <c r="V1117" s="419"/>
      <c r="W1117" s="419">
        <f t="shared" si="52"/>
        <v>0</v>
      </c>
      <c r="X1117" s="412"/>
      <c r="Y1117" s="412">
        <v>100</v>
      </c>
      <c r="Z1117" s="412">
        <v>100</v>
      </c>
      <c r="AA1117" s="412">
        <v>100</v>
      </c>
      <c r="AB1117" s="412"/>
      <c r="AC1117" s="412"/>
      <c r="AD1117" s="412"/>
      <c r="AE1117" s="412"/>
      <c r="AF1117" s="412"/>
      <c r="AG1117" s="412"/>
      <c r="AH1117" s="412"/>
      <c r="AI1117" s="412"/>
      <c r="AJ1117" s="412">
        <f t="shared" si="53"/>
        <v>300</v>
      </c>
      <c r="AK1117" s="198"/>
      <c r="AL1117" s="250" t="s">
        <v>2067</v>
      </c>
    </row>
    <row r="1118" spans="1:38" ht="14.1" customHeight="1" x14ac:dyDescent="0.2">
      <c r="A1118" t="s">
        <v>891</v>
      </c>
      <c r="B1118" s="193">
        <v>4734</v>
      </c>
      <c r="C1118" s="194" t="s">
        <v>1052</v>
      </c>
      <c r="D1118" s="229" t="s">
        <v>1571</v>
      </c>
      <c r="E1118" s="229" t="s">
        <v>654</v>
      </c>
      <c r="F1118" s="240">
        <v>300</v>
      </c>
      <c r="G1118" s="196">
        <v>1</v>
      </c>
      <c r="H1118" s="195">
        <v>300</v>
      </c>
      <c r="I1118" s="197">
        <v>41385</v>
      </c>
      <c r="J1118" s="197" t="str">
        <f t="shared" si="54"/>
        <v>ok</v>
      </c>
      <c r="K1118" s="419"/>
      <c r="L1118" s="419"/>
      <c r="M1118" s="419"/>
      <c r="N1118" s="419"/>
      <c r="O1118" s="419"/>
      <c r="P1118" s="419"/>
      <c r="Q1118" s="419"/>
      <c r="R1118" s="419"/>
      <c r="S1118" s="419"/>
      <c r="T1118" s="419"/>
      <c r="U1118" s="419"/>
      <c r="V1118" s="419"/>
      <c r="W1118" s="419">
        <f t="shared" si="52"/>
        <v>0</v>
      </c>
      <c r="X1118" s="412"/>
      <c r="Y1118" s="412">
        <v>300</v>
      </c>
      <c r="Z1118" s="412"/>
      <c r="AA1118" s="412"/>
      <c r="AB1118" s="412"/>
      <c r="AC1118" s="412"/>
      <c r="AD1118" s="412"/>
      <c r="AE1118" s="412"/>
      <c r="AF1118" s="412"/>
      <c r="AG1118" s="412"/>
      <c r="AH1118" s="412"/>
      <c r="AI1118" s="412"/>
      <c r="AJ1118" s="412">
        <f t="shared" si="53"/>
        <v>300</v>
      </c>
      <c r="AK1118" s="198"/>
      <c r="AL1118" s="250" t="s">
        <v>2067</v>
      </c>
    </row>
    <row r="1119" spans="1:38" ht="14.1" customHeight="1" x14ac:dyDescent="0.2">
      <c r="A1119" t="s">
        <v>893</v>
      </c>
      <c r="B1119" s="193">
        <v>4735</v>
      </c>
      <c r="C1119" s="194" t="s">
        <v>1137</v>
      </c>
      <c r="D1119" s="229" t="s">
        <v>1463</v>
      </c>
      <c r="E1119" s="229" t="s">
        <v>310</v>
      </c>
      <c r="F1119" s="240">
        <v>300</v>
      </c>
      <c r="G1119" s="196">
        <v>1</v>
      </c>
      <c r="H1119" s="195">
        <v>300</v>
      </c>
      <c r="I1119" s="197">
        <v>41385</v>
      </c>
      <c r="J1119" s="197" t="str">
        <f t="shared" si="54"/>
        <v>ok</v>
      </c>
      <c r="K1119" s="419"/>
      <c r="L1119" s="419"/>
      <c r="M1119" s="419"/>
      <c r="N1119" s="419"/>
      <c r="O1119" s="419"/>
      <c r="P1119" s="419"/>
      <c r="Q1119" s="419"/>
      <c r="R1119" s="419"/>
      <c r="S1119" s="419"/>
      <c r="T1119" s="419"/>
      <c r="U1119" s="419"/>
      <c r="V1119" s="419"/>
      <c r="W1119" s="419">
        <f t="shared" si="52"/>
        <v>0</v>
      </c>
      <c r="X1119" s="412"/>
      <c r="Y1119" s="412"/>
      <c r="Z1119" s="412"/>
      <c r="AA1119" s="412">
        <v>300</v>
      </c>
      <c r="AB1119" s="412"/>
      <c r="AC1119" s="412"/>
      <c r="AD1119" s="412"/>
      <c r="AE1119" s="412"/>
      <c r="AF1119" s="412"/>
      <c r="AG1119" s="412"/>
      <c r="AH1119" s="412"/>
      <c r="AI1119" s="412"/>
      <c r="AJ1119" s="412">
        <f t="shared" si="53"/>
        <v>300</v>
      </c>
      <c r="AK1119" s="198"/>
      <c r="AL1119" s="250" t="s">
        <v>2067</v>
      </c>
    </row>
    <row r="1120" spans="1:38" ht="14.1" customHeight="1" x14ac:dyDescent="0.2">
      <c r="A1120" t="s">
        <v>888</v>
      </c>
      <c r="B1120" s="193">
        <v>4736</v>
      </c>
      <c r="C1120" s="194" t="s">
        <v>761</v>
      </c>
      <c r="D1120" s="229" t="s">
        <v>1419</v>
      </c>
      <c r="E1120" s="229" t="s">
        <v>443</v>
      </c>
      <c r="F1120" s="240">
        <v>300</v>
      </c>
      <c r="G1120" s="196">
        <v>1</v>
      </c>
      <c r="H1120" s="195">
        <v>300</v>
      </c>
      <c r="I1120" s="197">
        <v>41385</v>
      </c>
      <c r="J1120" s="197" t="str">
        <f t="shared" si="54"/>
        <v>ok</v>
      </c>
      <c r="K1120" s="419"/>
      <c r="L1120" s="419"/>
      <c r="M1120" s="419"/>
      <c r="N1120" s="419"/>
      <c r="O1120" s="419"/>
      <c r="P1120" s="419"/>
      <c r="Q1120" s="419"/>
      <c r="R1120" s="419"/>
      <c r="S1120" s="419"/>
      <c r="T1120" s="419"/>
      <c r="U1120" s="419"/>
      <c r="V1120" s="419"/>
      <c r="W1120" s="419">
        <f t="shared" si="52"/>
        <v>0</v>
      </c>
      <c r="X1120" s="412"/>
      <c r="Y1120" s="412"/>
      <c r="Z1120" s="412"/>
      <c r="AA1120" s="412">
        <v>300</v>
      </c>
      <c r="AB1120" s="412"/>
      <c r="AC1120" s="412"/>
      <c r="AD1120" s="412"/>
      <c r="AE1120" s="412"/>
      <c r="AF1120" s="412"/>
      <c r="AG1120" s="412"/>
      <c r="AH1120" s="412"/>
      <c r="AI1120" s="412"/>
      <c r="AJ1120" s="412">
        <f t="shared" si="53"/>
        <v>300</v>
      </c>
      <c r="AK1120" s="198"/>
      <c r="AL1120" s="250" t="s">
        <v>2067</v>
      </c>
    </row>
    <row r="1121" spans="1:38" ht="14.1" customHeight="1" x14ac:dyDescent="0.2">
      <c r="A1121" t="s">
        <v>888</v>
      </c>
      <c r="B1121" s="193">
        <v>4736</v>
      </c>
      <c r="C1121" s="194" t="s">
        <v>761</v>
      </c>
      <c r="D1121" s="229" t="s">
        <v>1419</v>
      </c>
      <c r="E1121" s="229" t="s">
        <v>443</v>
      </c>
      <c r="F1121" s="240">
        <v>300</v>
      </c>
      <c r="G1121" s="196">
        <v>4</v>
      </c>
      <c r="H1121" s="195">
        <v>160</v>
      </c>
      <c r="I1121" s="197">
        <v>41385</v>
      </c>
      <c r="J1121" s="197" t="str">
        <f t="shared" si="54"/>
        <v>ok</v>
      </c>
      <c r="K1121" s="419"/>
      <c r="L1121" s="419"/>
      <c r="M1121" s="419"/>
      <c r="N1121" s="419"/>
      <c r="O1121" s="419"/>
      <c r="P1121" s="419"/>
      <c r="Q1121" s="419"/>
      <c r="R1121" s="419"/>
      <c r="S1121" s="419"/>
      <c r="T1121" s="419"/>
      <c r="U1121" s="419"/>
      <c r="V1121" s="419"/>
      <c r="W1121" s="419">
        <f t="shared" si="52"/>
        <v>0</v>
      </c>
      <c r="X1121" s="412"/>
      <c r="Y1121" s="412"/>
      <c r="Z1121" s="412"/>
      <c r="AA1121" s="412"/>
      <c r="AB1121" s="412"/>
      <c r="AC1121" s="412"/>
      <c r="AD1121" s="412"/>
      <c r="AE1121" s="412"/>
      <c r="AF1121" s="412"/>
      <c r="AG1121" s="412"/>
      <c r="AH1121" s="412"/>
      <c r="AI1121" s="412"/>
      <c r="AJ1121" s="412">
        <f t="shared" si="53"/>
        <v>0</v>
      </c>
      <c r="AK1121" s="198"/>
      <c r="AL1121" s="250" t="s">
        <v>2068</v>
      </c>
    </row>
    <row r="1122" spans="1:38" ht="14.1" customHeight="1" x14ac:dyDescent="0.2">
      <c r="A1122" t="s">
        <v>888</v>
      </c>
      <c r="B1122" s="193">
        <v>4737</v>
      </c>
      <c r="C1122" s="194" t="s">
        <v>949</v>
      </c>
      <c r="D1122" s="229" t="s">
        <v>1423</v>
      </c>
      <c r="E1122" s="229" t="s">
        <v>414</v>
      </c>
      <c r="F1122" s="240">
        <v>200</v>
      </c>
      <c r="G1122" s="196">
        <v>1</v>
      </c>
      <c r="H1122" s="195">
        <v>400</v>
      </c>
      <c r="I1122" s="197">
        <v>41385</v>
      </c>
      <c r="J1122" s="197" t="str">
        <f t="shared" si="54"/>
        <v>ok</v>
      </c>
      <c r="K1122" s="419"/>
      <c r="L1122" s="419"/>
      <c r="M1122" s="419"/>
      <c r="N1122" s="419"/>
      <c r="O1122" s="419"/>
      <c r="P1122" s="419"/>
      <c r="Q1122" s="419"/>
      <c r="R1122" s="419"/>
      <c r="S1122" s="419"/>
      <c r="T1122" s="419"/>
      <c r="U1122" s="419"/>
      <c r="V1122" s="419"/>
      <c r="W1122" s="419">
        <f t="shared" si="52"/>
        <v>0</v>
      </c>
      <c r="X1122" s="412"/>
      <c r="Y1122" s="412"/>
      <c r="Z1122" s="412"/>
      <c r="AA1122" s="412">
        <v>200</v>
      </c>
      <c r="AB1122" s="412">
        <v>200</v>
      </c>
      <c r="AC1122" s="412"/>
      <c r="AD1122" s="412"/>
      <c r="AE1122" s="412"/>
      <c r="AF1122" s="412"/>
      <c r="AG1122" s="412"/>
      <c r="AH1122" s="412"/>
      <c r="AI1122" s="412"/>
      <c r="AJ1122" s="412">
        <f t="shared" si="53"/>
        <v>400</v>
      </c>
      <c r="AK1122" s="198"/>
      <c r="AL1122" s="250" t="s">
        <v>2067</v>
      </c>
    </row>
    <row r="1123" spans="1:38" ht="14.1" customHeight="1" x14ac:dyDescent="0.2">
      <c r="A1123" t="s">
        <v>893</v>
      </c>
      <c r="B1123" s="193">
        <v>4738</v>
      </c>
      <c r="C1123" s="194" t="s">
        <v>1106</v>
      </c>
      <c r="D1123" s="229" t="s">
        <v>1433</v>
      </c>
      <c r="E1123" s="229" t="s">
        <v>1221</v>
      </c>
      <c r="F1123" s="240">
        <v>300</v>
      </c>
      <c r="G1123" s="196">
        <v>5</v>
      </c>
      <c r="H1123" s="195">
        <v>40</v>
      </c>
      <c r="I1123" s="197">
        <v>41385</v>
      </c>
      <c r="J1123" s="197" t="str">
        <f t="shared" si="54"/>
        <v>ok</v>
      </c>
      <c r="K1123" s="419"/>
      <c r="L1123" s="419"/>
      <c r="M1123" s="419"/>
      <c r="N1123" s="419"/>
      <c r="O1123" s="419"/>
      <c r="P1123" s="419"/>
      <c r="Q1123" s="419"/>
      <c r="R1123" s="419"/>
      <c r="S1123" s="419"/>
      <c r="T1123" s="419"/>
      <c r="U1123" s="419"/>
      <c r="V1123" s="419"/>
      <c r="W1123" s="419">
        <f t="shared" si="52"/>
        <v>0</v>
      </c>
      <c r="X1123" s="412"/>
      <c r="Y1123" s="412"/>
      <c r="Z1123" s="412"/>
      <c r="AA1123" s="412"/>
      <c r="AB1123" s="412"/>
      <c r="AC1123" s="412"/>
      <c r="AD1123" s="412"/>
      <c r="AE1123" s="412"/>
      <c r="AF1123" s="412"/>
      <c r="AG1123" s="412"/>
      <c r="AH1123" s="412"/>
      <c r="AI1123" s="412"/>
      <c r="AJ1123" s="412">
        <f t="shared" si="53"/>
        <v>0</v>
      </c>
      <c r="AK1123" s="198"/>
      <c r="AL1123" s="250" t="s">
        <v>2068</v>
      </c>
    </row>
    <row r="1124" spans="1:38" ht="14.1" customHeight="1" x14ac:dyDescent="0.2">
      <c r="A1124" t="s">
        <v>887</v>
      </c>
      <c r="B1124" s="193">
        <v>4739</v>
      </c>
      <c r="C1124" s="194" t="s">
        <v>904</v>
      </c>
      <c r="D1124" s="229" t="s">
        <v>1361</v>
      </c>
      <c r="E1124" s="229" t="s">
        <v>667</v>
      </c>
      <c r="F1124" s="240">
        <v>300</v>
      </c>
      <c r="G1124" s="196">
        <v>1</v>
      </c>
      <c r="H1124" s="195">
        <v>600</v>
      </c>
      <c r="I1124" s="197">
        <v>41385</v>
      </c>
      <c r="J1124" s="197" t="str">
        <f t="shared" si="54"/>
        <v>ok</v>
      </c>
      <c r="K1124" s="419"/>
      <c r="L1124" s="419"/>
      <c r="M1124" s="419"/>
      <c r="N1124" s="419"/>
      <c r="O1124" s="419"/>
      <c r="P1124" s="419"/>
      <c r="Q1124" s="419"/>
      <c r="R1124" s="419"/>
      <c r="S1124" s="419"/>
      <c r="T1124" s="419"/>
      <c r="U1124" s="419"/>
      <c r="V1124" s="419"/>
      <c r="W1124" s="419">
        <f t="shared" si="52"/>
        <v>0</v>
      </c>
      <c r="X1124" s="412"/>
      <c r="Y1124" s="412"/>
      <c r="Z1124" s="412"/>
      <c r="AA1124" s="412">
        <v>300</v>
      </c>
      <c r="AB1124" s="412">
        <v>300</v>
      </c>
      <c r="AC1124" s="412"/>
      <c r="AD1124" s="412"/>
      <c r="AE1124" s="412"/>
      <c r="AF1124" s="412"/>
      <c r="AG1124" s="412"/>
      <c r="AH1124" s="412"/>
      <c r="AI1124" s="412"/>
      <c r="AJ1124" s="412">
        <f t="shared" si="53"/>
        <v>600</v>
      </c>
      <c r="AK1124" s="198"/>
      <c r="AL1124" s="250" t="s">
        <v>2067</v>
      </c>
    </row>
    <row r="1125" spans="1:38" ht="14.1" customHeight="1" x14ac:dyDescent="0.2">
      <c r="A1125" t="s">
        <v>892</v>
      </c>
      <c r="B1125" s="193">
        <v>4740</v>
      </c>
      <c r="C1125" s="194" t="s">
        <v>1066</v>
      </c>
      <c r="D1125" s="229" t="s">
        <v>1591</v>
      </c>
      <c r="E1125" s="229" t="s">
        <v>663</v>
      </c>
      <c r="F1125" s="240">
        <v>300</v>
      </c>
      <c r="G1125" s="196">
        <v>1</v>
      </c>
      <c r="H1125" s="195">
        <v>300</v>
      </c>
      <c r="I1125" s="197">
        <v>41385</v>
      </c>
      <c r="J1125" s="197" t="str">
        <f t="shared" si="54"/>
        <v>ok</v>
      </c>
      <c r="K1125" s="419"/>
      <c r="L1125" s="419"/>
      <c r="M1125" s="419"/>
      <c r="N1125" s="419"/>
      <c r="O1125" s="419"/>
      <c r="P1125" s="419"/>
      <c r="Q1125" s="419"/>
      <c r="R1125" s="419"/>
      <c r="S1125" s="419"/>
      <c r="T1125" s="419"/>
      <c r="U1125" s="419"/>
      <c r="V1125" s="419"/>
      <c r="W1125" s="419">
        <f t="shared" si="52"/>
        <v>0</v>
      </c>
      <c r="X1125" s="412"/>
      <c r="Y1125" s="412"/>
      <c r="Z1125" s="412"/>
      <c r="AA1125" s="412"/>
      <c r="AB1125" s="412">
        <v>300</v>
      </c>
      <c r="AC1125" s="412"/>
      <c r="AD1125" s="412"/>
      <c r="AE1125" s="412"/>
      <c r="AF1125" s="412"/>
      <c r="AG1125" s="412"/>
      <c r="AH1125" s="412"/>
      <c r="AI1125" s="412"/>
      <c r="AJ1125" s="412">
        <f t="shared" si="53"/>
        <v>300</v>
      </c>
      <c r="AK1125" s="198"/>
      <c r="AL1125" s="250" t="s">
        <v>2067</v>
      </c>
    </row>
    <row r="1126" spans="1:38" ht="14.1" customHeight="1" x14ac:dyDescent="0.2">
      <c r="A1126" t="s">
        <v>890</v>
      </c>
      <c r="B1126" s="193">
        <v>4741</v>
      </c>
      <c r="C1126" s="194" t="s">
        <v>1028</v>
      </c>
      <c r="D1126" s="229" t="s">
        <v>1617</v>
      </c>
      <c r="E1126" s="229" t="s">
        <v>732</v>
      </c>
      <c r="F1126" s="240">
        <v>300</v>
      </c>
      <c r="G1126" s="196">
        <v>4</v>
      </c>
      <c r="H1126" s="195">
        <v>160</v>
      </c>
      <c r="I1126" s="197">
        <v>41385</v>
      </c>
      <c r="J1126" s="197" t="str">
        <f t="shared" si="54"/>
        <v>ok</v>
      </c>
      <c r="K1126" s="419"/>
      <c r="L1126" s="419"/>
      <c r="M1126" s="419"/>
      <c r="N1126" s="419"/>
      <c r="O1126" s="419"/>
      <c r="P1126" s="419"/>
      <c r="Q1126" s="419"/>
      <c r="R1126" s="419"/>
      <c r="S1126" s="419"/>
      <c r="T1126" s="419"/>
      <c r="U1126" s="419"/>
      <c r="V1126" s="419"/>
      <c r="W1126" s="419">
        <f t="shared" si="52"/>
        <v>0</v>
      </c>
      <c r="X1126" s="412"/>
      <c r="Y1126" s="412"/>
      <c r="Z1126" s="412"/>
      <c r="AA1126" s="412"/>
      <c r="AB1126" s="412"/>
      <c r="AC1126" s="412"/>
      <c r="AD1126" s="412"/>
      <c r="AE1126" s="412"/>
      <c r="AF1126" s="412"/>
      <c r="AG1126" s="412"/>
      <c r="AH1126" s="412"/>
      <c r="AI1126" s="412"/>
      <c r="AJ1126" s="412">
        <f t="shared" si="53"/>
        <v>0</v>
      </c>
      <c r="AK1126" s="198"/>
      <c r="AL1126" s="250" t="s">
        <v>2068</v>
      </c>
    </row>
    <row r="1127" spans="1:38" ht="14.1" customHeight="1" x14ac:dyDescent="0.2">
      <c r="A1127" t="s">
        <v>893</v>
      </c>
      <c r="B1127" s="193">
        <v>4742</v>
      </c>
      <c r="C1127" s="194" t="s">
        <v>1129</v>
      </c>
      <c r="D1127" s="229" t="s">
        <v>1369</v>
      </c>
      <c r="E1127" s="229" t="s">
        <v>296</v>
      </c>
      <c r="F1127" s="240">
        <v>300</v>
      </c>
      <c r="G1127" s="196">
        <v>5</v>
      </c>
      <c r="H1127" s="195">
        <v>40</v>
      </c>
      <c r="I1127" s="197">
        <v>41385</v>
      </c>
      <c r="J1127" s="197" t="str">
        <f t="shared" si="54"/>
        <v>ok</v>
      </c>
      <c r="K1127" s="419"/>
      <c r="L1127" s="419"/>
      <c r="M1127" s="419"/>
      <c r="N1127" s="419"/>
      <c r="O1127" s="419"/>
      <c r="P1127" s="419"/>
      <c r="Q1127" s="419"/>
      <c r="R1127" s="419"/>
      <c r="S1127" s="419"/>
      <c r="T1127" s="419"/>
      <c r="U1127" s="419"/>
      <c r="V1127" s="419"/>
      <c r="W1127" s="419">
        <f t="shared" si="52"/>
        <v>0</v>
      </c>
      <c r="X1127" s="412"/>
      <c r="Y1127" s="412"/>
      <c r="Z1127" s="412"/>
      <c r="AA1127" s="412"/>
      <c r="AB1127" s="412"/>
      <c r="AC1127" s="412"/>
      <c r="AD1127" s="412"/>
      <c r="AE1127" s="412"/>
      <c r="AF1127" s="412"/>
      <c r="AG1127" s="412"/>
      <c r="AH1127" s="412"/>
      <c r="AI1127" s="412"/>
      <c r="AJ1127" s="412">
        <f t="shared" si="53"/>
        <v>0</v>
      </c>
      <c r="AK1127" s="198"/>
      <c r="AL1127" s="250" t="s">
        <v>2068</v>
      </c>
    </row>
    <row r="1128" spans="1:38" ht="14.1" customHeight="1" x14ac:dyDescent="0.2">
      <c r="A1128" t="s">
        <v>888</v>
      </c>
      <c r="B1128" s="193">
        <v>4743</v>
      </c>
      <c r="C1128" s="194" t="s">
        <v>786</v>
      </c>
      <c r="D1128" s="229" t="s">
        <v>1588</v>
      </c>
      <c r="E1128" s="229" t="s">
        <v>718</v>
      </c>
      <c r="F1128" s="240">
        <v>300</v>
      </c>
      <c r="G1128" s="196">
        <v>1</v>
      </c>
      <c r="H1128" s="195">
        <v>300</v>
      </c>
      <c r="I1128" s="197">
        <v>41385</v>
      </c>
      <c r="J1128" s="197" t="str">
        <f t="shared" si="54"/>
        <v>ok</v>
      </c>
      <c r="K1128" s="419"/>
      <c r="L1128" s="419"/>
      <c r="M1128" s="419"/>
      <c r="N1128" s="419"/>
      <c r="O1128" s="419"/>
      <c r="P1128" s="419"/>
      <c r="Q1128" s="419"/>
      <c r="R1128" s="419"/>
      <c r="S1128" s="419"/>
      <c r="T1128" s="419"/>
      <c r="U1128" s="419"/>
      <c r="V1128" s="419"/>
      <c r="W1128" s="419">
        <f t="shared" si="52"/>
        <v>0</v>
      </c>
      <c r="X1128" s="412"/>
      <c r="Y1128" s="412"/>
      <c r="Z1128" s="412">
        <v>300</v>
      </c>
      <c r="AA1128" s="412"/>
      <c r="AB1128" s="412"/>
      <c r="AC1128" s="412"/>
      <c r="AD1128" s="412"/>
      <c r="AE1128" s="412"/>
      <c r="AF1128" s="412"/>
      <c r="AG1128" s="412"/>
      <c r="AH1128" s="412"/>
      <c r="AI1128" s="412"/>
      <c r="AJ1128" s="412">
        <f t="shared" si="53"/>
        <v>300</v>
      </c>
      <c r="AK1128" s="198"/>
      <c r="AL1128" s="250" t="s">
        <v>2067</v>
      </c>
    </row>
    <row r="1129" spans="1:38" ht="14.1" customHeight="1" x14ac:dyDescent="0.2">
      <c r="A1129" t="s">
        <v>884</v>
      </c>
      <c r="B1129" s="193">
        <v>4744</v>
      </c>
      <c r="C1129" s="194" t="s">
        <v>831</v>
      </c>
      <c r="D1129" s="229" t="s">
        <v>1534</v>
      </c>
      <c r="E1129" s="229" t="s">
        <v>64</v>
      </c>
      <c r="F1129" s="240">
        <v>300</v>
      </c>
      <c r="G1129" s="196">
        <v>1</v>
      </c>
      <c r="H1129" s="195">
        <v>300</v>
      </c>
      <c r="I1129" s="197">
        <v>41385</v>
      </c>
      <c r="J1129" s="197" t="str">
        <f t="shared" si="54"/>
        <v>ok</v>
      </c>
      <c r="K1129" s="419"/>
      <c r="L1129" s="419"/>
      <c r="M1129" s="419"/>
      <c r="N1129" s="419"/>
      <c r="O1129" s="419"/>
      <c r="P1129" s="419"/>
      <c r="Q1129" s="419"/>
      <c r="R1129" s="419"/>
      <c r="S1129" s="419"/>
      <c r="T1129" s="419"/>
      <c r="U1129" s="419"/>
      <c r="V1129" s="419"/>
      <c r="W1129" s="419">
        <f t="shared" si="52"/>
        <v>0</v>
      </c>
      <c r="X1129" s="412"/>
      <c r="Y1129" s="412"/>
      <c r="Z1129" s="412"/>
      <c r="AA1129" s="412">
        <v>300</v>
      </c>
      <c r="AB1129" s="412"/>
      <c r="AC1129" s="412"/>
      <c r="AD1129" s="412"/>
      <c r="AE1129" s="412"/>
      <c r="AF1129" s="412"/>
      <c r="AG1129" s="412"/>
      <c r="AH1129" s="412"/>
      <c r="AI1129" s="412"/>
      <c r="AJ1129" s="412">
        <f t="shared" si="53"/>
        <v>300</v>
      </c>
      <c r="AK1129" s="198"/>
      <c r="AL1129" s="250" t="s">
        <v>2067</v>
      </c>
    </row>
    <row r="1130" spans="1:38" ht="14.1" customHeight="1" x14ac:dyDescent="0.2">
      <c r="A1130" t="s">
        <v>894</v>
      </c>
      <c r="B1130" s="193">
        <v>4745</v>
      </c>
      <c r="C1130" s="194" t="s">
        <v>1153</v>
      </c>
      <c r="D1130" s="229" t="s">
        <v>1436</v>
      </c>
      <c r="E1130" s="229" t="s">
        <v>191</v>
      </c>
      <c r="F1130" s="240">
        <v>400</v>
      </c>
      <c r="G1130" s="196">
        <v>1</v>
      </c>
      <c r="H1130" s="195">
        <v>400</v>
      </c>
      <c r="I1130" s="197">
        <v>41386</v>
      </c>
      <c r="J1130" s="197" t="str">
        <f t="shared" si="54"/>
        <v>ok</v>
      </c>
      <c r="K1130" s="419"/>
      <c r="L1130" s="419"/>
      <c r="M1130" s="419"/>
      <c r="N1130" s="419"/>
      <c r="O1130" s="419"/>
      <c r="P1130" s="419"/>
      <c r="Q1130" s="419"/>
      <c r="R1130" s="419"/>
      <c r="S1130" s="419"/>
      <c r="T1130" s="419"/>
      <c r="U1130" s="419"/>
      <c r="V1130" s="419"/>
      <c r="W1130" s="419">
        <f t="shared" si="52"/>
        <v>0</v>
      </c>
      <c r="X1130" s="412"/>
      <c r="Y1130" s="412"/>
      <c r="Z1130" s="412"/>
      <c r="AA1130" s="412">
        <v>400</v>
      </c>
      <c r="AB1130" s="412"/>
      <c r="AC1130" s="412"/>
      <c r="AD1130" s="412"/>
      <c r="AE1130" s="412"/>
      <c r="AF1130" s="412"/>
      <c r="AG1130" s="412"/>
      <c r="AH1130" s="412"/>
      <c r="AI1130" s="412"/>
      <c r="AJ1130" s="412">
        <f t="shared" si="53"/>
        <v>400</v>
      </c>
      <c r="AK1130" s="198"/>
      <c r="AL1130" s="250" t="s">
        <v>2067</v>
      </c>
    </row>
    <row r="1131" spans="1:38" ht="14.1" customHeight="1" x14ac:dyDescent="0.2">
      <c r="A1131" t="s">
        <v>894</v>
      </c>
      <c r="B1131" s="193">
        <v>4746</v>
      </c>
      <c r="C1131" s="194" t="s">
        <v>767</v>
      </c>
      <c r="D1131" s="229" t="s">
        <v>1411</v>
      </c>
      <c r="E1131" s="229" t="s">
        <v>607</v>
      </c>
      <c r="F1131" s="240">
        <v>300</v>
      </c>
      <c r="G1131" s="196">
        <v>4</v>
      </c>
      <c r="H1131" s="195">
        <v>160</v>
      </c>
      <c r="I1131" s="197">
        <v>41387</v>
      </c>
      <c r="J1131" s="197" t="str">
        <f t="shared" si="54"/>
        <v>ok</v>
      </c>
      <c r="K1131" s="419"/>
      <c r="L1131" s="419"/>
      <c r="M1131" s="419"/>
      <c r="N1131" s="419"/>
      <c r="O1131" s="419"/>
      <c r="P1131" s="419"/>
      <c r="Q1131" s="419"/>
      <c r="R1131" s="419"/>
      <c r="S1131" s="419"/>
      <c r="T1131" s="419"/>
      <c r="U1131" s="419"/>
      <c r="V1131" s="419"/>
      <c r="W1131" s="419">
        <f t="shared" si="52"/>
        <v>0</v>
      </c>
      <c r="X1131" s="412"/>
      <c r="Y1131" s="412"/>
      <c r="Z1131" s="412"/>
      <c r="AA1131" s="412"/>
      <c r="AB1131" s="412"/>
      <c r="AC1131" s="412"/>
      <c r="AD1131" s="412"/>
      <c r="AE1131" s="412"/>
      <c r="AF1131" s="412"/>
      <c r="AG1131" s="412"/>
      <c r="AH1131" s="412"/>
      <c r="AI1131" s="412"/>
      <c r="AJ1131" s="412">
        <f t="shared" si="53"/>
        <v>0</v>
      </c>
      <c r="AK1131" s="198"/>
      <c r="AL1131" s="250" t="s">
        <v>2068</v>
      </c>
    </row>
    <row r="1132" spans="1:38" ht="14.1" customHeight="1" x14ac:dyDescent="0.2">
      <c r="A1132" t="s">
        <v>893</v>
      </c>
      <c r="B1132" s="193">
        <v>4747</v>
      </c>
      <c r="C1132" s="194" t="s">
        <v>1149</v>
      </c>
      <c r="D1132" s="229" t="s">
        <v>1440</v>
      </c>
      <c r="E1132" s="229" t="s">
        <v>335</v>
      </c>
      <c r="F1132" s="240">
        <v>300</v>
      </c>
      <c r="G1132" s="196">
        <v>1</v>
      </c>
      <c r="H1132" s="195">
        <v>300</v>
      </c>
      <c r="I1132" s="197">
        <v>41390</v>
      </c>
      <c r="J1132" s="197" t="str">
        <f t="shared" si="54"/>
        <v>ok</v>
      </c>
      <c r="K1132" s="419"/>
      <c r="L1132" s="419"/>
      <c r="M1132" s="419"/>
      <c r="N1132" s="419"/>
      <c r="O1132" s="419"/>
      <c r="P1132" s="419"/>
      <c r="Q1132" s="419"/>
      <c r="R1132" s="419"/>
      <c r="S1132" s="419"/>
      <c r="T1132" s="419"/>
      <c r="U1132" s="419"/>
      <c r="V1132" s="419"/>
      <c r="W1132" s="419">
        <f t="shared" si="52"/>
        <v>0</v>
      </c>
      <c r="X1132" s="412"/>
      <c r="Y1132" s="412"/>
      <c r="Z1132" s="412"/>
      <c r="AA1132" s="412">
        <v>300</v>
      </c>
      <c r="AB1132" s="412"/>
      <c r="AC1132" s="412"/>
      <c r="AD1132" s="412"/>
      <c r="AE1132" s="412"/>
      <c r="AF1132" s="412"/>
      <c r="AG1132" s="412"/>
      <c r="AH1132" s="412"/>
      <c r="AI1132" s="412"/>
      <c r="AJ1132" s="412">
        <f t="shared" si="53"/>
        <v>300</v>
      </c>
      <c r="AK1132" s="198"/>
      <c r="AL1132" s="250" t="s">
        <v>2067</v>
      </c>
    </row>
    <row r="1133" spans="1:38" ht="14.1" customHeight="1" x14ac:dyDescent="0.2">
      <c r="B1133" s="193">
        <v>4748</v>
      </c>
      <c r="C1133" s="194"/>
      <c r="D1133" s="229" t="s">
        <v>1362</v>
      </c>
      <c r="E1133" s="229" t="s">
        <v>1362</v>
      </c>
      <c r="F1133" s="240" t="s">
        <v>1362</v>
      </c>
      <c r="G1133" s="196">
        <v>8</v>
      </c>
      <c r="H1133" s="195"/>
      <c r="I1133" s="197"/>
      <c r="J1133" s="197" t="str">
        <f t="shared" si="54"/>
        <v>ok</v>
      </c>
      <c r="K1133" s="419"/>
      <c r="L1133" s="419"/>
      <c r="M1133" s="419"/>
      <c r="N1133" s="419"/>
      <c r="O1133" s="419"/>
      <c r="P1133" s="419"/>
      <c r="Q1133" s="419"/>
      <c r="R1133" s="419"/>
      <c r="S1133" s="419"/>
      <c r="T1133" s="419"/>
      <c r="U1133" s="419"/>
      <c r="V1133" s="419"/>
      <c r="W1133" s="419">
        <f t="shared" si="52"/>
        <v>0</v>
      </c>
      <c r="X1133" s="412"/>
      <c r="Y1133" s="412"/>
      <c r="Z1133" s="412"/>
      <c r="AA1133" s="412"/>
      <c r="AB1133" s="412"/>
      <c r="AC1133" s="412"/>
      <c r="AD1133" s="412"/>
      <c r="AE1133" s="412"/>
      <c r="AF1133" s="412"/>
      <c r="AG1133" s="412"/>
      <c r="AH1133" s="412"/>
      <c r="AI1133" s="412"/>
      <c r="AJ1133" s="412">
        <f t="shared" si="53"/>
        <v>0</v>
      </c>
      <c r="AK1133" s="198" t="s">
        <v>755</v>
      </c>
      <c r="AL1133" s="250" t="s">
        <v>2067</v>
      </c>
    </row>
    <row r="1134" spans="1:38" ht="14.1" customHeight="1" x14ac:dyDescent="0.2">
      <c r="A1134" t="s">
        <v>884</v>
      </c>
      <c r="B1134" s="193">
        <v>4749</v>
      </c>
      <c r="C1134" s="194" t="s">
        <v>817</v>
      </c>
      <c r="D1134" s="229" t="s">
        <v>1382</v>
      </c>
      <c r="E1134" s="229" t="s">
        <v>40</v>
      </c>
      <c r="F1134" s="240">
        <v>300</v>
      </c>
      <c r="G1134" s="196">
        <v>1</v>
      </c>
      <c r="H1134" s="195">
        <v>300</v>
      </c>
      <c r="I1134" s="197">
        <v>41392</v>
      </c>
      <c r="J1134" s="197" t="str">
        <f t="shared" si="54"/>
        <v>ok</v>
      </c>
      <c r="K1134" s="419"/>
      <c r="L1134" s="419"/>
      <c r="M1134" s="419"/>
      <c r="N1134" s="419"/>
      <c r="O1134" s="419"/>
      <c r="P1134" s="419"/>
      <c r="Q1134" s="419"/>
      <c r="R1134" s="419"/>
      <c r="S1134" s="419"/>
      <c r="T1134" s="419"/>
      <c r="U1134" s="419"/>
      <c r="V1134" s="419"/>
      <c r="W1134" s="419">
        <f t="shared" si="52"/>
        <v>0</v>
      </c>
      <c r="X1134" s="412"/>
      <c r="Y1134" s="412"/>
      <c r="Z1134" s="412"/>
      <c r="AA1134" s="412"/>
      <c r="AB1134" s="412">
        <v>300</v>
      </c>
      <c r="AC1134" s="412"/>
      <c r="AD1134" s="412"/>
      <c r="AE1134" s="412"/>
      <c r="AF1134" s="412"/>
      <c r="AG1134" s="412"/>
      <c r="AH1134" s="412"/>
      <c r="AI1134" s="412"/>
      <c r="AJ1134" s="412">
        <f t="shared" si="53"/>
        <v>300</v>
      </c>
      <c r="AK1134" s="198"/>
      <c r="AL1134" s="250" t="s">
        <v>2067</v>
      </c>
    </row>
    <row r="1135" spans="1:38" ht="14.1" customHeight="1" x14ac:dyDescent="0.2">
      <c r="A1135" t="s">
        <v>888</v>
      </c>
      <c r="B1135" s="193">
        <v>4750</v>
      </c>
      <c r="C1135" s="194" t="s">
        <v>926</v>
      </c>
      <c r="D1135" s="229" t="s">
        <v>1389</v>
      </c>
      <c r="E1135" s="229" t="s">
        <v>375</v>
      </c>
      <c r="F1135" s="240">
        <v>300</v>
      </c>
      <c r="G1135" s="196">
        <v>1</v>
      </c>
      <c r="H1135" s="195">
        <v>300</v>
      </c>
      <c r="I1135" s="197">
        <v>41392</v>
      </c>
      <c r="J1135" s="197" t="str">
        <f t="shared" si="54"/>
        <v>ok</v>
      </c>
      <c r="K1135" s="419"/>
      <c r="L1135" s="419"/>
      <c r="M1135" s="419"/>
      <c r="N1135" s="419"/>
      <c r="O1135" s="419"/>
      <c r="P1135" s="419"/>
      <c r="Q1135" s="419"/>
      <c r="R1135" s="419"/>
      <c r="S1135" s="419"/>
      <c r="T1135" s="419"/>
      <c r="U1135" s="419"/>
      <c r="V1135" s="419"/>
      <c r="W1135" s="419">
        <f t="shared" si="52"/>
        <v>0</v>
      </c>
      <c r="X1135" s="412"/>
      <c r="Y1135" s="412"/>
      <c r="Z1135" s="412">
        <v>300</v>
      </c>
      <c r="AA1135" s="412"/>
      <c r="AB1135" s="412"/>
      <c r="AC1135" s="412"/>
      <c r="AD1135" s="412"/>
      <c r="AE1135" s="412"/>
      <c r="AF1135" s="412"/>
      <c r="AG1135" s="412"/>
      <c r="AH1135" s="412"/>
      <c r="AI1135" s="412"/>
      <c r="AJ1135" s="412">
        <f t="shared" si="53"/>
        <v>300</v>
      </c>
      <c r="AK1135" s="198"/>
      <c r="AL1135" s="250" t="s">
        <v>2067</v>
      </c>
    </row>
    <row r="1136" spans="1:38" ht="14.1" customHeight="1" x14ac:dyDescent="0.2">
      <c r="A1136" t="s">
        <v>894</v>
      </c>
      <c r="B1136" s="193">
        <v>4751</v>
      </c>
      <c r="C1136" s="194" t="s">
        <v>1172</v>
      </c>
      <c r="D1136" s="229" t="s">
        <v>1390</v>
      </c>
      <c r="E1136" s="229" t="s">
        <v>626</v>
      </c>
      <c r="F1136" s="240">
        <v>300</v>
      </c>
      <c r="G1136" s="196">
        <v>1</v>
      </c>
      <c r="H1136" s="195">
        <v>300</v>
      </c>
      <c r="I1136" s="197">
        <v>41392</v>
      </c>
      <c r="J1136" s="197" t="str">
        <f t="shared" si="54"/>
        <v>ok</v>
      </c>
      <c r="K1136" s="419"/>
      <c r="L1136" s="419"/>
      <c r="M1136" s="419"/>
      <c r="N1136" s="419"/>
      <c r="O1136" s="419"/>
      <c r="P1136" s="419"/>
      <c r="Q1136" s="419"/>
      <c r="R1136" s="419"/>
      <c r="S1136" s="419"/>
      <c r="T1136" s="419"/>
      <c r="U1136" s="419"/>
      <c r="V1136" s="419"/>
      <c r="W1136" s="419">
        <f t="shared" si="52"/>
        <v>0</v>
      </c>
      <c r="X1136" s="412"/>
      <c r="Y1136" s="412"/>
      <c r="Z1136" s="412"/>
      <c r="AA1136" s="412"/>
      <c r="AB1136" s="412">
        <v>300</v>
      </c>
      <c r="AC1136" s="412"/>
      <c r="AD1136" s="412"/>
      <c r="AE1136" s="412"/>
      <c r="AF1136" s="412"/>
      <c r="AG1136" s="412"/>
      <c r="AH1136" s="412"/>
      <c r="AI1136" s="412"/>
      <c r="AJ1136" s="412">
        <f t="shared" si="53"/>
        <v>300</v>
      </c>
      <c r="AK1136" s="198"/>
      <c r="AL1136" s="250" t="s">
        <v>2067</v>
      </c>
    </row>
    <row r="1137" spans="1:38" ht="14.1" customHeight="1" x14ac:dyDescent="0.2">
      <c r="A1137" t="s">
        <v>893</v>
      </c>
      <c r="B1137" s="193">
        <v>4752</v>
      </c>
      <c r="C1137" s="194" t="s">
        <v>1134</v>
      </c>
      <c r="D1137" s="229" t="s">
        <v>1556</v>
      </c>
      <c r="E1137" s="229" t="s">
        <v>305</v>
      </c>
      <c r="F1137" s="240">
        <v>300</v>
      </c>
      <c r="G1137" s="196">
        <v>1</v>
      </c>
      <c r="H1137" s="195">
        <v>300</v>
      </c>
      <c r="I1137" s="197">
        <v>41392</v>
      </c>
      <c r="J1137" s="197" t="str">
        <f t="shared" si="54"/>
        <v>ok</v>
      </c>
      <c r="K1137" s="419"/>
      <c r="L1137" s="419"/>
      <c r="M1137" s="419"/>
      <c r="N1137" s="419"/>
      <c r="O1137" s="419"/>
      <c r="P1137" s="419"/>
      <c r="Q1137" s="419"/>
      <c r="R1137" s="419"/>
      <c r="S1137" s="419"/>
      <c r="T1137" s="419"/>
      <c r="U1137" s="419"/>
      <c r="V1137" s="419"/>
      <c r="W1137" s="419">
        <f t="shared" si="52"/>
        <v>0</v>
      </c>
      <c r="X1137" s="412"/>
      <c r="Y1137" s="412"/>
      <c r="Z1137" s="412"/>
      <c r="AA1137" s="412">
        <v>300</v>
      </c>
      <c r="AB1137" s="412"/>
      <c r="AC1137" s="412"/>
      <c r="AD1137" s="412"/>
      <c r="AE1137" s="412"/>
      <c r="AF1137" s="412"/>
      <c r="AG1137" s="412"/>
      <c r="AH1137" s="412"/>
      <c r="AI1137" s="412"/>
      <c r="AJ1137" s="412">
        <f t="shared" si="53"/>
        <v>300</v>
      </c>
      <c r="AK1137" s="198"/>
      <c r="AL1137" s="250" t="s">
        <v>2067</v>
      </c>
    </row>
    <row r="1138" spans="1:38" ht="14.1" customHeight="1" x14ac:dyDescent="0.2">
      <c r="A1138" t="s">
        <v>890</v>
      </c>
      <c r="B1138" s="193">
        <v>4753</v>
      </c>
      <c r="C1138" s="194" t="s">
        <v>1027</v>
      </c>
      <c r="D1138" s="229" t="s">
        <v>1565</v>
      </c>
      <c r="E1138" s="229" t="s">
        <v>527</v>
      </c>
      <c r="F1138" s="240">
        <v>300</v>
      </c>
      <c r="G1138" s="196">
        <v>1</v>
      </c>
      <c r="H1138" s="195">
        <v>300</v>
      </c>
      <c r="I1138" s="197">
        <v>41392</v>
      </c>
      <c r="J1138" s="197" t="str">
        <f t="shared" si="54"/>
        <v>ok</v>
      </c>
      <c r="K1138" s="419"/>
      <c r="L1138" s="419"/>
      <c r="M1138" s="419"/>
      <c r="N1138" s="419"/>
      <c r="O1138" s="419"/>
      <c r="P1138" s="419"/>
      <c r="Q1138" s="419"/>
      <c r="R1138" s="419"/>
      <c r="S1138" s="419"/>
      <c r="T1138" s="419"/>
      <c r="U1138" s="419"/>
      <c r="V1138" s="419"/>
      <c r="W1138" s="419">
        <f t="shared" si="52"/>
        <v>0</v>
      </c>
      <c r="X1138" s="412"/>
      <c r="Y1138" s="412"/>
      <c r="Z1138" s="412"/>
      <c r="AA1138" s="412">
        <v>300</v>
      </c>
      <c r="AB1138" s="412"/>
      <c r="AC1138" s="412"/>
      <c r="AD1138" s="412"/>
      <c r="AE1138" s="412"/>
      <c r="AF1138" s="412"/>
      <c r="AG1138" s="412"/>
      <c r="AH1138" s="412"/>
      <c r="AI1138" s="412"/>
      <c r="AJ1138" s="412">
        <f t="shared" si="53"/>
        <v>300</v>
      </c>
      <c r="AK1138" s="198"/>
      <c r="AL1138" s="250" t="s">
        <v>2067</v>
      </c>
    </row>
    <row r="1139" spans="1:38" ht="14.1" customHeight="1" x14ac:dyDescent="0.2">
      <c r="A1139" t="s">
        <v>884</v>
      </c>
      <c r="B1139" s="193">
        <v>4754</v>
      </c>
      <c r="C1139" s="194" t="s">
        <v>819</v>
      </c>
      <c r="D1139" s="229" t="s">
        <v>1530</v>
      </c>
      <c r="E1139" s="229" t="s">
        <v>1183</v>
      </c>
      <c r="F1139" s="240">
        <v>200</v>
      </c>
      <c r="G1139" s="196">
        <v>1</v>
      </c>
      <c r="H1139" s="195">
        <v>200</v>
      </c>
      <c r="I1139" s="197">
        <v>41392</v>
      </c>
      <c r="J1139" s="197" t="str">
        <f t="shared" si="54"/>
        <v>ok</v>
      </c>
      <c r="K1139" s="419"/>
      <c r="L1139" s="419"/>
      <c r="M1139" s="419"/>
      <c r="N1139" s="419"/>
      <c r="O1139" s="419"/>
      <c r="P1139" s="419"/>
      <c r="Q1139" s="419"/>
      <c r="R1139" s="419"/>
      <c r="S1139" s="419"/>
      <c r="T1139" s="419"/>
      <c r="U1139" s="419"/>
      <c r="V1139" s="419"/>
      <c r="W1139" s="419">
        <f t="shared" si="52"/>
        <v>0</v>
      </c>
      <c r="X1139" s="412"/>
      <c r="Y1139" s="412"/>
      <c r="Z1139" s="412"/>
      <c r="AA1139" s="412">
        <v>200</v>
      </c>
      <c r="AB1139" s="412"/>
      <c r="AC1139" s="412"/>
      <c r="AD1139" s="412"/>
      <c r="AE1139" s="412"/>
      <c r="AF1139" s="412"/>
      <c r="AG1139" s="412"/>
      <c r="AH1139" s="412"/>
      <c r="AI1139" s="412"/>
      <c r="AJ1139" s="412">
        <f t="shared" si="53"/>
        <v>200</v>
      </c>
      <c r="AK1139" s="198"/>
      <c r="AL1139" s="250" t="s">
        <v>2067</v>
      </c>
    </row>
    <row r="1140" spans="1:38" ht="14.1" customHeight="1" x14ac:dyDescent="0.2">
      <c r="A1140" t="s">
        <v>884</v>
      </c>
      <c r="B1140" s="193">
        <v>4755</v>
      </c>
      <c r="C1140" s="194" t="s">
        <v>804</v>
      </c>
      <c r="D1140" s="229" t="s">
        <v>1441</v>
      </c>
      <c r="E1140" s="229" t="s">
        <v>1245</v>
      </c>
      <c r="F1140" s="240">
        <v>300</v>
      </c>
      <c r="G1140" s="196">
        <v>4</v>
      </c>
      <c r="H1140" s="195">
        <v>160</v>
      </c>
      <c r="I1140" s="197">
        <v>41392</v>
      </c>
      <c r="J1140" s="197" t="str">
        <f t="shared" si="54"/>
        <v>ok</v>
      </c>
      <c r="K1140" s="419"/>
      <c r="L1140" s="419"/>
      <c r="M1140" s="419"/>
      <c r="N1140" s="419"/>
      <c r="O1140" s="419"/>
      <c r="P1140" s="419"/>
      <c r="Q1140" s="419"/>
      <c r="R1140" s="419"/>
      <c r="S1140" s="419"/>
      <c r="T1140" s="419"/>
      <c r="U1140" s="419"/>
      <c r="V1140" s="419"/>
      <c r="W1140" s="419">
        <f t="shared" si="52"/>
        <v>0</v>
      </c>
      <c r="X1140" s="412"/>
      <c r="Y1140" s="412"/>
      <c r="Z1140" s="412"/>
      <c r="AA1140" s="412"/>
      <c r="AB1140" s="412"/>
      <c r="AC1140" s="412"/>
      <c r="AD1140" s="412"/>
      <c r="AE1140" s="412"/>
      <c r="AF1140" s="412"/>
      <c r="AG1140" s="412"/>
      <c r="AH1140" s="412"/>
      <c r="AI1140" s="412"/>
      <c r="AJ1140" s="412">
        <f t="shared" si="53"/>
        <v>0</v>
      </c>
      <c r="AK1140" s="198"/>
      <c r="AL1140" s="250" t="s">
        <v>2068</v>
      </c>
    </row>
    <row r="1141" spans="1:38" ht="14.1" customHeight="1" x14ac:dyDescent="0.2">
      <c r="A1141" t="s">
        <v>893</v>
      </c>
      <c r="B1141" s="193">
        <v>4756</v>
      </c>
      <c r="C1141" s="194" t="s">
        <v>1132</v>
      </c>
      <c r="D1141" s="229" t="s">
        <v>1363</v>
      </c>
      <c r="E1141" s="229" t="s">
        <v>1270</v>
      </c>
      <c r="F1141" s="240">
        <v>300</v>
      </c>
      <c r="G1141" s="196">
        <v>1</v>
      </c>
      <c r="H1141" s="195">
        <v>300</v>
      </c>
      <c r="I1141" s="197">
        <v>41392</v>
      </c>
      <c r="J1141" s="197" t="str">
        <f t="shared" si="54"/>
        <v>ok</v>
      </c>
      <c r="K1141" s="419"/>
      <c r="L1141" s="419"/>
      <c r="M1141" s="419"/>
      <c r="N1141" s="419"/>
      <c r="O1141" s="419"/>
      <c r="P1141" s="419"/>
      <c r="Q1141" s="419"/>
      <c r="R1141" s="419"/>
      <c r="S1141" s="419"/>
      <c r="T1141" s="419"/>
      <c r="U1141" s="419"/>
      <c r="V1141" s="419"/>
      <c r="W1141" s="419">
        <f t="shared" si="52"/>
        <v>0</v>
      </c>
      <c r="X1141" s="412"/>
      <c r="Y1141" s="412"/>
      <c r="Z1141" s="412"/>
      <c r="AA1141" s="412"/>
      <c r="AB1141" s="412">
        <v>300</v>
      </c>
      <c r="AC1141" s="412"/>
      <c r="AD1141" s="412"/>
      <c r="AE1141" s="412"/>
      <c r="AF1141" s="412"/>
      <c r="AG1141" s="412"/>
      <c r="AH1141" s="412"/>
      <c r="AI1141" s="412"/>
      <c r="AJ1141" s="412">
        <f t="shared" si="53"/>
        <v>300</v>
      </c>
      <c r="AK1141" s="198"/>
      <c r="AL1141" s="250" t="s">
        <v>2067</v>
      </c>
    </row>
    <row r="1142" spans="1:38" ht="14.1" customHeight="1" x14ac:dyDescent="0.2">
      <c r="A1142" t="s">
        <v>894</v>
      </c>
      <c r="B1142" s="193">
        <v>4757</v>
      </c>
      <c r="C1142" s="194" t="s">
        <v>1161</v>
      </c>
      <c r="D1142" s="229" t="s">
        <v>1582</v>
      </c>
      <c r="E1142" s="229" t="s">
        <v>605</v>
      </c>
      <c r="F1142" s="240">
        <v>300</v>
      </c>
      <c r="G1142" s="196">
        <v>1</v>
      </c>
      <c r="H1142" s="195">
        <v>600</v>
      </c>
      <c r="I1142" s="197">
        <v>41392</v>
      </c>
      <c r="J1142" s="197" t="str">
        <f t="shared" si="54"/>
        <v>ok</v>
      </c>
      <c r="K1142" s="419"/>
      <c r="L1142" s="419"/>
      <c r="M1142" s="419"/>
      <c r="N1142" s="419"/>
      <c r="O1142" s="419"/>
      <c r="P1142" s="419"/>
      <c r="Q1142" s="419"/>
      <c r="R1142" s="419"/>
      <c r="S1142" s="419"/>
      <c r="T1142" s="419"/>
      <c r="U1142" s="419"/>
      <c r="V1142" s="419"/>
      <c r="W1142" s="419">
        <f t="shared" si="52"/>
        <v>0</v>
      </c>
      <c r="X1142" s="412"/>
      <c r="Y1142" s="412"/>
      <c r="Z1142" s="412"/>
      <c r="AA1142" s="412">
        <v>300</v>
      </c>
      <c r="AB1142" s="412">
        <v>300</v>
      </c>
      <c r="AC1142" s="412"/>
      <c r="AD1142" s="412"/>
      <c r="AE1142" s="412"/>
      <c r="AF1142" s="412"/>
      <c r="AG1142" s="412"/>
      <c r="AH1142" s="412"/>
      <c r="AI1142" s="412"/>
      <c r="AJ1142" s="412">
        <f t="shared" si="53"/>
        <v>600</v>
      </c>
      <c r="AK1142" s="198"/>
      <c r="AL1142" s="250" t="s">
        <v>2067</v>
      </c>
    </row>
    <row r="1143" spans="1:38" ht="14.1" customHeight="1" x14ac:dyDescent="0.2">
      <c r="A1143" t="s">
        <v>887</v>
      </c>
      <c r="B1143" s="193">
        <v>4758</v>
      </c>
      <c r="C1143" s="194" t="s">
        <v>905</v>
      </c>
      <c r="D1143" s="229" t="s">
        <v>1524</v>
      </c>
      <c r="E1143" s="229" t="s">
        <v>669</v>
      </c>
      <c r="F1143" s="240">
        <v>150</v>
      </c>
      <c r="G1143" s="196">
        <v>1</v>
      </c>
      <c r="H1143" s="195">
        <v>300</v>
      </c>
      <c r="I1143" s="197">
        <v>41392</v>
      </c>
      <c r="J1143" s="197" t="str">
        <f t="shared" si="54"/>
        <v>ok</v>
      </c>
      <c r="K1143" s="419"/>
      <c r="L1143" s="419"/>
      <c r="M1143" s="419"/>
      <c r="N1143" s="419"/>
      <c r="O1143" s="419"/>
      <c r="P1143" s="419"/>
      <c r="Q1143" s="419"/>
      <c r="R1143" s="419"/>
      <c r="S1143" s="419"/>
      <c r="T1143" s="419"/>
      <c r="U1143" s="419"/>
      <c r="V1143" s="419"/>
      <c r="W1143" s="419">
        <f t="shared" si="52"/>
        <v>0</v>
      </c>
      <c r="X1143" s="412"/>
      <c r="Y1143" s="412"/>
      <c r="Z1143" s="412"/>
      <c r="AA1143" s="412">
        <v>150</v>
      </c>
      <c r="AB1143" s="412">
        <v>150</v>
      </c>
      <c r="AC1143" s="412"/>
      <c r="AD1143" s="412"/>
      <c r="AE1143" s="412"/>
      <c r="AF1143" s="412"/>
      <c r="AG1143" s="412"/>
      <c r="AH1143" s="412"/>
      <c r="AI1143" s="412"/>
      <c r="AJ1143" s="412">
        <f t="shared" si="53"/>
        <v>300</v>
      </c>
      <c r="AK1143" s="198"/>
      <c r="AL1143" s="250" t="s">
        <v>2067</v>
      </c>
    </row>
    <row r="1144" spans="1:38" ht="14.1" customHeight="1" x14ac:dyDescent="0.2">
      <c r="A1144" t="s">
        <v>888</v>
      </c>
      <c r="B1144" s="193">
        <v>4759</v>
      </c>
      <c r="C1144" s="194" t="s">
        <v>907</v>
      </c>
      <c r="D1144" s="229" t="s">
        <v>1614</v>
      </c>
      <c r="E1144" s="229" t="s">
        <v>337</v>
      </c>
      <c r="F1144" s="240">
        <v>150</v>
      </c>
      <c r="G1144" s="196">
        <v>1</v>
      </c>
      <c r="H1144" s="195">
        <v>450</v>
      </c>
      <c r="I1144" s="197">
        <v>41392</v>
      </c>
      <c r="J1144" s="197" t="str">
        <f t="shared" si="54"/>
        <v>ok</v>
      </c>
      <c r="K1144" s="419"/>
      <c r="L1144" s="419"/>
      <c r="M1144" s="419"/>
      <c r="N1144" s="419"/>
      <c r="O1144" s="419"/>
      <c r="P1144" s="419"/>
      <c r="Q1144" s="419"/>
      <c r="R1144" s="419"/>
      <c r="S1144" s="419"/>
      <c r="T1144" s="419"/>
      <c r="U1144" s="419"/>
      <c r="V1144" s="419"/>
      <c r="W1144" s="419">
        <f t="shared" si="52"/>
        <v>0</v>
      </c>
      <c r="X1144" s="412"/>
      <c r="Y1144" s="412"/>
      <c r="Z1144" s="412"/>
      <c r="AA1144" s="412"/>
      <c r="AB1144" s="412">
        <v>150</v>
      </c>
      <c r="AC1144" s="412">
        <v>150</v>
      </c>
      <c r="AD1144" s="412">
        <v>150</v>
      </c>
      <c r="AE1144" s="412"/>
      <c r="AF1144" s="412"/>
      <c r="AG1144" s="412"/>
      <c r="AH1144" s="412"/>
      <c r="AI1144" s="412"/>
      <c r="AJ1144" s="412">
        <f t="shared" si="53"/>
        <v>450</v>
      </c>
      <c r="AK1144" s="198"/>
      <c r="AL1144" s="250" t="s">
        <v>2067</v>
      </c>
    </row>
    <row r="1145" spans="1:38" ht="14.1" customHeight="1" x14ac:dyDescent="0.2">
      <c r="A1145" t="s">
        <v>888</v>
      </c>
      <c r="B1145" s="193">
        <v>4760</v>
      </c>
      <c r="C1145" s="194" t="s">
        <v>914</v>
      </c>
      <c r="D1145" s="229" t="s">
        <v>1567</v>
      </c>
      <c r="E1145" s="229" t="s">
        <v>350</v>
      </c>
      <c r="F1145" s="240">
        <v>300</v>
      </c>
      <c r="G1145" s="196">
        <v>1</v>
      </c>
      <c r="H1145" s="195">
        <v>300</v>
      </c>
      <c r="I1145" s="197">
        <v>41392</v>
      </c>
      <c r="J1145" s="197" t="str">
        <f t="shared" si="54"/>
        <v>ok</v>
      </c>
      <c r="K1145" s="419"/>
      <c r="L1145" s="419"/>
      <c r="M1145" s="419"/>
      <c r="N1145" s="419"/>
      <c r="O1145" s="419"/>
      <c r="P1145" s="419"/>
      <c r="Q1145" s="419"/>
      <c r="R1145" s="419"/>
      <c r="S1145" s="419"/>
      <c r="T1145" s="419"/>
      <c r="U1145" s="419"/>
      <c r="V1145" s="419"/>
      <c r="W1145" s="419">
        <f t="shared" si="52"/>
        <v>0</v>
      </c>
      <c r="X1145" s="412"/>
      <c r="Y1145" s="412"/>
      <c r="Z1145" s="412"/>
      <c r="AA1145" s="412">
        <v>300</v>
      </c>
      <c r="AB1145" s="412"/>
      <c r="AC1145" s="412"/>
      <c r="AD1145" s="412"/>
      <c r="AE1145" s="412"/>
      <c r="AF1145" s="412"/>
      <c r="AG1145" s="412"/>
      <c r="AH1145" s="412"/>
      <c r="AI1145" s="412"/>
      <c r="AJ1145" s="412">
        <f t="shared" si="53"/>
        <v>300</v>
      </c>
      <c r="AK1145" s="198"/>
      <c r="AL1145" s="250" t="s">
        <v>2067</v>
      </c>
    </row>
    <row r="1146" spans="1:38" ht="14.1" customHeight="1" x14ac:dyDescent="0.2">
      <c r="A1146" t="s">
        <v>888</v>
      </c>
      <c r="B1146" s="193">
        <v>4761</v>
      </c>
      <c r="C1146" s="194" t="s">
        <v>914</v>
      </c>
      <c r="D1146" s="229" t="s">
        <v>1567</v>
      </c>
      <c r="E1146" s="229" t="s">
        <v>350</v>
      </c>
      <c r="F1146" s="240">
        <v>300</v>
      </c>
      <c r="G1146" s="196">
        <v>4</v>
      </c>
      <c r="H1146" s="195">
        <v>160</v>
      </c>
      <c r="I1146" s="197">
        <v>41392</v>
      </c>
      <c r="J1146" s="197" t="str">
        <f t="shared" si="54"/>
        <v>ok</v>
      </c>
      <c r="K1146" s="419"/>
      <c r="L1146" s="419"/>
      <c r="M1146" s="419"/>
      <c r="N1146" s="419"/>
      <c r="O1146" s="419"/>
      <c r="P1146" s="419"/>
      <c r="Q1146" s="419"/>
      <c r="R1146" s="419"/>
      <c r="S1146" s="419"/>
      <c r="T1146" s="419"/>
      <c r="U1146" s="419"/>
      <c r="V1146" s="419"/>
      <c r="W1146" s="419">
        <f t="shared" si="52"/>
        <v>0</v>
      </c>
      <c r="X1146" s="412"/>
      <c r="Y1146" s="412"/>
      <c r="Z1146" s="412"/>
      <c r="AA1146" s="412"/>
      <c r="AB1146" s="412"/>
      <c r="AC1146" s="412"/>
      <c r="AD1146" s="412"/>
      <c r="AE1146" s="412"/>
      <c r="AF1146" s="412"/>
      <c r="AG1146" s="412"/>
      <c r="AH1146" s="412"/>
      <c r="AI1146" s="412"/>
      <c r="AJ1146" s="412">
        <f t="shared" si="53"/>
        <v>0</v>
      </c>
      <c r="AK1146" s="198"/>
      <c r="AL1146" s="250" t="s">
        <v>2068</v>
      </c>
    </row>
    <row r="1147" spans="1:38" ht="14.1" customHeight="1" x14ac:dyDescent="0.2">
      <c r="A1147" t="s">
        <v>888</v>
      </c>
      <c r="B1147" s="193">
        <v>4761</v>
      </c>
      <c r="C1147" s="194" t="s">
        <v>914</v>
      </c>
      <c r="D1147" s="229" t="s">
        <v>1567</v>
      </c>
      <c r="E1147" s="229" t="s">
        <v>350</v>
      </c>
      <c r="F1147" s="240">
        <v>300</v>
      </c>
      <c r="G1147" s="196">
        <v>5</v>
      </c>
      <c r="H1147" s="195">
        <v>60</v>
      </c>
      <c r="I1147" s="197">
        <v>41392</v>
      </c>
      <c r="J1147" s="197" t="str">
        <f t="shared" si="54"/>
        <v>ok</v>
      </c>
      <c r="K1147" s="419"/>
      <c r="L1147" s="419"/>
      <c r="M1147" s="419"/>
      <c r="N1147" s="419"/>
      <c r="O1147" s="419"/>
      <c r="P1147" s="419"/>
      <c r="Q1147" s="419"/>
      <c r="R1147" s="419"/>
      <c r="S1147" s="419"/>
      <c r="T1147" s="419"/>
      <c r="U1147" s="419"/>
      <c r="V1147" s="419"/>
      <c r="W1147" s="419">
        <f t="shared" si="52"/>
        <v>0</v>
      </c>
      <c r="X1147" s="412"/>
      <c r="Y1147" s="412"/>
      <c r="Z1147" s="412"/>
      <c r="AA1147" s="412"/>
      <c r="AB1147" s="412"/>
      <c r="AC1147" s="412"/>
      <c r="AD1147" s="412"/>
      <c r="AE1147" s="412"/>
      <c r="AF1147" s="412"/>
      <c r="AG1147" s="412"/>
      <c r="AH1147" s="412"/>
      <c r="AI1147" s="412"/>
      <c r="AJ1147" s="412">
        <f t="shared" si="53"/>
        <v>0</v>
      </c>
      <c r="AK1147" s="198"/>
      <c r="AL1147" s="250" t="s">
        <v>2068</v>
      </c>
    </row>
    <row r="1148" spans="1:38" ht="14.1" customHeight="1" x14ac:dyDescent="0.2">
      <c r="A1148" t="s">
        <v>892</v>
      </c>
      <c r="B1148" s="193">
        <v>4762</v>
      </c>
      <c r="C1148" s="194" t="s">
        <v>1058</v>
      </c>
      <c r="D1148" s="229" t="s">
        <v>1594</v>
      </c>
      <c r="E1148" s="229" t="s">
        <v>1309</v>
      </c>
      <c r="F1148" s="240">
        <v>300</v>
      </c>
      <c r="G1148" s="196">
        <v>1</v>
      </c>
      <c r="H1148" s="195">
        <v>300</v>
      </c>
      <c r="I1148" s="197">
        <v>41392</v>
      </c>
      <c r="J1148" s="197" t="str">
        <f t="shared" si="54"/>
        <v>ok</v>
      </c>
      <c r="K1148" s="419"/>
      <c r="L1148" s="419"/>
      <c r="M1148" s="419"/>
      <c r="N1148" s="419"/>
      <c r="O1148" s="419"/>
      <c r="P1148" s="419"/>
      <c r="Q1148" s="419"/>
      <c r="R1148" s="419"/>
      <c r="S1148" s="419"/>
      <c r="T1148" s="419"/>
      <c r="U1148" s="419"/>
      <c r="V1148" s="419"/>
      <c r="W1148" s="419">
        <f t="shared" si="52"/>
        <v>0</v>
      </c>
      <c r="X1148" s="412"/>
      <c r="Y1148" s="412"/>
      <c r="Z1148" s="412"/>
      <c r="AA1148" s="412"/>
      <c r="AB1148" s="412">
        <v>300</v>
      </c>
      <c r="AC1148" s="412"/>
      <c r="AD1148" s="412"/>
      <c r="AE1148" s="412"/>
      <c r="AF1148" s="412"/>
      <c r="AG1148" s="412"/>
      <c r="AH1148" s="412"/>
      <c r="AI1148" s="412"/>
      <c r="AJ1148" s="412">
        <f t="shared" si="53"/>
        <v>300</v>
      </c>
      <c r="AK1148" s="198"/>
      <c r="AL1148" s="250" t="s">
        <v>2067</v>
      </c>
    </row>
    <row r="1149" spans="1:38" ht="14.1" customHeight="1" x14ac:dyDescent="0.2">
      <c r="A1149" t="s">
        <v>892</v>
      </c>
      <c r="B1149" s="193">
        <v>4762</v>
      </c>
      <c r="C1149" s="194" t="s">
        <v>1058</v>
      </c>
      <c r="D1149" s="229" t="s">
        <v>1594</v>
      </c>
      <c r="E1149" s="229" t="s">
        <v>1309</v>
      </c>
      <c r="F1149" s="240">
        <v>300</v>
      </c>
      <c r="G1149" s="196">
        <v>3</v>
      </c>
      <c r="H1149" s="195">
        <v>150</v>
      </c>
      <c r="I1149" s="197">
        <v>41392</v>
      </c>
      <c r="J1149" s="197" t="str">
        <f t="shared" si="54"/>
        <v>ok</v>
      </c>
      <c r="K1149" s="419"/>
      <c r="L1149" s="419"/>
      <c r="M1149" s="419"/>
      <c r="N1149" s="419"/>
      <c r="O1149" s="419"/>
      <c r="P1149" s="419"/>
      <c r="Q1149" s="419"/>
      <c r="R1149" s="419"/>
      <c r="S1149" s="419"/>
      <c r="T1149" s="419"/>
      <c r="U1149" s="419"/>
      <c r="V1149" s="419"/>
      <c r="W1149" s="419">
        <f t="shared" si="52"/>
        <v>0</v>
      </c>
      <c r="X1149" s="412"/>
      <c r="Y1149" s="412"/>
      <c r="Z1149" s="412"/>
      <c r="AA1149" s="412"/>
      <c r="AB1149" s="412"/>
      <c r="AC1149" s="412"/>
      <c r="AD1149" s="412"/>
      <c r="AE1149" s="412"/>
      <c r="AF1149" s="412"/>
      <c r="AG1149" s="412"/>
      <c r="AH1149" s="412"/>
      <c r="AI1149" s="412"/>
      <c r="AJ1149" s="412">
        <f t="shared" si="53"/>
        <v>0</v>
      </c>
      <c r="AK1149" s="198"/>
      <c r="AL1149" s="250" t="s">
        <v>2068</v>
      </c>
    </row>
    <row r="1150" spans="1:38" ht="14.1" customHeight="1" x14ac:dyDescent="0.2">
      <c r="A1150" t="s">
        <v>894</v>
      </c>
      <c r="B1150" s="193">
        <v>4763</v>
      </c>
      <c r="C1150" s="194" t="s">
        <v>1174</v>
      </c>
      <c r="D1150" s="229" t="s">
        <v>1462</v>
      </c>
      <c r="E1150" s="229" t="s">
        <v>630</v>
      </c>
      <c r="F1150" s="240">
        <v>300</v>
      </c>
      <c r="G1150" s="196">
        <v>1</v>
      </c>
      <c r="H1150" s="195">
        <v>600</v>
      </c>
      <c r="I1150" s="197">
        <v>41392</v>
      </c>
      <c r="J1150" s="197" t="str">
        <f t="shared" si="54"/>
        <v>ok</v>
      </c>
      <c r="K1150" s="419"/>
      <c r="L1150" s="419"/>
      <c r="M1150" s="419"/>
      <c r="N1150" s="419"/>
      <c r="O1150" s="419"/>
      <c r="P1150" s="419"/>
      <c r="Q1150" s="419"/>
      <c r="R1150" s="419"/>
      <c r="S1150" s="419"/>
      <c r="T1150" s="419"/>
      <c r="U1150" s="419"/>
      <c r="V1150" s="419"/>
      <c r="W1150" s="419">
        <f t="shared" si="52"/>
        <v>0</v>
      </c>
      <c r="X1150" s="412"/>
      <c r="Y1150" s="412"/>
      <c r="Z1150" s="412">
        <v>300</v>
      </c>
      <c r="AA1150" s="412">
        <v>300</v>
      </c>
      <c r="AB1150" s="412"/>
      <c r="AC1150" s="412"/>
      <c r="AD1150" s="412"/>
      <c r="AE1150" s="412"/>
      <c r="AF1150" s="412"/>
      <c r="AG1150" s="412"/>
      <c r="AH1150" s="412"/>
      <c r="AI1150" s="412"/>
      <c r="AJ1150" s="412">
        <f t="shared" si="53"/>
        <v>600</v>
      </c>
      <c r="AK1150" s="198"/>
      <c r="AL1150" s="250" t="s">
        <v>2067</v>
      </c>
    </row>
    <row r="1151" spans="1:38" ht="14.1" customHeight="1" x14ac:dyDescent="0.2">
      <c r="A1151" t="s">
        <v>890</v>
      </c>
      <c r="B1151" s="193">
        <v>4764</v>
      </c>
      <c r="C1151" s="194" t="s">
        <v>1030</v>
      </c>
      <c r="D1151" s="229" t="s">
        <v>1421</v>
      </c>
      <c r="E1151" s="229" t="s">
        <v>531</v>
      </c>
      <c r="F1151" s="240">
        <v>300</v>
      </c>
      <c r="G1151" s="196">
        <v>1</v>
      </c>
      <c r="H1151" s="195">
        <v>600</v>
      </c>
      <c r="I1151" s="197">
        <v>41392</v>
      </c>
      <c r="J1151" s="197" t="str">
        <f t="shared" si="54"/>
        <v>ok</v>
      </c>
      <c r="K1151" s="419"/>
      <c r="L1151" s="419"/>
      <c r="M1151" s="419"/>
      <c r="N1151" s="419"/>
      <c r="O1151" s="419"/>
      <c r="P1151" s="419"/>
      <c r="Q1151" s="419"/>
      <c r="R1151" s="419"/>
      <c r="S1151" s="419"/>
      <c r="T1151" s="419"/>
      <c r="U1151" s="419"/>
      <c r="V1151" s="419"/>
      <c r="W1151" s="419">
        <f t="shared" si="52"/>
        <v>0</v>
      </c>
      <c r="X1151" s="412"/>
      <c r="Y1151" s="412"/>
      <c r="Z1151" s="412">
        <v>300</v>
      </c>
      <c r="AA1151" s="412">
        <v>300</v>
      </c>
      <c r="AB1151" s="412"/>
      <c r="AC1151" s="412"/>
      <c r="AD1151" s="412"/>
      <c r="AE1151" s="412"/>
      <c r="AF1151" s="412"/>
      <c r="AG1151" s="412"/>
      <c r="AH1151" s="412"/>
      <c r="AI1151" s="412"/>
      <c r="AJ1151" s="412">
        <f t="shared" si="53"/>
        <v>600</v>
      </c>
      <c r="AK1151" s="198"/>
      <c r="AL1151" s="250" t="s">
        <v>2067</v>
      </c>
    </row>
    <row r="1152" spans="1:38" ht="14.1" customHeight="1" x14ac:dyDescent="0.2">
      <c r="A1152" t="s">
        <v>890</v>
      </c>
      <c r="B1152" s="193">
        <v>4764</v>
      </c>
      <c r="C1152" s="194" t="s">
        <v>1030</v>
      </c>
      <c r="D1152" s="229" t="s">
        <v>1421</v>
      </c>
      <c r="E1152" s="229" t="s">
        <v>531</v>
      </c>
      <c r="F1152" s="240">
        <v>300</v>
      </c>
      <c r="G1152" s="196">
        <v>4</v>
      </c>
      <c r="H1152" s="195">
        <v>320</v>
      </c>
      <c r="I1152" s="197">
        <v>41392</v>
      </c>
      <c r="J1152" s="197" t="str">
        <f t="shared" si="54"/>
        <v>ok</v>
      </c>
      <c r="K1152" s="419"/>
      <c r="L1152" s="419"/>
      <c r="M1152" s="419"/>
      <c r="N1152" s="419"/>
      <c r="O1152" s="419"/>
      <c r="P1152" s="419"/>
      <c r="Q1152" s="419"/>
      <c r="R1152" s="419"/>
      <c r="S1152" s="419"/>
      <c r="T1152" s="419"/>
      <c r="U1152" s="419"/>
      <c r="V1152" s="419"/>
      <c r="W1152" s="419">
        <f t="shared" si="52"/>
        <v>0</v>
      </c>
      <c r="X1152" s="412"/>
      <c r="Y1152" s="412"/>
      <c r="Z1152" s="412"/>
      <c r="AA1152" s="412"/>
      <c r="AB1152" s="412"/>
      <c r="AC1152" s="412"/>
      <c r="AD1152" s="412"/>
      <c r="AE1152" s="412"/>
      <c r="AF1152" s="412"/>
      <c r="AG1152" s="412"/>
      <c r="AH1152" s="412"/>
      <c r="AI1152" s="412"/>
      <c r="AJ1152" s="412">
        <f t="shared" si="53"/>
        <v>0</v>
      </c>
      <c r="AK1152" s="198"/>
      <c r="AL1152" s="250" t="s">
        <v>2068</v>
      </c>
    </row>
    <row r="1153" spans="1:38" ht="14.1" customHeight="1" x14ac:dyDescent="0.2">
      <c r="A1153" t="s">
        <v>890</v>
      </c>
      <c r="B1153" s="193">
        <v>4765</v>
      </c>
      <c r="C1153" s="194" t="s">
        <v>1019</v>
      </c>
      <c r="D1153" s="229" t="s">
        <v>1512</v>
      </c>
      <c r="E1153" s="229" t="s">
        <v>731</v>
      </c>
      <c r="F1153" s="240">
        <v>300</v>
      </c>
      <c r="G1153" s="196">
        <v>1</v>
      </c>
      <c r="H1153" s="195">
        <v>600</v>
      </c>
      <c r="I1153" s="197">
        <v>41392</v>
      </c>
      <c r="J1153" s="197" t="str">
        <f t="shared" si="54"/>
        <v>ok</v>
      </c>
      <c r="K1153" s="419"/>
      <c r="L1153" s="419"/>
      <c r="M1153" s="419"/>
      <c r="N1153" s="419"/>
      <c r="O1153" s="419"/>
      <c r="P1153" s="419"/>
      <c r="Q1153" s="419"/>
      <c r="R1153" s="419"/>
      <c r="S1153" s="419"/>
      <c r="T1153" s="419"/>
      <c r="U1153" s="419"/>
      <c r="V1153" s="419"/>
      <c r="W1153" s="419">
        <f t="shared" si="52"/>
        <v>0</v>
      </c>
      <c r="X1153" s="412"/>
      <c r="Y1153" s="412"/>
      <c r="Z1153" s="412"/>
      <c r="AA1153" s="412">
        <v>300</v>
      </c>
      <c r="AB1153" s="412">
        <v>300</v>
      </c>
      <c r="AC1153" s="412"/>
      <c r="AD1153" s="412"/>
      <c r="AE1153" s="412"/>
      <c r="AF1153" s="412"/>
      <c r="AG1153" s="412"/>
      <c r="AH1153" s="412"/>
      <c r="AI1153" s="412"/>
      <c r="AJ1153" s="412">
        <f t="shared" si="53"/>
        <v>600</v>
      </c>
      <c r="AK1153" s="198"/>
      <c r="AL1153" s="250" t="s">
        <v>2067</v>
      </c>
    </row>
    <row r="1154" spans="1:38" ht="14.1" customHeight="1" x14ac:dyDescent="0.2">
      <c r="A1154" t="s">
        <v>894</v>
      </c>
      <c r="B1154" s="193">
        <v>4766</v>
      </c>
      <c r="C1154" s="194" t="s">
        <v>1166</v>
      </c>
      <c r="D1154" s="229" t="s">
        <v>1498</v>
      </c>
      <c r="E1154" s="229" t="s">
        <v>615</v>
      </c>
      <c r="F1154" s="240">
        <v>300</v>
      </c>
      <c r="G1154" s="196">
        <v>1</v>
      </c>
      <c r="H1154" s="195">
        <v>300</v>
      </c>
      <c r="I1154" s="197">
        <v>41392</v>
      </c>
      <c r="J1154" s="197" t="str">
        <f t="shared" si="54"/>
        <v>ok</v>
      </c>
      <c r="K1154" s="419"/>
      <c r="L1154" s="419"/>
      <c r="M1154" s="419"/>
      <c r="N1154" s="419"/>
      <c r="O1154" s="419"/>
      <c r="P1154" s="419"/>
      <c r="Q1154" s="419"/>
      <c r="R1154" s="419"/>
      <c r="S1154" s="419"/>
      <c r="T1154" s="419"/>
      <c r="U1154" s="419"/>
      <c r="V1154" s="419"/>
      <c r="W1154" s="419">
        <f t="shared" si="52"/>
        <v>0</v>
      </c>
      <c r="X1154" s="412"/>
      <c r="Y1154" s="412"/>
      <c r="Z1154" s="412"/>
      <c r="AA1154" s="412">
        <v>300</v>
      </c>
      <c r="AB1154" s="412"/>
      <c r="AC1154" s="412"/>
      <c r="AD1154" s="412"/>
      <c r="AE1154" s="412"/>
      <c r="AF1154" s="412"/>
      <c r="AG1154" s="412"/>
      <c r="AH1154" s="412"/>
      <c r="AI1154" s="412"/>
      <c r="AJ1154" s="412">
        <f t="shared" si="53"/>
        <v>300</v>
      </c>
      <c r="AK1154" s="198"/>
      <c r="AL1154" s="250" t="s">
        <v>2067</v>
      </c>
    </row>
    <row r="1155" spans="1:38" ht="14.1" customHeight="1" x14ac:dyDescent="0.2">
      <c r="A1155" t="s">
        <v>892</v>
      </c>
      <c r="B1155" s="193">
        <v>4767</v>
      </c>
      <c r="C1155" s="194" t="s">
        <v>1055</v>
      </c>
      <c r="D1155" s="229" t="s">
        <v>1467</v>
      </c>
      <c r="E1155" s="229" t="s">
        <v>371</v>
      </c>
      <c r="F1155" s="240">
        <v>300</v>
      </c>
      <c r="G1155" s="196">
        <v>1</v>
      </c>
      <c r="H1155" s="195">
        <v>300</v>
      </c>
      <c r="I1155" s="197">
        <v>41392</v>
      </c>
      <c r="J1155" s="197" t="str">
        <f t="shared" si="54"/>
        <v>ok</v>
      </c>
      <c r="K1155" s="419"/>
      <c r="L1155" s="419"/>
      <c r="M1155" s="419"/>
      <c r="N1155" s="419"/>
      <c r="O1155" s="419"/>
      <c r="P1155" s="419"/>
      <c r="Q1155" s="419"/>
      <c r="R1155" s="419"/>
      <c r="S1155" s="419"/>
      <c r="T1155" s="419"/>
      <c r="U1155" s="419"/>
      <c r="V1155" s="419"/>
      <c r="W1155" s="419">
        <f t="shared" si="52"/>
        <v>0</v>
      </c>
      <c r="X1155" s="412"/>
      <c r="Y1155" s="412"/>
      <c r="Z1155" s="412"/>
      <c r="AA1155" s="412"/>
      <c r="AB1155" s="412">
        <v>300</v>
      </c>
      <c r="AC1155" s="412"/>
      <c r="AD1155" s="412"/>
      <c r="AE1155" s="412"/>
      <c r="AF1155" s="412"/>
      <c r="AG1155" s="412"/>
      <c r="AH1155" s="412"/>
      <c r="AI1155" s="412"/>
      <c r="AJ1155" s="412">
        <f t="shared" si="53"/>
        <v>300</v>
      </c>
      <c r="AK1155" s="198"/>
      <c r="AL1155" s="250" t="s">
        <v>2067</v>
      </c>
    </row>
    <row r="1156" spans="1:38" ht="14.1" customHeight="1" x14ac:dyDescent="0.2">
      <c r="A1156" t="s">
        <v>893</v>
      </c>
      <c r="B1156" s="193">
        <v>4768</v>
      </c>
      <c r="C1156" s="194" t="s">
        <v>1112</v>
      </c>
      <c r="D1156" s="229" t="s">
        <v>1566</v>
      </c>
      <c r="E1156" s="229" t="s">
        <v>263</v>
      </c>
      <c r="F1156" s="240">
        <v>300</v>
      </c>
      <c r="G1156" s="196">
        <v>1</v>
      </c>
      <c r="H1156" s="195">
        <v>300</v>
      </c>
      <c r="I1156" s="197">
        <v>41392</v>
      </c>
      <c r="J1156" s="197" t="str">
        <f t="shared" si="54"/>
        <v>ok</v>
      </c>
      <c r="K1156" s="419"/>
      <c r="L1156" s="419"/>
      <c r="M1156" s="419"/>
      <c r="N1156" s="419"/>
      <c r="O1156" s="419"/>
      <c r="P1156" s="419"/>
      <c r="Q1156" s="419"/>
      <c r="R1156" s="419"/>
      <c r="S1156" s="419"/>
      <c r="T1156" s="419"/>
      <c r="U1156" s="419"/>
      <c r="V1156" s="419"/>
      <c r="W1156" s="419">
        <f t="shared" si="52"/>
        <v>0</v>
      </c>
      <c r="X1156" s="412"/>
      <c r="Y1156" s="412"/>
      <c r="Z1156" s="412"/>
      <c r="AA1156" s="412">
        <v>300</v>
      </c>
      <c r="AB1156" s="412"/>
      <c r="AC1156" s="412"/>
      <c r="AD1156" s="412"/>
      <c r="AE1156" s="412"/>
      <c r="AF1156" s="412"/>
      <c r="AG1156" s="412"/>
      <c r="AH1156" s="412"/>
      <c r="AI1156" s="412"/>
      <c r="AJ1156" s="412">
        <f t="shared" si="53"/>
        <v>300</v>
      </c>
      <c r="AK1156" s="198"/>
      <c r="AL1156" s="250" t="s">
        <v>2067</v>
      </c>
    </row>
    <row r="1157" spans="1:38" ht="14.1" customHeight="1" x14ac:dyDescent="0.2">
      <c r="A1157" t="s">
        <v>884</v>
      </c>
      <c r="B1157" s="193">
        <v>4769</v>
      </c>
      <c r="C1157" s="194" t="s">
        <v>856</v>
      </c>
      <c r="D1157" s="229" t="s">
        <v>1515</v>
      </c>
      <c r="E1157" s="229" t="s">
        <v>99</v>
      </c>
      <c r="F1157" s="240">
        <v>300</v>
      </c>
      <c r="G1157" s="196">
        <v>1</v>
      </c>
      <c r="H1157" s="195">
        <v>300</v>
      </c>
      <c r="I1157" s="197">
        <v>41392</v>
      </c>
      <c r="J1157" s="197" t="str">
        <f t="shared" si="54"/>
        <v>ok</v>
      </c>
      <c r="K1157" s="419"/>
      <c r="L1157" s="419"/>
      <c r="M1157" s="419"/>
      <c r="N1157" s="419"/>
      <c r="O1157" s="419"/>
      <c r="P1157" s="419"/>
      <c r="Q1157" s="419"/>
      <c r="R1157" s="419"/>
      <c r="S1157" s="419"/>
      <c r="T1157" s="419"/>
      <c r="U1157" s="419"/>
      <c r="V1157" s="419"/>
      <c r="W1157" s="419">
        <f t="shared" si="52"/>
        <v>0</v>
      </c>
      <c r="X1157" s="412"/>
      <c r="Y1157" s="412"/>
      <c r="Z1157" s="412"/>
      <c r="AA1157" s="412">
        <v>300</v>
      </c>
      <c r="AB1157" s="412"/>
      <c r="AC1157" s="412"/>
      <c r="AD1157" s="412"/>
      <c r="AE1157" s="412"/>
      <c r="AF1157" s="412"/>
      <c r="AG1157" s="412"/>
      <c r="AH1157" s="412"/>
      <c r="AI1157" s="412"/>
      <c r="AJ1157" s="412">
        <f t="shared" si="53"/>
        <v>300</v>
      </c>
      <c r="AK1157" s="198"/>
      <c r="AL1157" s="250" t="s">
        <v>2067</v>
      </c>
    </row>
    <row r="1158" spans="1:38" ht="14.1" customHeight="1" x14ac:dyDescent="0.2">
      <c r="A1158" t="s">
        <v>884</v>
      </c>
      <c r="B1158" s="193">
        <v>4770</v>
      </c>
      <c r="C1158" s="194" t="s">
        <v>797</v>
      </c>
      <c r="D1158" s="229" t="s">
        <v>1405</v>
      </c>
      <c r="E1158" s="229" t="s">
        <v>11</v>
      </c>
      <c r="F1158" s="240">
        <v>300</v>
      </c>
      <c r="G1158" s="196">
        <v>1</v>
      </c>
      <c r="H1158" s="195">
        <v>300</v>
      </c>
      <c r="I1158" s="197">
        <v>41392</v>
      </c>
      <c r="J1158" s="197" t="str">
        <f t="shared" si="54"/>
        <v>ok</v>
      </c>
      <c r="K1158" s="419"/>
      <c r="L1158" s="419"/>
      <c r="M1158" s="419"/>
      <c r="N1158" s="419"/>
      <c r="O1158" s="419"/>
      <c r="P1158" s="419"/>
      <c r="Q1158" s="419"/>
      <c r="R1158" s="419"/>
      <c r="S1158" s="419"/>
      <c r="T1158" s="419"/>
      <c r="U1158" s="419"/>
      <c r="V1158" s="419"/>
      <c r="W1158" s="419">
        <f t="shared" si="52"/>
        <v>0</v>
      </c>
      <c r="X1158" s="412"/>
      <c r="Y1158" s="412"/>
      <c r="Z1158" s="412"/>
      <c r="AA1158" s="412">
        <v>300</v>
      </c>
      <c r="AB1158" s="412"/>
      <c r="AC1158" s="412"/>
      <c r="AD1158" s="412"/>
      <c r="AE1158" s="412"/>
      <c r="AF1158" s="412"/>
      <c r="AG1158" s="412"/>
      <c r="AH1158" s="412"/>
      <c r="AI1158" s="412"/>
      <c r="AJ1158" s="412">
        <f t="shared" si="53"/>
        <v>300</v>
      </c>
      <c r="AK1158" s="198"/>
      <c r="AL1158" s="250" t="s">
        <v>2067</v>
      </c>
    </row>
    <row r="1159" spans="1:38" ht="14.1" customHeight="1" x14ac:dyDescent="0.2">
      <c r="A1159" t="s">
        <v>884</v>
      </c>
      <c r="B1159" s="193">
        <v>4771</v>
      </c>
      <c r="C1159" s="194" t="s">
        <v>792</v>
      </c>
      <c r="D1159" s="229" t="s">
        <v>1517</v>
      </c>
      <c r="E1159" s="229" t="s">
        <v>3</v>
      </c>
      <c r="F1159" s="240">
        <v>100</v>
      </c>
      <c r="G1159" s="196">
        <v>1</v>
      </c>
      <c r="H1159" s="195">
        <v>200</v>
      </c>
      <c r="I1159" s="197">
        <v>41392</v>
      </c>
      <c r="J1159" s="197" t="str">
        <f t="shared" si="54"/>
        <v>ok</v>
      </c>
      <c r="K1159" s="419"/>
      <c r="L1159" s="419"/>
      <c r="M1159" s="419"/>
      <c r="N1159" s="419"/>
      <c r="O1159" s="419"/>
      <c r="P1159" s="419"/>
      <c r="Q1159" s="419"/>
      <c r="R1159" s="419"/>
      <c r="S1159" s="419"/>
      <c r="T1159" s="419"/>
      <c r="U1159" s="419"/>
      <c r="V1159" s="419"/>
      <c r="W1159" s="419">
        <f t="shared" ref="W1159:W1222" si="55">SUM(K1159:V1159)</f>
        <v>0</v>
      </c>
      <c r="X1159" s="412"/>
      <c r="Y1159" s="412"/>
      <c r="Z1159" s="412"/>
      <c r="AA1159" s="412">
        <v>100</v>
      </c>
      <c r="AB1159" s="412">
        <v>100</v>
      </c>
      <c r="AC1159" s="412"/>
      <c r="AD1159" s="412"/>
      <c r="AE1159" s="412"/>
      <c r="AF1159" s="412"/>
      <c r="AG1159" s="412"/>
      <c r="AH1159" s="412"/>
      <c r="AI1159" s="412"/>
      <c r="AJ1159" s="412">
        <f t="shared" ref="AJ1159:AJ1222" si="56">SUM(X1159:AI1159)</f>
        <v>200</v>
      </c>
      <c r="AK1159" s="198"/>
      <c r="AL1159" s="250" t="s">
        <v>2067</v>
      </c>
    </row>
    <row r="1160" spans="1:38" ht="14.1" customHeight="1" x14ac:dyDescent="0.2">
      <c r="A1160" t="s">
        <v>884</v>
      </c>
      <c r="B1160" s="193">
        <v>4772</v>
      </c>
      <c r="C1160" s="194" t="s">
        <v>803</v>
      </c>
      <c r="D1160" s="229" t="s">
        <v>1403</v>
      </c>
      <c r="E1160" s="229" t="s">
        <v>20</v>
      </c>
      <c r="F1160" s="240">
        <v>300</v>
      </c>
      <c r="G1160" s="196">
        <v>1</v>
      </c>
      <c r="H1160" s="195">
        <v>300</v>
      </c>
      <c r="I1160" s="197">
        <v>41392</v>
      </c>
      <c r="J1160" s="197" t="str">
        <f t="shared" si="54"/>
        <v>ok</v>
      </c>
      <c r="K1160" s="419"/>
      <c r="L1160" s="419"/>
      <c r="M1160" s="419"/>
      <c r="N1160" s="419"/>
      <c r="O1160" s="419"/>
      <c r="P1160" s="419"/>
      <c r="Q1160" s="419"/>
      <c r="R1160" s="419"/>
      <c r="S1160" s="419"/>
      <c r="T1160" s="419"/>
      <c r="U1160" s="419"/>
      <c r="V1160" s="419"/>
      <c r="W1160" s="419">
        <f t="shared" si="55"/>
        <v>0</v>
      </c>
      <c r="X1160" s="412"/>
      <c r="Y1160" s="412"/>
      <c r="Z1160" s="412"/>
      <c r="AA1160" s="412"/>
      <c r="AB1160" s="412">
        <v>300</v>
      </c>
      <c r="AC1160" s="412"/>
      <c r="AD1160" s="412"/>
      <c r="AE1160" s="412"/>
      <c r="AF1160" s="412"/>
      <c r="AG1160" s="412"/>
      <c r="AH1160" s="412"/>
      <c r="AI1160" s="412"/>
      <c r="AJ1160" s="412">
        <f t="shared" si="56"/>
        <v>300</v>
      </c>
      <c r="AK1160" s="198"/>
      <c r="AL1160" s="250" t="s">
        <v>2067</v>
      </c>
    </row>
    <row r="1161" spans="1:38" ht="14.1" customHeight="1" x14ac:dyDescent="0.2">
      <c r="A1161" t="s">
        <v>884</v>
      </c>
      <c r="B1161" s="199">
        <v>4773</v>
      </c>
      <c r="C1161" s="200" t="s">
        <v>800</v>
      </c>
      <c r="D1161" s="231" t="s">
        <v>1417</v>
      </c>
      <c r="E1161" s="231" t="s">
        <v>17</v>
      </c>
      <c r="F1161" s="241">
        <v>300</v>
      </c>
      <c r="G1161" s="202">
        <v>1</v>
      </c>
      <c r="H1161" s="201">
        <v>600</v>
      </c>
      <c r="I1161" s="203">
        <v>41392</v>
      </c>
      <c r="J1161" s="197" t="str">
        <f t="shared" si="54"/>
        <v>ok</v>
      </c>
      <c r="K1161" s="421"/>
      <c r="L1161" s="421"/>
      <c r="M1161" s="421"/>
      <c r="N1161" s="421"/>
      <c r="O1161" s="421"/>
      <c r="P1161" s="421"/>
      <c r="Q1161" s="421"/>
      <c r="R1161" s="421"/>
      <c r="S1161" s="421"/>
      <c r="T1161" s="421"/>
      <c r="U1161" s="421"/>
      <c r="V1161" s="421"/>
      <c r="W1161" s="419">
        <f t="shared" si="55"/>
        <v>0</v>
      </c>
      <c r="X1161" s="422">
        <v>300</v>
      </c>
      <c r="Y1161" s="422">
        <v>300</v>
      </c>
      <c r="Z1161" s="422"/>
      <c r="AA1161" s="422"/>
      <c r="AB1161" s="422"/>
      <c r="AC1161" s="422"/>
      <c r="AD1161" s="422"/>
      <c r="AE1161" s="422"/>
      <c r="AF1161" s="422"/>
      <c r="AG1161" s="422"/>
      <c r="AH1161" s="422"/>
      <c r="AI1161" s="422"/>
      <c r="AJ1161" s="422">
        <f t="shared" si="56"/>
        <v>600</v>
      </c>
      <c r="AK1161" s="204"/>
      <c r="AL1161" s="250" t="s">
        <v>2067</v>
      </c>
    </row>
    <row r="1162" spans="1:38" ht="14.1" customHeight="1" x14ac:dyDescent="0.2">
      <c r="A1162" t="s">
        <v>889</v>
      </c>
      <c r="B1162" s="374" t="s">
        <v>1984</v>
      </c>
      <c r="C1162" s="178" t="s">
        <v>973</v>
      </c>
      <c r="D1162" s="370" t="s">
        <v>1855</v>
      </c>
      <c r="E1162" s="370" t="s">
        <v>645</v>
      </c>
      <c r="F1162" s="375">
        <v>1000</v>
      </c>
      <c r="G1162" s="376">
        <v>1</v>
      </c>
      <c r="H1162" s="377">
        <v>1000</v>
      </c>
      <c r="I1162" s="378">
        <v>41394</v>
      </c>
      <c r="J1162" s="197" t="str">
        <f t="shared" si="54"/>
        <v>ok</v>
      </c>
      <c r="K1162" s="423"/>
      <c r="L1162" s="423"/>
      <c r="M1162" s="423"/>
      <c r="N1162" s="423"/>
      <c r="O1162" s="423"/>
      <c r="P1162" s="423"/>
      <c r="Q1162" s="423"/>
      <c r="R1162" s="423"/>
      <c r="S1162" s="423"/>
      <c r="T1162" s="423"/>
      <c r="U1162" s="423"/>
      <c r="V1162" s="423"/>
      <c r="W1162" s="419">
        <f t="shared" si="55"/>
        <v>0</v>
      </c>
      <c r="X1162" s="424"/>
      <c r="Y1162" s="424"/>
      <c r="Z1162" s="424"/>
      <c r="AA1162" s="424">
        <v>1000</v>
      </c>
      <c r="AB1162" s="424"/>
      <c r="AC1162" s="424"/>
      <c r="AD1162" s="424"/>
      <c r="AE1162" s="424"/>
      <c r="AF1162" s="424"/>
      <c r="AG1162" s="424"/>
      <c r="AH1162" s="424"/>
      <c r="AI1162" s="424"/>
      <c r="AJ1162" s="424">
        <f t="shared" si="56"/>
        <v>1000</v>
      </c>
      <c r="AK1162" s="379"/>
      <c r="AL1162" s="250" t="s">
        <v>2067</v>
      </c>
    </row>
    <row r="1163" spans="1:38" ht="21.95" customHeight="1" x14ac:dyDescent="0.2">
      <c r="B1163" s="126" t="s">
        <v>756</v>
      </c>
      <c r="C1163" s="126" t="s">
        <v>903</v>
      </c>
      <c r="D1163" s="126" t="s">
        <v>885</v>
      </c>
      <c r="E1163" s="126" t="s">
        <v>689</v>
      </c>
      <c r="F1163" s="235" t="s">
        <v>702</v>
      </c>
      <c r="G1163" s="126" t="s">
        <v>1182</v>
      </c>
      <c r="H1163" s="126" t="s">
        <v>757</v>
      </c>
      <c r="I1163" s="126" t="s">
        <v>758</v>
      </c>
      <c r="J1163" s="126" t="s">
        <v>2069</v>
      </c>
      <c r="K1163" s="126" t="s">
        <v>690</v>
      </c>
      <c r="L1163" s="126" t="s">
        <v>691</v>
      </c>
      <c r="M1163" s="126" t="s">
        <v>692</v>
      </c>
      <c r="N1163" s="126" t="s">
        <v>693</v>
      </c>
      <c r="O1163" s="126" t="s">
        <v>694</v>
      </c>
      <c r="P1163" s="126" t="s">
        <v>695</v>
      </c>
      <c r="Q1163" s="126" t="s">
        <v>696</v>
      </c>
      <c r="R1163" s="126" t="s">
        <v>697</v>
      </c>
      <c r="S1163" s="126" t="s">
        <v>698</v>
      </c>
      <c r="T1163" s="126" t="s">
        <v>699</v>
      </c>
      <c r="U1163" s="126" t="s">
        <v>700</v>
      </c>
      <c r="V1163" s="126" t="s">
        <v>701</v>
      </c>
      <c r="W1163" s="248" t="s">
        <v>1715</v>
      </c>
      <c r="X1163" s="126" t="s">
        <v>690</v>
      </c>
      <c r="Y1163" s="126" t="s">
        <v>691</v>
      </c>
      <c r="Z1163" s="126" t="s">
        <v>692</v>
      </c>
      <c r="AA1163" s="126" t="s">
        <v>693</v>
      </c>
      <c r="AB1163" s="126" t="s">
        <v>694</v>
      </c>
      <c r="AC1163" s="126" t="s">
        <v>695</v>
      </c>
      <c r="AD1163" s="126" t="s">
        <v>696</v>
      </c>
      <c r="AE1163" s="126" t="s">
        <v>697</v>
      </c>
      <c r="AF1163" s="126" t="s">
        <v>698</v>
      </c>
      <c r="AG1163" s="126" t="s">
        <v>699</v>
      </c>
      <c r="AH1163" s="126" t="s">
        <v>700</v>
      </c>
      <c r="AI1163" s="126" t="s">
        <v>701</v>
      </c>
      <c r="AJ1163" s="248" t="s">
        <v>1834</v>
      </c>
      <c r="AK1163" s="126" t="s">
        <v>759</v>
      </c>
      <c r="AL1163" s="250" t="e">
        <v>#VALUE!</v>
      </c>
    </row>
    <row r="1164" spans="1:38" ht="14.1" customHeight="1" x14ac:dyDescent="0.2">
      <c r="A1164" t="s">
        <v>888</v>
      </c>
      <c r="B1164" s="187">
        <v>4774</v>
      </c>
      <c r="C1164" s="188" t="s">
        <v>761</v>
      </c>
      <c r="D1164" s="232" t="s">
        <v>1419</v>
      </c>
      <c r="E1164" s="232" t="s">
        <v>443</v>
      </c>
      <c r="F1164" s="239">
        <v>300</v>
      </c>
      <c r="G1164" s="190">
        <v>1</v>
      </c>
      <c r="H1164" s="189">
        <v>300</v>
      </c>
      <c r="I1164" s="191">
        <v>41399</v>
      </c>
      <c r="J1164" s="197" t="str">
        <f t="shared" si="54"/>
        <v>ok</v>
      </c>
      <c r="K1164" s="418"/>
      <c r="L1164" s="418"/>
      <c r="M1164" s="418"/>
      <c r="N1164" s="418"/>
      <c r="O1164" s="418"/>
      <c r="P1164" s="418"/>
      <c r="Q1164" s="418"/>
      <c r="R1164" s="418"/>
      <c r="S1164" s="418"/>
      <c r="T1164" s="418"/>
      <c r="U1164" s="418"/>
      <c r="V1164" s="418"/>
      <c r="W1164" s="419">
        <f t="shared" si="55"/>
        <v>0</v>
      </c>
      <c r="X1164" s="420"/>
      <c r="Y1164" s="420"/>
      <c r="Z1164" s="420"/>
      <c r="AA1164" s="420"/>
      <c r="AB1164" s="420">
        <v>300</v>
      </c>
      <c r="AC1164" s="420"/>
      <c r="AD1164" s="420"/>
      <c r="AE1164" s="420"/>
      <c r="AF1164" s="420"/>
      <c r="AG1164" s="420"/>
      <c r="AH1164" s="420"/>
      <c r="AI1164" s="420"/>
      <c r="AJ1164" s="420">
        <f t="shared" si="56"/>
        <v>300</v>
      </c>
      <c r="AK1164" s="192"/>
      <c r="AL1164" s="250" t="s">
        <v>2067</v>
      </c>
    </row>
    <row r="1165" spans="1:38" ht="14.1" customHeight="1" x14ac:dyDescent="0.2">
      <c r="A1165" t="s">
        <v>888</v>
      </c>
      <c r="B1165" s="193">
        <v>4775</v>
      </c>
      <c r="C1165" s="194" t="s">
        <v>762</v>
      </c>
      <c r="D1165" s="229" t="s">
        <v>1579</v>
      </c>
      <c r="E1165" s="229" t="s">
        <v>436</v>
      </c>
      <c r="F1165" s="240">
        <v>300</v>
      </c>
      <c r="G1165" s="196">
        <v>1</v>
      </c>
      <c r="H1165" s="195">
        <v>600</v>
      </c>
      <c r="I1165" s="197">
        <v>41399</v>
      </c>
      <c r="J1165" s="197" t="str">
        <f t="shared" si="54"/>
        <v>ok</v>
      </c>
      <c r="K1165" s="419"/>
      <c r="L1165" s="419"/>
      <c r="M1165" s="419"/>
      <c r="N1165" s="419"/>
      <c r="O1165" s="419"/>
      <c r="P1165" s="419"/>
      <c r="Q1165" s="419"/>
      <c r="R1165" s="419"/>
      <c r="S1165" s="419"/>
      <c r="T1165" s="419"/>
      <c r="U1165" s="419"/>
      <c r="V1165" s="419"/>
      <c r="W1165" s="419">
        <f t="shared" si="55"/>
        <v>0</v>
      </c>
      <c r="X1165" s="412"/>
      <c r="Y1165" s="412"/>
      <c r="Z1165" s="412"/>
      <c r="AA1165" s="412">
        <v>300</v>
      </c>
      <c r="AB1165" s="412">
        <v>300</v>
      </c>
      <c r="AC1165" s="412"/>
      <c r="AD1165" s="412"/>
      <c r="AE1165" s="412"/>
      <c r="AF1165" s="412"/>
      <c r="AG1165" s="412"/>
      <c r="AH1165" s="412"/>
      <c r="AI1165" s="412"/>
      <c r="AJ1165" s="412">
        <f t="shared" si="56"/>
        <v>600</v>
      </c>
      <c r="AK1165" s="198"/>
      <c r="AL1165" s="250" t="s">
        <v>2067</v>
      </c>
    </row>
    <row r="1166" spans="1:38" ht="14.1" customHeight="1" x14ac:dyDescent="0.2">
      <c r="A1166" t="s">
        <v>890</v>
      </c>
      <c r="B1166" s="193">
        <v>4776</v>
      </c>
      <c r="C1166" s="194" t="s">
        <v>763</v>
      </c>
      <c r="D1166" s="229" t="s">
        <v>1610</v>
      </c>
      <c r="E1166" s="229" t="s">
        <v>517</v>
      </c>
      <c r="F1166" s="240">
        <v>300</v>
      </c>
      <c r="G1166" s="196">
        <v>1</v>
      </c>
      <c r="H1166" s="195">
        <v>600</v>
      </c>
      <c r="I1166" s="197">
        <v>41399</v>
      </c>
      <c r="J1166" s="197" t="str">
        <f t="shared" ref="J1166:J1229" si="57">IF(OR(G1166&lt;&gt;1,SUM(W1166,AJ1166)=H1166),"ok","error")</f>
        <v>ok</v>
      </c>
      <c r="K1166" s="419"/>
      <c r="L1166" s="419"/>
      <c r="M1166" s="419"/>
      <c r="N1166" s="419"/>
      <c r="O1166" s="419"/>
      <c r="P1166" s="419"/>
      <c r="Q1166" s="419"/>
      <c r="R1166" s="419"/>
      <c r="S1166" s="419"/>
      <c r="T1166" s="419"/>
      <c r="U1166" s="419"/>
      <c r="V1166" s="419"/>
      <c r="W1166" s="419">
        <f t="shared" si="55"/>
        <v>0</v>
      </c>
      <c r="X1166" s="412"/>
      <c r="Y1166" s="412"/>
      <c r="Z1166" s="412">
        <v>300</v>
      </c>
      <c r="AA1166" s="412">
        <v>300</v>
      </c>
      <c r="AB1166" s="412"/>
      <c r="AC1166" s="412"/>
      <c r="AD1166" s="412"/>
      <c r="AE1166" s="412"/>
      <c r="AF1166" s="412"/>
      <c r="AG1166" s="412"/>
      <c r="AH1166" s="412"/>
      <c r="AI1166" s="412"/>
      <c r="AJ1166" s="412">
        <f t="shared" si="56"/>
        <v>600</v>
      </c>
      <c r="AK1166" s="198"/>
      <c r="AL1166" s="250" t="s">
        <v>2067</v>
      </c>
    </row>
    <row r="1167" spans="1:38" ht="14.1" customHeight="1" x14ac:dyDescent="0.2">
      <c r="A1167" t="s">
        <v>884</v>
      </c>
      <c r="B1167" s="193">
        <v>4777</v>
      </c>
      <c r="C1167" s="194" t="s">
        <v>764</v>
      </c>
      <c r="D1167" s="229" t="s">
        <v>1386</v>
      </c>
      <c r="E1167" s="229" t="s">
        <v>133</v>
      </c>
      <c r="F1167" s="240">
        <v>200</v>
      </c>
      <c r="G1167" s="196">
        <v>1</v>
      </c>
      <c r="H1167" s="195">
        <v>200</v>
      </c>
      <c r="I1167" s="197">
        <v>41399</v>
      </c>
      <c r="J1167" s="197" t="str">
        <f t="shared" si="57"/>
        <v>ok</v>
      </c>
      <c r="K1167" s="419"/>
      <c r="L1167" s="419"/>
      <c r="M1167" s="419"/>
      <c r="N1167" s="419"/>
      <c r="O1167" s="419"/>
      <c r="P1167" s="419"/>
      <c r="Q1167" s="419"/>
      <c r="R1167" s="419"/>
      <c r="S1167" s="419"/>
      <c r="T1167" s="419"/>
      <c r="U1167" s="419"/>
      <c r="V1167" s="419"/>
      <c r="W1167" s="419">
        <f t="shared" si="55"/>
        <v>0</v>
      </c>
      <c r="X1167" s="412"/>
      <c r="Y1167" s="412"/>
      <c r="Z1167" s="412"/>
      <c r="AA1167" s="412"/>
      <c r="AB1167" s="412">
        <v>200</v>
      </c>
      <c r="AC1167" s="412"/>
      <c r="AD1167" s="412"/>
      <c r="AE1167" s="412"/>
      <c r="AF1167" s="412"/>
      <c r="AG1167" s="412"/>
      <c r="AH1167" s="412"/>
      <c r="AI1167" s="412"/>
      <c r="AJ1167" s="412">
        <f t="shared" si="56"/>
        <v>200</v>
      </c>
      <c r="AK1167" s="198"/>
      <c r="AL1167" s="250" t="s">
        <v>2067</v>
      </c>
    </row>
    <row r="1168" spans="1:38" ht="14.1" customHeight="1" x14ac:dyDescent="0.2">
      <c r="A1168" t="s">
        <v>890</v>
      </c>
      <c r="B1168" s="193">
        <v>4778</v>
      </c>
      <c r="C1168" s="194" t="s">
        <v>765</v>
      </c>
      <c r="D1168" s="229" t="s">
        <v>1495</v>
      </c>
      <c r="E1168" s="229" t="s">
        <v>552</v>
      </c>
      <c r="F1168" s="240">
        <v>300</v>
      </c>
      <c r="G1168" s="196">
        <v>1</v>
      </c>
      <c r="H1168" s="195">
        <v>900</v>
      </c>
      <c r="I1168" s="197">
        <v>41399</v>
      </c>
      <c r="J1168" s="197" t="str">
        <f t="shared" si="57"/>
        <v>ok</v>
      </c>
      <c r="K1168" s="419"/>
      <c r="L1168" s="419"/>
      <c r="M1168" s="419"/>
      <c r="N1168" s="419"/>
      <c r="O1168" s="419"/>
      <c r="P1168" s="419"/>
      <c r="Q1168" s="419"/>
      <c r="R1168" s="419"/>
      <c r="S1168" s="419"/>
      <c r="T1168" s="419"/>
      <c r="U1168" s="419"/>
      <c r="V1168" s="419"/>
      <c r="W1168" s="419">
        <f t="shared" si="55"/>
        <v>0</v>
      </c>
      <c r="X1168" s="412"/>
      <c r="Y1168" s="412">
        <v>300</v>
      </c>
      <c r="Z1168" s="412">
        <v>300</v>
      </c>
      <c r="AA1168" s="412">
        <v>300</v>
      </c>
      <c r="AB1168" s="412"/>
      <c r="AC1168" s="412"/>
      <c r="AD1168" s="412"/>
      <c r="AE1168" s="412"/>
      <c r="AF1168" s="412"/>
      <c r="AG1168" s="412"/>
      <c r="AH1168" s="412"/>
      <c r="AI1168" s="412"/>
      <c r="AJ1168" s="412">
        <f t="shared" si="56"/>
        <v>900</v>
      </c>
      <c r="AK1168" s="198"/>
      <c r="AL1168" s="250" t="s">
        <v>2067</v>
      </c>
    </row>
    <row r="1169" spans="1:38" ht="14.1" customHeight="1" x14ac:dyDescent="0.2">
      <c r="A1169" t="s">
        <v>884</v>
      </c>
      <c r="B1169" s="193">
        <v>4779</v>
      </c>
      <c r="C1169" s="194" t="s">
        <v>766</v>
      </c>
      <c r="D1169" s="229" t="s">
        <v>1557</v>
      </c>
      <c r="E1169" s="229" t="s">
        <v>123</v>
      </c>
      <c r="F1169" s="240">
        <v>300</v>
      </c>
      <c r="G1169" s="196">
        <v>1</v>
      </c>
      <c r="H1169" s="195">
        <v>900</v>
      </c>
      <c r="I1169" s="197">
        <v>41399</v>
      </c>
      <c r="J1169" s="197" t="str">
        <f t="shared" si="57"/>
        <v>ok</v>
      </c>
      <c r="K1169" s="419"/>
      <c r="L1169" s="419"/>
      <c r="M1169" s="419"/>
      <c r="N1169" s="419"/>
      <c r="O1169" s="419"/>
      <c r="P1169" s="419"/>
      <c r="Q1169" s="419"/>
      <c r="R1169" s="419"/>
      <c r="S1169" s="419"/>
      <c r="T1169" s="419"/>
      <c r="U1169" s="419"/>
      <c r="V1169" s="419"/>
      <c r="W1169" s="419">
        <f t="shared" si="55"/>
        <v>0</v>
      </c>
      <c r="X1169" s="412"/>
      <c r="Y1169" s="412"/>
      <c r="Z1169" s="412">
        <v>300</v>
      </c>
      <c r="AA1169" s="412">
        <v>300</v>
      </c>
      <c r="AB1169" s="412">
        <v>300</v>
      </c>
      <c r="AC1169" s="412"/>
      <c r="AD1169" s="412"/>
      <c r="AE1169" s="412"/>
      <c r="AF1169" s="412"/>
      <c r="AG1169" s="412"/>
      <c r="AH1169" s="412"/>
      <c r="AI1169" s="412"/>
      <c r="AJ1169" s="412">
        <f t="shared" si="56"/>
        <v>900</v>
      </c>
      <c r="AK1169" s="198"/>
      <c r="AL1169" s="250" t="s">
        <v>2067</v>
      </c>
    </row>
    <row r="1170" spans="1:38" ht="14.1" customHeight="1" x14ac:dyDescent="0.2">
      <c r="A1170" t="s">
        <v>894</v>
      </c>
      <c r="B1170" s="193">
        <v>4780</v>
      </c>
      <c r="C1170" s="194" t="s">
        <v>767</v>
      </c>
      <c r="D1170" s="229" t="s">
        <v>1411</v>
      </c>
      <c r="E1170" s="229" t="s">
        <v>607</v>
      </c>
      <c r="F1170" s="240">
        <v>300</v>
      </c>
      <c r="G1170" s="196">
        <v>1</v>
      </c>
      <c r="H1170" s="195">
        <v>300</v>
      </c>
      <c r="I1170" s="197">
        <v>41399</v>
      </c>
      <c r="J1170" s="197" t="str">
        <f t="shared" si="57"/>
        <v>ok</v>
      </c>
      <c r="K1170" s="419"/>
      <c r="L1170" s="419"/>
      <c r="M1170" s="419"/>
      <c r="N1170" s="419"/>
      <c r="O1170" s="419"/>
      <c r="P1170" s="419"/>
      <c r="Q1170" s="419"/>
      <c r="R1170" s="419"/>
      <c r="S1170" s="419"/>
      <c r="T1170" s="419"/>
      <c r="U1170" s="419"/>
      <c r="V1170" s="419"/>
      <c r="W1170" s="419">
        <f t="shared" si="55"/>
        <v>0</v>
      </c>
      <c r="X1170" s="412"/>
      <c r="Y1170" s="412"/>
      <c r="Z1170" s="412"/>
      <c r="AA1170" s="412"/>
      <c r="AB1170" s="412">
        <v>300</v>
      </c>
      <c r="AC1170" s="412"/>
      <c r="AD1170" s="412"/>
      <c r="AE1170" s="412"/>
      <c r="AF1170" s="412"/>
      <c r="AG1170" s="412"/>
      <c r="AH1170" s="412"/>
      <c r="AI1170" s="412"/>
      <c r="AJ1170" s="412">
        <f t="shared" si="56"/>
        <v>300</v>
      </c>
      <c r="AK1170" s="198"/>
      <c r="AL1170" s="250" t="s">
        <v>2067</v>
      </c>
    </row>
    <row r="1171" spans="1:38" ht="14.1" customHeight="1" x14ac:dyDescent="0.2">
      <c r="A1171" t="s">
        <v>888</v>
      </c>
      <c r="B1171" s="193">
        <v>4781</v>
      </c>
      <c r="C1171" s="194" t="s">
        <v>768</v>
      </c>
      <c r="D1171" s="229" t="s">
        <v>1399</v>
      </c>
      <c r="E1171" s="229" t="s">
        <v>365</v>
      </c>
      <c r="F1171" s="240">
        <v>300</v>
      </c>
      <c r="G1171" s="196">
        <v>1</v>
      </c>
      <c r="H1171" s="195">
        <v>300</v>
      </c>
      <c r="I1171" s="197">
        <v>41399</v>
      </c>
      <c r="J1171" s="197" t="str">
        <f t="shared" si="57"/>
        <v>ok</v>
      </c>
      <c r="K1171" s="419"/>
      <c r="L1171" s="419"/>
      <c r="M1171" s="419"/>
      <c r="N1171" s="419"/>
      <c r="O1171" s="419"/>
      <c r="P1171" s="419"/>
      <c r="Q1171" s="419"/>
      <c r="R1171" s="419"/>
      <c r="S1171" s="419"/>
      <c r="T1171" s="419"/>
      <c r="U1171" s="419"/>
      <c r="V1171" s="419"/>
      <c r="W1171" s="419">
        <f t="shared" si="55"/>
        <v>0</v>
      </c>
      <c r="X1171" s="412"/>
      <c r="Y1171" s="412"/>
      <c r="Z1171" s="412"/>
      <c r="AA1171" s="412"/>
      <c r="AB1171" s="412">
        <v>300</v>
      </c>
      <c r="AC1171" s="412"/>
      <c r="AD1171" s="412"/>
      <c r="AE1171" s="412"/>
      <c r="AF1171" s="412"/>
      <c r="AG1171" s="412"/>
      <c r="AH1171" s="412"/>
      <c r="AI1171" s="412"/>
      <c r="AJ1171" s="412">
        <f t="shared" si="56"/>
        <v>300</v>
      </c>
      <c r="AK1171" s="198"/>
      <c r="AL1171" s="250" t="s">
        <v>2067</v>
      </c>
    </row>
    <row r="1172" spans="1:38" ht="14.1" customHeight="1" x14ac:dyDescent="0.2">
      <c r="A1172" t="s">
        <v>890</v>
      </c>
      <c r="B1172" s="193">
        <v>4782</v>
      </c>
      <c r="C1172" s="194" t="s">
        <v>769</v>
      </c>
      <c r="D1172" s="229" t="s">
        <v>1451</v>
      </c>
      <c r="E1172" s="229" t="s">
        <v>546</v>
      </c>
      <c r="F1172" s="240">
        <v>300</v>
      </c>
      <c r="G1172" s="196">
        <v>1</v>
      </c>
      <c r="H1172" s="195">
        <v>600</v>
      </c>
      <c r="I1172" s="197">
        <v>41399</v>
      </c>
      <c r="J1172" s="197" t="str">
        <f t="shared" si="57"/>
        <v>ok</v>
      </c>
      <c r="K1172" s="419"/>
      <c r="L1172" s="419"/>
      <c r="M1172" s="419"/>
      <c r="N1172" s="419"/>
      <c r="O1172" s="419"/>
      <c r="P1172" s="419"/>
      <c r="Q1172" s="419"/>
      <c r="R1172" s="419"/>
      <c r="S1172" s="419"/>
      <c r="T1172" s="419"/>
      <c r="U1172" s="419"/>
      <c r="V1172" s="419"/>
      <c r="W1172" s="419">
        <f t="shared" si="55"/>
        <v>0</v>
      </c>
      <c r="X1172" s="412"/>
      <c r="Y1172" s="412"/>
      <c r="Z1172" s="412"/>
      <c r="AA1172" s="412"/>
      <c r="AB1172" s="412">
        <v>300</v>
      </c>
      <c r="AC1172" s="412">
        <v>300</v>
      </c>
      <c r="AD1172" s="412"/>
      <c r="AE1172" s="412"/>
      <c r="AF1172" s="412"/>
      <c r="AG1172" s="412"/>
      <c r="AH1172" s="412"/>
      <c r="AI1172" s="412"/>
      <c r="AJ1172" s="412">
        <f t="shared" si="56"/>
        <v>600</v>
      </c>
      <c r="AK1172" s="198"/>
      <c r="AL1172" s="250" t="s">
        <v>2067</v>
      </c>
    </row>
    <row r="1173" spans="1:38" ht="14.1" customHeight="1" x14ac:dyDescent="0.2">
      <c r="A1173" t="s">
        <v>890</v>
      </c>
      <c r="B1173" s="193">
        <v>4783</v>
      </c>
      <c r="C1173" s="194" t="s">
        <v>770</v>
      </c>
      <c r="D1173" s="229" t="s">
        <v>1438</v>
      </c>
      <c r="E1173" s="229" t="s">
        <v>536</v>
      </c>
      <c r="F1173" s="240">
        <v>300</v>
      </c>
      <c r="G1173" s="196">
        <v>1</v>
      </c>
      <c r="H1173" s="195">
        <v>300</v>
      </c>
      <c r="I1173" s="197">
        <v>41399</v>
      </c>
      <c r="J1173" s="197" t="str">
        <f t="shared" si="57"/>
        <v>ok</v>
      </c>
      <c r="K1173" s="419"/>
      <c r="L1173" s="419"/>
      <c r="M1173" s="419"/>
      <c r="N1173" s="419"/>
      <c r="O1173" s="419"/>
      <c r="P1173" s="419"/>
      <c r="Q1173" s="419"/>
      <c r="R1173" s="419"/>
      <c r="S1173" s="419"/>
      <c r="T1173" s="419"/>
      <c r="U1173" s="419"/>
      <c r="V1173" s="419"/>
      <c r="W1173" s="419">
        <f t="shared" si="55"/>
        <v>0</v>
      </c>
      <c r="X1173" s="412"/>
      <c r="Y1173" s="412"/>
      <c r="Z1173" s="412"/>
      <c r="AA1173" s="412"/>
      <c r="AB1173" s="412">
        <v>300</v>
      </c>
      <c r="AC1173" s="412"/>
      <c r="AD1173" s="412"/>
      <c r="AE1173" s="412"/>
      <c r="AF1173" s="412"/>
      <c r="AG1173" s="412"/>
      <c r="AH1173" s="412"/>
      <c r="AI1173" s="412"/>
      <c r="AJ1173" s="412">
        <f t="shared" si="56"/>
        <v>300</v>
      </c>
      <c r="AK1173" s="198"/>
      <c r="AL1173" s="250" t="s">
        <v>2067</v>
      </c>
    </row>
    <row r="1174" spans="1:38" ht="14.1" customHeight="1" x14ac:dyDescent="0.2">
      <c r="A1174" t="s">
        <v>893</v>
      </c>
      <c r="B1174" s="193">
        <v>4784</v>
      </c>
      <c r="C1174" s="194" t="s">
        <v>771</v>
      </c>
      <c r="D1174" s="229" t="s">
        <v>1464</v>
      </c>
      <c r="E1174" s="229" t="s">
        <v>61</v>
      </c>
      <c r="F1174" s="240">
        <v>300</v>
      </c>
      <c r="G1174" s="196">
        <v>1</v>
      </c>
      <c r="H1174" s="195">
        <v>300</v>
      </c>
      <c r="I1174" s="197">
        <v>41399</v>
      </c>
      <c r="J1174" s="197" t="str">
        <f t="shared" si="57"/>
        <v>ok</v>
      </c>
      <c r="K1174" s="419"/>
      <c r="L1174" s="419"/>
      <c r="M1174" s="419"/>
      <c r="N1174" s="419"/>
      <c r="O1174" s="419"/>
      <c r="P1174" s="419"/>
      <c r="Q1174" s="419"/>
      <c r="R1174" s="419"/>
      <c r="S1174" s="419"/>
      <c r="T1174" s="419"/>
      <c r="U1174" s="419"/>
      <c r="V1174" s="419"/>
      <c r="W1174" s="419">
        <f t="shared" si="55"/>
        <v>0</v>
      </c>
      <c r="X1174" s="412"/>
      <c r="Y1174" s="412"/>
      <c r="Z1174" s="412"/>
      <c r="AA1174" s="412"/>
      <c r="AB1174" s="412">
        <v>300</v>
      </c>
      <c r="AC1174" s="412"/>
      <c r="AD1174" s="412"/>
      <c r="AE1174" s="412"/>
      <c r="AF1174" s="412"/>
      <c r="AG1174" s="412"/>
      <c r="AH1174" s="412"/>
      <c r="AI1174" s="412"/>
      <c r="AJ1174" s="412">
        <f t="shared" si="56"/>
        <v>300</v>
      </c>
      <c r="AK1174" s="198"/>
      <c r="AL1174" s="250" t="s">
        <v>2067</v>
      </c>
    </row>
    <row r="1175" spans="1:38" ht="14.1" customHeight="1" x14ac:dyDescent="0.2">
      <c r="A1175" t="s">
        <v>884</v>
      </c>
      <c r="B1175" s="193">
        <v>4785</v>
      </c>
      <c r="C1175" s="194" t="s">
        <v>772</v>
      </c>
      <c r="D1175" s="229" t="s">
        <v>1409</v>
      </c>
      <c r="E1175" s="229" t="s">
        <v>705</v>
      </c>
      <c r="F1175" s="240">
        <v>125</v>
      </c>
      <c r="G1175" s="196">
        <v>1</v>
      </c>
      <c r="H1175" s="195">
        <v>125</v>
      </c>
      <c r="I1175" s="197">
        <v>41399</v>
      </c>
      <c r="J1175" s="197" t="str">
        <f t="shared" si="57"/>
        <v>ok</v>
      </c>
      <c r="K1175" s="419"/>
      <c r="L1175" s="419"/>
      <c r="M1175" s="419"/>
      <c r="N1175" s="419"/>
      <c r="O1175" s="419"/>
      <c r="P1175" s="419"/>
      <c r="Q1175" s="419"/>
      <c r="R1175" s="419"/>
      <c r="S1175" s="419"/>
      <c r="T1175" s="419"/>
      <c r="U1175" s="419"/>
      <c r="V1175" s="419"/>
      <c r="W1175" s="419">
        <f t="shared" si="55"/>
        <v>0</v>
      </c>
      <c r="X1175" s="412"/>
      <c r="Y1175" s="412"/>
      <c r="Z1175" s="412"/>
      <c r="AA1175" s="412"/>
      <c r="AB1175" s="412">
        <v>125</v>
      </c>
      <c r="AC1175" s="412"/>
      <c r="AD1175" s="412"/>
      <c r="AE1175" s="412"/>
      <c r="AF1175" s="412"/>
      <c r="AG1175" s="412"/>
      <c r="AH1175" s="412"/>
      <c r="AI1175" s="412"/>
      <c r="AJ1175" s="412">
        <f t="shared" si="56"/>
        <v>125</v>
      </c>
      <c r="AK1175" s="198"/>
      <c r="AL1175" s="250" t="s">
        <v>2067</v>
      </c>
    </row>
    <row r="1176" spans="1:38" ht="14.1" customHeight="1" x14ac:dyDescent="0.2">
      <c r="A1176" t="s">
        <v>893</v>
      </c>
      <c r="B1176" s="193">
        <v>4786</v>
      </c>
      <c r="C1176" s="194" t="s">
        <v>773</v>
      </c>
      <c r="D1176" s="229" t="s">
        <v>1537</v>
      </c>
      <c r="E1176" s="229" t="s">
        <v>317</v>
      </c>
      <c r="F1176" s="240">
        <v>300</v>
      </c>
      <c r="G1176" s="196">
        <v>1</v>
      </c>
      <c r="H1176" s="195">
        <v>300</v>
      </c>
      <c r="I1176" s="197">
        <v>41399</v>
      </c>
      <c r="J1176" s="197" t="str">
        <f t="shared" si="57"/>
        <v>ok</v>
      </c>
      <c r="K1176" s="419"/>
      <c r="L1176" s="419"/>
      <c r="M1176" s="419"/>
      <c r="N1176" s="419"/>
      <c r="O1176" s="419"/>
      <c r="P1176" s="419"/>
      <c r="Q1176" s="419"/>
      <c r="R1176" s="419"/>
      <c r="S1176" s="419"/>
      <c r="T1176" s="419"/>
      <c r="U1176" s="419"/>
      <c r="V1176" s="419"/>
      <c r="W1176" s="419">
        <f t="shared" si="55"/>
        <v>0</v>
      </c>
      <c r="X1176" s="412"/>
      <c r="Y1176" s="412"/>
      <c r="Z1176" s="412"/>
      <c r="AA1176" s="412"/>
      <c r="AB1176" s="412">
        <v>300</v>
      </c>
      <c r="AC1176" s="412"/>
      <c r="AD1176" s="412"/>
      <c r="AE1176" s="412"/>
      <c r="AF1176" s="412"/>
      <c r="AG1176" s="412"/>
      <c r="AH1176" s="412"/>
      <c r="AI1176" s="412"/>
      <c r="AJ1176" s="412">
        <f t="shared" si="56"/>
        <v>300</v>
      </c>
      <c r="AK1176" s="198"/>
      <c r="AL1176" s="250" t="s">
        <v>2067</v>
      </c>
    </row>
    <row r="1177" spans="1:38" ht="14.1" customHeight="1" x14ac:dyDescent="0.2">
      <c r="A1177" t="s">
        <v>893</v>
      </c>
      <c r="B1177" s="193">
        <v>4787</v>
      </c>
      <c r="C1177" s="194" t="s">
        <v>774</v>
      </c>
      <c r="D1177" s="229" t="s">
        <v>1657</v>
      </c>
      <c r="E1177" s="229" t="s">
        <v>227</v>
      </c>
      <c r="F1177" s="240">
        <v>100</v>
      </c>
      <c r="G1177" s="196">
        <v>1</v>
      </c>
      <c r="H1177" s="195">
        <v>300</v>
      </c>
      <c r="I1177" s="197">
        <v>41399</v>
      </c>
      <c r="J1177" s="197" t="str">
        <f t="shared" si="57"/>
        <v>ok</v>
      </c>
      <c r="K1177" s="419"/>
      <c r="L1177" s="419"/>
      <c r="M1177" s="419"/>
      <c r="N1177" s="419"/>
      <c r="O1177" s="419"/>
      <c r="P1177" s="419"/>
      <c r="Q1177" s="419"/>
      <c r="R1177" s="419"/>
      <c r="S1177" s="419"/>
      <c r="T1177" s="419"/>
      <c r="U1177" s="419"/>
      <c r="V1177" s="419"/>
      <c r="W1177" s="419">
        <f t="shared" si="55"/>
        <v>0</v>
      </c>
      <c r="X1177" s="412">
        <v>100</v>
      </c>
      <c r="Y1177" s="412">
        <v>100</v>
      </c>
      <c r="Z1177" s="412">
        <v>100</v>
      </c>
      <c r="AA1177" s="412"/>
      <c r="AB1177" s="412"/>
      <c r="AC1177" s="412"/>
      <c r="AD1177" s="412"/>
      <c r="AE1177" s="412"/>
      <c r="AF1177" s="412"/>
      <c r="AG1177" s="412"/>
      <c r="AH1177" s="412"/>
      <c r="AI1177" s="412"/>
      <c r="AJ1177" s="412">
        <f t="shared" si="56"/>
        <v>300</v>
      </c>
      <c r="AK1177" s="198"/>
      <c r="AL1177" s="250" t="s">
        <v>2067</v>
      </c>
    </row>
    <row r="1178" spans="1:38" ht="14.1" customHeight="1" x14ac:dyDescent="0.2">
      <c r="A1178" t="s">
        <v>884</v>
      </c>
      <c r="B1178" s="193">
        <v>4788</v>
      </c>
      <c r="C1178" s="194" t="s">
        <v>775</v>
      </c>
      <c r="D1178" s="229" t="s">
        <v>1388</v>
      </c>
      <c r="E1178" s="229" t="s">
        <v>1207</v>
      </c>
      <c r="F1178" s="240">
        <v>300</v>
      </c>
      <c r="G1178" s="196">
        <v>1</v>
      </c>
      <c r="H1178" s="195">
        <v>300</v>
      </c>
      <c r="I1178" s="197">
        <v>41399</v>
      </c>
      <c r="J1178" s="197" t="str">
        <f t="shared" si="57"/>
        <v>ok</v>
      </c>
      <c r="K1178" s="419"/>
      <c r="L1178" s="419"/>
      <c r="M1178" s="419"/>
      <c r="N1178" s="419"/>
      <c r="O1178" s="419"/>
      <c r="P1178" s="419"/>
      <c r="Q1178" s="419"/>
      <c r="R1178" s="419"/>
      <c r="S1178" s="419"/>
      <c r="T1178" s="419"/>
      <c r="U1178" s="419"/>
      <c r="V1178" s="419"/>
      <c r="W1178" s="419">
        <f t="shared" si="55"/>
        <v>0</v>
      </c>
      <c r="X1178" s="412"/>
      <c r="Y1178" s="412"/>
      <c r="Z1178" s="412"/>
      <c r="AA1178" s="412"/>
      <c r="AB1178" s="412">
        <v>300</v>
      </c>
      <c r="AC1178" s="412"/>
      <c r="AD1178" s="412"/>
      <c r="AE1178" s="412"/>
      <c r="AF1178" s="412"/>
      <c r="AG1178" s="412"/>
      <c r="AH1178" s="412"/>
      <c r="AI1178" s="412"/>
      <c r="AJ1178" s="412">
        <f t="shared" si="56"/>
        <v>300</v>
      </c>
      <c r="AK1178" s="198"/>
      <c r="AL1178" s="250" t="s">
        <v>2067</v>
      </c>
    </row>
    <row r="1179" spans="1:38" ht="14.1" customHeight="1" x14ac:dyDescent="0.2">
      <c r="A1179" t="s">
        <v>892</v>
      </c>
      <c r="B1179" s="193">
        <v>4789</v>
      </c>
      <c r="C1179" s="194" t="s">
        <v>776</v>
      </c>
      <c r="D1179" s="229" t="s">
        <v>1413</v>
      </c>
      <c r="E1179" s="229" t="s">
        <v>736</v>
      </c>
      <c r="F1179" s="240">
        <v>300</v>
      </c>
      <c r="G1179" s="196">
        <v>1</v>
      </c>
      <c r="H1179" s="195">
        <v>300</v>
      </c>
      <c r="I1179" s="197">
        <v>41399</v>
      </c>
      <c r="J1179" s="197" t="str">
        <f t="shared" si="57"/>
        <v>ok</v>
      </c>
      <c r="K1179" s="419"/>
      <c r="L1179" s="419"/>
      <c r="M1179" s="419"/>
      <c r="N1179" s="419"/>
      <c r="O1179" s="419"/>
      <c r="P1179" s="419"/>
      <c r="Q1179" s="419"/>
      <c r="R1179" s="419"/>
      <c r="S1179" s="419"/>
      <c r="T1179" s="419"/>
      <c r="U1179" s="419"/>
      <c r="V1179" s="419"/>
      <c r="W1179" s="419">
        <f t="shared" si="55"/>
        <v>0</v>
      </c>
      <c r="X1179" s="412"/>
      <c r="Y1179" s="412"/>
      <c r="Z1179" s="412"/>
      <c r="AA1179" s="412"/>
      <c r="AB1179" s="412">
        <v>300</v>
      </c>
      <c r="AC1179" s="412"/>
      <c r="AD1179" s="412"/>
      <c r="AE1179" s="412"/>
      <c r="AF1179" s="412"/>
      <c r="AG1179" s="412"/>
      <c r="AH1179" s="412"/>
      <c r="AI1179" s="412"/>
      <c r="AJ1179" s="412">
        <f t="shared" si="56"/>
        <v>300</v>
      </c>
      <c r="AK1179" s="198"/>
      <c r="AL1179" s="250" t="s">
        <v>2067</v>
      </c>
    </row>
    <row r="1180" spans="1:38" ht="14.1" customHeight="1" x14ac:dyDescent="0.2">
      <c r="A1180" t="s">
        <v>893</v>
      </c>
      <c r="B1180" s="193">
        <v>4790</v>
      </c>
      <c r="C1180" s="194" t="s">
        <v>777</v>
      </c>
      <c r="D1180" s="229" t="s">
        <v>1387</v>
      </c>
      <c r="E1180" s="229" t="s">
        <v>714</v>
      </c>
      <c r="F1180" s="240">
        <v>300</v>
      </c>
      <c r="G1180" s="196">
        <v>4</v>
      </c>
      <c r="H1180" s="195">
        <v>320</v>
      </c>
      <c r="I1180" s="197">
        <v>41399</v>
      </c>
      <c r="J1180" s="197" t="str">
        <f t="shared" si="57"/>
        <v>ok</v>
      </c>
      <c r="K1180" s="419"/>
      <c r="L1180" s="419"/>
      <c r="M1180" s="419"/>
      <c r="N1180" s="419"/>
      <c r="O1180" s="419"/>
      <c r="P1180" s="419"/>
      <c r="Q1180" s="419"/>
      <c r="R1180" s="419"/>
      <c r="S1180" s="419"/>
      <c r="T1180" s="419"/>
      <c r="U1180" s="419"/>
      <c r="V1180" s="419"/>
      <c r="W1180" s="419">
        <f t="shared" si="55"/>
        <v>0</v>
      </c>
      <c r="X1180" s="412"/>
      <c r="Y1180" s="412"/>
      <c r="Z1180" s="412"/>
      <c r="AA1180" s="412"/>
      <c r="AB1180" s="412"/>
      <c r="AC1180" s="412"/>
      <c r="AD1180" s="412"/>
      <c r="AE1180" s="412"/>
      <c r="AF1180" s="412"/>
      <c r="AG1180" s="412"/>
      <c r="AH1180" s="412"/>
      <c r="AI1180" s="412"/>
      <c r="AJ1180" s="412">
        <f t="shared" si="56"/>
        <v>0</v>
      </c>
      <c r="AK1180" s="198"/>
      <c r="AL1180" s="250" t="s">
        <v>2068</v>
      </c>
    </row>
    <row r="1181" spans="1:38" ht="14.1" customHeight="1" x14ac:dyDescent="0.2">
      <c r="A1181" t="s">
        <v>893</v>
      </c>
      <c r="B1181" s="193">
        <v>4791</v>
      </c>
      <c r="C1181" s="194" t="s">
        <v>778</v>
      </c>
      <c r="D1181" s="229" t="s">
        <v>1573</v>
      </c>
      <c r="E1181" s="229" t="s">
        <v>715</v>
      </c>
      <c r="F1181" s="240">
        <v>300</v>
      </c>
      <c r="G1181" s="196">
        <v>1</v>
      </c>
      <c r="H1181" s="195">
        <v>300</v>
      </c>
      <c r="I1181" s="197">
        <v>41399</v>
      </c>
      <c r="J1181" s="197" t="str">
        <f t="shared" si="57"/>
        <v>ok</v>
      </c>
      <c r="K1181" s="419"/>
      <c r="L1181" s="419"/>
      <c r="M1181" s="419"/>
      <c r="N1181" s="419"/>
      <c r="O1181" s="419"/>
      <c r="P1181" s="419"/>
      <c r="Q1181" s="419"/>
      <c r="R1181" s="419"/>
      <c r="S1181" s="419"/>
      <c r="T1181" s="419"/>
      <c r="U1181" s="419"/>
      <c r="V1181" s="419"/>
      <c r="W1181" s="419">
        <f t="shared" si="55"/>
        <v>0</v>
      </c>
      <c r="X1181" s="412"/>
      <c r="Y1181" s="412"/>
      <c r="Z1181" s="412"/>
      <c r="AA1181" s="412"/>
      <c r="AB1181" s="412">
        <v>300</v>
      </c>
      <c r="AC1181" s="412"/>
      <c r="AD1181" s="412"/>
      <c r="AE1181" s="412"/>
      <c r="AF1181" s="412"/>
      <c r="AG1181" s="412"/>
      <c r="AH1181" s="412"/>
      <c r="AI1181" s="412"/>
      <c r="AJ1181" s="412">
        <f t="shared" si="56"/>
        <v>300</v>
      </c>
      <c r="AK1181" s="198"/>
      <c r="AL1181" s="250" t="s">
        <v>2067</v>
      </c>
    </row>
    <row r="1182" spans="1:38" ht="14.1" customHeight="1" x14ac:dyDescent="0.2">
      <c r="B1182" s="193">
        <v>4792</v>
      </c>
      <c r="C1182" s="194"/>
      <c r="D1182" s="229" t="s">
        <v>1362</v>
      </c>
      <c r="E1182" s="229" t="s">
        <v>1362</v>
      </c>
      <c r="F1182" s="240" t="s">
        <v>1362</v>
      </c>
      <c r="G1182" s="196">
        <v>8</v>
      </c>
      <c r="H1182" s="195"/>
      <c r="I1182" s="197">
        <v>41399</v>
      </c>
      <c r="J1182" s="197" t="str">
        <f t="shared" si="57"/>
        <v>ok</v>
      </c>
      <c r="K1182" s="419"/>
      <c r="L1182" s="419"/>
      <c r="M1182" s="419"/>
      <c r="N1182" s="419"/>
      <c r="O1182" s="419"/>
      <c r="P1182" s="419"/>
      <c r="Q1182" s="419"/>
      <c r="R1182" s="419"/>
      <c r="S1182" s="419"/>
      <c r="T1182" s="419"/>
      <c r="U1182" s="419"/>
      <c r="V1182" s="419"/>
      <c r="W1182" s="419">
        <f t="shared" si="55"/>
        <v>0</v>
      </c>
      <c r="X1182" s="412"/>
      <c r="Y1182" s="412"/>
      <c r="Z1182" s="412"/>
      <c r="AA1182" s="412"/>
      <c r="AB1182" s="412"/>
      <c r="AC1182" s="412"/>
      <c r="AD1182" s="412"/>
      <c r="AE1182" s="412"/>
      <c r="AF1182" s="412"/>
      <c r="AG1182" s="412"/>
      <c r="AH1182" s="412"/>
      <c r="AI1182" s="412"/>
      <c r="AJ1182" s="412">
        <f t="shared" si="56"/>
        <v>0</v>
      </c>
      <c r="AK1182" s="198" t="s">
        <v>755</v>
      </c>
      <c r="AL1182" s="250" t="s">
        <v>2067</v>
      </c>
    </row>
    <row r="1183" spans="1:38" ht="14.1" customHeight="1" x14ac:dyDescent="0.2">
      <c r="A1183" t="s">
        <v>893</v>
      </c>
      <c r="B1183" s="193">
        <v>4793</v>
      </c>
      <c r="C1183" s="194" t="s">
        <v>779</v>
      </c>
      <c r="D1183" s="229" t="s">
        <v>1391</v>
      </c>
      <c r="E1183" s="229" t="s">
        <v>713</v>
      </c>
      <c r="F1183" s="240">
        <v>300</v>
      </c>
      <c r="G1183" s="196">
        <v>1</v>
      </c>
      <c r="H1183" s="195">
        <v>300</v>
      </c>
      <c r="I1183" s="197">
        <v>41399</v>
      </c>
      <c r="J1183" s="197" t="str">
        <f t="shared" si="57"/>
        <v>ok</v>
      </c>
      <c r="K1183" s="419"/>
      <c r="L1183" s="419"/>
      <c r="M1183" s="419"/>
      <c r="N1183" s="419"/>
      <c r="O1183" s="419"/>
      <c r="P1183" s="419"/>
      <c r="Q1183" s="419"/>
      <c r="R1183" s="419"/>
      <c r="S1183" s="419"/>
      <c r="T1183" s="419"/>
      <c r="U1183" s="419"/>
      <c r="V1183" s="419"/>
      <c r="W1183" s="419">
        <f t="shared" si="55"/>
        <v>0</v>
      </c>
      <c r="X1183" s="412"/>
      <c r="Y1183" s="412"/>
      <c r="Z1183" s="412"/>
      <c r="AA1183" s="412"/>
      <c r="AB1183" s="412">
        <v>300</v>
      </c>
      <c r="AC1183" s="412"/>
      <c r="AD1183" s="412"/>
      <c r="AE1183" s="412"/>
      <c r="AF1183" s="412"/>
      <c r="AG1183" s="412"/>
      <c r="AH1183" s="412"/>
      <c r="AI1183" s="412"/>
      <c r="AJ1183" s="412">
        <f t="shared" si="56"/>
        <v>300</v>
      </c>
      <c r="AK1183" s="198"/>
      <c r="AL1183" s="250" t="s">
        <v>2067</v>
      </c>
    </row>
    <row r="1184" spans="1:38" ht="14.1" customHeight="1" x14ac:dyDescent="0.2">
      <c r="A1184" t="s">
        <v>893</v>
      </c>
      <c r="B1184" s="193">
        <v>4794</v>
      </c>
      <c r="C1184" s="194" t="s">
        <v>780</v>
      </c>
      <c r="D1184" s="229" t="s">
        <v>1593</v>
      </c>
      <c r="E1184" s="229" t="s">
        <v>294</v>
      </c>
      <c r="F1184" s="240">
        <v>300</v>
      </c>
      <c r="G1184" s="196">
        <v>1</v>
      </c>
      <c r="H1184" s="195">
        <v>300</v>
      </c>
      <c r="I1184" s="197">
        <v>41399</v>
      </c>
      <c r="J1184" s="197" t="str">
        <f t="shared" si="57"/>
        <v>ok</v>
      </c>
      <c r="K1184" s="419"/>
      <c r="L1184" s="419"/>
      <c r="M1184" s="419"/>
      <c r="N1184" s="419"/>
      <c r="O1184" s="419"/>
      <c r="P1184" s="419"/>
      <c r="Q1184" s="419"/>
      <c r="R1184" s="419"/>
      <c r="S1184" s="419"/>
      <c r="T1184" s="419"/>
      <c r="U1184" s="419"/>
      <c r="V1184" s="419"/>
      <c r="W1184" s="419">
        <f t="shared" si="55"/>
        <v>0</v>
      </c>
      <c r="X1184" s="412"/>
      <c r="Y1184" s="412"/>
      <c r="Z1184" s="412"/>
      <c r="AA1184" s="412"/>
      <c r="AB1184" s="412">
        <v>300</v>
      </c>
      <c r="AC1184" s="412"/>
      <c r="AD1184" s="412"/>
      <c r="AE1184" s="412"/>
      <c r="AF1184" s="412"/>
      <c r="AG1184" s="412"/>
      <c r="AH1184" s="412"/>
      <c r="AI1184" s="412"/>
      <c r="AJ1184" s="412">
        <f t="shared" si="56"/>
        <v>300</v>
      </c>
      <c r="AK1184" s="198"/>
      <c r="AL1184" s="250" t="s">
        <v>2067</v>
      </c>
    </row>
    <row r="1185" spans="1:38" ht="14.1" customHeight="1" x14ac:dyDescent="0.2">
      <c r="A1185" t="s">
        <v>893</v>
      </c>
      <c r="B1185" s="193">
        <v>4795</v>
      </c>
      <c r="C1185" s="194" t="s">
        <v>781</v>
      </c>
      <c r="D1185" s="229" t="s">
        <v>1401</v>
      </c>
      <c r="E1185" s="229" t="s">
        <v>331</v>
      </c>
      <c r="F1185" s="240">
        <v>300</v>
      </c>
      <c r="G1185" s="196">
        <v>1</v>
      </c>
      <c r="H1185" s="195">
        <v>300</v>
      </c>
      <c r="I1185" s="197">
        <v>41399</v>
      </c>
      <c r="J1185" s="197" t="str">
        <f t="shared" si="57"/>
        <v>ok</v>
      </c>
      <c r="K1185" s="419"/>
      <c r="L1185" s="419"/>
      <c r="M1185" s="419"/>
      <c r="N1185" s="419"/>
      <c r="O1185" s="419"/>
      <c r="P1185" s="419"/>
      <c r="Q1185" s="419"/>
      <c r="R1185" s="419"/>
      <c r="S1185" s="419"/>
      <c r="T1185" s="419"/>
      <c r="U1185" s="419"/>
      <c r="V1185" s="419"/>
      <c r="W1185" s="419">
        <f t="shared" si="55"/>
        <v>0</v>
      </c>
      <c r="X1185" s="412"/>
      <c r="Y1185" s="412"/>
      <c r="Z1185" s="412"/>
      <c r="AA1185" s="412"/>
      <c r="AB1185" s="412">
        <v>300</v>
      </c>
      <c r="AC1185" s="412"/>
      <c r="AD1185" s="412"/>
      <c r="AE1185" s="412"/>
      <c r="AF1185" s="412"/>
      <c r="AG1185" s="412"/>
      <c r="AH1185" s="412"/>
      <c r="AI1185" s="412"/>
      <c r="AJ1185" s="412">
        <f t="shared" si="56"/>
        <v>300</v>
      </c>
      <c r="AK1185" s="198"/>
      <c r="AL1185" s="250" t="s">
        <v>2067</v>
      </c>
    </row>
    <row r="1186" spans="1:38" ht="14.1" customHeight="1" x14ac:dyDescent="0.2">
      <c r="A1186" t="s">
        <v>892</v>
      </c>
      <c r="B1186" s="193">
        <v>4796</v>
      </c>
      <c r="C1186" s="194" t="s">
        <v>782</v>
      </c>
      <c r="D1186" s="229" t="s">
        <v>1418</v>
      </c>
      <c r="E1186" s="229" t="s">
        <v>662</v>
      </c>
      <c r="F1186" s="240">
        <v>300</v>
      </c>
      <c r="G1186" s="196">
        <v>1</v>
      </c>
      <c r="H1186" s="195">
        <v>300</v>
      </c>
      <c r="I1186" s="197">
        <v>41399</v>
      </c>
      <c r="J1186" s="197" t="str">
        <f t="shared" si="57"/>
        <v>ok</v>
      </c>
      <c r="K1186" s="419"/>
      <c r="L1186" s="419"/>
      <c r="M1186" s="419"/>
      <c r="N1186" s="419"/>
      <c r="O1186" s="419"/>
      <c r="P1186" s="419"/>
      <c r="Q1186" s="419"/>
      <c r="R1186" s="419"/>
      <c r="S1186" s="419"/>
      <c r="T1186" s="419"/>
      <c r="U1186" s="419"/>
      <c r="V1186" s="419"/>
      <c r="W1186" s="419">
        <f t="shared" si="55"/>
        <v>0</v>
      </c>
      <c r="X1186" s="412"/>
      <c r="Y1186" s="412"/>
      <c r="Z1186" s="412"/>
      <c r="AA1186" s="412"/>
      <c r="AB1186" s="412">
        <v>300</v>
      </c>
      <c r="AC1186" s="412"/>
      <c r="AD1186" s="412"/>
      <c r="AE1186" s="412"/>
      <c r="AF1186" s="412"/>
      <c r="AG1186" s="412"/>
      <c r="AH1186" s="412"/>
      <c r="AI1186" s="412"/>
      <c r="AJ1186" s="412">
        <f t="shared" si="56"/>
        <v>300</v>
      </c>
      <c r="AK1186" s="198"/>
      <c r="AL1186" s="250" t="s">
        <v>2067</v>
      </c>
    </row>
    <row r="1187" spans="1:38" ht="14.1" customHeight="1" x14ac:dyDescent="0.2">
      <c r="A1187" t="s">
        <v>884</v>
      </c>
      <c r="B1187" s="193">
        <v>4797</v>
      </c>
      <c r="C1187" s="194" t="s">
        <v>783</v>
      </c>
      <c r="D1187" s="229" t="s">
        <v>1572</v>
      </c>
      <c r="E1187" s="229" t="s">
        <v>1202</v>
      </c>
      <c r="F1187" s="240">
        <v>300</v>
      </c>
      <c r="G1187" s="196">
        <v>1</v>
      </c>
      <c r="H1187" s="195">
        <v>300</v>
      </c>
      <c r="I1187" s="197">
        <v>41399</v>
      </c>
      <c r="J1187" s="197" t="str">
        <f t="shared" si="57"/>
        <v>ok</v>
      </c>
      <c r="K1187" s="419"/>
      <c r="L1187" s="419"/>
      <c r="M1187" s="419"/>
      <c r="N1187" s="419"/>
      <c r="O1187" s="419"/>
      <c r="P1187" s="419"/>
      <c r="Q1187" s="419"/>
      <c r="R1187" s="419"/>
      <c r="S1187" s="419"/>
      <c r="T1187" s="419"/>
      <c r="U1187" s="419"/>
      <c r="V1187" s="419"/>
      <c r="W1187" s="419">
        <f t="shared" si="55"/>
        <v>0</v>
      </c>
      <c r="X1187" s="412"/>
      <c r="Y1187" s="412"/>
      <c r="Z1187" s="412"/>
      <c r="AA1187" s="412"/>
      <c r="AB1187" s="412">
        <v>300</v>
      </c>
      <c r="AC1187" s="412"/>
      <c r="AD1187" s="412"/>
      <c r="AE1187" s="412"/>
      <c r="AF1187" s="412"/>
      <c r="AG1187" s="412"/>
      <c r="AH1187" s="412"/>
      <c r="AI1187" s="412"/>
      <c r="AJ1187" s="412">
        <f t="shared" si="56"/>
        <v>300</v>
      </c>
      <c r="AK1187" s="198"/>
      <c r="AL1187" s="250" t="s">
        <v>2067</v>
      </c>
    </row>
    <row r="1188" spans="1:38" ht="14.1" customHeight="1" x14ac:dyDescent="0.2">
      <c r="A1188" t="s">
        <v>894</v>
      </c>
      <c r="B1188" s="193">
        <v>4798</v>
      </c>
      <c r="C1188" s="194" t="s">
        <v>784</v>
      </c>
      <c r="D1188" s="229" t="s">
        <v>1422</v>
      </c>
      <c r="E1188" s="229" t="s">
        <v>595</v>
      </c>
      <c r="F1188" s="240">
        <v>300</v>
      </c>
      <c r="G1188" s="196">
        <v>1</v>
      </c>
      <c r="H1188" s="195">
        <v>300</v>
      </c>
      <c r="I1188" s="197">
        <v>41399</v>
      </c>
      <c r="J1188" s="197" t="str">
        <f t="shared" si="57"/>
        <v>ok</v>
      </c>
      <c r="K1188" s="419"/>
      <c r="L1188" s="419"/>
      <c r="M1188" s="419"/>
      <c r="N1188" s="419"/>
      <c r="O1188" s="419"/>
      <c r="P1188" s="419"/>
      <c r="Q1188" s="419"/>
      <c r="R1188" s="419"/>
      <c r="S1188" s="419"/>
      <c r="T1188" s="419"/>
      <c r="U1188" s="419"/>
      <c r="V1188" s="419"/>
      <c r="W1188" s="419">
        <f t="shared" si="55"/>
        <v>0</v>
      </c>
      <c r="X1188" s="412"/>
      <c r="Y1188" s="412"/>
      <c r="Z1188" s="412"/>
      <c r="AA1188" s="412"/>
      <c r="AB1188" s="412">
        <v>300</v>
      </c>
      <c r="AC1188" s="412"/>
      <c r="AD1188" s="412"/>
      <c r="AE1188" s="412"/>
      <c r="AF1188" s="412"/>
      <c r="AG1188" s="412"/>
      <c r="AH1188" s="412"/>
      <c r="AI1188" s="412"/>
      <c r="AJ1188" s="412">
        <f t="shared" si="56"/>
        <v>300</v>
      </c>
      <c r="AK1188" s="198"/>
      <c r="AL1188" s="250" t="s">
        <v>2067</v>
      </c>
    </row>
    <row r="1189" spans="1:38" ht="14.1" customHeight="1" x14ac:dyDescent="0.2">
      <c r="A1189" t="s">
        <v>884</v>
      </c>
      <c r="B1189" s="193">
        <v>4799</v>
      </c>
      <c r="C1189" s="194" t="s">
        <v>785</v>
      </c>
      <c r="D1189" s="229" t="s">
        <v>1636</v>
      </c>
      <c r="E1189" s="229" t="s">
        <v>49</v>
      </c>
      <c r="F1189" s="240">
        <v>300</v>
      </c>
      <c r="G1189" s="196">
        <v>1</v>
      </c>
      <c r="H1189" s="195">
        <v>600</v>
      </c>
      <c r="I1189" s="197">
        <v>41399</v>
      </c>
      <c r="J1189" s="197" t="str">
        <f t="shared" si="57"/>
        <v>ok</v>
      </c>
      <c r="K1189" s="419"/>
      <c r="L1189" s="419"/>
      <c r="M1189" s="419"/>
      <c r="N1189" s="419"/>
      <c r="O1189" s="419"/>
      <c r="P1189" s="419"/>
      <c r="Q1189" s="419"/>
      <c r="R1189" s="419"/>
      <c r="S1189" s="419"/>
      <c r="T1189" s="419"/>
      <c r="U1189" s="419"/>
      <c r="V1189" s="419"/>
      <c r="W1189" s="419">
        <f t="shared" si="55"/>
        <v>0</v>
      </c>
      <c r="X1189" s="412"/>
      <c r="Y1189" s="412"/>
      <c r="Z1189" s="412"/>
      <c r="AA1189" s="412">
        <v>300</v>
      </c>
      <c r="AB1189" s="412">
        <v>300</v>
      </c>
      <c r="AC1189" s="412"/>
      <c r="AD1189" s="412"/>
      <c r="AE1189" s="412"/>
      <c r="AF1189" s="412"/>
      <c r="AG1189" s="412"/>
      <c r="AH1189" s="412"/>
      <c r="AI1189" s="412"/>
      <c r="AJ1189" s="412">
        <f t="shared" si="56"/>
        <v>600</v>
      </c>
      <c r="AK1189" s="198"/>
      <c r="AL1189" s="250" t="s">
        <v>2067</v>
      </c>
    </row>
    <row r="1190" spans="1:38" ht="14.1" customHeight="1" x14ac:dyDescent="0.2">
      <c r="A1190" t="s">
        <v>892</v>
      </c>
      <c r="B1190" s="193">
        <v>4800</v>
      </c>
      <c r="C1190" s="194" t="s">
        <v>776</v>
      </c>
      <c r="D1190" s="229" t="s">
        <v>1413</v>
      </c>
      <c r="E1190" s="229" t="s">
        <v>736</v>
      </c>
      <c r="F1190" s="240">
        <v>300</v>
      </c>
      <c r="G1190" s="196">
        <v>4</v>
      </c>
      <c r="H1190" s="195">
        <v>160</v>
      </c>
      <c r="I1190" s="197">
        <v>41399</v>
      </c>
      <c r="J1190" s="197" t="str">
        <f t="shared" si="57"/>
        <v>ok</v>
      </c>
      <c r="K1190" s="419"/>
      <c r="L1190" s="419"/>
      <c r="M1190" s="419"/>
      <c r="N1190" s="419"/>
      <c r="O1190" s="419"/>
      <c r="P1190" s="419"/>
      <c r="Q1190" s="419"/>
      <c r="R1190" s="419"/>
      <c r="S1190" s="419"/>
      <c r="T1190" s="419"/>
      <c r="U1190" s="419"/>
      <c r="V1190" s="419"/>
      <c r="W1190" s="419">
        <f t="shared" si="55"/>
        <v>0</v>
      </c>
      <c r="X1190" s="412"/>
      <c r="Y1190" s="412"/>
      <c r="Z1190" s="412"/>
      <c r="AA1190" s="412"/>
      <c r="AB1190" s="412"/>
      <c r="AC1190" s="412"/>
      <c r="AD1190" s="412"/>
      <c r="AE1190" s="412"/>
      <c r="AF1190" s="412"/>
      <c r="AG1190" s="412"/>
      <c r="AH1190" s="412"/>
      <c r="AI1190" s="412"/>
      <c r="AJ1190" s="412">
        <f t="shared" si="56"/>
        <v>0</v>
      </c>
      <c r="AK1190" s="198"/>
      <c r="AL1190" s="250" t="s">
        <v>2068</v>
      </c>
    </row>
    <row r="1191" spans="1:38" ht="14.1" customHeight="1" x14ac:dyDescent="0.2">
      <c r="A1191" t="s">
        <v>888</v>
      </c>
      <c r="B1191" s="193">
        <v>4801</v>
      </c>
      <c r="C1191" s="194" t="s">
        <v>786</v>
      </c>
      <c r="D1191" s="229" t="s">
        <v>1588</v>
      </c>
      <c r="E1191" s="229" t="s">
        <v>718</v>
      </c>
      <c r="F1191" s="240">
        <v>300</v>
      </c>
      <c r="G1191" s="196">
        <v>1</v>
      </c>
      <c r="H1191" s="195">
        <v>300</v>
      </c>
      <c r="I1191" s="197">
        <v>41399</v>
      </c>
      <c r="J1191" s="197" t="str">
        <f t="shared" si="57"/>
        <v>ok</v>
      </c>
      <c r="K1191" s="419"/>
      <c r="L1191" s="419"/>
      <c r="M1191" s="419"/>
      <c r="N1191" s="419"/>
      <c r="O1191" s="419"/>
      <c r="P1191" s="419"/>
      <c r="Q1191" s="419"/>
      <c r="R1191" s="419"/>
      <c r="S1191" s="419"/>
      <c r="T1191" s="419"/>
      <c r="U1191" s="419"/>
      <c r="V1191" s="419"/>
      <c r="W1191" s="419">
        <f t="shared" si="55"/>
        <v>0</v>
      </c>
      <c r="X1191" s="412"/>
      <c r="Y1191" s="412"/>
      <c r="Z1191" s="412"/>
      <c r="AA1191" s="412"/>
      <c r="AB1191" s="412">
        <v>300</v>
      </c>
      <c r="AC1191" s="412"/>
      <c r="AD1191" s="412"/>
      <c r="AE1191" s="412"/>
      <c r="AF1191" s="412"/>
      <c r="AG1191" s="412"/>
      <c r="AH1191" s="412"/>
      <c r="AI1191" s="412"/>
      <c r="AJ1191" s="412">
        <f t="shared" si="56"/>
        <v>300</v>
      </c>
      <c r="AK1191" s="198"/>
      <c r="AL1191" s="250" t="s">
        <v>2067</v>
      </c>
    </row>
    <row r="1192" spans="1:38" ht="14.1" customHeight="1" x14ac:dyDescent="0.2">
      <c r="A1192" t="s">
        <v>890</v>
      </c>
      <c r="B1192" s="193">
        <v>4802</v>
      </c>
      <c r="C1192" s="194" t="s">
        <v>787</v>
      </c>
      <c r="D1192" s="229" t="s">
        <v>1618</v>
      </c>
      <c r="E1192" s="229" t="s">
        <v>532</v>
      </c>
      <c r="F1192" s="240">
        <v>300</v>
      </c>
      <c r="G1192" s="196">
        <v>1</v>
      </c>
      <c r="H1192" s="195">
        <v>300</v>
      </c>
      <c r="I1192" s="197">
        <v>41399</v>
      </c>
      <c r="J1192" s="197" t="str">
        <f t="shared" si="57"/>
        <v>ok</v>
      </c>
      <c r="K1192" s="419"/>
      <c r="L1192" s="419"/>
      <c r="M1192" s="419"/>
      <c r="N1192" s="419"/>
      <c r="O1192" s="419"/>
      <c r="P1192" s="419"/>
      <c r="Q1192" s="419"/>
      <c r="R1192" s="419"/>
      <c r="S1192" s="419"/>
      <c r="T1192" s="419"/>
      <c r="U1192" s="419"/>
      <c r="V1192" s="419"/>
      <c r="W1192" s="419">
        <f t="shared" si="55"/>
        <v>0</v>
      </c>
      <c r="X1192" s="412"/>
      <c r="Y1192" s="412"/>
      <c r="Z1192" s="412"/>
      <c r="AA1192" s="412"/>
      <c r="AB1192" s="412">
        <v>300</v>
      </c>
      <c r="AC1192" s="412"/>
      <c r="AD1192" s="412"/>
      <c r="AE1192" s="412"/>
      <c r="AF1192" s="412"/>
      <c r="AG1192" s="412"/>
      <c r="AH1192" s="412"/>
      <c r="AI1192" s="412"/>
      <c r="AJ1192" s="412">
        <f t="shared" si="56"/>
        <v>300</v>
      </c>
      <c r="AK1192" s="198"/>
      <c r="AL1192" s="250" t="s">
        <v>2067</v>
      </c>
    </row>
    <row r="1193" spans="1:38" ht="14.1" customHeight="1" x14ac:dyDescent="0.2">
      <c r="A1193" t="s">
        <v>884</v>
      </c>
      <c r="B1193" s="193">
        <v>4803</v>
      </c>
      <c r="C1193" s="194" t="s">
        <v>788</v>
      </c>
      <c r="D1193" s="229" t="s">
        <v>1468</v>
      </c>
      <c r="E1193" s="229" t="s">
        <v>1269</v>
      </c>
      <c r="F1193" s="240">
        <v>300</v>
      </c>
      <c r="G1193" s="196">
        <v>1</v>
      </c>
      <c r="H1193" s="195">
        <v>300</v>
      </c>
      <c r="I1193" s="197">
        <v>41399</v>
      </c>
      <c r="J1193" s="197" t="str">
        <f t="shared" si="57"/>
        <v>ok</v>
      </c>
      <c r="K1193" s="419"/>
      <c r="L1193" s="419"/>
      <c r="M1193" s="419"/>
      <c r="N1193" s="419"/>
      <c r="O1193" s="419"/>
      <c r="P1193" s="419"/>
      <c r="Q1193" s="419"/>
      <c r="R1193" s="419"/>
      <c r="S1193" s="419"/>
      <c r="T1193" s="419"/>
      <c r="U1193" s="419"/>
      <c r="V1193" s="419"/>
      <c r="W1193" s="419">
        <f t="shared" si="55"/>
        <v>0</v>
      </c>
      <c r="X1193" s="412"/>
      <c r="Y1193" s="412"/>
      <c r="Z1193" s="412"/>
      <c r="AA1193" s="412"/>
      <c r="AB1193" s="412">
        <v>300</v>
      </c>
      <c r="AC1193" s="412"/>
      <c r="AD1193" s="412"/>
      <c r="AE1193" s="412"/>
      <c r="AF1193" s="412"/>
      <c r="AG1193" s="412"/>
      <c r="AH1193" s="412"/>
      <c r="AI1193" s="412"/>
      <c r="AJ1193" s="412">
        <f t="shared" si="56"/>
        <v>300</v>
      </c>
      <c r="AK1193" s="198"/>
      <c r="AL1193" s="250" t="s">
        <v>2067</v>
      </c>
    </row>
    <row r="1194" spans="1:38" ht="14.1" customHeight="1" x14ac:dyDescent="0.2">
      <c r="B1194" s="193">
        <v>4804</v>
      </c>
      <c r="C1194" s="194"/>
      <c r="D1194" s="229" t="s">
        <v>1362</v>
      </c>
      <c r="E1194" s="229" t="s">
        <v>1362</v>
      </c>
      <c r="F1194" s="240" t="s">
        <v>1362</v>
      </c>
      <c r="G1194" s="196">
        <v>8</v>
      </c>
      <c r="H1194" s="195"/>
      <c r="I1194" s="197">
        <v>41399</v>
      </c>
      <c r="J1194" s="197" t="str">
        <f t="shared" si="57"/>
        <v>ok</v>
      </c>
      <c r="K1194" s="419"/>
      <c r="L1194" s="419"/>
      <c r="M1194" s="419"/>
      <c r="N1194" s="419"/>
      <c r="O1194" s="419"/>
      <c r="P1194" s="419"/>
      <c r="Q1194" s="419"/>
      <c r="R1194" s="419"/>
      <c r="S1194" s="419"/>
      <c r="T1194" s="419"/>
      <c r="U1194" s="419"/>
      <c r="V1194" s="419"/>
      <c r="W1194" s="419">
        <f t="shared" si="55"/>
        <v>0</v>
      </c>
      <c r="X1194" s="412"/>
      <c r="Y1194" s="412"/>
      <c r="Z1194" s="412"/>
      <c r="AA1194" s="412"/>
      <c r="AB1194" s="412"/>
      <c r="AC1194" s="412"/>
      <c r="AD1194" s="412"/>
      <c r="AE1194" s="412"/>
      <c r="AF1194" s="412"/>
      <c r="AG1194" s="412"/>
      <c r="AH1194" s="412"/>
      <c r="AI1194" s="412"/>
      <c r="AJ1194" s="412">
        <f t="shared" si="56"/>
        <v>0</v>
      </c>
      <c r="AK1194" s="198" t="s">
        <v>755</v>
      </c>
      <c r="AL1194" s="250" t="s">
        <v>2067</v>
      </c>
    </row>
    <row r="1195" spans="1:38" ht="14.1" customHeight="1" x14ac:dyDescent="0.2">
      <c r="A1195" t="s">
        <v>884</v>
      </c>
      <c r="B1195" s="193">
        <v>4805</v>
      </c>
      <c r="C1195" s="194" t="s">
        <v>789</v>
      </c>
      <c r="D1195" s="229" t="s">
        <v>1485</v>
      </c>
      <c r="E1195" s="229" t="s">
        <v>104</v>
      </c>
      <c r="F1195" s="240">
        <v>300</v>
      </c>
      <c r="G1195" s="196">
        <v>1</v>
      </c>
      <c r="H1195" s="195">
        <v>300</v>
      </c>
      <c r="I1195" s="197">
        <v>41399</v>
      </c>
      <c r="J1195" s="197" t="str">
        <f t="shared" si="57"/>
        <v>ok</v>
      </c>
      <c r="K1195" s="419"/>
      <c r="L1195" s="419"/>
      <c r="M1195" s="419"/>
      <c r="N1195" s="419"/>
      <c r="O1195" s="419"/>
      <c r="P1195" s="419"/>
      <c r="Q1195" s="419"/>
      <c r="R1195" s="419"/>
      <c r="S1195" s="419"/>
      <c r="T1195" s="419"/>
      <c r="U1195" s="419"/>
      <c r="V1195" s="419"/>
      <c r="W1195" s="419">
        <f t="shared" si="55"/>
        <v>0</v>
      </c>
      <c r="X1195" s="412"/>
      <c r="Y1195" s="412"/>
      <c r="Z1195" s="412"/>
      <c r="AA1195" s="412"/>
      <c r="AB1195" s="412">
        <v>300</v>
      </c>
      <c r="AC1195" s="412"/>
      <c r="AD1195" s="412"/>
      <c r="AE1195" s="412"/>
      <c r="AF1195" s="412"/>
      <c r="AG1195" s="412"/>
      <c r="AH1195" s="412"/>
      <c r="AI1195" s="412"/>
      <c r="AJ1195" s="412">
        <f t="shared" si="56"/>
        <v>300</v>
      </c>
      <c r="AK1195" s="198"/>
      <c r="AL1195" s="250" t="s">
        <v>2067</v>
      </c>
    </row>
    <row r="1196" spans="1:38" ht="14.1" customHeight="1" x14ac:dyDescent="0.2">
      <c r="A1196" t="s">
        <v>888</v>
      </c>
      <c r="B1196" s="193">
        <v>4806</v>
      </c>
      <c r="C1196" s="194" t="s">
        <v>790</v>
      </c>
      <c r="D1196" s="229" t="s">
        <v>1522</v>
      </c>
      <c r="E1196" s="229" t="s">
        <v>384</v>
      </c>
      <c r="F1196" s="240">
        <v>300</v>
      </c>
      <c r="G1196" s="205">
        <v>1</v>
      </c>
      <c r="H1196" s="206">
        <v>300</v>
      </c>
      <c r="I1196" s="207">
        <v>41399</v>
      </c>
      <c r="J1196" s="197" t="str">
        <f t="shared" si="57"/>
        <v>ok</v>
      </c>
      <c r="K1196" s="419"/>
      <c r="L1196" s="419"/>
      <c r="M1196" s="419"/>
      <c r="N1196" s="419"/>
      <c r="O1196" s="419"/>
      <c r="P1196" s="419"/>
      <c r="Q1196" s="419"/>
      <c r="R1196" s="419"/>
      <c r="S1196" s="419"/>
      <c r="T1196" s="419"/>
      <c r="U1196" s="419"/>
      <c r="V1196" s="419"/>
      <c r="W1196" s="419">
        <f t="shared" si="55"/>
        <v>0</v>
      </c>
      <c r="X1196" s="412"/>
      <c r="Y1196" s="412"/>
      <c r="Z1196" s="412"/>
      <c r="AA1196" s="412"/>
      <c r="AB1196" s="412">
        <v>300</v>
      </c>
      <c r="AC1196" s="412"/>
      <c r="AD1196" s="412"/>
      <c r="AE1196" s="412"/>
      <c r="AF1196" s="412"/>
      <c r="AG1196" s="412"/>
      <c r="AH1196" s="412"/>
      <c r="AI1196" s="412"/>
      <c r="AJ1196" s="412">
        <f t="shared" si="56"/>
        <v>300</v>
      </c>
      <c r="AK1196" s="208"/>
      <c r="AL1196" s="250" t="s">
        <v>2067</v>
      </c>
    </row>
    <row r="1197" spans="1:38" ht="14.1" customHeight="1" x14ac:dyDescent="0.2">
      <c r="A1197" t="s">
        <v>888</v>
      </c>
      <c r="B1197" s="209">
        <v>4807</v>
      </c>
      <c r="C1197" s="210" t="s">
        <v>790</v>
      </c>
      <c r="D1197" s="229" t="s">
        <v>1522</v>
      </c>
      <c r="E1197" s="229" t="s">
        <v>384</v>
      </c>
      <c r="F1197" s="240">
        <v>300</v>
      </c>
      <c r="G1197" s="205">
        <v>1</v>
      </c>
      <c r="H1197" s="206">
        <v>300</v>
      </c>
      <c r="I1197" s="207">
        <v>41399</v>
      </c>
      <c r="J1197" s="197" t="str">
        <f t="shared" si="57"/>
        <v>ok</v>
      </c>
      <c r="K1197" s="419"/>
      <c r="L1197" s="419"/>
      <c r="M1197" s="419"/>
      <c r="N1197" s="419"/>
      <c r="O1197" s="419"/>
      <c r="P1197" s="419"/>
      <c r="Q1197" s="419"/>
      <c r="R1197" s="419"/>
      <c r="S1197" s="419"/>
      <c r="T1197" s="419"/>
      <c r="U1197" s="419"/>
      <c r="V1197" s="419"/>
      <c r="W1197" s="419">
        <f t="shared" si="55"/>
        <v>0</v>
      </c>
      <c r="X1197" s="412"/>
      <c r="Y1197" s="412"/>
      <c r="Z1197" s="412"/>
      <c r="AA1197" s="412"/>
      <c r="AB1197" s="412"/>
      <c r="AC1197" s="412">
        <v>300</v>
      </c>
      <c r="AD1197" s="412"/>
      <c r="AE1197" s="412"/>
      <c r="AF1197" s="412"/>
      <c r="AG1197" s="412"/>
      <c r="AH1197" s="412"/>
      <c r="AI1197" s="412"/>
      <c r="AJ1197" s="412">
        <f t="shared" si="56"/>
        <v>300</v>
      </c>
      <c r="AK1197" s="208"/>
      <c r="AL1197" s="250" t="s">
        <v>2067</v>
      </c>
    </row>
    <row r="1198" spans="1:38" ht="14.1" customHeight="1" x14ac:dyDescent="0.2">
      <c r="A1198" t="s">
        <v>893</v>
      </c>
      <c r="B1198" s="209">
        <v>4808</v>
      </c>
      <c r="C1198" s="210" t="s">
        <v>1076</v>
      </c>
      <c r="D1198" s="229" t="s">
        <v>1395</v>
      </c>
      <c r="E1198" s="229" t="s">
        <v>193</v>
      </c>
      <c r="F1198" s="240">
        <v>300</v>
      </c>
      <c r="G1198" s="205">
        <v>1</v>
      </c>
      <c r="H1198" s="206">
        <v>300</v>
      </c>
      <c r="I1198" s="207">
        <v>41399</v>
      </c>
      <c r="J1198" s="197" t="str">
        <f t="shared" si="57"/>
        <v>ok</v>
      </c>
      <c r="K1198" s="419"/>
      <c r="L1198" s="419"/>
      <c r="M1198" s="419"/>
      <c r="N1198" s="419"/>
      <c r="O1198" s="419"/>
      <c r="P1198" s="419"/>
      <c r="Q1198" s="419"/>
      <c r="R1198" s="419"/>
      <c r="S1198" s="419"/>
      <c r="T1198" s="419"/>
      <c r="U1198" s="419"/>
      <c r="V1198" s="419"/>
      <c r="W1198" s="419">
        <f t="shared" si="55"/>
        <v>0</v>
      </c>
      <c r="X1198" s="412"/>
      <c r="Y1198" s="412"/>
      <c r="Z1198" s="412"/>
      <c r="AA1198" s="412"/>
      <c r="AB1198" s="412">
        <v>300</v>
      </c>
      <c r="AC1198" s="412"/>
      <c r="AD1198" s="412"/>
      <c r="AE1198" s="412"/>
      <c r="AF1198" s="412"/>
      <c r="AG1198" s="412"/>
      <c r="AH1198" s="412"/>
      <c r="AI1198" s="412"/>
      <c r="AJ1198" s="412">
        <f t="shared" si="56"/>
        <v>300</v>
      </c>
      <c r="AK1198" s="208"/>
      <c r="AL1198" s="250" t="s">
        <v>2067</v>
      </c>
    </row>
    <row r="1199" spans="1:38" ht="14.1" customHeight="1" x14ac:dyDescent="0.2">
      <c r="A1199" t="s">
        <v>884</v>
      </c>
      <c r="B1199" s="209">
        <v>4809</v>
      </c>
      <c r="C1199" s="210" t="s">
        <v>855</v>
      </c>
      <c r="D1199" s="229" t="s">
        <v>1360</v>
      </c>
      <c r="E1199" s="229" t="s">
        <v>1235</v>
      </c>
      <c r="F1199" s="240">
        <v>300</v>
      </c>
      <c r="G1199" s="205">
        <v>1</v>
      </c>
      <c r="H1199" s="206">
        <v>3600</v>
      </c>
      <c r="I1199" s="207">
        <v>41399</v>
      </c>
      <c r="J1199" s="197" t="str">
        <f t="shared" si="57"/>
        <v>ok</v>
      </c>
      <c r="K1199" s="419"/>
      <c r="L1199" s="419"/>
      <c r="M1199" s="419"/>
      <c r="N1199" s="419"/>
      <c r="O1199" s="419"/>
      <c r="P1199" s="419"/>
      <c r="Q1199" s="419"/>
      <c r="R1199" s="419"/>
      <c r="S1199" s="419"/>
      <c r="T1199" s="419"/>
      <c r="U1199" s="419"/>
      <c r="V1199" s="419"/>
      <c r="W1199" s="419">
        <f t="shared" si="55"/>
        <v>0</v>
      </c>
      <c r="X1199" s="412">
        <v>300</v>
      </c>
      <c r="Y1199" s="412">
        <v>300</v>
      </c>
      <c r="Z1199" s="412">
        <v>300</v>
      </c>
      <c r="AA1199" s="412">
        <v>300</v>
      </c>
      <c r="AB1199" s="412">
        <v>300</v>
      </c>
      <c r="AC1199" s="412">
        <v>300</v>
      </c>
      <c r="AD1199" s="412">
        <v>300</v>
      </c>
      <c r="AE1199" s="412">
        <v>300</v>
      </c>
      <c r="AF1199" s="412">
        <v>300</v>
      </c>
      <c r="AG1199" s="412">
        <v>300</v>
      </c>
      <c r="AH1199" s="412">
        <v>300</v>
      </c>
      <c r="AI1199" s="412">
        <v>300</v>
      </c>
      <c r="AJ1199" s="412">
        <f t="shared" si="56"/>
        <v>3600</v>
      </c>
      <c r="AK1199" s="208"/>
      <c r="AL1199" s="250" t="s">
        <v>2067</v>
      </c>
    </row>
    <row r="1200" spans="1:38" ht="14.1" customHeight="1" x14ac:dyDescent="0.2">
      <c r="A1200" t="s">
        <v>884</v>
      </c>
      <c r="B1200" s="209">
        <v>4809</v>
      </c>
      <c r="C1200" s="210" t="s">
        <v>855</v>
      </c>
      <c r="D1200" s="229" t="s">
        <v>1360</v>
      </c>
      <c r="E1200" s="229" t="s">
        <v>1235</v>
      </c>
      <c r="F1200" s="240">
        <v>300</v>
      </c>
      <c r="G1200" s="205">
        <v>3</v>
      </c>
      <c r="H1200" s="206">
        <v>450</v>
      </c>
      <c r="I1200" s="207">
        <v>41399</v>
      </c>
      <c r="J1200" s="197" t="str">
        <f t="shared" si="57"/>
        <v>ok</v>
      </c>
      <c r="K1200" s="419"/>
      <c r="L1200" s="419"/>
      <c r="M1200" s="419"/>
      <c r="N1200" s="419"/>
      <c r="O1200" s="419"/>
      <c r="P1200" s="419"/>
      <c r="Q1200" s="419"/>
      <c r="R1200" s="419"/>
      <c r="S1200" s="419"/>
      <c r="T1200" s="419"/>
      <c r="U1200" s="419"/>
      <c r="V1200" s="419"/>
      <c r="W1200" s="419">
        <f t="shared" si="55"/>
        <v>0</v>
      </c>
      <c r="X1200" s="412"/>
      <c r="Y1200" s="412"/>
      <c r="Z1200" s="412"/>
      <c r="AA1200" s="412"/>
      <c r="AB1200" s="412"/>
      <c r="AC1200" s="412"/>
      <c r="AD1200" s="412"/>
      <c r="AE1200" s="412"/>
      <c r="AF1200" s="412"/>
      <c r="AG1200" s="412"/>
      <c r="AH1200" s="412"/>
      <c r="AI1200" s="412"/>
      <c r="AJ1200" s="412">
        <f t="shared" si="56"/>
        <v>0</v>
      </c>
      <c r="AK1200" s="208"/>
      <c r="AL1200" s="250" t="s">
        <v>2068</v>
      </c>
    </row>
    <row r="1201" spans="1:38" ht="14.1" customHeight="1" x14ac:dyDescent="0.2">
      <c r="A1201" t="s">
        <v>884</v>
      </c>
      <c r="B1201" s="209">
        <v>4809</v>
      </c>
      <c r="C1201" s="210" t="s">
        <v>855</v>
      </c>
      <c r="D1201" s="229" t="s">
        <v>1360</v>
      </c>
      <c r="E1201" s="229" t="s">
        <v>1235</v>
      </c>
      <c r="F1201" s="240">
        <v>300</v>
      </c>
      <c r="G1201" s="205">
        <v>4</v>
      </c>
      <c r="H1201" s="206">
        <v>320</v>
      </c>
      <c r="I1201" s="207">
        <v>41399</v>
      </c>
      <c r="J1201" s="197" t="str">
        <f t="shared" si="57"/>
        <v>ok</v>
      </c>
      <c r="K1201" s="419"/>
      <c r="L1201" s="419"/>
      <c r="M1201" s="419"/>
      <c r="N1201" s="419"/>
      <c r="O1201" s="419"/>
      <c r="P1201" s="419"/>
      <c r="Q1201" s="419"/>
      <c r="R1201" s="419"/>
      <c r="S1201" s="419"/>
      <c r="T1201" s="419"/>
      <c r="U1201" s="419"/>
      <c r="V1201" s="419"/>
      <c r="W1201" s="419">
        <f t="shared" si="55"/>
        <v>0</v>
      </c>
      <c r="X1201" s="412"/>
      <c r="Y1201" s="412"/>
      <c r="Z1201" s="412"/>
      <c r="AA1201" s="412"/>
      <c r="AB1201" s="412"/>
      <c r="AC1201" s="412"/>
      <c r="AD1201" s="412"/>
      <c r="AE1201" s="412"/>
      <c r="AF1201" s="412"/>
      <c r="AG1201" s="412"/>
      <c r="AH1201" s="412"/>
      <c r="AI1201" s="412"/>
      <c r="AJ1201" s="412">
        <f t="shared" si="56"/>
        <v>0</v>
      </c>
      <c r="AK1201" s="208"/>
      <c r="AL1201" s="250" t="s">
        <v>2068</v>
      </c>
    </row>
    <row r="1202" spans="1:38" ht="14.1" customHeight="1" x14ac:dyDescent="0.2">
      <c r="A1202" t="s">
        <v>890</v>
      </c>
      <c r="B1202" s="209">
        <v>4810</v>
      </c>
      <c r="C1202" s="210" t="s">
        <v>1008</v>
      </c>
      <c r="D1202" s="229" t="s">
        <v>1587</v>
      </c>
      <c r="E1202" s="229" t="s">
        <v>501</v>
      </c>
      <c r="F1202" s="240">
        <v>250</v>
      </c>
      <c r="G1202" s="205">
        <v>1</v>
      </c>
      <c r="H1202" s="206">
        <v>250</v>
      </c>
      <c r="I1202" s="207">
        <v>41399</v>
      </c>
      <c r="J1202" s="197" t="str">
        <f t="shared" si="57"/>
        <v>ok</v>
      </c>
      <c r="K1202" s="419"/>
      <c r="L1202" s="419"/>
      <c r="M1202" s="419"/>
      <c r="N1202" s="419"/>
      <c r="O1202" s="419"/>
      <c r="P1202" s="419"/>
      <c r="Q1202" s="419"/>
      <c r="R1202" s="419"/>
      <c r="S1202" s="419"/>
      <c r="T1202" s="419"/>
      <c r="U1202" s="419"/>
      <c r="V1202" s="419"/>
      <c r="W1202" s="419">
        <f t="shared" si="55"/>
        <v>0</v>
      </c>
      <c r="X1202" s="412"/>
      <c r="Y1202" s="412"/>
      <c r="Z1202" s="412"/>
      <c r="AA1202" s="412">
        <v>250</v>
      </c>
      <c r="AB1202" s="412"/>
      <c r="AC1202" s="412"/>
      <c r="AD1202" s="412"/>
      <c r="AE1202" s="412"/>
      <c r="AF1202" s="412"/>
      <c r="AG1202" s="412"/>
      <c r="AH1202" s="412"/>
      <c r="AI1202" s="412"/>
      <c r="AJ1202" s="412">
        <f t="shared" si="56"/>
        <v>250</v>
      </c>
      <c r="AK1202" s="208"/>
      <c r="AL1202" s="250" t="s">
        <v>2067</v>
      </c>
    </row>
    <row r="1203" spans="1:38" ht="14.1" customHeight="1" x14ac:dyDescent="0.2">
      <c r="A1203" t="s">
        <v>893</v>
      </c>
      <c r="B1203" s="209">
        <v>4811</v>
      </c>
      <c r="C1203" s="210" t="s">
        <v>1136</v>
      </c>
      <c r="D1203" s="229" t="s">
        <v>1502</v>
      </c>
      <c r="E1203" s="229" t="s">
        <v>308</v>
      </c>
      <c r="F1203" s="240">
        <v>300</v>
      </c>
      <c r="G1203" s="205">
        <v>1</v>
      </c>
      <c r="H1203" s="206">
        <v>300</v>
      </c>
      <c r="I1203" s="207">
        <v>41399</v>
      </c>
      <c r="J1203" s="197" t="str">
        <f t="shared" si="57"/>
        <v>ok</v>
      </c>
      <c r="K1203" s="419"/>
      <c r="L1203" s="419"/>
      <c r="M1203" s="419"/>
      <c r="N1203" s="419"/>
      <c r="O1203" s="419"/>
      <c r="P1203" s="419"/>
      <c r="Q1203" s="419"/>
      <c r="R1203" s="419"/>
      <c r="S1203" s="419"/>
      <c r="T1203" s="419"/>
      <c r="U1203" s="419"/>
      <c r="V1203" s="419"/>
      <c r="W1203" s="419">
        <f t="shared" si="55"/>
        <v>0</v>
      </c>
      <c r="X1203" s="412"/>
      <c r="Y1203" s="412"/>
      <c r="Z1203" s="412"/>
      <c r="AA1203" s="412"/>
      <c r="AB1203" s="412">
        <v>300</v>
      </c>
      <c r="AC1203" s="412"/>
      <c r="AD1203" s="412"/>
      <c r="AE1203" s="412"/>
      <c r="AF1203" s="412"/>
      <c r="AG1203" s="412"/>
      <c r="AH1203" s="412"/>
      <c r="AI1203" s="412"/>
      <c r="AJ1203" s="412">
        <f t="shared" si="56"/>
        <v>300</v>
      </c>
      <c r="AK1203" s="208"/>
      <c r="AL1203" s="250" t="s">
        <v>2067</v>
      </c>
    </row>
    <row r="1204" spans="1:38" ht="14.1" customHeight="1" x14ac:dyDescent="0.2">
      <c r="A1204" t="s">
        <v>884</v>
      </c>
      <c r="B1204" s="209">
        <v>4812</v>
      </c>
      <c r="C1204" s="210" t="s">
        <v>851</v>
      </c>
      <c r="D1204" s="229" t="s">
        <v>1465</v>
      </c>
      <c r="E1204" s="229" t="s">
        <v>91</v>
      </c>
      <c r="F1204" s="240">
        <v>300</v>
      </c>
      <c r="G1204" s="205">
        <v>1</v>
      </c>
      <c r="H1204" s="206">
        <v>300</v>
      </c>
      <c r="I1204" s="207">
        <v>41399</v>
      </c>
      <c r="J1204" s="197" t="str">
        <f t="shared" si="57"/>
        <v>ok</v>
      </c>
      <c r="K1204" s="419"/>
      <c r="L1204" s="419"/>
      <c r="M1204" s="419"/>
      <c r="N1204" s="419"/>
      <c r="O1204" s="419"/>
      <c r="P1204" s="419"/>
      <c r="Q1204" s="419"/>
      <c r="R1204" s="419"/>
      <c r="S1204" s="419"/>
      <c r="T1204" s="419"/>
      <c r="U1204" s="419"/>
      <c r="V1204" s="419"/>
      <c r="W1204" s="419">
        <f t="shared" si="55"/>
        <v>0</v>
      </c>
      <c r="X1204" s="412"/>
      <c r="Y1204" s="412"/>
      <c r="Z1204" s="412"/>
      <c r="AA1204" s="412"/>
      <c r="AB1204" s="412">
        <v>300</v>
      </c>
      <c r="AC1204" s="412"/>
      <c r="AD1204" s="412"/>
      <c r="AE1204" s="412"/>
      <c r="AF1204" s="412"/>
      <c r="AG1204" s="412"/>
      <c r="AH1204" s="412"/>
      <c r="AI1204" s="412"/>
      <c r="AJ1204" s="412">
        <f t="shared" si="56"/>
        <v>300</v>
      </c>
      <c r="AK1204" s="208"/>
      <c r="AL1204" s="250" t="s">
        <v>2067</v>
      </c>
    </row>
    <row r="1205" spans="1:38" ht="14.1" customHeight="1" x14ac:dyDescent="0.2">
      <c r="A1205" t="s">
        <v>888</v>
      </c>
      <c r="B1205" s="209">
        <v>4813</v>
      </c>
      <c r="C1205" s="210" t="s">
        <v>915</v>
      </c>
      <c r="D1205" s="229" t="s">
        <v>1592</v>
      </c>
      <c r="E1205" s="229" t="s">
        <v>717</v>
      </c>
      <c r="F1205" s="240">
        <v>200</v>
      </c>
      <c r="G1205" s="205">
        <v>1</v>
      </c>
      <c r="H1205" s="206">
        <v>200</v>
      </c>
      <c r="I1205" s="207">
        <v>41399</v>
      </c>
      <c r="J1205" s="197" t="str">
        <f t="shared" si="57"/>
        <v>ok</v>
      </c>
      <c r="K1205" s="419"/>
      <c r="L1205" s="419"/>
      <c r="M1205" s="419"/>
      <c r="N1205" s="419"/>
      <c r="O1205" s="419"/>
      <c r="P1205" s="419"/>
      <c r="Q1205" s="419"/>
      <c r="R1205" s="419"/>
      <c r="S1205" s="419"/>
      <c r="T1205" s="419"/>
      <c r="U1205" s="419"/>
      <c r="V1205" s="419"/>
      <c r="W1205" s="419">
        <f t="shared" si="55"/>
        <v>0</v>
      </c>
      <c r="X1205" s="412"/>
      <c r="Y1205" s="412"/>
      <c r="Z1205" s="412"/>
      <c r="AA1205" s="412"/>
      <c r="AB1205" s="412">
        <v>200</v>
      </c>
      <c r="AC1205" s="412"/>
      <c r="AD1205" s="412"/>
      <c r="AE1205" s="412"/>
      <c r="AF1205" s="412"/>
      <c r="AG1205" s="412"/>
      <c r="AH1205" s="412"/>
      <c r="AI1205" s="412"/>
      <c r="AJ1205" s="412">
        <f t="shared" si="56"/>
        <v>200</v>
      </c>
      <c r="AK1205" s="208"/>
      <c r="AL1205" s="250" t="s">
        <v>2067</v>
      </c>
    </row>
    <row r="1206" spans="1:38" ht="14.1" customHeight="1" x14ac:dyDescent="0.2">
      <c r="A1206" t="s">
        <v>890</v>
      </c>
      <c r="B1206" s="209">
        <v>4814</v>
      </c>
      <c r="C1206" s="210" t="s">
        <v>1006</v>
      </c>
      <c r="D1206" s="229" t="s">
        <v>1370</v>
      </c>
      <c r="E1206" s="229" t="s">
        <v>1217</v>
      </c>
      <c r="F1206" s="240">
        <v>300</v>
      </c>
      <c r="G1206" s="205">
        <v>1</v>
      </c>
      <c r="H1206" s="206">
        <v>300</v>
      </c>
      <c r="I1206" s="207">
        <v>41399</v>
      </c>
      <c r="J1206" s="197" t="str">
        <f t="shared" si="57"/>
        <v>ok</v>
      </c>
      <c r="K1206" s="419"/>
      <c r="L1206" s="419"/>
      <c r="M1206" s="419"/>
      <c r="N1206" s="419"/>
      <c r="O1206" s="419"/>
      <c r="P1206" s="419"/>
      <c r="Q1206" s="419"/>
      <c r="R1206" s="419"/>
      <c r="S1206" s="419"/>
      <c r="T1206" s="419"/>
      <c r="U1206" s="419"/>
      <c r="V1206" s="419"/>
      <c r="W1206" s="419">
        <f t="shared" si="55"/>
        <v>0</v>
      </c>
      <c r="X1206" s="412"/>
      <c r="Y1206" s="412"/>
      <c r="Z1206" s="412"/>
      <c r="AA1206" s="412"/>
      <c r="AB1206" s="412">
        <v>300</v>
      </c>
      <c r="AC1206" s="412"/>
      <c r="AD1206" s="412"/>
      <c r="AE1206" s="412"/>
      <c r="AF1206" s="412"/>
      <c r="AG1206" s="412"/>
      <c r="AH1206" s="412"/>
      <c r="AI1206" s="412"/>
      <c r="AJ1206" s="412">
        <f t="shared" si="56"/>
        <v>300</v>
      </c>
      <c r="AK1206" s="208"/>
      <c r="AL1206" s="250" t="s">
        <v>2067</v>
      </c>
    </row>
    <row r="1207" spans="1:38" ht="14.1" customHeight="1" x14ac:dyDescent="0.2">
      <c r="A1207" t="s">
        <v>893</v>
      </c>
      <c r="B1207" s="209">
        <v>4815</v>
      </c>
      <c r="C1207" s="210" t="s">
        <v>1124</v>
      </c>
      <c r="D1207" s="229" t="s">
        <v>1364</v>
      </c>
      <c r="E1207" s="229" t="s">
        <v>1630</v>
      </c>
      <c r="F1207" s="240">
        <v>300</v>
      </c>
      <c r="G1207" s="205">
        <v>1</v>
      </c>
      <c r="H1207" s="206">
        <v>300</v>
      </c>
      <c r="I1207" s="207">
        <v>41399</v>
      </c>
      <c r="J1207" s="197" t="str">
        <f t="shared" si="57"/>
        <v>ok</v>
      </c>
      <c r="K1207" s="419"/>
      <c r="L1207" s="419"/>
      <c r="M1207" s="419"/>
      <c r="N1207" s="419"/>
      <c r="O1207" s="419"/>
      <c r="P1207" s="419"/>
      <c r="Q1207" s="419"/>
      <c r="R1207" s="419"/>
      <c r="S1207" s="419"/>
      <c r="T1207" s="419"/>
      <c r="U1207" s="419"/>
      <c r="V1207" s="419"/>
      <c r="W1207" s="419">
        <f t="shared" si="55"/>
        <v>0</v>
      </c>
      <c r="X1207" s="412"/>
      <c r="Y1207" s="412"/>
      <c r="Z1207" s="412"/>
      <c r="AA1207" s="412"/>
      <c r="AB1207" s="412">
        <v>300</v>
      </c>
      <c r="AC1207" s="412"/>
      <c r="AD1207" s="412"/>
      <c r="AE1207" s="412"/>
      <c r="AF1207" s="412"/>
      <c r="AG1207" s="412"/>
      <c r="AH1207" s="412"/>
      <c r="AI1207" s="412"/>
      <c r="AJ1207" s="412">
        <f t="shared" si="56"/>
        <v>300</v>
      </c>
      <c r="AK1207" s="208"/>
      <c r="AL1207" s="250" t="s">
        <v>2067</v>
      </c>
    </row>
    <row r="1208" spans="1:38" ht="14.1" customHeight="1" x14ac:dyDescent="0.2">
      <c r="A1208" t="s">
        <v>890</v>
      </c>
      <c r="B1208" s="209">
        <v>4816</v>
      </c>
      <c r="C1208" s="210" t="s">
        <v>1023</v>
      </c>
      <c r="D1208" s="229" t="s">
        <v>1541</v>
      </c>
      <c r="E1208" s="229" t="s">
        <v>522</v>
      </c>
      <c r="F1208" s="240">
        <v>300</v>
      </c>
      <c r="G1208" s="205">
        <v>1</v>
      </c>
      <c r="H1208" s="206">
        <v>300</v>
      </c>
      <c r="I1208" s="207">
        <v>41399</v>
      </c>
      <c r="J1208" s="197" t="str">
        <f t="shared" si="57"/>
        <v>ok</v>
      </c>
      <c r="K1208" s="419"/>
      <c r="L1208" s="419"/>
      <c r="M1208" s="419"/>
      <c r="N1208" s="419"/>
      <c r="O1208" s="419"/>
      <c r="P1208" s="419"/>
      <c r="Q1208" s="419"/>
      <c r="R1208" s="419"/>
      <c r="S1208" s="419"/>
      <c r="T1208" s="419"/>
      <c r="U1208" s="419"/>
      <c r="V1208" s="419"/>
      <c r="W1208" s="419">
        <f t="shared" si="55"/>
        <v>0</v>
      </c>
      <c r="X1208" s="412"/>
      <c r="Y1208" s="412"/>
      <c r="Z1208" s="412"/>
      <c r="AA1208" s="412"/>
      <c r="AB1208" s="412">
        <v>300</v>
      </c>
      <c r="AC1208" s="412"/>
      <c r="AD1208" s="412"/>
      <c r="AE1208" s="412"/>
      <c r="AF1208" s="412"/>
      <c r="AG1208" s="412"/>
      <c r="AH1208" s="412"/>
      <c r="AI1208" s="412"/>
      <c r="AJ1208" s="412">
        <f t="shared" si="56"/>
        <v>300</v>
      </c>
      <c r="AK1208" s="208"/>
      <c r="AL1208" s="250" t="s">
        <v>2067</v>
      </c>
    </row>
    <row r="1209" spans="1:38" ht="14.1" customHeight="1" x14ac:dyDescent="0.2">
      <c r="A1209" t="s">
        <v>884</v>
      </c>
      <c r="B1209" s="209">
        <v>4817</v>
      </c>
      <c r="C1209" s="210" t="s">
        <v>864</v>
      </c>
      <c r="D1209" s="229" t="s">
        <v>1472</v>
      </c>
      <c r="E1209" s="229" t="s">
        <v>113</v>
      </c>
      <c r="F1209" s="240">
        <v>300</v>
      </c>
      <c r="G1209" s="205">
        <v>1</v>
      </c>
      <c r="H1209" s="206">
        <v>900</v>
      </c>
      <c r="I1209" s="207">
        <v>41399</v>
      </c>
      <c r="J1209" s="197" t="str">
        <f t="shared" si="57"/>
        <v>ok</v>
      </c>
      <c r="K1209" s="419"/>
      <c r="L1209" s="419"/>
      <c r="M1209" s="419"/>
      <c r="N1209" s="419"/>
      <c r="O1209" s="419"/>
      <c r="P1209" s="419"/>
      <c r="Q1209" s="419"/>
      <c r="R1209" s="419"/>
      <c r="S1209" s="419"/>
      <c r="T1209" s="419"/>
      <c r="U1209" s="419"/>
      <c r="V1209" s="419"/>
      <c r="W1209" s="419">
        <f t="shared" si="55"/>
        <v>0</v>
      </c>
      <c r="X1209" s="412"/>
      <c r="Y1209" s="412"/>
      <c r="Z1209" s="412"/>
      <c r="AA1209" s="412"/>
      <c r="AB1209" s="412">
        <v>300</v>
      </c>
      <c r="AC1209" s="412">
        <v>300</v>
      </c>
      <c r="AD1209" s="412">
        <v>300</v>
      </c>
      <c r="AE1209" s="412"/>
      <c r="AF1209" s="412"/>
      <c r="AG1209" s="412"/>
      <c r="AH1209" s="412"/>
      <c r="AI1209" s="412"/>
      <c r="AJ1209" s="412">
        <f t="shared" si="56"/>
        <v>900</v>
      </c>
      <c r="AK1209" s="208"/>
      <c r="AL1209" s="250" t="s">
        <v>2067</v>
      </c>
    </row>
    <row r="1210" spans="1:38" ht="14.1" customHeight="1" x14ac:dyDescent="0.2">
      <c r="A1210" t="s">
        <v>884</v>
      </c>
      <c r="B1210" s="209">
        <v>4817</v>
      </c>
      <c r="C1210" s="210" t="s">
        <v>864</v>
      </c>
      <c r="D1210" s="229" t="s">
        <v>1472</v>
      </c>
      <c r="E1210" s="229" t="s">
        <v>113</v>
      </c>
      <c r="F1210" s="240">
        <v>300</v>
      </c>
      <c r="G1210" s="205">
        <v>4</v>
      </c>
      <c r="H1210" s="206">
        <v>160</v>
      </c>
      <c r="I1210" s="207">
        <v>41399</v>
      </c>
      <c r="J1210" s="197" t="str">
        <f t="shared" si="57"/>
        <v>ok</v>
      </c>
      <c r="K1210" s="419"/>
      <c r="L1210" s="419"/>
      <c r="M1210" s="419"/>
      <c r="N1210" s="419"/>
      <c r="O1210" s="419"/>
      <c r="P1210" s="419"/>
      <c r="Q1210" s="419"/>
      <c r="R1210" s="419"/>
      <c r="S1210" s="419"/>
      <c r="T1210" s="419"/>
      <c r="U1210" s="419"/>
      <c r="V1210" s="419"/>
      <c r="W1210" s="419">
        <f t="shared" si="55"/>
        <v>0</v>
      </c>
      <c r="X1210" s="412"/>
      <c r="Y1210" s="412"/>
      <c r="Z1210" s="412"/>
      <c r="AA1210" s="412"/>
      <c r="AB1210" s="412"/>
      <c r="AC1210" s="412"/>
      <c r="AD1210" s="412"/>
      <c r="AE1210" s="412"/>
      <c r="AF1210" s="412"/>
      <c r="AG1210" s="412"/>
      <c r="AH1210" s="412"/>
      <c r="AI1210" s="412"/>
      <c r="AJ1210" s="412">
        <f t="shared" si="56"/>
        <v>0</v>
      </c>
      <c r="AK1210" s="208"/>
      <c r="AL1210" s="250" t="s">
        <v>2068</v>
      </c>
    </row>
    <row r="1211" spans="1:38" ht="14.1" customHeight="1" x14ac:dyDescent="0.2">
      <c r="A1211" t="s">
        <v>893</v>
      </c>
      <c r="B1211" s="209">
        <v>4818</v>
      </c>
      <c r="C1211" s="210" t="s">
        <v>1140</v>
      </c>
      <c r="D1211" s="229" t="s">
        <v>1574</v>
      </c>
      <c r="E1211" s="229" t="s">
        <v>315</v>
      </c>
      <c r="F1211" s="240">
        <v>300</v>
      </c>
      <c r="G1211" s="205">
        <v>1</v>
      </c>
      <c r="H1211" s="206">
        <v>300</v>
      </c>
      <c r="I1211" s="207">
        <v>41399</v>
      </c>
      <c r="J1211" s="197" t="str">
        <f t="shared" si="57"/>
        <v>ok</v>
      </c>
      <c r="K1211" s="419"/>
      <c r="L1211" s="419"/>
      <c r="M1211" s="419"/>
      <c r="N1211" s="419"/>
      <c r="O1211" s="419"/>
      <c r="P1211" s="419"/>
      <c r="Q1211" s="419"/>
      <c r="R1211" s="419"/>
      <c r="S1211" s="419"/>
      <c r="T1211" s="419"/>
      <c r="U1211" s="419"/>
      <c r="V1211" s="419"/>
      <c r="W1211" s="419">
        <f t="shared" si="55"/>
        <v>0</v>
      </c>
      <c r="X1211" s="412"/>
      <c r="Y1211" s="412"/>
      <c r="Z1211" s="412"/>
      <c r="AA1211" s="412"/>
      <c r="AB1211" s="412">
        <v>300</v>
      </c>
      <c r="AC1211" s="412"/>
      <c r="AD1211" s="412"/>
      <c r="AE1211" s="412"/>
      <c r="AF1211" s="412"/>
      <c r="AG1211" s="412"/>
      <c r="AH1211" s="412"/>
      <c r="AI1211" s="412"/>
      <c r="AJ1211" s="412">
        <f t="shared" si="56"/>
        <v>300</v>
      </c>
      <c r="AK1211" s="208"/>
      <c r="AL1211" s="250" t="s">
        <v>2067</v>
      </c>
    </row>
    <row r="1212" spans="1:38" ht="14.1" customHeight="1" x14ac:dyDescent="0.2">
      <c r="A1212" t="s">
        <v>893</v>
      </c>
      <c r="B1212" s="209">
        <v>4818</v>
      </c>
      <c r="C1212" s="210" t="s">
        <v>1140</v>
      </c>
      <c r="D1212" s="229" t="s">
        <v>1574</v>
      </c>
      <c r="E1212" s="229" t="s">
        <v>315</v>
      </c>
      <c r="F1212" s="240">
        <v>300</v>
      </c>
      <c r="G1212" s="205">
        <v>4</v>
      </c>
      <c r="H1212" s="206">
        <v>160</v>
      </c>
      <c r="I1212" s="207">
        <v>41399</v>
      </c>
      <c r="J1212" s="197" t="str">
        <f t="shared" si="57"/>
        <v>ok</v>
      </c>
      <c r="K1212" s="419"/>
      <c r="L1212" s="419"/>
      <c r="M1212" s="419"/>
      <c r="N1212" s="419"/>
      <c r="O1212" s="419"/>
      <c r="P1212" s="419"/>
      <c r="Q1212" s="419"/>
      <c r="R1212" s="419"/>
      <c r="S1212" s="419"/>
      <c r="T1212" s="419"/>
      <c r="U1212" s="419"/>
      <c r="V1212" s="419"/>
      <c r="W1212" s="419">
        <f t="shared" si="55"/>
        <v>0</v>
      </c>
      <c r="X1212" s="412"/>
      <c r="Y1212" s="412"/>
      <c r="Z1212" s="412"/>
      <c r="AA1212" s="412"/>
      <c r="AB1212" s="412"/>
      <c r="AC1212" s="412"/>
      <c r="AD1212" s="412"/>
      <c r="AE1212" s="412"/>
      <c r="AF1212" s="412"/>
      <c r="AG1212" s="412"/>
      <c r="AH1212" s="412"/>
      <c r="AI1212" s="412"/>
      <c r="AJ1212" s="412">
        <f t="shared" si="56"/>
        <v>0</v>
      </c>
      <c r="AK1212" s="208"/>
      <c r="AL1212" s="250" t="s">
        <v>2068</v>
      </c>
    </row>
    <row r="1213" spans="1:38" ht="14.1" customHeight="1" x14ac:dyDescent="0.2">
      <c r="A1213" t="s">
        <v>894</v>
      </c>
      <c r="B1213" s="209">
        <v>4819</v>
      </c>
      <c r="C1213" s="210" t="s">
        <v>1157</v>
      </c>
      <c r="D1213" s="229" t="s">
        <v>1487</v>
      </c>
      <c r="E1213" s="229" t="s">
        <v>1224</v>
      </c>
      <c r="F1213" s="240">
        <v>300</v>
      </c>
      <c r="G1213" s="205">
        <v>1</v>
      </c>
      <c r="H1213" s="206">
        <v>600</v>
      </c>
      <c r="I1213" s="207">
        <v>41399</v>
      </c>
      <c r="J1213" s="197" t="str">
        <f t="shared" si="57"/>
        <v>ok</v>
      </c>
      <c r="K1213" s="419"/>
      <c r="L1213" s="419"/>
      <c r="M1213" s="419"/>
      <c r="N1213" s="419"/>
      <c r="O1213" s="419"/>
      <c r="P1213" s="419"/>
      <c r="Q1213" s="419"/>
      <c r="R1213" s="419"/>
      <c r="S1213" s="419"/>
      <c r="T1213" s="419"/>
      <c r="U1213" s="419"/>
      <c r="V1213" s="419"/>
      <c r="W1213" s="419">
        <f t="shared" si="55"/>
        <v>0</v>
      </c>
      <c r="X1213" s="412"/>
      <c r="Y1213" s="412"/>
      <c r="Z1213" s="412">
        <v>300</v>
      </c>
      <c r="AA1213" s="412">
        <v>300</v>
      </c>
      <c r="AB1213" s="412"/>
      <c r="AC1213" s="412"/>
      <c r="AD1213" s="412"/>
      <c r="AE1213" s="412"/>
      <c r="AF1213" s="412"/>
      <c r="AG1213" s="412"/>
      <c r="AH1213" s="412"/>
      <c r="AI1213" s="412"/>
      <c r="AJ1213" s="412">
        <f t="shared" si="56"/>
        <v>600</v>
      </c>
      <c r="AK1213" s="208"/>
      <c r="AL1213" s="250" t="s">
        <v>2067</v>
      </c>
    </row>
    <row r="1214" spans="1:38" ht="14.1" customHeight="1" x14ac:dyDescent="0.2">
      <c r="A1214" t="s">
        <v>893</v>
      </c>
      <c r="B1214" s="209">
        <v>4820</v>
      </c>
      <c r="C1214" s="210" t="s">
        <v>1148</v>
      </c>
      <c r="D1214" s="229" t="s">
        <v>1470</v>
      </c>
      <c r="E1214" s="229" t="s">
        <v>333</v>
      </c>
      <c r="F1214" s="240">
        <v>300</v>
      </c>
      <c r="G1214" s="205">
        <v>1</v>
      </c>
      <c r="H1214" s="206">
        <v>1800</v>
      </c>
      <c r="I1214" s="207">
        <v>41399</v>
      </c>
      <c r="J1214" s="197" t="str">
        <f t="shared" si="57"/>
        <v>ok</v>
      </c>
      <c r="K1214" s="419"/>
      <c r="L1214" s="419"/>
      <c r="M1214" s="419"/>
      <c r="N1214" s="419"/>
      <c r="O1214" s="419"/>
      <c r="P1214" s="419"/>
      <c r="Q1214" s="419"/>
      <c r="R1214" s="419"/>
      <c r="S1214" s="419"/>
      <c r="T1214" s="419"/>
      <c r="U1214" s="419"/>
      <c r="V1214" s="419"/>
      <c r="W1214" s="419">
        <f t="shared" si="55"/>
        <v>0</v>
      </c>
      <c r="X1214" s="412"/>
      <c r="Y1214" s="412"/>
      <c r="Z1214" s="412"/>
      <c r="AA1214" s="412"/>
      <c r="AB1214" s="412"/>
      <c r="AC1214" s="412"/>
      <c r="AD1214" s="412">
        <v>300</v>
      </c>
      <c r="AE1214" s="412">
        <v>300</v>
      </c>
      <c r="AF1214" s="412">
        <v>300</v>
      </c>
      <c r="AG1214" s="412">
        <v>300</v>
      </c>
      <c r="AH1214" s="412">
        <v>300</v>
      </c>
      <c r="AI1214" s="412">
        <v>300</v>
      </c>
      <c r="AJ1214" s="412">
        <f t="shared" si="56"/>
        <v>1800</v>
      </c>
      <c r="AK1214" s="208"/>
      <c r="AL1214" s="250" t="s">
        <v>2067</v>
      </c>
    </row>
    <row r="1215" spans="1:38" ht="14.1" customHeight="1" x14ac:dyDescent="0.2">
      <c r="A1215" t="s">
        <v>893</v>
      </c>
      <c r="B1215" s="209">
        <v>4821</v>
      </c>
      <c r="C1215" s="210" t="s">
        <v>1108</v>
      </c>
      <c r="D1215" s="229" t="s">
        <v>1466</v>
      </c>
      <c r="E1215" s="229" t="s">
        <v>257</v>
      </c>
      <c r="F1215" s="240">
        <v>300</v>
      </c>
      <c r="G1215" s="205">
        <v>1</v>
      </c>
      <c r="H1215" s="206">
        <v>300</v>
      </c>
      <c r="I1215" s="207">
        <v>41399</v>
      </c>
      <c r="J1215" s="197" t="str">
        <f t="shared" si="57"/>
        <v>ok</v>
      </c>
      <c r="K1215" s="419"/>
      <c r="L1215" s="419"/>
      <c r="M1215" s="419"/>
      <c r="N1215" s="419"/>
      <c r="O1215" s="419"/>
      <c r="P1215" s="419"/>
      <c r="Q1215" s="419"/>
      <c r="R1215" s="419"/>
      <c r="S1215" s="419"/>
      <c r="T1215" s="419"/>
      <c r="U1215" s="419"/>
      <c r="V1215" s="419"/>
      <c r="W1215" s="419">
        <f t="shared" si="55"/>
        <v>0</v>
      </c>
      <c r="X1215" s="412"/>
      <c r="Y1215" s="412"/>
      <c r="Z1215" s="412"/>
      <c r="AA1215" s="412"/>
      <c r="AB1215" s="412">
        <v>300</v>
      </c>
      <c r="AC1215" s="412"/>
      <c r="AD1215" s="412"/>
      <c r="AE1215" s="412"/>
      <c r="AF1215" s="412"/>
      <c r="AG1215" s="412"/>
      <c r="AH1215" s="412"/>
      <c r="AI1215" s="412"/>
      <c r="AJ1215" s="412">
        <f t="shared" si="56"/>
        <v>300</v>
      </c>
      <c r="AK1215" s="208"/>
      <c r="AL1215" s="250" t="s">
        <v>2067</v>
      </c>
    </row>
    <row r="1216" spans="1:38" ht="14.1" customHeight="1" x14ac:dyDescent="0.2">
      <c r="A1216" t="s">
        <v>894</v>
      </c>
      <c r="B1216" s="209">
        <v>4822</v>
      </c>
      <c r="C1216" s="210" t="s">
        <v>1164</v>
      </c>
      <c r="D1216" s="229" t="s">
        <v>1406</v>
      </c>
      <c r="E1216" s="229" t="s">
        <v>612</v>
      </c>
      <c r="F1216" s="240">
        <v>300</v>
      </c>
      <c r="G1216" s="205">
        <v>1</v>
      </c>
      <c r="H1216" s="206">
        <v>300</v>
      </c>
      <c r="I1216" s="207">
        <v>41399</v>
      </c>
      <c r="J1216" s="197" t="str">
        <f t="shared" si="57"/>
        <v>ok</v>
      </c>
      <c r="K1216" s="419"/>
      <c r="L1216" s="419"/>
      <c r="M1216" s="419"/>
      <c r="N1216" s="419"/>
      <c r="O1216" s="419"/>
      <c r="P1216" s="419"/>
      <c r="Q1216" s="419"/>
      <c r="R1216" s="419"/>
      <c r="S1216" s="419"/>
      <c r="T1216" s="419"/>
      <c r="U1216" s="419"/>
      <c r="V1216" s="419"/>
      <c r="W1216" s="419">
        <f t="shared" si="55"/>
        <v>0</v>
      </c>
      <c r="X1216" s="412"/>
      <c r="Y1216" s="412"/>
      <c r="Z1216" s="412"/>
      <c r="AA1216" s="412"/>
      <c r="AB1216" s="412">
        <v>300</v>
      </c>
      <c r="AC1216" s="412"/>
      <c r="AD1216" s="412"/>
      <c r="AE1216" s="412"/>
      <c r="AF1216" s="412"/>
      <c r="AG1216" s="412"/>
      <c r="AH1216" s="412"/>
      <c r="AI1216" s="412"/>
      <c r="AJ1216" s="412">
        <f t="shared" si="56"/>
        <v>300</v>
      </c>
      <c r="AK1216" s="208"/>
      <c r="AL1216" s="250" t="s">
        <v>2067</v>
      </c>
    </row>
    <row r="1217" spans="1:38" ht="14.1" customHeight="1" x14ac:dyDescent="0.2">
      <c r="A1217" t="s">
        <v>893</v>
      </c>
      <c r="B1217" s="209">
        <v>4823</v>
      </c>
      <c r="C1217" s="210" t="s">
        <v>1117</v>
      </c>
      <c r="D1217" s="229" t="s">
        <v>1430</v>
      </c>
      <c r="E1217" s="229" t="s">
        <v>271</v>
      </c>
      <c r="F1217" s="240">
        <v>300</v>
      </c>
      <c r="G1217" s="205">
        <v>1</v>
      </c>
      <c r="H1217" s="206">
        <v>300</v>
      </c>
      <c r="I1217" s="207">
        <v>41399</v>
      </c>
      <c r="J1217" s="197" t="str">
        <f t="shared" si="57"/>
        <v>ok</v>
      </c>
      <c r="K1217" s="419"/>
      <c r="L1217" s="419"/>
      <c r="M1217" s="419"/>
      <c r="N1217" s="419"/>
      <c r="O1217" s="419"/>
      <c r="P1217" s="419"/>
      <c r="Q1217" s="419"/>
      <c r="R1217" s="419"/>
      <c r="S1217" s="419"/>
      <c r="T1217" s="419"/>
      <c r="U1217" s="419"/>
      <c r="V1217" s="419"/>
      <c r="W1217" s="419">
        <f t="shared" si="55"/>
        <v>0</v>
      </c>
      <c r="X1217" s="412"/>
      <c r="Y1217" s="412"/>
      <c r="Z1217" s="412"/>
      <c r="AA1217" s="412"/>
      <c r="AB1217" s="412">
        <v>300</v>
      </c>
      <c r="AC1217" s="412"/>
      <c r="AD1217" s="412"/>
      <c r="AE1217" s="412"/>
      <c r="AF1217" s="412"/>
      <c r="AG1217" s="412"/>
      <c r="AH1217" s="412"/>
      <c r="AI1217" s="412"/>
      <c r="AJ1217" s="412">
        <f t="shared" si="56"/>
        <v>300</v>
      </c>
      <c r="AK1217" s="208"/>
      <c r="AL1217" s="250" t="s">
        <v>2067</v>
      </c>
    </row>
    <row r="1218" spans="1:38" ht="14.1" customHeight="1" x14ac:dyDescent="0.2">
      <c r="A1218" t="s">
        <v>893</v>
      </c>
      <c r="B1218" s="209">
        <v>4824</v>
      </c>
      <c r="C1218" s="210" t="s">
        <v>1125</v>
      </c>
      <c r="D1218" s="229" t="s">
        <v>1543</v>
      </c>
      <c r="E1218" s="229" t="s">
        <v>286</v>
      </c>
      <c r="F1218" s="240">
        <v>300</v>
      </c>
      <c r="G1218" s="205">
        <v>1</v>
      </c>
      <c r="H1218" s="206">
        <v>300</v>
      </c>
      <c r="I1218" s="207">
        <v>41399</v>
      </c>
      <c r="J1218" s="197" t="str">
        <f t="shared" si="57"/>
        <v>ok</v>
      </c>
      <c r="K1218" s="419"/>
      <c r="L1218" s="419"/>
      <c r="M1218" s="419"/>
      <c r="N1218" s="419"/>
      <c r="O1218" s="419"/>
      <c r="P1218" s="419"/>
      <c r="Q1218" s="419"/>
      <c r="R1218" s="419"/>
      <c r="S1218" s="419"/>
      <c r="T1218" s="419"/>
      <c r="U1218" s="419"/>
      <c r="V1218" s="419"/>
      <c r="W1218" s="419">
        <f t="shared" si="55"/>
        <v>0</v>
      </c>
      <c r="X1218" s="412"/>
      <c r="Y1218" s="412"/>
      <c r="Z1218" s="412"/>
      <c r="AA1218" s="412"/>
      <c r="AB1218" s="412">
        <v>300</v>
      </c>
      <c r="AC1218" s="412"/>
      <c r="AD1218" s="412"/>
      <c r="AE1218" s="412"/>
      <c r="AF1218" s="412"/>
      <c r="AG1218" s="412"/>
      <c r="AH1218" s="412"/>
      <c r="AI1218" s="412"/>
      <c r="AJ1218" s="412">
        <f t="shared" si="56"/>
        <v>300</v>
      </c>
      <c r="AK1218" s="208"/>
      <c r="AL1218" s="250" t="s">
        <v>2067</v>
      </c>
    </row>
    <row r="1219" spans="1:38" ht="14.1" customHeight="1" x14ac:dyDescent="0.2">
      <c r="A1219" t="s">
        <v>893</v>
      </c>
      <c r="B1219" s="209">
        <v>4825</v>
      </c>
      <c r="C1219" s="210" t="s">
        <v>777</v>
      </c>
      <c r="D1219" s="229" t="s">
        <v>1387</v>
      </c>
      <c r="E1219" s="229" t="s">
        <v>714</v>
      </c>
      <c r="F1219" s="240">
        <v>300</v>
      </c>
      <c r="G1219" s="205">
        <v>1</v>
      </c>
      <c r="H1219" s="206">
        <v>300</v>
      </c>
      <c r="I1219" s="207">
        <v>41399</v>
      </c>
      <c r="J1219" s="197" t="str">
        <f t="shared" si="57"/>
        <v>ok</v>
      </c>
      <c r="K1219" s="419"/>
      <c r="L1219" s="419"/>
      <c r="M1219" s="419"/>
      <c r="N1219" s="419"/>
      <c r="O1219" s="419"/>
      <c r="P1219" s="419"/>
      <c r="Q1219" s="419"/>
      <c r="R1219" s="419"/>
      <c r="S1219" s="419"/>
      <c r="T1219" s="419"/>
      <c r="U1219" s="419"/>
      <c r="V1219" s="419"/>
      <c r="W1219" s="419">
        <f t="shared" si="55"/>
        <v>0</v>
      </c>
      <c r="X1219" s="412"/>
      <c r="Y1219" s="412"/>
      <c r="Z1219" s="412"/>
      <c r="AA1219" s="412"/>
      <c r="AB1219" s="412">
        <v>300</v>
      </c>
      <c r="AC1219" s="412"/>
      <c r="AD1219" s="412"/>
      <c r="AE1219" s="412"/>
      <c r="AF1219" s="412"/>
      <c r="AG1219" s="412"/>
      <c r="AH1219" s="412"/>
      <c r="AI1219" s="412"/>
      <c r="AJ1219" s="412">
        <f t="shared" si="56"/>
        <v>300</v>
      </c>
      <c r="AK1219" s="208"/>
      <c r="AL1219" s="250" t="s">
        <v>2067</v>
      </c>
    </row>
    <row r="1220" spans="1:38" ht="14.1" customHeight="1" x14ac:dyDescent="0.2">
      <c r="A1220" t="s">
        <v>892</v>
      </c>
      <c r="B1220" s="209">
        <v>4826</v>
      </c>
      <c r="C1220" s="210" t="s">
        <v>1181</v>
      </c>
      <c r="D1220" s="229" t="s">
        <v>1425</v>
      </c>
      <c r="E1220" s="229" t="s">
        <v>557</v>
      </c>
      <c r="F1220" s="240">
        <v>300</v>
      </c>
      <c r="G1220" s="205">
        <v>1</v>
      </c>
      <c r="H1220" s="206">
        <v>300</v>
      </c>
      <c r="I1220" s="207">
        <v>41399</v>
      </c>
      <c r="J1220" s="197" t="str">
        <f t="shared" si="57"/>
        <v>ok</v>
      </c>
      <c r="K1220" s="419"/>
      <c r="L1220" s="419"/>
      <c r="M1220" s="419"/>
      <c r="N1220" s="419"/>
      <c r="O1220" s="419"/>
      <c r="P1220" s="419"/>
      <c r="Q1220" s="419"/>
      <c r="R1220" s="419"/>
      <c r="S1220" s="419"/>
      <c r="T1220" s="419"/>
      <c r="U1220" s="419"/>
      <c r="V1220" s="419"/>
      <c r="W1220" s="419">
        <f t="shared" si="55"/>
        <v>0</v>
      </c>
      <c r="X1220" s="412"/>
      <c r="Y1220" s="412"/>
      <c r="Z1220" s="412"/>
      <c r="AA1220" s="412"/>
      <c r="AB1220" s="412">
        <v>300</v>
      </c>
      <c r="AC1220" s="412"/>
      <c r="AD1220" s="412"/>
      <c r="AE1220" s="412"/>
      <c r="AF1220" s="412"/>
      <c r="AG1220" s="412"/>
      <c r="AH1220" s="412"/>
      <c r="AI1220" s="412"/>
      <c r="AJ1220" s="412">
        <f t="shared" si="56"/>
        <v>300</v>
      </c>
      <c r="AK1220" s="208"/>
      <c r="AL1220" s="250" t="s">
        <v>2067</v>
      </c>
    </row>
    <row r="1221" spans="1:38" ht="14.1" customHeight="1" x14ac:dyDescent="0.2">
      <c r="A1221" t="s">
        <v>890</v>
      </c>
      <c r="B1221" s="209">
        <v>4827</v>
      </c>
      <c r="C1221" s="210" t="s">
        <v>1023</v>
      </c>
      <c r="D1221" s="229" t="s">
        <v>1541</v>
      </c>
      <c r="E1221" s="229" t="s">
        <v>522</v>
      </c>
      <c r="F1221" s="240">
        <v>300</v>
      </c>
      <c r="G1221" s="205">
        <v>5</v>
      </c>
      <c r="H1221" s="206">
        <v>20</v>
      </c>
      <c r="I1221" s="207">
        <v>41399</v>
      </c>
      <c r="J1221" s="197" t="str">
        <f t="shared" si="57"/>
        <v>ok</v>
      </c>
      <c r="K1221" s="419"/>
      <c r="L1221" s="419"/>
      <c r="M1221" s="419"/>
      <c r="N1221" s="419"/>
      <c r="O1221" s="419"/>
      <c r="P1221" s="419"/>
      <c r="Q1221" s="419"/>
      <c r="R1221" s="419"/>
      <c r="S1221" s="419"/>
      <c r="T1221" s="419"/>
      <c r="U1221" s="419"/>
      <c r="V1221" s="419"/>
      <c r="W1221" s="419">
        <f t="shared" si="55"/>
        <v>0</v>
      </c>
      <c r="X1221" s="412"/>
      <c r="Y1221" s="412"/>
      <c r="Z1221" s="412"/>
      <c r="AA1221" s="412"/>
      <c r="AB1221" s="412"/>
      <c r="AC1221" s="412"/>
      <c r="AD1221" s="412"/>
      <c r="AE1221" s="412"/>
      <c r="AF1221" s="412"/>
      <c r="AG1221" s="412"/>
      <c r="AH1221" s="412"/>
      <c r="AI1221" s="412"/>
      <c r="AJ1221" s="412">
        <f t="shared" si="56"/>
        <v>0</v>
      </c>
      <c r="AK1221" s="208"/>
      <c r="AL1221" s="250" t="s">
        <v>2068</v>
      </c>
    </row>
    <row r="1222" spans="1:38" ht="14.1" customHeight="1" x14ac:dyDescent="0.2">
      <c r="A1222" t="s">
        <v>894</v>
      </c>
      <c r="B1222" s="209">
        <v>4828</v>
      </c>
      <c r="C1222" s="210" t="s">
        <v>1167</v>
      </c>
      <c r="D1222" s="229" t="s">
        <v>1432</v>
      </c>
      <c r="E1222" s="229" t="s">
        <v>617</v>
      </c>
      <c r="F1222" s="240">
        <v>250</v>
      </c>
      <c r="G1222" s="205">
        <v>1</v>
      </c>
      <c r="H1222" s="206">
        <v>500</v>
      </c>
      <c r="I1222" s="207">
        <v>41399</v>
      </c>
      <c r="J1222" s="197" t="str">
        <f t="shared" si="57"/>
        <v>ok</v>
      </c>
      <c r="K1222" s="419"/>
      <c r="L1222" s="419"/>
      <c r="M1222" s="419"/>
      <c r="N1222" s="419"/>
      <c r="O1222" s="419"/>
      <c r="P1222" s="419"/>
      <c r="Q1222" s="419"/>
      <c r="R1222" s="419"/>
      <c r="S1222" s="419"/>
      <c r="T1222" s="419"/>
      <c r="U1222" s="419"/>
      <c r="V1222" s="419"/>
      <c r="W1222" s="419">
        <f t="shared" si="55"/>
        <v>0</v>
      </c>
      <c r="X1222" s="412"/>
      <c r="Y1222" s="412"/>
      <c r="Z1222" s="412"/>
      <c r="AA1222" s="412">
        <v>250</v>
      </c>
      <c r="AB1222" s="412">
        <v>250</v>
      </c>
      <c r="AC1222" s="412"/>
      <c r="AD1222" s="412"/>
      <c r="AE1222" s="412"/>
      <c r="AF1222" s="412"/>
      <c r="AG1222" s="412"/>
      <c r="AH1222" s="412"/>
      <c r="AI1222" s="412"/>
      <c r="AJ1222" s="412">
        <f t="shared" si="56"/>
        <v>500</v>
      </c>
      <c r="AK1222" s="208"/>
      <c r="AL1222" s="250" t="s">
        <v>2067</v>
      </c>
    </row>
    <row r="1223" spans="1:38" ht="14.1" customHeight="1" x14ac:dyDescent="0.2">
      <c r="A1223" t="s">
        <v>884</v>
      </c>
      <c r="B1223" s="209">
        <v>4829</v>
      </c>
      <c r="C1223" s="210" t="s">
        <v>818</v>
      </c>
      <c r="D1223" s="229" t="s">
        <v>1375</v>
      </c>
      <c r="E1223" s="229" t="s">
        <v>42</v>
      </c>
      <c r="F1223" s="240">
        <v>250</v>
      </c>
      <c r="G1223" s="205">
        <v>1</v>
      </c>
      <c r="H1223" s="206">
        <v>250</v>
      </c>
      <c r="I1223" s="207">
        <v>41399</v>
      </c>
      <c r="J1223" s="197" t="str">
        <f t="shared" si="57"/>
        <v>ok</v>
      </c>
      <c r="K1223" s="419"/>
      <c r="L1223" s="419"/>
      <c r="M1223" s="419"/>
      <c r="N1223" s="419"/>
      <c r="O1223" s="419"/>
      <c r="P1223" s="419"/>
      <c r="Q1223" s="419"/>
      <c r="R1223" s="419"/>
      <c r="S1223" s="419"/>
      <c r="T1223" s="419"/>
      <c r="U1223" s="419"/>
      <c r="V1223" s="419"/>
      <c r="W1223" s="419">
        <f t="shared" ref="W1223:W1286" si="58">SUM(K1223:V1223)</f>
        <v>0</v>
      </c>
      <c r="X1223" s="412"/>
      <c r="Y1223" s="412"/>
      <c r="Z1223" s="412"/>
      <c r="AA1223" s="412"/>
      <c r="AB1223" s="412">
        <v>250</v>
      </c>
      <c r="AC1223" s="412"/>
      <c r="AD1223" s="412"/>
      <c r="AE1223" s="412"/>
      <c r="AF1223" s="412"/>
      <c r="AG1223" s="412"/>
      <c r="AH1223" s="412"/>
      <c r="AI1223" s="412"/>
      <c r="AJ1223" s="412">
        <f t="shared" ref="AJ1223:AJ1286" si="59">SUM(X1223:AI1223)</f>
        <v>250</v>
      </c>
      <c r="AK1223" s="208"/>
      <c r="AL1223" s="250" t="s">
        <v>2067</v>
      </c>
    </row>
    <row r="1224" spans="1:38" ht="14.1" customHeight="1" x14ac:dyDescent="0.2">
      <c r="A1224" t="s">
        <v>884</v>
      </c>
      <c r="B1224" s="209">
        <v>4830</v>
      </c>
      <c r="C1224" s="210" t="s">
        <v>843</v>
      </c>
      <c r="D1224" s="229" t="s">
        <v>1434</v>
      </c>
      <c r="E1224" s="229" t="s">
        <v>1189</v>
      </c>
      <c r="F1224" s="240">
        <v>300</v>
      </c>
      <c r="G1224" s="205">
        <v>1</v>
      </c>
      <c r="H1224" s="206">
        <v>300</v>
      </c>
      <c r="I1224" s="207">
        <v>41399</v>
      </c>
      <c r="J1224" s="197" t="str">
        <f t="shared" si="57"/>
        <v>ok</v>
      </c>
      <c r="K1224" s="419"/>
      <c r="L1224" s="419"/>
      <c r="M1224" s="419"/>
      <c r="N1224" s="419"/>
      <c r="O1224" s="419"/>
      <c r="P1224" s="419"/>
      <c r="Q1224" s="419"/>
      <c r="R1224" s="419"/>
      <c r="S1224" s="419"/>
      <c r="T1224" s="419"/>
      <c r="U1224" s="419"/>
      <c r="V1224" s="419"/>
      <c r="W1224" s="419">
        <f t="shared" si="58"/>
        <v>0</v>
      </c>
      <c r="X1224" s="412"/>
      <c r="Y1224" s="412"/>
      <c r="Z1224" s="412"/>
      <c r="AA1224" s="412"/>
      <c r="AB1224" s="412">
        <v>300</v>
      </c>
      <c r="AC1224" s="412"/>
      <c r="AD1224" s="412"/>
      <c r="AE1224" s="412"/>
      <c r="AF1224" s="412"/>
      <c r="AG1224" s="412"/>
      <c r="AH1224" s="412"/>
      <c r="AI1224" s="412"/>
      <c r="AJ1224" s="412">
        <f t="shared" si="59"/>
        <v>300</v>
      </c>
      <c r="AK1224" s="208"/>
      <c r="AL1224" s="250" t="s">
        <v>2067</v>
      </c>
    </row>
    <row r="1225" spans="1:38" ht="14.1" customHeight="1" x14ac:dyDescent="0.2">
      <c r="A1225" t="s">
        <v>884</v>
      </c>
      <c r="B1225" s="209">
        <v>4831</v>
      </c>
      <c r="C1225" s="210" t="s">
        <v>827</v>
      </c>
      <c r="D1225" s="229" t="s">
        <v>1431</v>
      </c>
      <c r="E1225" s="229" t="s">
        <v>1271</v>
      </c>
      <c r="F1225" s="240">
        <v>300</v>
      </c>
      <c r="G1225" s="205">
        <v>1</v>
      </c>
      <c r="H1225" s="206">
        <v>600</v>
      </c>
      <c r="I1225" s="207">
        <v>41399</v>
      </c>
      <c r="J1225" s="197" t="str">
        <f t="shared" si="57"/>
        <v>ok</v>
      </c>
      <c r="K1225" s="419"/>
      <c r="L1225" s="419"/>
      <c r="M1225" s="419"/>
      <c r="N1225" s="419"/>
      <c r="O1225" s="419"/>
      <c r="P1225" s="419"/>
      <c r="Q1225" s="419"/>
      <c r="R1225" s="419"/>
      <c r="S1225" s="419"/>
      <c r="T1225" s="419"/>
      <c r="U1225" s="419"/>
      <c r="V1225" s="419"/>
      <c r="W1225" s="419">
        <f t="shared" si="58"/>
        <v>0</v>
      </c>
      <c r="X1225" s="412"/>
      <c r="Y1225" s="412"/>
      <c r="Z1225" s="412"/>
      <c r="AA1225" s="412">
        <v>300</v>
      </c>
      <c r="AB1225" s="412">
        <v>300</v>
      </c>
      <c r="AC1225" s="412"/>
      <c r="AD1225" s="412"/>
      <c r="AE1225" s="412"/>
      <c r="AF1225" s="412"/>
      <c r="AG1225" s="412"/>
      <c r="AH1225" s="412"/>
      <c r="AI1225" s="412"/>
      <c r="AJ1225" s="412">
        <f t="shared" si="59"/>
        <v>600</v>
      </c>
      <c r="AK1225" s="208"/>
      <c r="AL1225" s="250" t="s">
        <v>2067</v>
      </c>
    </row>
    <row r="1226" spans="1:38" ht="14.1" customHeight="1" x14ac:dyDescent="0.2">
      <c r="A1226" t="s">
        <v>893</v>
      </c>
      <c r="B1226" s="209">
        <v>4832</v>
      </c>
      <c r="C1226" s="210" t="s">
        <v>1103</v>
      </c>
      <c r="D1226" s="229" t="s">
        <v>1407</v>
      </c>
      <c r="E1226" s="229" t="s">
        <v>248</v>
      </c>
      <c r="F1226" s="240">
        <v>300</v>
      </c>
      <c r="G1226" s="205">
        <v>1</v>
      </c>
      <c r="H1226" s="206">
        <v>300</v>
      </c>
      <c r="I1226" s="207">
        <v>41399</v>
      </c>
      <c r="J1226" s="197" t="str">
        <f t="shared" si="57"/>
        <v>ok</v>
      </c>
      <c r="K1226" s="419"/>
      <c r="L1226" s="419"/>
      <c r="M1226" s="419"/>
      <c r="N1226" s="419"/>
      <c r="O1226" s="419"/>
      <c r="P1226" s="419"/>
      <c r="Q1226" s="419"/>
      <c r="R1226" s="419"/>
      <c r="S1226" s="419"/>
      <c r="T1226" s="419"/>
      <c r="U1226" s="419"/>
      <c r="V1226" s="419"/>
      <c r="W1226" s="419">
        <f t="shared" si="58"/>
        <v>0</v>
      </c>
      <c r="X1226" s="412"/>
      <c r="Y1226" s="412"/>
      <c r="Z1226" s="412"/>
      <c r="AA1226" s="412"/>
      <c r="AB1226" s="412">
        <v>300</v>
      </c>
      <c r="AC1226" s="412"/>
      <c r="AD1226" s="412"/>
      <c r="AE1226" s="412"/>
      <c r="AF1226" s="412"/>
      <c r="AG1226" s="412"/>
      <c r="AH1226" s="412"/>
      <c r="AI1226" s="412"/>
      <c r="AJ1226" s="412">
        <f t="shared" si="59"/>
        <v>300</v>
      </c>
      <c r="AK1226" s="208"/>
      <c r="AL1226" s="250" t="s">
        <v>2067</v>
      </c>
    </row>
    <row r="1227" spans="1:38" ht="14.1" customHeight="1" x14ac:dyDescent="0.2">
      <c r="A1227" t="s">
        <v>891</v>
      </c>
      <c r="B1227" s="209">
        <v>4833</v>
      </c>
      <c r="C1227" s="210" t="s">
        <v>1053</v>
      </c>
      <c r="D1227" s="229" t="s">
        <v>1508</v>
      </c>
      <c r="E1227" s="229" t="s">
        <v>657</v>
      </c>
      <c r="F1227" s="240">
        <v>200</v>
      </c>
      <c r="G1227" s="205">
        <v>1</v>
      </c>
      <c r="H1227" s="206">
        <v>400</v>
      </c>
      <c r="I1227" s="207">
        <v>41399</v>
      </c>
      <c r="J1227" s="197" t="str">
        <f t="shared" si="57"/>
        <v>ok</v>
      </c>
      <c r="K1227" s="419"/>
      <c r="L1227" s="419"/>
      <c r="M1227" s="419"/>
      <c r="N1227" s="419"/>
      <c r="O1227" s="419"/>
      <c r="P1227" s="419"/>
      <c r="Q1227" s="419"/>
      <c r="R1227" s="419"/>
      <c r="S1227" s="419"/>
      <c r="T1227" s="419"/>
      <c r="U1227" s="419"/>
      <c r="V1227" s="419"/>
      <c r="W1227" s="419">
        <f t="shared" si="58"/>
        <v>0</v>
      </c>
      <c r="X1227" s="412"/>
      <c r="Y1227" s="412"/>
      <c r="Z1227" s="412"/>
      <c r="AA1227" s="412">
        <v>200</v>
      </c>
      <c r="AB1227" s="412">
        <v>200</v>
      </c>
      <c r="AC1227" s="412"/>
      <c r="AD1227" s="412"/>
      <c r="AE1227" s="412"/>
      <c r="AF1227" s="412"/>
      <c r="AG1227" s="412"/>
      <c r="AH1227" s="412"/>
      <c r="AI1227" s="412"/>
      <c r="AJ1227" s="412">
        <f t="shared" si="59"/>
        <v>400</v>
      </c>
      <c r="AK1227" s="208"/>
      <c r="AL1227" s="250" t="s">
        <v>2067</v>
      </c>
    </row>
    <row r="1228" spans="1:38" ht="14.1" customHeight="1" x14ac:dyDescent="0.2">
      <c r="A1228" t="s">
        <v>893</v>
      </c>
      <c r="B1228" s="209">
        <v>4834</v>
      </c>
      <c r="C1228" s="210" t="s">
        <v>1077</v>
      </c>
      <c r="D1228" s="229" t="s">
        <v>1429</v>
      </c>
      <c r="E1228" s="229" t="s">
        <v>195</v>
      </c>
      <c r="F1228" s="240">
        <v>200</v>
      </c>
      <c r="G1228" s="205">
        <v>1</v>
      </c>
      <c r="H1228" s="206">
        <v>200</v>
      </c>
      <c r="I1228" s="207">
        <v>41399</v>
      </c>
      <c r="J1228" s="197" t="str">
        <f t="shared" si="57"/>
        <v>ok</v>
      </c>
      <c r="K1228" s="419"/>
      <c r="L1228" s="419"/>
      <c r="M1228" s="419"/>
      <c r="N1228" s="419"/>
      <c r="O1228" s="419"/>
      <c r="P1228" s="419"/>
      <c r="Q1228" s="419"/>
      <c r="R1228" s="419"/>
      <c r="S1228" s="419"/>
      <c r="T1228" s="419"/>
      <c r="U1228" s="419"/>
      <c r="V1228" s="419"/>
      <c r="W1228" s="419">
        <f t="shared" si="58"/>
        <v>0</v>
      </c>
      <c r="X1228" s="412"/>
      <c r="Y1228" s="412"/>
      <c r="Z1228" s="412"/>
      <c r="AA1228" s="412"/>
      <c r="AB1228" s="412">
        <v>200</v>
      </c>
      <c r="AC1228" s="412"/>
      <c r="AD1228" s="412"/>
      <c r="AE1228" s="412"/>
      <c r="AF1228" s="412"/>
      <c r="AG1228" s="412"/>
      <c r="AH1228" s="412"/>
      <c r="AI1228" s="412"/>
      <c r="AJ1228" s="412">
        <f t="shared" si="59"/>
        <v>200</v>
      </c>
      <c r="AK1228" s="208"/>
      <c r="AL1228" s="250" t="s">
        <v>2067</v>
      </c>
    </row>
    <row r="1229" spans="1:38" ht="14.1" customHeight="1" x14ac:dyDescent="0.2">
      <c r="A1229" t="s">
        <v>893</v>
      </c>
      <c r="B1229" s="209">
        <v>4835</v>
      </c>
      <c r="C1229" s="210" t="s">
        <v>1080</v>
      </c>
      <c r="D1229" s="229" t="s">
        <v>1598</v>
      </c>
      <c r="E1229" s="229" t="s">
        <v>200</v>
      </c>
      <c r="F1229" s="240">
        <v>300</v>
      </c>
      <c r="G1229" s="205">
        <v>1</v>
      </c>
      <c r="H1229" s="206">
        <v>600</v>
      </c>
      <c r="I1229" s="207">
        <v>41399</v>
      </c>
      <c r="J1229" s="197" t="str">
        <f t="shared" si="57"/>
        <v>ok</v>
      </c>
      <c r="K1229" s="419"/>
      <c r="L1229" s="419"/>
      <c r="M1229" s="419"/>
      <c r="N1229" s="419"/>
      <c r="O1229" s="419"/>
      <c r="P1229" s="419"/>
      <c r="Q1229" s="419"/>
      <c r="R1229" s="419"/>
      <c r="S1229" s="419"/>
      <c r="T1229" s="419"/>
      <c r="U1229" s="419"/>
      <c r="V1229" s="419"/>
      <c r="W1229" s="419">
        <f t="shared" si="58"/>
        <v>0</v>
      </c>
      <c r="X1229" s="412"/>
      <c r="Y1229" s="412"/>
      <c r="Z1229" s="412"/>
      <c r="AA1229" s="412"/>
      <c r="AB1229" s="412">
        <v>300</v>
      </c>
      <c r="AC1229" s="412">
        <v>300</v>
      </c>
      <c r="AD1229" s="412"/>
      <c r="AE1229" s="412"/>
      <c r="AF1229" s="412"/>
      <c r="AG1229" s="412"/>
      <c r="AH1229" s="412"/>
      <c r="AI1229" s="412"/>
      <c r="AJ1229" s="412">
        <f t="shared" si="59"/>
        <v>600</v>
      </c>
      <c r="AK1229" s="208"/>
      <c r="AL1229" s="250" t="s">
        <v>2067</v>
      </c>
    </row>
    <row r="1230" spans="1:38" ht="14.1" customHeight="1" x14ac:dyDescent="0.2">
      <c r="A1230" t="s">
        <v>892</v>
      </c>
      <c r="B1230" s="209">
        <v>4836</v>
      </c>
      <c r="C1230" s="210" t="s">
        <v>1060</v>
      </c>
      <c r="D1230" s="229" t="s">
        <v>1460</v>
      </c>
      <c r="E1230" s="229" t="s">
        <v>737</v>
      </c>
      <c r="F1230" s="240">
        <v>300</v>
      </c>
      <c r="G1230" s="205">
        <v>1</v>
      </c>
      <c r="H1230" s="206">
        <v>300</v>
      </c>
      <c r="I1230" s="207">
        <v>41399</v>
      </c>
      <c r="J1230" s="197" t="str">
        <f t="shared" ref="J1230:J1293" si="60">IF(OR(G1230&lt;&gt;1,SUM(W1230,AJ1230)=H1230),"ok","error")</f>
        <v>ok</v>
      </c>
      <c r="K1230" s="419"/>
      <c r="L1230" s="419"/>
      <c r="M1230" s="419"/>
      <c r="N1230" s="419"/>
      <c r="O1230" s="419"/>
      <c r="P1230" s="419"/>
      <c r="Q1230" s="419"/>
      <c r="R1230" s="419"/>
      <c r="S1230" s="419"/>
      <c r="T1230" s="419"/>
      <c r="U1230" s="419"/>
      <c r="V1230" s="419"/>
      <c r="W1230" s="419">
        <f t="shared" si="58"/>
        <v>0</v>
      </c>
      <c r="X1230" s="412"/>
      <c r="Y1230" s="412"/>
      <c r="Z1230" s="412"/>
      <c r="AA1230" s="412"/>
      <c r="AB1230" s="412">
        <v>300</v>
      </c>
      <c r="AC1230" s="412"/>
      <c r="AD1230" s="412"/>
      <c r="AE1230" s="412"/>
      <c r="AF1230" s="412"/>
      <c r="AG1230" s="412"/>
      <c r="AH1230" s="412"/>
      <c r="AI1230" s="412"/>
      <c r="AJ1230" s="412">
        <f t="shared" si="59"/>
        <v>300</v>
      </c>
      <c r="AK1230" s="208"/>
      <c r="AL1230" s="250" t="s">
        <v>2067</v>
      </c>
    </row>
    <row r="1231" spans="1:38" ht="14.1" customHeight="1" x14ac:dyDescent="0.2">
      <c r="A1231" t="s">
        <v>893</v>
      </c>
      <c r="B1231" s="209">
        <v>4837</v>
      </c>
      <c r="C1231" s="210" t="s">
        <v>1131</v>
      </c>
      <c r="D1231" s="229" t="s">
        <v>1373</v>
      </c>
      <c r="E1231" s="229" t="s">
        <v>299</v>
      </c>
      <c r="F1231" s="240">
        <v>300</v>
      </c>
      <c r="G1231" s="205">
        <v>1</v>
      </c>
      <c r="H1231" s="206">
        <v>300</v>
      </c>
      <c r="I1231" s="207">
        <v>41399</v>
      </c>
      <c r="J1231" s="197" t="str">
        <f t="shared" si="60"/>
        <v>ok</v>
      </c>
      <c r="K1231" s="419"/>
      <c r="L1231" s="419"/>
      <c r="M1231" s="419"/>
      <c r="N1231" s="419"/>
      <c r="O1231" s="419"/>
      <c r="P1231" s="419"/>
      <c r="Q1231" s="419"/>
      <c r="R1231" s="419"/>
      <c r="S1231" s="419"/>
      <c r="T1231" s="419"/>
      <c r="U1231" s="419"/>
      <c r="V1231" s="419"/>
      <c r="W1231" s="419">
        <f t="shared" si="58"/>
        <v>0</v>
      </c>
      <c r="X1231" s="412"/>
      <c r="Y1231" s="412"/>
      <c r="Z1231" s="412"/>
      <c r="AA1231" s="412"/>
      <c r="AB1231" s="412">
        <v>300</v>
      </c>
      <c r="AC1231" s="412"/>
      <c r="AD1231" s="412"/>
      <c r="AE1231" s="412"/>
      <c r="AF1231" s="412"/>
      <c r="AG1231" s="412"/>
      <c r="AH1231" s="412"/>
      <c r="AI1231" s="412"/>
      <c r="AJ1231" s="412">
        <f t="shared" si="59"/>
        <v>300</v>
      </c>
      <c r="AK1231" s="208"/>
      <c r="AL1231" s="250" t="s">
        <v>2067</v>
      </c>
    </row>
    <row r="1232" spans="1:38" ht="14.1" customHeight="1" x14ac:dyDescent="0.2">
      <c r="A1232" t="s">
        <v>893</v>
      </c>
      <c r="B1232" s="209">
        <v>4838</v>
      </c>
      <c r="C1232" s="210" t="s">
        <v>1121</v>
      </c>
      <c r="D1232" s="229" t="s">
        <v>1584</v>
      </c>
      <c r="E1232" s="229" t="s">
        <v>278</v>
      </c>
      <c r="F1232" s="240">
        <v>300</v>
      </c>
      <c r="G1232" s="205">
        <v>1</v>
      </c>
      <c r="H1232" s="206">
        <v>600</v>
      </c>
      <c r="I1232" s="207">
        <v>41399</v>
      </c>
      <c r="J1232" s="197" t="str">
        <f t="shared" si="60"/>
        <v>ok</v>
      </c>
      <c r="K1232" s="419"/>
      <c r="L1232" s="419"/>
      <c r="M1232" s="419"/>
      <c r="N1232" s="419"/>
      <c r="O1232" s="419"/>
      <c r="P1232" s="419"/>
      <c r="Q1232" s="419"/>
      <c r="R1232" s="419"/>
      <c r="S1232" s="419"/>
      <c r="T1232" s="419"/>
      <c r="U1232" s="419"/>
      <c r="V1232" s="419"/>
      <c r="W1232" s="419">
        <f t="shared" si="58"/>
        <v>0</v>
      </c>
      <c r="X1232" s="412"/>
      <c r="Y1232" s="412"/>
      <c r="Z1232" s="412"/>
      <c r="AA1232" s="412">
        <v>300</v>
      </c>
      <c r="AB1232" s="412">
        <v>300</v>
      </c>
      <c r="AC1232" s="412"/>
      <c r="AD1232" s="412"/>
      <c r="AE1232" s="412"/>
      <c r="AF1232" s="412"/>
      <c r="AG1232" s="412"/>
      <c r="AH1232" s="412"/>
      <c r="AI1232" s="412"/>
      <c r="AJ1232" s="412">
        <f t="shared" si="59"/>
        <v>600</v>
      </c>
      <c r="AK1232" s="208"/>
      <c r="AL1232" s="250" t="s">
        <v>2067</v>
      </c>
    </row>
    <row r="1233" spans="1:38" ht="14.1" customHeight="1" x14ac:dyDescent="0.2">
      <c r="A1233" t="s">
        <v>888</v>
      </c>
      <c r="B1233" s="209">
        <v>4839</v>
      </c>
      <c r="C1233" s="210" t="s">
        <v>966</v>
      </c>
      <c r="D1233" s="229" t="s">
        <v>1526</v>
      </c>
      <c r="E1233" s="229" t="s">
        <v>432</v>
      </c>
      <c r="F1233" s="240">
        <v>250</v>
      </c>
      <c r="G1233" s="205">
        <v>1</v>
      </c>
      <c r="H1233" s="206">
        <v>500</v>
      </c>
      <c r="I1233" s="207">
        <v>41399</v>
      </c>
      <c r="J1233" s="197" t="str">
        <f t="shared" si="60"/>
        <v>ok</v>
      </c>
      <c r="K1233" s="419"/>
      <c r="L1233" s="419"/>
      <c r="M1233" s="419"/>
      <c r="N1233" s="419"/>
      <c r="O1233" s="419"/>
      <c r="P1233" s="419"/>
      <c r="Q1233" s="419"/>
      <c r="R1233" s="419"/>
      <c r="S1233" s="419"/>
      <c r="T1233" s="419"/>
      <c r="U1233" s="419"/>
      <c r="V1233" s="419"/>
      <c r="W1233" s="419">
        <f t="shared" si="58"/>
        <v>0</v>
      </c>
      <c r="X1233" s="412"/>
      <c r="Y1233" s="412"/>
      <c r="Z1233" s="412"/>
      <c r="AA1233" s="412">
        <v>250</v>
      </c>
      <c r="AB1233" s="412">
        <v>250</v>
      </c>
      <c r="AC1233" s="412"/>
      <c r="AD1233" s="412"/>
      <c r="AE1233" s="412"/>
      <c r="AF1233" s="412"/>
      <c r="AG1233" s="412"/>
      <c r="AH1233" s="412"/>
      <c r="AI1233" s="412"/>
      <c r="AJ1233" s="412">
        <f t="shared" si="59"/>
        <v>500</v>
      </c>
      <c r="AK1233" s="208"/>
      <c r="AL1233" s="250" t="s">
        <v>2067</v>
      </c>
    </row>
    <row r="1234" spans="1:38" ht="14.1" customHeight="1" x14ac:dyDescent="0.2">
      <c r="A1234" t="s">
        <v>888</v>
      </c>
      <c r="B1234" s="209">
        <v>4839</v>
      </c>
      <c r="C1234" s="210" t="s">
        <v>966</v>
      </c>
      <c r="D1234" s="229" t="s">
        <v>1526</v>
      </c>
      <c r="E1234" s="229" t="s">
        <v>432</v>
      </c>
      <c r="F1234" s="240">
        <v>250</v>
      </c>
      <c r="G1234" s="205">
        <v>5</v>
      </c>
      <c r="H1234" s="206">
        <v>20</v>
      </c>
      <c r="I1234" s="207">
        <v>41399</v>
      </c>
      <c r="J1234" s="197" t="str">
        <f t="shared" si="60"/>
        <v>ok</v>
      </c>
      <c r="K1234" s="419"/>
      <c r="L1234" s="419"/>
      <c r="M1234" s="419"/>
      <c r="N1234" s="419"/>
      <c r="O1234" s="419"/>
      <c r="P1234" s="419"/>
      <c r="Q1234" s="419"/>
      <c r="R1234" s="419"/>
      <c r="S1234" s="419"/>
      <c r="T1234" s="419"/>
      <c r="U1234" s="419"/>
      <c r="V1234" s="419"/>
      <c r="W1234" s="419">
        <f t="shared" si="58"/>
        <v>0</v>
      </c>
      <c r="X1234" s="412"/>
      <c r="Y1234" s="412"/>
      <c r="Z1234" s="412"/>
      <c r="AA1234" s="412"/>
      <c r="AB1234" s="412"/>
      <c r="AC1234" s="412"/>
      <c r="AD1234" s="412"/>
      <c r="AE1234" s="412"/>
      <c r="AF1234" s="412"/>
      <c r="AG1234" s="412"/>
      <c r="AH1234" s="412"/>
      <c r="AI1234" s="412"/>
      <c r="AJ1234" s="412">
        <f t="shared" si="59"/>
        <v>0</v>
      </c>
      <c r="AK1234" s="208"/>
      <c r="AL1234" s="250" t="s">
        <v>2068</v>
      </c>
    </row>
    <row r="1235" spans="1:38" ht="14.1" customHeight="1" x14ac:dyDescent="0.2">
      <c r="A1235" t="s">
        <v>890</v>
      </c>
      <c r="B1235" s="209">
        <v>4840</v>
      </c>
      <c r="C1235" s="210" t="s">
        <v>1034</v>
      </c>
      <c r="D1235" s="229" t="s">
        <v>1532</v>
      </c>
      <c r="E1235" s="229" t="s">
        <v>539</v>
      </c>
      <c r="F1235" s="240">
        <v>300</v>
      </c>
      <c r="G1235" s="205">
        <v>5</v>
      </c>
      <c r="H1235" s="206">
        <v>20</v>
      </c>
      <c r="I1235" s="207">
        <v>41399</v>
      </c>
      <c r="J1235" s="197" t="str">
        <f t="shared" si="60"/>
        <v>ok</v>
      </c>
      <c r="K1235" s="419"/>
      <c r="L1235" s="419"/>
      <c r="M1235" s="419"/>
      <c r="N1235" s="419"/>
      <c r="O1235" s="419"/>
      <c r="P1235" s="419"/>
      <c r="Q1235" s="419"/>
      <c r="R1235" s="419"/>
      <c r="S1235" s="419"/>
      <c r="T1235" s="419"/>
      <c r="U1235" s="419"/>
      <c r="V1235" s="419"/>
      <c r="W1235" s="419">
        <f t="shared" si="58"/>
        <v>0</v>
      </c>
      <c r="X1235" s="412"/>
      <c r="Y1235" s="412"/>
      <c r="Z1235" s="412"/>
      <c r="AA1235" s="412"/>
      <c r="AB1235" s="412"/>
      <c r="AC1235" s="412"/>
      <c r="AD1235" s="412"/>
      <c r="AE1235" s="412"/>
      <c r="AF1235" s="412"/>
      <c r="AG1235" s="412"/>
      <c r="AH1235" s="412"/>
      <c r="AI1235" s="412"/>
      <c r="AJ1235" s="412">
        <f t="shared" si="59"/>
        <v>0</v>
      </c>
      <c r="AK1235" s="208"/>
      <c r="AL1235" s="250" t="s">
        <v>2068</v>
      </c>
    </row>
    <row r="1236" spans="1:38" ht="14.1" customHeight="1" x14ac:dyDescent="0.2">
      <c r="A1236" t="s">
        <v>888</v>
      </c>
      <c r="B1236" s="209">
        <v>4841</v>
      </c>
      <c r="C1236" s="210" t="s">
        <v>921</v>
      </c>
      <c r="D1236" s="229" t="s">
        <v>1546</v>
      </c>
      <c r="E1236" s="229" t="s">
        <v>363</v>
      </c>
      <c r="F1236" s="240">
        <v>300</v>
      </c>
      <c r="G1236" s="205">
        <v>1</v>
      </c>
      <c r="H1236" s="206">
        <v>300</v>
      </c>
      <c r="I1236" s="207">
        <v>41399</v>
      </c>
      <c r="J1236" s="197" t="str">
        <f t="shared" si="60"/>
        <v>ok</v>
      </c>
      <c r="K1236" s="419"/>
      <c r="L1236" s="419"/>
      <c r="M1236" s="419"/>
      <c r="N1236" s="419"/>
      <c r="O1236" s="419"/>
      <c r="P1236" s="419"/>
      <c r="Q1236" s="419"/>
      <c r="R1236" s="419"/>
      <c r="S1236" s="419"/>
      <c r="T1236" s="419"/>
      <c r="U1236" s="419"/>
      <c r="V1236" s="419"/>
      <c r="W1236" s="419">
        <f t="shared" si="58"/>
        <v>0</v>
      </c>
      <c r="X1236" s="412"/>
      <c r="Y1236" s="412"/>
      <c r="Z1236" s="412"/>
      <c r="AA1236" s="412"/>
      <c r="AB1236" s="412">
        <v>300</v>
      </c>
      <c r="AC1236" s="412"/>
      <c r="AD1236" s="412"/>
      <c r="AE1236" s="412"/>
      <c r="AF1236" s="412"/>
      <c r="AG1236" s="412"/>
      <c r="AH1236" s="412"/>
      <c r="AI1236" s="412"/>
      <c r="AJ1236" s="412">
        <f t="shared" si="59"/>
        <v>300</v>
      </c>
      <c r="AK1236" s="208"/>
      <c r="AL1236" s="250" t="s">
        <v>2067</v>
      </c>
    </row>
    <row r="1237" spans="1:38" ht="14.1" customHeight="1" x14ac:dyDescent="0.2">
      <c r="A1237" t="s">
        <v>884</v>
      </c>
      <c r="B1237" s="209">
        <v>4842</v>
      </c>
      <c r="C1237" s="210" t="s">
        <v>801</v>
      </c>
      <c r="D1237" s="229" t="s">
        <v>1529</v>
      </c>
      <c r="E1237" s="229" t="s">
        <v>704</v>
      </c>
      <c r="F1237" s="240">
        <v>300</v>
      </c>
      <c r="G1237" s="205">
        <v>1</v>
      </c>
      <c r="H1237" s="206">
        <v>900</v>
      </c>
      <c r="I1237" s="207">
        <v>41399</v>
      </c>
      <c r="J1237" s="197" t="str">
        <f t="shared" si="60"/>
        <v>ok</v>
      </c>
      <c r="K1237" s="419"/>
      <c r="L1237" s="419"/>
      <c r="M1237" s="419"/>
      <c r="N1237" s="419"/>
      <c r="O1237" s="419"/>
      <c r="P1237" s="419"/>
      <c r="Q1237" s="419"/>
      <c r="R1237" s="419"/>
      <c r="S1237" s="419"/>
      <c r="T1237" s="419"/>
      <c r="U1237" s="419"/>
      <c r="V1237" s="419"/>
      <c r="W1237" s="419">
        <f t="shared" si="58"/>
        <v>0</v>
      </c>
      <c r="X1237" s="412"/>
      <c r="Y1237" s="412"/>
      <c r="Z1237" s="412">
        <v>300</v>
      </c>
      <c r="AA1237" s="412">
        <v>300</v>
      </c>
      <c r="AB1237" s="412">
        <v>300</v>
      </c>
      <c r="AC1237" s="412"/>
      <c r="AD1237" s="412"/>
      <c r="AE1237" s="412"/>
      <c r="AF1237" s="412"/>
      <c r="AG1237" s="412"/>
      <c r="AH1237" s="412"/>
      <c r="AI1237" s="412"/>
      <c r="AJ1237" s="412">
        <f t="shared" si="59"/>
        <v>900</v>
      </c>
      <c r="AK1237" s="208"/>
      <c r="AL1237" s="250" t="s">
        <v>2067</v>
      </c>
    </row>
    <row r="1238" spans="1:38" ht="14.1" customHeight="1" x14ac:dyDescent="0.2">
      <c r="A1238" t="s">
        <v>884</v>
      </c>
      <c r="B1238" s="209">
        <v>4843</v>
      </c>
      <c r="C1238" s="210" t="s">
        <v>871</v>
      </c>
      <c r="D1238" s="229" t="s">
        <v>1479</v>
      </c>
      <c r="E1238" s="229" t="s">
        <v>1252</v>
      </c>
      <c r="F1238" s="240">
        <v>200</v>
      </c>
      <c r="G1238" s="205">
        <v>1</v>
      </c>
      <c r="H1238" s="206">
        <v>400</v>
      </c>
      <c r="I1238" s="207">
        <v>41399</v>
      </c>
      <c r="J1238" s="197" t="str">
        <f t="shared" si="60"/>
        <v>ok</v>
      </c>
      <c r="K1238" s="419"/>
      <c r="L1238" s="419"/>
      <c r="M1238" s="419"/>
      <c r="N1238" s="419"/>
      <c r="O1238" s="419"/>
      <c r="P1238" s="419"/>
      <c r="Q1238" s="419"/>
      <c r="R1238" s="419"/>
      <c r="S1238" s="419"/>
      <c r="T1238" s="419"/>
      <c r="U1238" s="419"/>
      <c r="V1238" s="419"/>
      <c r="W1238" s="419">
        <f t="shared" si="58"/>
        <v>0</v>
      </c>
      <c r="X1238" s="412"/>
      <c r="Y1238" s="412"/>
      <c r="Z1238" s="412"/>
      <c r="AA1238" s="412">
        <v>200</v>
      </c>
      <c r="AB1238" s="412">
        <v>200</v>
      </c>
      <c r="AC1238" s="412"/>
      <c r="AD1238" s="412"/>
      <c r="AE1238" s="412"/>
      <c r="AF1238" s="412"/>
      <c r="AG1238" s="412"/>
      <c r="AH1238" s="412"/>
      <c r="AI1238" s="412"/>
      <c r="AJ1238" s="412">
        <f t="shared" si="59"/>
        <v>400</v>
      </c>
      <c r="AK1238" s="208"/>
      <c r="AL1238" s="250" t="s">
        <v>2067</v>
      </c>
    </row>
    <row r="1239" spans="1:38" ht="14.1" customHeight="1" x14ac:dyDescent="0.2">
      <c r="A1239" t="s">
        <v>884</v>
      </c>
      <c r="B1239" s="209">
        <v>4843</v>
      </c>
      <c r="C1239" s="210" t="s">
        <v>871</v>
      </c>
      <c r="D1239" s="229" t="s">
        <v>1479</v>
      </c>
      <c r="E1239" s="229" t="s">
        <v>1252</v>
      </c>
      <c r="F1239" s="240">
        <v>200</v>
      </c>
      <c r="G1239" s="205">
        <v>3</v>
      </c>
      <c r="H1239" s="206">
        <v>150</v>
      </c>
      <c r="I1239" s="207">
        <v>41399</v>
      </c>
      <c r="J1239" s="197" t="str">
        <f t="shared" si="60"/>
        <v>ok</v>
      </c>
      <c r="K1239" s="419"/>
      <c r="L1239" s="419"/>
      <c r="M1239" s="419"/>
      <c r="N1239" s="419"/>
      <c r="O1239" s="419"/>
      <c r="P1239" s="419"/>
      <c r="Q1239" s="419"/>
      <c r="R1239" s="419"/>
      <c r="S1239" s="419"/>
      <c r="T1239" s="419"/>
      <c r="U1239" s="419"/>
      <c r="V1239" s="419"/>
      <c r="W1239" s="419">
        <f t="shared" si="58"/>
        <v>0</v>
      </c>
      <c r="X1239" s="412"/>
      <c r="Y1239" s="412"/>
      <c r="Z1239" s="412"/>
      <c r="AA1239" s="412"/>
      <c r="AB1239" s="412"/>
      <c r="AC1239" s="412"/>
      <c r="AD1239" s="412"/>
      <c r="AE1239" s="412"/>
      <c r="AF1239" s="412"/>
      <c r="AG1239" s="412"/>
      <c r="AH1239" s="412"/>
      <c r="AI1239" s="412"/>
      <c r="AJ1239" s="412">
        <f t="shared" si="59"/>
        <v>0</v>
      </c>
      <c r="AK1239" s="208"/>
      <c r="AL1239" s="250" t="s">
        <v>2068</v>
      </c>
    </row>
    <row r="1240" spans="1:38" ht="14.1" customHeight="1" x14ac:dyDescent="0.2">
      <c r="A1240" t="s">
        <v>890</v>
      </c>
      <c r="B1240" s="209">
        <v>4844</v>
      </c>
      <c r="C1240" s="210" t="s">
        <v>989</v>
      </c>
      <c r="D1240" s="229" t="s">
        <v>1392</v>
      </c>
      <c r="E1240" s="229" t="s">
        <v>478</v>
      </c>
      <c r="F1240" s="240">
        <v>300</v>
      </c>
      <c r="G1240" s="205">
        <v>1</v>
      </c>
      <c r="H1240" s="206">
        <v>300</v>
      </c>
      <c r="I1240" s="207">
        <v>41399</v>
      </c>
      <c r="J1240" s="197" t="str">
        <f t="shared" si="60"/>
        <v>ok</v>
      </c>
      <c r="K1240" s="419"/>
      <c r="L1240" s="419"/>
      <c r="M1240" s="419"/>
      <c r="N1240" s="419"/>
      <c r="O1240" s="419"/>
      <c r="P1240" s="419"/>
      <c r="Q1240" s="419"/>
      <c r="R1240" s="419"/>
      <c r="S1240" s="419"/>
      <c r="T1240" s="419"/>
      <c r="U1240" s="419"/>
      <c r="V1240" s="419"/>
      <c r="W1240" s="419">
        <f t="shared" si="58"/>
        <v>0</v>
      </c>
      <c r="X1240" s="412"/>
      <c r="Y1240" s="412"/>
      <c r="Z1240" s="412"/>
      <c r="AA1240" s="412"/>
      <c r="AB1240" s="412">
        <v>300</v>
      </c>
      <c r="AC1240" s="412"/>
      <c r="AD1240" s="412"/>
      <c r="AE1240" s="412"/>
      <c r="AF1240" s="412"/>
      <c r="AG1240" s="412"/>
      <c r="AH1240" s="412"/>
      <c r="AI1240" s="412"/>
      <c r="AJ1240" s="412">
        <f t="shared" si="59"/>
        <v>300</v>
      </c>
      <c r="AK1240" s="208"/>
      <c r="AL1240" s="250" t="s">
        <v>2067</v>
      </c>
    </row>
    <row r="1241" spans="1:38" ht="14.1" customHeight="1" x14ac:dyDescent="0.2">
      <c r="A1241" t="s">
        <v>893</v>
      </c>
      <c r="B1241" s="209">
        <v>4845</v>
      </c>
      <c r="C1241" s="210" t="s">
        <v>1086</v>
      </c>
      <c r="D1241" s="229" t="s">
        <v>1376</v>
      </c>
      <c r="E1241" s="229" t="s">
        <v>113</v>
      </c>
      <c r="F1241" s="240">
        <v>300</v>
      </c>
      <c r="G1241" s="205">
        <v>1</v>
      </c>
      <c r="H1241" s="206">
        <v>300</v>
      </c>
      <c r="I1241" s="207">
        <v>41400</v>
      </c>
      <c r="J1241" s="197" t="str">
        <f t="shared" si="60"/>
        <v>ok</v>
      </c>
      <c r="K1241" s="419"/>
      <c r="L1241" s="419"/>
      <c r="M1241" s="419"/>
      <c r="N1241" s="419"/>
      <c r="O1241" s="419"/>
      <c r="P1241" s="419"/>
      <c r="Q1241" s="419"/>
      <c r="R1241" s="419"/>
      <c r="S1241" s="419"/>
      <c r="T1241" s="419"/>
      <c r="U1241" s="419"/>
      <c r="V1241" s="419"/>
      <c r="W1241" s="419">
        <f t="shared" si="58"/>
        <v>0</v>
      </c>
      <c r="X1241" s="412"/>
      <c r="Y1241" s="412"/>
      <c r="Z1241" s="412"/>
      <c r="AA1241" s="412"/>
      <c r="AB1241" s="412">
        <v>300</v>
      </c>
      <c r="AC1241" s="412"/>
      <c r="AD1241" s="412"/>
      <c r="AE1241" s="412"/>
      <c r="AF1241" s="412"/>
      <c r="AG1241" s="412"/>
      <c r="AH1241" s="412"/>
      <c r="AI1241" s="412"/>
      <c r="AJ1241" s="412">
        <f t="shared" si="59"/>
        <v>300</v>
      </c>
      <c r="AK1241" s="208"/>
      <c r="AL1241" s="250" t="s">
        <v>2067</v>
      </c>
    </row>
    <row r="1242" spans="1:38" ht="14.1" customHeight="1" x14ac:dyDescent="0.2">
      <c r="B1242" s="209">
        <v>4846</v>
      </c>
      <c r="C1242" s="210"/>
      <c r="D1242" s="229" t="s">
        <v>1362</v>
      </c>
      <c r="E1242" s="229" t="s">
        <v>1362</v>
      </c>
      <c r="F1242" s="240" t="s">
        <v>1362</v>
      </c>
      <c r="G1242" s="205">
        <v>8</v>
      </c>
      <c r="H1242" s="206"/>
      <c r="I1242" s="207"/>
      <c r="J1242" s="197" t="str">
        <f t="shared" si="60"/>
        <v>ok</v>
      </c>
      <c r="K1242" s="419"/>
      <c r="L1242" s="419"/>
      <c r="M1242" s="419"/>
      <c r="N1242" s="419"/>
      <c r="O1242" s="419"/>
      <c r="P1242" s="419"/>
      <c r="Q1242" s="419"/>
      <c r="R1242" s="419"/>
      <c r="S1242" s="419"/>
      <c r="T1242" s="419"/>
      <c r="U1242" s="419"/>
      <c r="V1242" s="419"/>
      <c r="W1242" s="419">
        <f t="shared" si="58"/>
        <v>0</v>
      </c>
      <c r="X1242" s="412"/>
      <c r="Y1242" s="412"/>
      <c r="Z1242" s="412"/>
      <c r="AA1242" s="412"/>
      <c r="AB1242" s="412"/>
      <c r="AC1242" s="412"/>
      <c r="AD1242" s="412"/>
      <c r="AE1242" s="412"/>
      <c r="AF1242" s="412"/>
      <c r="AG1242" s="412"/>
      <c r="AH1242" s="412"/>
      <c r="AI1242" s="412"/>
      <c r="AJ1242" s="412">
        <f t="shared" si="59"/>
        <v>0</v>
      </c>
      <c r="AK1242" s="208" t="s">
        <v>755</v>
      </c>
      <c r="AL1242" s="250" t="s">
        <v>2067</v>
      </c>
    </row>
    <row r="1243" spans="1:38" ht="14.1" customHeight="1" x14ac:dyDescent="0.2">
      <c r="A1243" t="s">
        <v>884</v>
      </c>
      <c r="B1243" s="209">
        <v>4847</v>
      </c>
      <c r="C1243" s="210" t="s">
        <v>872</v>
      </c>
      <c r="D1243" s="229" t="s">
        <v>1501</v>
      </c>
      <c r="E1243" s="229" t="s">
        <v>125</v>
      </c>
      <c r="F1243" s="240">
        <v>300</v>
      </c>
      <c r="G1243" s="205">
        <v>1</v>
      </c>
      <c r="H1243" s="206">
        <v>300</v>
      </c>
      <c r="I1243" s="207">
        <v>41402</v>
      </c>
      <c r="J1243" s="197" t="str">
        <f t="shared" si="60"/>
        <v>ok</v>
      </c>
      <c r="K1243" s="419"/>
      <c r="L1243" s="419"/>
      <c r="M1243" s="419"/>
      <c r="N1243" s="419"/>
      <c r="O1243" s="419"/>
      <c r="P1243" s="419"/>
      <c r="Q1243" s="419"/>
      <c r="R1243" s="419"/>
      <c r="S1243" s="419"/>
      <c r="T1243" s="419"/>
      <c r="U1243" s="419"/>
      <c r="V1243" s="419"/>
      <c r="W1243" s="419">
        <f t="shared" si="58"/>
        <v>0</v>
      </c>
      <c r="X1243" s="412"/>
      <c r="Y1243" s="412"/>
      <c r="Z1243" s="412"/>
      <c r="AA1243" s="412"/>
      <c r="AB1243" s="412">
        <v>300</v>
      </c>
      <c r="AC1243" s="412"/>
      <c r="AD1243" s="412"/>
      <c r="AE1243" s="412"/>
      <c r="AF1243" s="412"/>
      <c r="AG1243" s="412"/>
      <c r="AH1243" s="412"/>
      <c r="AI1243" s="412"/>
      <c r="AJ1243" s="412">
        <f t="shared" si="59"/>
        <v>300</v>
      </c>
      <c r="AK1243" s="208"/>
      <c r="AL1243" s="250" t="s">
        <v>2067</v>
      </c>
    </row>
    <row r="1244" spans="1:38" ht="14.1" customHeight="1" x14ac:dyDescent="0.2">
      <c r="A1244" t="s">
        <v>893</v>
      </c>
      <c r="B1244" s="209">
        <v>4848</v>
      </c>
      <c r="C1244" s="210" t="s">
        <v>1107</v>
      </c>
      <c r="D1244" s="229" t="s">
        <v>1453</v>
      </c>
      <c r="E1244" s="229" t="s">
        <v>255</v>
      </c>
      <c r="F1244" s="240">
        <v>300</v>
      </c>
      <c r="G1244" s="205">
        <v>1</v>
      </c>
      <c r="H1244" s="206">
        <v>300</v>
      </c>
      <c r="I1244" s="207">
        <v>41402</v>
      </c>
      <c r="J1244" s="197" t="str">
        <f t="shared" si="60"/>
        <v>ok</v>
      </c>
      <c r="K1244" s="419"/>
      <c r="L1244" s="419"/>
      <c r="M1244" s="419"/>
      <c r="N1244" s="419"/>
      <c r="O1244" s="419"/>
      <c r="P1244" s="419"/>
      <c r="Q1244" s="419"/>
      <c r="R1244" s="419"/>
      <c r="S1244" s="419"/>
      <c r="T1244" s="419"/>
      <c r="U1244" s="419"/>
      <c r="V1244" s="419"/>
      <c r="W1244" s="419">
        <f t="shared" si="58"/>
        <v>0</v>
      </c>
      <c r="X1244" s="412"/>
      <c r="Y1244" s="412"/>
      <c r="Z1244" s="412"/>
      <c r="AA1244" s="412"/>
      <c r="AB1244" s="412">
        <v>300</v>
      </c>
      <c r="AC1244" s="412"/>
      <c r="AD1244" s="412"/>
      <c r="AE1244" s="412"/>
      <c r="AF1244" s="412"/>
      <c r="AG1244" s="412"/>
      <c r="AH1244" s="412"/>
      <c r="AI1244" s="412"/>
      <c r="AJ1244" s="412">
        <f t="shared" si="59"/>
        <v>300</v>
      </c>
      <c r="AK1244" s="208"/>
      <c r="AL1244" s="250" t="s">
        <v>2067</v>
      </c>
    </row>
    <row r="1245" spans="1:38" ht="14.1" customHeight="1" x14ac:dyDescent="0.2">
      <c r="A1245" t="s">
        <v>884</v>
      </c>
      <c r="B1245" s="209">
        <v>4849</v>
      </c>
      <c r="C1245" s="210" t="s">
        <v>847</v>
      </c>
      <c r="D1245" s="229" t="s">
        <v>1647</v>
      </c>
      <c r="E1245" s="229" t="s">
        <v>88</v>
      </c>
      <c r="F1245" s="240">
        <v>300</v>
      </c>
      <c r="G1245" s="205">
        <v>1</v>
      </c>
      <c r="H1245" s="206">
        <v>600</v>
      </c>
      <c r="I1245" s="207">
        <v>41402</v>
      </c>
      <c r="J1245" s="197" t="str">
        <f t="shared" si="60"/>
        <v>ok</v>
      </c>
      <c r="K1245" s="419"/>
      <c r="L1245" s="419"/>
      <c r="M1245" s="419"/>
      <c r="N1245" s="419"/>
      <c r="O1245" s="419"/>
      <c r="P1245" s="419"/>
      <c r="Q1245" s="419"/>
      <c r="R1245" s="419"/>
      <c r="S1245" s="419"/>
      <c r="T1245" s="419"/>
      <c r="U1245" s="419"/>
      <c r="V1245" s="419"/>
      <c r="W1245" s="419">
        <f t="shared" si="58"/>
        <v>0</v>
      </c>
      <c r="X1245" s="412"/>
      <c r="Y1245" s="412"/>
      <c r="Z1245" s="412"/>
      <c r="AA1245" s="412">
        <v>300</v>
      </c>
      <c r="AB1245" s="412">
        <v>300</v>
      </c>
      <c r="AC1245" s="412"/>
      <c r="AD1245" s="412"/>
      <c r="AE1245" s="412"/>
      <c r="AF1245" s="412"/>
      <c r="AG1245" s="412"/>
      <c r="AH1245" s="412"/>
      <c r="AI1245" s="412"/>
      <c r="AJ1245" s="412">
        <f t="shared" si="59"/>
        <v>600</v>
      </c>
      <c r="AK1245" s="208"/>
      <c r="AL1245" s="250" t="s">
        <v>2067</v>
      </c>
    </row>
    <row r="1246" spans="1:38" ht="14.1" customHeight="1" x14ac:dyDescent="0.2">
      <c r="B1246" s="209">
        <v>4850</v>
      </c>
      <c r="C1246" s="210"/>
      <c r="D1246" s="229" t="s">
        <v>1362</v>
      </c>
      <c r="E1246" s="229" t="s">
        <v>1362</v>
      </c>
      <c r="F1246" s="240" t="s">
        <v>1362</v>
      </c>
      <c r="G1246" s="205">
        <v>8</v>
      </c>
      <c r="H1246" s="206"/>
      <c r="I1246" s="207"/>
      <c r="J1246" s="197" t="str">
        <f t="shared" si="60"/>
        <v>ok</v>
      </c>
      <c r="K1246" s="419"/>
      <c r="L1246" s="419"/>
      <c r="M1246" s="419"/>
      <c r="N1246" s="419"/>
      <c r="O1246" s="419"/>
      <c r="P1246" s="419"/>
      <c r="Q1246" s="419"/>
      <c r="R1246" s="419"/>
      <c r="S1246" s="419"/>
      <c r="T1246" s="419"/>
      <c r="U1246" s="419"/>
      <c r="V1246" s="419"/>
      <c r="W1246" s="419">
        <f t="shared" si="58"/>
        <v>0</v>
      </c>
      <c r="X1246" s="412"/>
      <c r="Y1246" s="412"/>
      <c r="Z1246" s="412"/>
      <c r="AA1246" s="412"/>
      <c r="AB1246" s="412"/>
      <c r="AC1246" s="412"/>
      <c r="AD1246" s="412"/>
      <c r="AE1246" s="412"/>
      <c r="AF1246" s="412"/>
      <c r="AG1246" s="412"/>
      <c r="AH1246" s="412"/>
      <c r="AI1246" s="412"/>
      <c r="AJ1246" s="412">
        <f t="shared" si="59"/>
        <v>0</v>
      </c>
      <c r="AK1246" s="208" t="s">
        <v>755</v>
      </c>
      <c r="AL1246" s="250" t="s">
        <v>2067</v>
      </c>
    </row>
    <row r="1247" spans="1:38" ht="14.1" customHeight="1" x14ac:dyDescent="0.2">
      <c r="A1247" t="s">
        <v>884</v>
      </c>
      <c r="B1247" s="209">
        <v>4851</v>
      </c>
      <c r="C1247" s="210" t="s">
        <v>832</v>
      </c>
      <c r="D1247" s="229" t="s">
        <v>1658</v>
      </c>
      <c r="E1247" s="229" t="s">
        <v>66</v>
      </c>
      <c r="F1247" s="240">
        <v>300</v>
      </c>
      <c r="G1247" s="205">
        <v>1</v>
      </c>
      <c r="H1247" s="206">
        <v>600</v>
      </c>
      <c r="I1247" s="207">
        <v>41403</v>
      </c>
      <c r="J1247" s="197" t="str">
        <f t="shared" si="60"/>
        <v>ok</v>
      </c>
      <c r="K1247" s="419"/>
      <c r="L1247" s="419"/>
      <c r="M1247" s="419"/>
      <c r="N1247" s="419"/>
      <c r="O1247" s="419"/>
      <c r="P1247" s="419"/>
      <c r="Q1247" s="419"/>
      <c r="R1247" s="419"/>
      <c r="S1247" s="419"/>
      <c r="T1247" s="419"/>
      <c r="U1247" s="419"/>
      <c r="V1247" s="419"/>
      <c r="W1247" s="419">
        <f t="shared" si="58"/>
        <v>0</v>
      </c>
      <c r="X1247" s="412">
        <v>300</v>
      </c>
      <c r="Y1247" s="412">
        <v>300</v>
      </c>
      <c r="Z1247" s="412"/>
      <c r="AA1247" s="412"/>
      <c r="AB1247" s="412"/>
      <c r="AC1247" s="412"/>
      <c r="AD1247" s="412"/>
      <c r="AE1247" s="412"/>
      <c r="AF1247" s="412"/>
      <c r="AG1247" s="412"/>
      <c r="AH1247" s="412"/>
      <c r="AI1247" s="412"/>
      <c r="AJ1247" s="412">
        <f t="shared" si="59"/>
        <v>600</v>
      </c>
      <c r="AK1247" s="208"/>
      <c r="AL1247" s="250" t="s">
        <v>2067</v>
      </c>
    </row>
    <row r="1248" spans="1:38" ht="14.1" customHeight="1" x14ac:dyDescent="0.2">
      <c r="A1248" t="s">
        <v>893</v>
      </c>
      <c r="B1248" s="209">
        <v>4852</v>
      </c>
      <c r="C1248" s="210" t="s">
        <v>1120</v>
      </c>
      <c r="D1248" s="229" t="s">
        <v>1601</v>
      </c>
      <c r="E1248" s="229" t="s">
        <v>276</v>
      </c>
      <c r="F1248" s="240">
        <v>300</v>
      </c>
      <c r="G1248" s="205">
        <v>1</v>
      </c>
      <c r="H1248" s="206">
        <v>900</v>
      </c>
      <c r="I1248" s="207">
        <v>41403</v>
      </c>
      <c r="J1248" s="197" t="str">
        <f t="shared" si="60"/>
        <v>ok</v>
      </c>
      <c r="K1248" s="419"/>
      <c r="L1248" s="419"/>
      <c r="M1248" s="419"/>
      <c r="N1248" s="419"/>
      <c r="O1248" s="419"/>
      <c r="P1248" s="419"/>
      <c r="Q1248" s="419"/>
      <c r="R1248" s="419"/>
      <c r="S1248" s="419"/>
      <c r="T1248" s="419"/>
      <c r="U1248" s="419"/>
      <c r="V1248" s="419"/>
      <c r="W1248" s="419">
        <f t="shared" si="58"/>
        <v>0</v>
      </c>
      <c r="X1248" s="412"/>
      <c r="Y1248" s="412"/>
      <c r="Z1248" s="412"/>
      <c r="AA1248" s="412"/>
      <c r="AB1248" s="412">
        <v>300</v>
      </c>
      <c r="AC1248" s="412">
        <v>300</v>
      </c>
      <c r="AD1248" s="412">
        <v>300</v>
      </c>
      <c r="AE1248" s="412"/>
      <c r="AF1248" s="412"/>
      <c r="AG1248" s="412"/>
      <c r="AH1248" s="412"/>
      <c r="AI1248" s="412"/>
      <c r="AJ1248" s="412">
        <f t="shared" si="59"/>
        <v>900</v>
      </c>
      <c r="AK1248" s="208"/>
      <c r="AL1248" s="250" t="s">
        <v>2067</v>
      </c>
    </row>
    <row r="1249" spans="1:38" ht="14.1" customHeight="1" x14ac:dyDescent="0.2">
      <c r="A1249" t="s">
        <v>888</v>
      </c>
      <c r="B1249" s="209">
        <v>4853</v>
      </c>
      <c r="C1249" s="210" t="s">
        <v>925</v>
      </c>
      <c r="D1249" s="229" t="s">
        <v>1371</v>
      </c>
      <c r="E1249" s="229" t="s">
        <v>373</v>
      </c>
      <c r="F1249" s="240">
        <v>300</v>
      </c>
      <c r="G1249" s="205">
        <v>1</v>
      </c>
      <c r="H1249" s="206">
        <v>300</v>
      </c>
      <c r="I1249" s="207">
        <v>41406</v>
      </c>
      <c r="J1249" s="197" t="str">
        <f t="shared" si="60"/>
        <v>ok</v>
      </c>
      <c r="K1249" s="419"/>
      <c r="L1249" s="419"/>
      <c r="M1249" s="419"/>
      <c r="N1249" s="419"/>
      <c r="O1249" s="419"/>
      <c r="P1249" s="419"/>
      <c r="Q1249" s="419"/>
      <c r="R1249" s="419"/>
      <c r="S1249" s="419"/>
      <c r="T1249" s="419"/>
      <c r="U1249" s="419"/>
      <c r="V1249" s="419"/>
      <c r="W1249" s="419">
        <f t="shared" si="58"/>
        <v>0</v>
      </c>
      <c r="X1249" s="412"/>
      <c r="Y1249" s="412"/>
      <c r="Z1249" s="412"/>
      <c r="AA1249" s="412"/>
      <c r="AB1249" s="412">
        <v>300</v>
      </c>
      <c r="AC1249" s="412"/>
      <c r="AD1249" s="412"/>
      <c r="AE1249" s="412"/>
      <c r="AF1249" s="412"/>
      <c r="AG1249" s="412"/>
      <c r="AH1249" s="412"/>
      <c r="AI1249" s="412"/>
      <c r="AJ1249" s="412">
        <f t="shared" si="59"/>
        <v>300</v>
      </c>
      <c r="AK1249" s="208"/>
      <c r="AL1249" s="250" t="s">
        <v>2067</v>
      </c>
    </row>
    <row r="1250" spans="1:38" ht="14.1" customHeight="1" x14ac:dyDescent="0.2">
      <c r="A1250" t="s">
        <v>888</v>
      </c>
      <c r="B1250" s="209">
        <v>4854</v>
      </c>
      <c r="C1250" s="210" t="s">
        <v>939</v>
      </c>
      <c r="D1250" s="229" t="s">
        <v>1507</v>
      </c>
      <c r="E1250" s="229" t="s">
        <v>395</v>
      </c>
      <c r="F1250" s="240">
        <v>300</v>
      </c>
      <c r="G1250" s="205">
        <v>1</v>
      </c>
      <c r="H1250" s="206">
        <v>600</v>
      </c>
      <c r="I1250" s="207">
        <v>41406</v>
      </c>
      <c r="J1250" s="197" t="str">
        <f t="shared" si="60"/>
        <v>ok</v>
      </c>
      <c r="K1250" s="419"/>
      <c r="L1250" s="419"/>
      <c r="M1250" s="419"/>
      <c r="N1250" s="419"/>
      <c r="O1250" s="419"/>
      <c r="P1250" s="419"/>
      <c r="Q1250" s="419"/>
      <c r="R1250" s="419"/>
      <c r="S1250" s="419"/>
      <c r="T1250" s="419"/>
      <c r="U1250" s="419"/>
      <c r="V1250" s="419"/>
      <c r="W1250" s="419">
        <f t="shared" si="58"/>
        <v>0</v>
      </c>
      <c r="X1250" s="412"/>
      <c r="Y1250" s="412"/>
      <c r="Z1250" s="412"/>
      <c r="AA1250" s="412">
        <v>300</v>
      </c>
      <c r="AB1250" s="412">
        <v>300</v>
      </c>
      <c r="AC1250" s="412"/>
      <c r="AD1250" s="412"/>
      <c r="AE1250" s="412"/>
      <c r="AF1250" s="412"/>
      <c r="AG1250" s="412"/>
      <c r="AH1250" s="412"/>
      <c r="AI1250" s="412"/>
      <c r="AJ1250" s="412">
        <f t="shared" si="59"/>
        <v>600</v>
      </c>
      <c r="AK1250" s="208"/>
      <c r="AL1250" s="250" t="s">
        <v>2067</v>
      </c>
    </row>
    <row r="1251" spans="1:38" ht="14.1" customHeight="1" x14ac:dyDescent="0.2">
      <c r="A1251" t="s">
        <v>884</v>
      </c>
      <c r="B1251" s="209">
        <v>4855</v>
      </c>
      <c r="C1251" s="210" t="s">
        <v>867</v>
      </c>
      <c r="D1251" s="229" t="s">
        <v>1513</v>
      </c>
      <c r="E1251" s="229" t="s">
        <v>118</v>
      </c>
      <c r="F1251" s="240">
        <v>300</v>
      </c>
      <c r="G1251" s="205">
        <v>1</v>
      </c>
      <c r="H1251" s="206">
        <v>300</v>
      </c>
      <c r="I1251" s="207">
        <v>41406</v>
      </c>
      <c r="J1251" s="197" t="str">
        <f t="shared" si="60"/>
        <v>ok</v>
      </c>
      <c r="K1251" s="419"/>
      <c r="L1251" s="419"/>
      <c r="M1251" s="419"/>
      <c r="N1251" s="419"/>
      <c r="O1251" s="419"/>
      <c r="P1251" s="419"/>
      <c r="Q1251" s="419"/>
      <c r="R1251" s="419"/>
      <c r="S1251" s="419"/>
      <c r="T1251" s="419"/>
      <c r="U1251" s="419"/>
      <c r="V1251" s="419"/>
      <c r="W1251" s="419">
        <f t="shared" si="58"/>
        <v>0</v>
      </c>
      <c r="X1251" s="412"/>
      <c r="Y1251" s="412"/>
      <c r="Z1251" s="412"/>
      <c r="AA1251" s="412"/>
      <c r="AB1251" s="412">
        <v>300</v>
      </c>
      <c r="AC1251" s="412"/>
      <c r="AD1251" s="412"/>
      <c r="AE1251" s="412"/>
      <c r="AF1251" s="412"/>
      <c r="AG1251" s="412"/>
      <c r="AH1251" s="412"/>
      <c r="AI1251" s="412"/>
      <c r="AJ1251" s="412">
        <f t="shared" si="59"/>
        <v>300</v>
      </c>
      <c r="AK1251" s="208"/>
      <c r="AL1251" s="250" t="s">
        <v>2067</v>
      </c>
    </row>
    <row r="1252" spans="1:38" ht="14.1" customHeight="1" x14ac:dyDescent="0.2">
      <c r="A1252" t="s">
        <v>884</v>
      </c>
      <c r="B1252" s="209">
        <v>4856</v>
      </c>
      <c r="C1252" s="210" t="s">
        <v>873</v>
      </c>
      <c r="D1252" s="229" t="s">
        <v>1385</v>
      </c>
      <c r="E1252" s="229" t="s">
        <v>126</v>
      </c>
      <c r="F1252" s="240">
        <v>300</v>
      </c>
      <c r="G1252" s="205">
        <v>1</v>
      </c>
      <c r="H1252" s="206">
        <v>600</v>
      </c>
      <c r="I1252" s="207">
        <v>41406</v>
      </c>
      <c r="J1252" s="197" t="str">
        <f t="shared" si="60"/>
        <v>ok</v>
      </c>
      <c r="K1252" s="419"/>
      <c r="L1252" s="419"/>
      <c r="M1252" s="419"/>
      <c r="N1252" s="419"/>
      <c r="O1252" s="419"/>
      <c r="P1252" s="419"/>
      <c r="Q1252" s="419"/>
      <c r="R1252" s="419"/>
      <c r="S1252" s="419"/>
      <c r="T1252" s="419"/>
      <c r="U1252" s="419"/>
      <c r="V1252" s="419"/>
      <c r="W1252" s="419">
        <f t="shared" si="58"/>
        <v>0</v>
      </c>
      <c r="X1252" s="412"/>
      <c r="Y1252" s="412"/>
      <c r="Z1252" s="412"/>
      <c r="AA1252" s="412"/>
      <c r="AB1252" s="412">
        <v>300</v>
      </c>
      <c r="AC1252" s="412">
        <v>300</v>
      </c>
      <c r="AD1252" s="412"/>
      <c r="AE1252" s="412"/>
      <c r="AF1252" s="412"/>
      <c r="AG1252" s="412"/>
      <c r="AH1252" s="412"/>
      <c r="AI1252" s="412"/>
      <c r="AJ1252" s="412">
        <f t="shared" si="59"/>
        <v>600</v>
      </c>
      <c r="AK1252" s="208"/>
      <c r="AL1252" s="250" t="s">
        <v>2067</v>
      </c>
    </row>
    <row r="1253" spans="1:38" ht="14.1" customHeight="1" x14ac:dyDescent="0.2">
      <c r="A1253" t="s">
        <v>890</v>
      </c>
      <c r="B1253" s="209">
        <v>4857</v>
      </c>
      <c r="C1253" s="210" t="s">
        <v>977</v>
      </c>
      <c r="D1253" s="229" t="s">
        <v>1494</v>
      </c>
      <c r="E1253" s="229" t="s">
        <v>359</v>
      </c>
      <c r="F1253" s="240">
        <v>150</v>
      </c>
      <c r="G1253" s="205">
        <v>1</v>
      </c>
      <c r="H1253" s="206">
        <v>150</v>
      </c>
      <c r="I1253" s="207">
        <v>41406</v>
      </c>
      <c r="J1253" s="197" t="str">
        <f t="shared" si="60"/>
        <v>ok</v>
      </c>
      <c r="K1253" s="419"/>
      <c r="L1253" s="419"/>
      <c r="M1253" s="419"/>
      <c r="N1253" s="419"/>
      <c r="O1253" s="419"/>
      <c r="P1253" s="419"/>
      <c r="Q1253" s="419"/>
      <c r="R1253" s="419"/>
      <c r="S1253" s="419"/>
      <c r="T1253" s="419"/>
      <c r="U1253" s="419"/>
      <c r="V1253" s="419"/>
      <c r="W1253" s="419">
        <f t="shared" si="58"/>
        <v>0</v>
      </c>
      <c r="X1253" s="412"/>
      <c r="Y1253" s="412"/>
      <c r="Z1253" s="412"/>
      <c r="AA1253" s="412"/>
      <c r="AB1253" s="412">
        <v>150</v>
      </c>
      <c r="AC1253" s="412"/>
      <c r="AD1253" s="412"/>
      <c r="AE1253" s="412"/>
      <c r="AF1253" s="412"/>
      <c r="AG1253" s="412"/>
      <c r="AH1253" s="412"/>
      <c r="AI1253" s="412"/>
      <c r="AJ1253" s="412">
        <f t="shared" si="59"/>
        <v>150</v>
      </c>
      <c r="AK1253" s="208"/>
      <c r="AL1253" s="250" t="s">
        <v>2067</v>
      </c>
    </row>
    <row r="1254" spans="1:38" ht="14.1" customHeight="1" x14ac:dyDescent="0.2">
      <c r="A1254" t="s">
        <v>884</v>
      </c>
      <c r="B1254" s="209">
        <v>4858</v>
      </c>
      <c r="C1254" s="210" t="s">
        <v>835</v>
      </c>
      <c r="D1254" s="229" t="s">
        <v>1597</v>
      </c>
      <c r="E1254" s="229" t="s">
        <v>72</v>
      </c>
      <c r="F1254" s="240">
        <v>300</v>
      </c>
      <c r="G1254" s="205">
        <v>1</v>
      </c>
      <c r="H1254" s="206">
        <v>300</v>
      </c>
      <c r="I1254" s="207">
        <v>41406</v>
      </c>
      <c r="J1254" s="197" t="str">
        <f t="shared" si="60"/>
        <v>ok</v>
      </c>
      <c r="K1254" s="419"/>
      <c r="L1254" s="419"/>
      <c r="M1254" s="419"/>
      <c r="N1254" s="419"/>
      <c r="O1254" s="419"/>
      <c r="P1254" s="419"/>
      <c r="Q1254" s="419"/>
      <c r="R1254" s="419"/>
      <c r="S1254" s="419"/>
      <c r="T1254" s="419"/>
      <c r="U1254" s="419"/>
      <c r="V1254" s="419"/>
      <c r="W1254" s="419">
        <f t="shared" si="58"/>
        <v>0</v>
      </c>
      <c r="X1254" s="412"/>
      <c r="Y1254" s="412"/>
      <c r="Z1254" s="412"/>
      <c r="AA1254" s="412">
        <v>300</v>
      </c>
      <c r="AB1254" s="412"/>
      <c r="AC1254" s="412"/>
      <c r="AD1254" s="412"/>
      <c r="AE1254" s="412"/>
      <c r="AF1254" s="412"/>
      <c r="AG1254" s="412"/>
      <c r="AH1254" s="412"/>
      <c r="AI1254" s="412"/>
      <c r="AJ1254" s="412">
        <f t="shared" si="59"/>
        <v>300</v>
      </c>
      <c r="AK1254" s="208"/>
      <c r="AL1254" s="250" t="s">
        <v>2067</v>
      </c>
    </row>
    <row r="1255" spans="1:38" ht="14.1" customHeight="1" x14ac:dyDescent="0.2">
      <c r="A1255" t="s">
        <v>890</v>
      </c>
      <c r="B1255" s="209">
        <v>4859</v>
      </c>
      <c r="C1255" s="210" t="s">
        <v>997</v>
      </c>
      <c r="D1255" s="229" t="s">
        <v>1377</v>
      </c>
      <c r="E1255" s="229" t="s">
        <v>485</v>
      </c>
      <c r="F1255" s="240">
        <v>200</v>
      </c>
      <c r="G1255" s="205">
        <v>1</v>
      </c>
      <c r="H1255" s="206">
        <v>200</v>
      </c>
      <c r="I1255" s="207">
        <v>41406</v>
      </c>
      <c r="J1255" s="197" t="str">
        <f t="shared" si="60"/>
        <v>ok</v>
      </c>
      <c r="K1255" s="419"/>
      <c r="L1255" s="419"/>
      <c r="M1255" s="419"/>
      <c r="N1255" s="419"/>
      <c r="O1255" s="419"/>
      <c r="P1255" s="419"/>
      <c r="Q1255" s="419"/>
      <c r="R1255" s="419"/>
      <c r="S1255" s="419"/>
      <c r="T1255" s="419"/>
      <c r="U1255" s="419"/>
      <c r="V1255" s="419"/>
      <c r="W1255" s="419">
        <f t="shared" si="58"/>
        <v>0</v>
      </c>
      <c r="X1255" s="412"/>
      <c r="Y1255" s="412"/>
      <c r="Z1255" s="412"/>
      <c r="AA1255" s="412"/>
      <c r="AB1255" s="412">
        <v>200</v>
      </c>
      <c r="AC1255" s="412"/>
      <c r="AD1255" s="412"/>
      <c r="AE1255" s="412"/>
      <c r="AF1255" s="412"/>
      <c r="AG1255" s="412"/>
      <c r="AH1255" s="412"/>
      <c r="AI1255" s="412"/>
      <c r="AJ1255" s="412">
        <f t="shared" si="59"/>
        <v>200</v>
      </c>
      <c r="AK1255" s="208"/>
      <c r="AL1255" s="250" t="s">
        <v>2067</v>
      </c>
    </row>
    <row r="1256" spans="1:38" ht="14.1" customHeight="1" x14ac:dyDescent="0.2">
      <c r="A1256" t="s">
        <v>884</v>
      </c>
      <c r="B1256" s="209">
        <v>4860</v>
      </c>
      <c r="C1256" s="210" t="s">
        <v>812</v>
      </c>
      <c r="D1256" s="229" t="s">
        <v>1420</v>
      </c>
      <c r="E1256" s="229" t="s">
        <v>33</v>
      </c>
      <c r="F1256" s="240">
        <v>300</v>
      </c>
      <c r="G1256" s="205">
        <v>1</v>
      </c>
      <c r="H1256" s="206">
        <v>300</v>
      </c>
      <c r="I1256" s="207">
        <v>41406</v>
      </c>
      <c r="J1256" s="197" t="str">
        <f t="shared" si="60"/>
        <v>ok</v>
      </c>
      <c r="K1256" s="419"/>
      <c r="L1256" s="419"/>
      <c r="M1256" s="419"/>
      <c r="N1256" s="419"/>
      <c r="O1256" s="419"/>
      <c r="P1256" s="419"/>
      <c r="Q1256" s="419"/>
      <c r="R1256" s="419"/>
      <c r="S1256" s="419"/>
      <c r="T1256" s="419"/>
      <c r="U1256" s="419"/>
      <c r="V1256" s="419"/>
      <c r="W1256" s="419">
        <f t="shared" si="58"/>
        <v>0</v>
      </c>
      <c r="X1256" s="412"/>
      <c r="Y1256" s="412"/>
      <c r="Z1256" s="412"/>
      <c r="AA1256" s="412"/>
      <c r="AB1256" s="412">
        <v>300</v>
      </c>
      <c r="AC1256" s="412"/>
      <c r="AD1256" s="412"/>
      <c r="AE1256" s="412"/>
      <c r="AF1256" s="412"/>
      <c r="AG1256" s="412"/>
      <c r="AH1256" s="412"/>
      <c r="AI1256" s="412"/>
      <c r="AJ1256" s="412">
        <f t="shared" si="59"/>
        <v>300</v>
      </c>
      <c r="AK1256" s="208"/>
      <c r="AL1256" s="250" t="s">
        <v>2067</v>
      </c>
    </row>
    <row r="1257" spans="1:38" ht="14.1" customHeight="1" x14ac:dyDescent="0.2">
      <c r="A1257" t="s">
        <v>890</v>
      </c>
      <c r="B1257" s="209">
        <v>4861</v>
      </c>
      <c r="C1257" s="210" t="s">
        <v>1003</v>
      </c>
      <c r="D1257" s="229" t="s">
        <v>1394</v>
      </c>
      <c r="E1257" s="229" t="s">
        <v>493</v>
      </c>
      <c r="F1257" s="240">
        <v>300</v>
      </c>
      <c r="G1257" s="205">
        <v>1</v>
      </c>
      <c r="H1257" s="206">
        <v>600</v>
      </c>
      <c r="I1257" s="207">
        <v>41406</v>
      </c>
      <c r="J1257" s="197" t="str">
        <f t="shared" si="60"/>
        <v>ok</v>
      </c>
      <c r="K1257" s="419"/>
      <c r="L1257" s="419"/>
      <c r="M1257" s="419"/>
      <c r="N1257" s="419"/>
      <c r="O1257" s="419"/>
      <c r="P1257" s="419"/>
      <c r="Q1257" s="419"/>
      <c r="R1257" s="419"/>
      <c r="S1257" s="419"/>
      <c r="T1257" s="419"/>
      <c r="U1257" s="419"/>
      <c r="V1257" s="419"/>
      <c r="W1257" s="419">
        <f t="shared" si="58"/>
        <v>0</v>
      </c>
      <c r="X1257" s="412"/>
      <c r="Y1257" s="412"/>
      <c r="Z1257" s="412"/>
      <c r="AA1257" s="412"/>
      <c r="AB1257" s="412">
        <v>300</v>
      </c>
      <c r="AC1257" s="412">
        <v>300</v>
      </c>
      <c r="AD1257" s="412"/>
      <c r="AE1257" s="412"/>
      <c r="AF1257" s="412"/>
      <c r="AG1257" s="412"/>
      <c r="AH1257" s="412"/>
      <c r="AI1257" s="412"/>
      <c r="AJ1257" s="412">
        <f t="shared" si="59"/>
        <v>600</v>
      </c>
      <c r="AK1257" s="208"/>
      <c r="AL1257" s="250" t="s">
        <v>2067</v>
      </c>
    </row>
    <row r="1258" spans="1:38" ht="14.1" customHeight="1" x14ac:dyDescent="0.2">
      <c r="A1258" t="s">
        <v>888</v>
      </c>
      <c r="B1258" s="209">
        <v>4862</v>
      </c>
      <c r="C1258" s="210" t="s">
        <v>928</v>
      </c>
      <c r="D1258" s="229" t="s">
        <v>1393</v>
      </c>
      <c r="E1258" s="229" t="s">
        <v>719</v>
      </c>
      <c r="F1258" s="240">
        <v>300</v>
      </c>
      <c r="G1258" s="205">
        <v>1</v>
      </c>
      <c r="H1258" s="206">
        <v>300</v>
      </c>
      <c r="I1258" s="207">
        <v>41406</v>
      </c>
      <c r="J1258" s="197" t="str">
        <f t="shared" si="60"/>
        <v>ok</v>
      </c>
      <c r="K1258" s="419"/>
      <c r="L1258" s="419"/>
      <c r="M1258" s="419"/>
      <c r="N1258" s="419"/>
      <c r="O1258" s="419"/>
      <c r="P1258" s="419"/>
      <c r="Q1258" s="419"/>
      <c r="R1258" s="419"/>
      <c r="S1258" s="419"/>
      <c r="T1258" s="419"/>
      <c r="U1258" s="419"/>
      <c r="V1258" s="419"/>
      <c r="W1258" s="419">
        <f t="shared" si="58"/>
        <v>0</v>
      </c>
      <c r="X1258" s="412"/>
      <c r="Y1258" s="412"/>
      <c r="Z1258" s="412"/>
      <c r="AA1258" s="412"/>
      <c r="AB1258" s="412">
        <v>300</v>
      </c>
      <c r="AC1258" s="412"/>
      <c r="AD1258" s="412"/>
      <c r="AE1258" s="412"/>
      <c r="AF1258" s="412"/>
      <c r="AG1258" s="412"/>
      <c r="AH1258" s="412"/>
      <c r="AI1258" s="412"/>
      <c r="AJ1258" s="412">
        <f t="shared" si="59"/>
        <v>300</v>
      </c>
      <c r="AK1258" s="208"/>
      <c r="AL1258" s="250" t="s">
        <v>2067</v>
      </c>
    </row>
    <row r="1259" spans="1:38" ht="14.1" customHeight="1" x14ac:dyDescent="0.2">
      <c r="A1259" t="s">
        <v>887</v>
      </c>
      <c r="B1259" s="209">
        <v>4863</v>
      </c>
      <c r="C1259" s="210" t="s">
        <v>905</v>
      </c>
      <c r="D1259" s="229" t="s">
        <v>1524</v>
      </c>
      <c r="E1259" s="229" t="s">
        <v>669</v>
      </c>
      <c r="F1259" s="240">
        <v>150</v>
      </c>
      <c r="G1259" s="205">
        <v>4</v>
      </c>
      <c r="H1259" s="206">
        <v>160</v>
      </c>
      <c r="I1259" s="207">
        <v>41406</v>
      </c>
      <c r="J1259" s="197" t="str">
        <f t="shared" si="60"/>
        <v>ok</v>
      </c>
      <c r="K1259" s="419"/>
      <c r="L1259" s="419"/>
      <c r="M1259" s="419"/>
      <c r="N1259" s="419"/>
      <c r="O1259" s="419"/>
      <c r="P1259" s="419"/>
      <c r="Q1259" s="419"/>
      <c r="R1259" s="419"/>
      <c r="S1259" s="419"/>
      <c r="T1259" s="419"/>
      <c r="U1259" s="419"/>
      <c r="V1259" s="419"/>
      <c r="W1259" s="419">
        <f t="shared" si="58"/>
        <v>0</v>
      </c>
      <c r="X1259" s="412"/>
      <c r="Y1259" s="412"/>
      <c r="Z1259" s="412"/>
      <c r="AA1259" s="412"/>
      <c r="AB1259" s="412"/>
      <c r="AC1259" s="412"/>
      <c r="AD1259" s="412"/>
      <c r="AE1259" s="412"/>
      <c r="AF1259" s="412"/>
      <c r="AG1259" s="412"/>
      <c r="AH1259" s="412"/>
      <c r="AI1259" s="412"/>
      <c r="AJ1259" s="412">
        <f t="shared" si="59"/>
        <v>0</v>
      </c>
      <c r="AK1259" s="208"/>
      <c r="AL1259" s="250" t="s">
        <v>2068</v>
      </c>
    </row>
    <row r="1260" spans="1:38" ht="14.1" customHeight="1" x14ac:dyDescent="0.2">
      <c r="A1260" t="s">
        <v>890</v>
      </c>
      <c r="B1260" s="209">
        <v>4864</v>
      </c>
      <c r="C1260" s="210" t="s">
        <v>976</v>
      </c>
      <c r="D1260" s="229" t="s">
        <v>1455</v>
      </c>
      <c r="E1260" s="229" t="s">
        <v>725</v>
      </c>
      <c r="F1260" s="240">
        <v>150</v>
      </c>
      <c r="G1260" s="205">
        <v>1</v>
      </c>
      <c r="H1260" s="206">
        <v>1500</v>
      </c>
      <c r="I1260" s="207">
        <v>41406</v>
      </c>
      <c r="J1260" s="197" t="str">
        <f t="shared" si="60"/>
        <v>ok</v>
      </c>
      <c r="K1260" s="419"/>
      <c r="L1260" s="419"/>
      <c r="M1260" s="419"/>
      <c r="N1260" s="419"/>
      <c r="O1260" s="419"/>
      <c r="P1260" s="419"/>
      <c r="Q1260" s="419"/>
      <c r="R1260" s="419"/>
      <c r="S1260" s="419"/>
      <c r="T1260" s="419"/>
      <c r="U1260" s="419"/>
      <c r="V1260" s="419"/>
      <c r="W1260" s="419">
        <f t="shared" si="58"/>
        <v>0</v>
      </c>
      <c r="X1260" s="412"/>
      <c r="Y1260" s="412"/>
      <c r="Z1260" s="412">
        <v>150</v>
      </c>
      <c r="AA1260" s="412">
        <v>150</v>
      </c>
      <c r="AB1260" s="412">
        <v>150</v>
      </c>
      <c r="AC1260" s="412">
        <v>150</v>
      </c>
      <c r="AD1260" s="412">
        <v>150</v>
      </c>
      <c r="AE1260" s="412">
        <v>150</v>
      </c>
      <c r="AF1260" s="412">
        <v>150</v>
      </c>
      <c r="AG1260" s="412">
        <v>150</v>
      </c>
      <c r="AH1260" s="412">
        <v>150</v>
      </c>
      <c r="AI1260" s="412">
        <v>150</v>
      </c>
      <c r="AJ1260" s="412">
        <f t="shared" si="59"/>
        <v>1500</v>
      </c>
      <c r="AK1260" s="208"/>
      <c r="AL1260" s="250" t="s">
        <v>2067</v>
      </c>
    </row>
    <row r="1261" spans="1:38" ht="14.1" customHeight="1" x14ac:dyDescent="0.2">
      <c r="A1261" t="s">
        <v>890</v>
      </c>
      <c r="B1261" s="209">
        <v>4865</v>
      </c>
      <c r="C1261" s="210" t="s">
        <v>978</v>
      </c>
      <c r="D1261" s="229" t="s">
        <v>1616</v>
      </c>
      <c r="E1261" s="229" t="s">
        <v>726</v>
      </c>
      <c r="F1261" s="240">
        <v>250</v>
      </c>
      <c r="G1261" s="205">
        <v>1</v>
      </c>
      <c r="H1261" s="206">
        <v>500</v>
      </c>
      <c r="I1261" s="207">
        <v>41406</v>
      </c>
      <c r="J1261" s="197" t="str">
        <f t="shared" si="60"/>
        <v>ok</v>
      </c>
      <c r="K1261" s="419"/>
      <c r="L1261" s="419"/>
      <c r="M1261" s="419"/>
      <c r="N1261" s="419"/>
      <c r="O1261" s="419"/>
      <c r="P1261" s="419"/>
      <c r="Q1261" s="419"/>
      <c r="R1261" s="419"/>
      <c r="S1261" s="419"/>
      <c r="T1261" s="419"/>
      <c r="U1261" s="419"/>
      <c r="V1261" s="419"/>
      <c r="W1261" s="419">
        <f t="shared" si="58"/>
        <v>0</v>
      </c>
      <c r="X1261" s="412"/>
      <c r="Y1261" s="412"/>
      <c r="Z1261" s="412"/>
      <c r="AA1261" s="412">
        <v>250</v>
      </c>
      <c r="AB1261" s="412">
        <v>250</v>
      </c>
      <c r="AC1261" s="412"/>
      <c r="AD1261" s="412"/>
      <c r="AE1261" s="412"/>
      <c r="AF1261" s="412"/>
      <c r="AG1261" s="412"/>
      <c r="AH1261" s="412"/>
      <c r="AI1261" s="412"/>
      <c r="AJ1261" s="412">
        <f t="shared" si="59"/>
        <v>500</v>
      </c>
      <c r="AK1261" s="208"/>
      <c r="AL1261" s="250" t="s">
        <v>2067</v>
      </c>
    </row>
    <row r="1262" spans="1:38" ht="14.1" customHeight="1" x14ac:dyDescent="0.2">
      <c r="A1262" t="s">
        <v>893</v>
      </c>
      <c r="B1262" s="209">
        <v>4866</v>
      </c>
      <c r="C1262" s="210" t="s">
        <v>1122</v>
      </c>
      <c r="D1262" s="229" t="s">
        <v>1577</v>
      </c>
      <c r="E1262" s="229" t="s">
        <v>280</v>
      </c>
      <c r="F1262" s="240">
        <v>300</v>
      </c>
      <c r="G1262" s="205">
        <v>1</v>
      </c>
      <c r="H1262" s="206">
        <v>300</v>
      </c>
      <c r="I1262" s="207">
        <v>41406</v>
      </c>
      <c r="J1262" s="197" t="str">
        <f t="shared" si="60"/>
        <v>ok</v>
      </c>
      <c r="K1262" s="419"/>
      <c r="L1262" s="419"/>
      <c r="M1262" s="419"/>
      <c r="N1262" s="419"/>
      <c r="O1262" s="419"/>
      <c r="P1262" s="419"/>
      <c r="Q1262" s="419"/>
      <c r="R1262" s="419"/>
      <c r="S1262" s="419"/>
      <c r="T1262" s="419"/>
      <c r="U1262" s="419"/>
      <c r="V1262" s="419"/>
      <c r="W1262" s="419">
        <f t="shared" si="58"/>
        <v>0</v>
      </c>
      <c r="X1262" s="412"/>
      <c r="Y1262" s="412"/>
      <c r="Z1262" s="412"/>
      <c r="AA1262" s="412"/>
      <c r="AB1262" s="412">
        <v>300</v>
      </c>
      <c r="AC1262" s="412"/>
      <c r="AD1262" s="412"/>
      <c r="AE1262" s="412"/>
      <c r="AF1262" s="412"/>
      <c r="AG1262" s="412"/>
      <c r="AH1262" s="412"/>
      <c r="AI1262" s="412"/>
      <c r="AJ1262" s="412">
        <f t="shared" si="59"/>
        <v>300</v>
      </c>
      <c r="AK1262" s="208"/>
      <c r="AL1262" s="250" t="s">
        <v>2067</v>
      </c>
    </row>
    <row r="1263" spans="1:38" ht="14.1" customHeight="1" x14ac:dyDescent="0.2">
      <c r="A1263" t="s">
        <v>893</v>
      </c>
      <c r="B1263" s="209">
        <v>4867</v>
      </c>
      <c r="C1263" s="210" t="s">
        <v>1110</v>
      </c>
      <c r="D1263" s="229" t="s">
        <v>1583</v>
      </c>
      <c r="E1263" s="229" t="s">
        <v>113</v>
      </c>
      <c r="F1263" s="240">
        <v>300</v>
      </c>
      <c r="G1263" s="205">
        <v>1</v>
      </c>
      <c r="H1263" s="206">
        <v>600</v>
      </c>
      <c r="I1263" s="207">
        <v>41406</v>
      </c>
      <c r="J1263" s="197" t="str">
        <f t="shared" si="60"/>
        <v>ok</v>
      </c>
      <c r="K1263" s="419"/>
      <c r="L1263" s="419"/>
      <c r="M1263" s="419"/>
      <c r="N1263" s="419"/>
      <c r="O1263" s="419"/>
      <c r="P1263" s="419"/>
      <c r="Q1263" s="419"/>
      <c r="R1263" s="419"/>
      <c r="S1263" s="419"/>
      <c r="T1263" s="419"/>
      <c r="U1263" s="419"/>
      <c r="V1263" s="419"/>
      <c r="W1263" s="419">
        <f t="shared" si="58"/>
        <v>0</v>
      </c>
      <c r="X1263" s="412"/>
      <c r="Y1263" s="412"/>
      <c r="Z1263" s="412">
        <v>300</v>
      </c>
      <c r="AA1263" s="412">
        <v>300</v>
      </c>
      <c r="AB1263" s="412"/>
      <c r="AC1263" s="412"/>
      <c r="AD1263" s="412"/>
      <c r="AE1263" s="412"/>
      <c r="AF1263" s="412"/>
      <c r="AG1263" s="412"/>
      <c r="AH1263" s="412"/>
      <c r="AI1263" s="412"/>
      <c r="AJ1263" s="412">
        <f t="shared" si="59"/>
        <v>600</v>
      </c>
      <c r="AK1263" s="208"/>
      <c r="AL1263" s="250" t="s">
        <v>2067</v>
      </c>
    </row>
    <row r="1264" spans="1:38" ht="14.1" customHeight="1" x14ac:dyDescent="0.2">
      <c r="A1264" t="s">
        <v>884</v>
      </c>
      <c r="B1264" s="209">
        <v>4868</v>
      </c>
      <c r="C1264" s="210" t="s">
        <v>861</v>
      </c>
      <c r="D1264" s="229" t="s">
        <v>1446</v>
      </c>
      <c r="E1264" s="229" t="s">
        <v>1208</v>
      </c>
      <c r="F1264" s="240">
        <v>150</v>
      </c>
      <c r="G1264" s="205">
        <v>1</v>
      </c>
      <c r="H1264" s="206">
        <v>150</v>
      </c>
      <c r="I1264" s="207">
        <v>41406</v>
      </c>
      <c r="J1264" s="197" t="str">
        <f t="shared" si="60"/>
        <v>ok</v>
      </c>
      <c r="K1264" s="419"/>
      <c r="L1264" s="419"/>
      <c r="M1264" s="419"/>
      <c r="N1264" s="419"/>
      <c r="O1264" s="419"/>
      <c r="P1264" s="419"/>
      <c r="Q1264" s="419"/>
      <c r="R1264" s="419"/>
      <c r="S1264" s="419"/>
      <c r="T1264" s="419"/>
      <c r="U1264" s="419"/>
      <c r="V1264" s="419"/>
      <c r="W1264" s="419">
        <f t="shared" si="58"/>
        <v>0</v>
      </c>
      <c r="X1264" s="412"/>
      <c r="Y1264" s="412"/>
      <c r="Z1264" s="412"/>
      <c r="AA1264" s="412"/>
      <c r="AB1264" s="412">
        <v>150</v>
      </c>
      <c r="AC1264" s="412"/>
      <c r="AD1264" s="412"/>
      <c r="AE1264" s="412"/>
      <c r="AF1264" s="412"/>
      <c r="AG1264" s="412"/>
      <c r="AH1264" s="412"/>
      <c r="AI1264" s="412"/>
      <c r="AJ1264" s="412">
        <f t="shared" si="59"/>
        <v>150</v>
      </c>
      <c r="AK1264" s="208"/>
      <c r="AL1264" s="250" t="s">
        <v>2067</v>
      </c>
    </row>
    <row r="1265" spans="1:38" ht="14.1" customHeight="1" x14ac:dyDescent="0.2">
      <c r="A1265" t="s">
        <v>890</v>
      </c>
      <c r="B1265" s="209">
        <v>4869</v>
      </c>
      <c r="C1265" s="210" t="s">
        <v>1029</v>
      </c>
      <c r="D1265" s="229" t="s">
        <v>1482</v>
      </c>
      <c r="E1265" s="229" t="s">
        <v>529</v>
      </c>
      <c r="F1265" s="240">
        <v>300</v>
      </c>
      <c r="G1265" s="205">
        <v>1</v>
      </c>
      <c r="H1265" s="206">
        <v>300</v>
      </c>
      <c r="I1265" s="207">
        <v>41406</v>
      </c>
      <c r="J1265" s="197" t="str">
        <f t="shared" si="60"/>
        <v>ok</v>
      </c>
      <c r="K1265" s="419"/>
      <c r="L1265" s="419"/>
      <c r="M1265" s="419"/>
      <c r="N1265" s="419"/>
      <c r="O1265" s="419"/>
      <c r="P1265" s="419"/>
      <c r="Q1265" s="419"/>
      <c r="R1265" s="419"/>
      <c r="S1265" s="419"/>
      <c r="T1265" s="419"/>
      <c r="U1265" s="419"/>
      <c r="V1265" s="419"/>
      <c r="W1265" s="419">
        <f t="shared" si="58"/>
        <v>0</v>
      </c>
      <c r="X1265" s="412"/>
      <c r="Y1265" s="412"/>
      <c r="Z1265" s="412"/>
      <c r="AA1265" s="412"/>
      <c r="AB1265" s="412">
        <v>300</v>
      </c>
      <c r="AC1265" s="412"/>
      <c r="AD1265" s="412"/>
      <c r="AE1265" s="412"/>
      <c r="AF1265" s="412"/>
      <c r="AG1265" s="412"/>
      <c r="AH1265" s="412"/>
      <c r="AI1265" s="412"/>
      <c r="AJ1265" s="412">
        <f t="shared" si="59"/>
        <v>300</v>
      </c>
      <c r="AK1265" s="208"/>
      <c r="AL1265" s="250" t="s">
        <v>2067</v>
      </c>
    </row>
    <row r="1266" spans="1:38" ht="14.1" customHeight="1" x14ac:dyDescent="0.2">
      <c r="A1266" t="s">
        <v>890</v>
      </c>
      <c r="B1266" s="209">
        <v>4870</v>
      </c>
      <c r="C1266" s="210" t="s">
        <v>1045</v>
      </c>
      <c r="D1266" s="229" t="s">
        <v>1435</v>
      </c>
      <c r="E1266" s="229" t="s">
        <v>557</v>
      </c>
      <c r="F1266" s="240">
        <v>300</v>
      </c>
      <c r="G1266" s="205">
        <v>1</v>
      </c>
      <c r="H1266" s="206">
        <v>300</v>
      </c>
      <c r="I1266" s="207">
        <v>41406</v>
      </c>
      <c r="J1266" s="197" t="str">
        <f t="shared" si="60"/>
        <v>ok</v>
      </c>
      <c r="K1266" s="419"/>
      <c r="L1266" s="419"/>
      <c r="M1266" s="419"/>
      <c r="N1266" s="419"/>
      <c r="O1266" s="419"/>
      <c r="P1266" s="419"/>
      <c r="Q1266" s="419"/>
      <c r="R1266" s="419"/>
      <c r="S1266" s="419"/>
      <c r="T1266" s="419"/>
      <c r="U1266" s="419"/>
      <c r="V1266" s="419"/>
      <c r="W1266" s="419">
        <f t="shared" si="58"/>
        <v>0</v>
      </c>
      <c r="X1266" s="412"/>
      <c r="Y1266" s="412"/>
      <c r="Z1266" s="412"/>
      <c r="AA1266" s="412"/>
      <c r="AB1266" s="412">
        <v>300</v>
      </c>
      <c r="AC1266" s="412"/>
      <c r="AD1266" s="412"/>
      <c r="AE1266" s="412"/>
      <c r="AF1266" s="412"/>
      <c r="AG1266" s="412"/>
      <c r="AH1266" s="412"/>
      <c r="AI1266" s="412"/>
      <c r="AJ1266" s="412">
        <f t="shared" si="59"/>
        <v>300</v>
      </c>
      <c r="AK1266" s="208"/>
      <c r="AL1266" s="250" t="s">
        <v>2067</v>
      </c>
    </row>
    <row r="1267" spans="1:38" ht="14.1" customHeight="1" x14ac:dyDescent="0.2">
      <c r="A1267" t="s">
        <v>890</v>
      </c>
      <c r="B1267" s="209">
        <v>4871</v>
      </c>
      <c r="C1267" s="210" t="s">
        <v>986</v>
      </c>
      <c r="D1267" s="229" t="s">
        <v>1483</v>
      </c>
      <c r="E1267" s="229" t="s">
        <v>473</v>
      </c>
      <c r="F1267" s="240">
        <v>250</v>
      </c>
      <c r="G1267" s="205">
        <v>1</v>
      </c>
      <c r="H1267" s="206">
        <v>250</v>
      </c>
      <c r="I1267" s="207">
        <v>41406</v>
      </c>
      <c r="J1267" s="197" t="str">
        <f t="shared" si="60"/>
        <v>ok</v>
      </c>
      <c r="K1267" s="419"/>
      <c r="L1267" s="419"/>
      <c r="M1267" s="419"/>
      <c r="N1267" s="419"/>
      <c r="O1267" s="419"/>
      <c r="P1267" s="419"/>
      <c r="Q1267" s="419"/>
      <c r="R1267" s="419"/>
      <c r="S1267" s="419"/>
      <c r="T1267" s="419"/>
      <c r="U1267" s="419"/>
      <c r="V1267" s="419"/>
      <c r="W1267" s="419">
        <f t="shared" si="58"/>
        <v>0</v>
      </c>
      <c r="X1267" s="412"/>
      <c r="Y1267" s="412"/>
      <c r="Z1267" s="412"/>
      <c r="AA1267" s="412"/>
      <c r="AB1267" s="412">
        <v>250</v>
      </c>
      <c r="AC1267" s="412"/>
      <c r="AD1267" s="412"/>
      <c r="AE1267" s="412"/>
      <c r="AF1267" s="412"/>
      <c r="AG1267" s="412"/>
      <c r="AH1267" s="412"/>
      <c r="AI1267" s="412"/>
      <c r="AJ1267" s="412">
        <f t="shared" si="59"/>
        <v>250</v>
      </c>
      <c r="AK1267" s="208"/>
      <c r="AL1267" s="250" t="s">
        <v>2067</v>
      </c>
    </row>
    <row r="1268" spans="1:38" ht="14.1" customHeight="1" x14ac:dyDescent="0.2">
      <c r="A1268" t="s">
        <v>884</v>
      </c>
      <c r="B1268" s="209">
        <v>4872</v>
      </c>
      <c r="C1268" s="210" t="s">
        <v>824</v>
      </c>
      <c r="D1268" s="229" t="s">
        <v>1506</v>
      </c>
      <c r="E1268" s="229" t="s">
        <v>1570</v>
      </c>
      <c r="F1268" s="240">
        <v>300</v>
      </c>
      <c r="G1268" s="205">
        <v>1</v>
      </c>
      <c r="H1268" s="206">
        <v>900</v>
      </c>
      <c r="I1268" s="207">
        <v>41406</v>
      </c>
      <c r="J1268" s="197" t="str">
        <f t="shared" si="60"/>
        <v>ok</v>
      </c>
      <c r="K1268" s="419"/>
      <c r="L1268" s="419"/>
      <c r="M1268" s="419"/>
      <c r="N1268" s="419"/>
      <c r="O1268" s="419"/>
      <c r="P1268" s="419"/>
      <c r="Q1268" s="419"/>
      <c r="R1268" s="419"/>
      <c r="S1268" s="419"/>
      <c r="T1268" s="419"/>
      <c r="U1268" s="419"/>
      <c r="V1268" s="419"/>
      <c r="W1268" s="419">
        <f t="shared" si="58"/>
        <v>0</v>
      </c>
      <c r="X1268" s="412"/>
      <c r="Y1268" s="412"/>
      <c r="Z1268" s="412"/>
      <c r="AA1268" s="412"/>
      <c r="AB1268" s="412"/>
      <c r="AC1268" s="412">
        <v>300</v>
      </c>
      <c r="AD1268" s="412">
        <v>300</v>
      </c>
      <c r="AE1268" s="412">
        <v>300</v>
      </c>
      <c r="AF1268" s="412"/>
      <c r="AG1268" s="412"/>
      <c r="AH1268" s="412"/>
      <c r="AI1268" s="412"/>
      <c r="AJ1268" s="412">
        <f t="shared" si="59"/>
        <v>900</v>
      </c>
      <c r="AK1268" s="208"/>
      <c r="AL1268" s="250" t="s">
        <v>2067</v>
      </c>
    </row>
    <row r="1269" spans="1:38" ht="14.1" customHeight="1" x14ac:dyDescent="0.2">
      <c r="A1269" t="s">
        <v>884</v>
      </c>
      <c r="B1269" s="209">
        <v>4873</v>
      </c>
      <c r="C1269" s="210" t="s">
        <v>824</v>
      </c>
      <c r="D1269" s="229" t="s">
        <v>1506</v>
      </c>
      <c r="E1269" s="229" t="s">
        <v>1570</v>
      </c>
      <c r="F1269" s="240">
        <v>300</v>
      </c>
      <c r="G1269" s="205">
        <v>3</v>
      </c>
      <c r="H1269" s="206">
        <v>150</v>
      </c>
      <c r="I1269" s="207">
        <v>41406</v>
      </c>
      <c r="J1269" s="197" t="str">
        <f t="shared" si="60"/>
        <v>ok</v>
      </c>
      <c r="K1269" s="419"/>
      <c r="L1269" s="419"/>
      <c r="M1269" s="419"/>
      <c r="N1269" s="419"/>
      <c r="O1269" s="419"/>
      <c r="P1269" s="419"/>
      <c r="Q1269" s="419"/>
      <c r="R1269" s="419"/>
      <c r="S1269" s="419"/>
      <c r="T1269" s="419"/>
      <c r="U1269" s="419"/>
      <c r="V1269" s="419"/>
      <c r="W1269" s="419">
        <f t="shared" si="58"/>
        <v>0</v>
      </c>
      <c r="X1269" s="412"/>
      <c r="Y1269" s="412"/>
      <c r="Z1269" s="412"/>
      <c r="AA1269" s="412"/>
      <c r="AB1269" s="412"/>
      <c r="AC1269" s="412"/>
      <c r="AD1269" s="412"/>
      <c r="AE1269" s="412"/>
      <c r="AF1269" s="412"/>
      <c r="AG1269" s="412"/>
      <c r="AH1269" s="412"/>
      <c r="AI1269" s="412"/>
      <c r="AJ1269" s="412">
        <f t="shared" si="59"/>
        <v>0</v>
      </c>
      <c r="AK1269" s="208"/>
      <c r="AL1269" s="250" t="s">
        <v>2068</v>
      </c>
    </row>
    <row r="1270" spans="1:38" ht="14.1" customHeight="1" x14ac:dyDescent="0.2">
      <c r="A1270" t="s">
        <v>884</v>
      </c>
      <c r="B1270" s="209">
        <v>4874</v>
      </c>
      <c r="C1270" s="210" t="s">
        <v>859</v>
      </c>
      <c r="D1270" s="229" t="s">
        <v>1404</v>
      </c>
      <c r="E1270" s="229" t="s">
        <v>105</v>
      </c>
      <c r="F1270" s="240">
        <v>150</v>
      </c>
      <c r="G1270" s="205">
        <v>1</v>
      </c>
      <c r="H1270" s="206">
        <v>150</v>
      </c>
      <c r="I1270" s="207">
        <v>41406</v>
      </c>
      <c r="J1270" s="197" t="str">
        <f t="shared" si="60"/>
        <v>ok</v>
      </c>
      <c r="K1270" s="419"/>
      <c r="L1270" s="419"/>
      <c r="M1270" s="419"/>
      <c r="N1270" s="419"/>
      <c r="O1270" s="419"/>
      <c r="P1270" s="419"/>
      <c r="Q1270" s="419"/>
      <c r="R1270" s="419"/>
      <c r="S1270" s="419"/>
      <c r="T1270" s="419"/>
      <c r="U1270" s="419"/>
      <c r="V1270" s="419"/>
      <c r="W1270" s="419">
        <f t="shared" si="58"/>
        <v>0</v>
      </c>
      <c r="X1270" s="412"/>
      <c r="Y1270" s="412"/>
      <c r="Z1270" s="412"/>
      <c r="AA1270" s="412"/>
      <c r="AB1270" s="412">
        <v>150</v>
      </c>
      <c r="AC1270" s="412"/>
      <c r="AD1270" s="412"/>
      <c r="AE1270" s="412"/>
      <c r="AF1270" s="412"/>
      <c r="AG1270" s="412"/>
      <c r="AH1270" s="412"/>
      <c r="AI1270" s="412"/>
      <c r="AJ1270" s="412">
        <f t="shared" si="59"/>
        <v>150</v>
      </c>
      <c r="AK1270" s="208"/>
      <c r="AL1270" s="250" t="s">
        <v>2067</v>
      </c>
    </row>
    <row r="1271" spans="1:38" ht="14.1" customHeight="1" x14ac:dyDescent="0.2">
      <c r="A1271" t="s">
        <v>893</v>
      </c>
      <c r="B1271" s="209">
        <v>4875</v>
      </c>
      <c r="C1271" s="210" t="s">
        <v>1138</v>
      </c>
      <c r="D1271" s="229" t="s">
        <v>1493</v>
      </c>
      <c r="E1271" s="229" t="s">
        <v>1274</v>
      </c>
      <c r="F1271" s="240">
        <v>300</v>
      </c>
      <c r="G1271" s="205">
        <v>1</v>
      </c>
      <c r="H1271" s="206">
        <v>300</v>
      </c>
      <c r="I1271" s="207">
        <v>41406</v>
      </c>
      <c r="J1271" s="197" t="str">
        <f t="shared" si="60"/>
        <v>ok</v>
      </c>
      <c r="K1271" s="419"/>
      <c r="L1271" s="419"/>
      <c r="M1271" s="419"/>
      <c r="N1271" s="419"/>
      <c r="O1271" s="419"/>
      <c r="P1271" s="419"/>
      <c r="Q1271" s="419"/>
      <c r="R1271" s="419"/>
      <c r="S1271" s="419"/>
      <c r="T1271" s="419"/>
      <c r="U1271" s="419"/>
      <c r="V1271" s="419"/>
      <c r="W1271" s="419">
        <f t="shared" si="58"/>
        <v>0</v>
      </c>
      <c r="X1271" s="412"/>
      <c r="Y1271" s="412"/>
      <c r="Z1271" s="412"/>
      <c r="AA1271" s="412"/>
      <c r="AB1271" s="412">
        <v>300</v>
      </c>
      <c r="AC1271" s="412"/>
      <c r="AD1271" s="412"/>
      <c r="AE1271" s="412"/>
      <c r="AF1271" s="412"/>
      <c r="AG1271" s="412"/>
      <c r="AH1271" s="412"/>
      <c r="AI1271" s="412"/>
      <c r="AJ1271" s="412">
        <f t="shared" si="59"/>
        <v>300</v>
      </c>
      <c r="AK1271" s="208"/>
      <c r="AL1271" s="250" t="s">
        <v>2067</v>
      </c>
    </row>
    <row r="1272" spans="1:38" ht="14.1" customHeight="1" x14ac:dyDescent="0.2">
      <c r="A1272" t="s">
        <v>884</v>
      </c>
      <c r="B1272" s="209">
        <v>4876</v>
      </c>
      <c r="C1272" s="210" t="s">
        <v>874</v>
      </c>
      <c r="D1272" s="229" t="s">
        <v>1459</v>
      </c>
      <c r="E1272" s="229" t="s">
        <v>127</v>
      </c>
      <c r="F1272" s="240">
        <v>300</v>
      </c>
      <c r="G1272" s="205">
        <v>1</v>
      </c>
      <c r="H1272" s="206">
        <v>300</v>
      </c>
      <c r="I1272" s="207">
        <v>41406</v>
      </c>
      <c r="J1272" s="197" t="str">
        <f t="shared" si="60"/>
        <v>ok</v>
      </c>
      <c r="K1272" s="419"/>
      <c r="L1272" s="419"/>
      <c r="M1272" s="419"/>
      <c r="N1272" s="419"/>
      <c r="O1272" s="419"/>
      <c r="P1272" s="419"/>
      <c r="Q1272" s="419"/>
      <c r="R1272" s="419"/>
      <c r="S1272" s="419"/>
      <c r="T1272" s="419"/>
      <c r="U1272" s="419"/>
      <c r="V1272" s="419"/>
      <c r="W1272" s="419">
        <f t="shared" si="58"/>
        <v>0</v>
      </c>
      <c r="X1272" s="412"/>
      <c r="Y1272" s="412"/>
      <c r="Z1272" s="412"/>
      <c r="AA1272" s="412"/>
      <c r="AB1272" s="412">
        <v>300</v>
      </c>
      <c r="AC1272" s="412"/>
      <c r="AD1272" s="412"/>
      <c r="AE1272" s="412"/>
      <c r="AF1272" s="412"/>
      <c r="AG1272" s="412"/>
      <c r="AH1272" s="412"/>
      <c r="AI1272" s="412"/>
      <c r="AJ1272" s="412">
        <f t="shared" si="59"/>
        <v>300</v>
      </c>
      <c r="AK1272" s="208"/>
      <c r="AL1272" s="250" t="s">
        <v>2067</v>
      </c>
    </row>
    <row r="1273" spans="1:38" ht="14.1" customHeight="1" x14ac:dyDescent="0.2">
      <c r="A1273" t="s">
        <v>888</v>
      </c>
      <c r="B1273" s="209">
        <v>4877</v>
      </c>
      <c r="C1273" s="210" t="s">
        <v>933</v>
      </c>
      <c r="D1273" s="229" t="s">
        <v>1427</v>
      </c>
      <c r="E1273" s="229" t="s">
        <v>1212</v>
      </c>
      <c r="F1273" s="240">
        <v>300</v>
      </c>
      <c r="G1273" s="205">
        <v>1</v>
      </c>
      <c r="H1273" s="206">
        <v>300</v>
      </c>
      <c r="I1273" s="207">
        <v>41406</v>
      </c>
      <c r="J1273" s="197" t="str">
        <f t="shared" si="60"/>
        <v>ok</v>
      </c>
      <c r="K1273" s="419"/>
      <c r="L1273" s="419"/>
      <c r="M1273" s="419"/>
      <c r="N1273" s="419"/>
      <c r="O1273" s="419"/>
      <c r="P1273" s="419"/>
      <c r="Q1273" s="419"/>
      <c r="R1273" s="419"/>
      <c r="S1273" s="419"/>
      <c r="T1273" s="419"/>
      <c r="U1273" s="419"/>
      <c r="V1273" s="419"/>
      <c r="W1273" s="419">
        <f t="shared" si="58"/>
        <v>0</v>
      </c>
      <c r="X1273" s="412"/>
      <c r="Y1273" s="412"/>
      <c r="Z1273" s="412"/>
      <c r="AA1273" s="412"/>
      <c r="AB1273" s="412">
        <v>300</v>
      </c>
      <c r="AC1273" s="412"/>
      <c r="AD1273" s="412"/>
      <c r="AE1273" s="412"/>
      <c r="AF1273" s="412"/>
      <c r="AG1273" s="412"/>
      <c r="AH1273" s="412"/>
      <c r="AI1273" s="412"/>
      <c r="AJ1273" s="412">
        <f t="shared" si="59"/>
        <v>300</v>
      </c>
      <c r="AK1273" s="208"/>
      <c r="AL1273" s="250" t="s">
        <v>2067</v>
      </c>
    </row>
    <row r="1274" spans="1:38" ht="14.1" customHeight="1" x14ac:dyDescent="0.2">
      <c r="A1274" t="s">
        <v>893</v>
      </c>
      <c r="B1274" s="209">
        <v>4878</v>
      </c>
      <c r="C1274" s="210" t="s">
        <v>1126</v>
      </c>
      <c r="D1274" s="229" t="s">
        <v>1631</v>
      </c>
      <c r="E1274" s="229" t="s">
        <v>288</v>
      </c>
      <c r="F1274" s="240">
        <v>150</v>
      </c>
      <c r="G1274" s="205">
        <v>1</v>
      </c>
      <c r="H1274" s="206">
        <v>450</v>
      </c>
      <c r="I1274" s="207">
        <v>41406</v>
      </c>
      <c r="J1274" s="197" t="str">
        <f t="shared" si="60"/>
        <v>ok</v>
      </c>
      <c r="K1274" s="419"/>
      <c r="L1274" s="419"/>
      <c r="M1274" s="419"/>
      <c r="N1274" s="419"/>
      <c r="O1274" s="419"/>
      <c r="P1274" s="419"/>
      <c r="Q1274" s="419"/>
      <c r="R1274" s="419"/>
      <c r="S1274" s="419"/>
      <c r="T1274" s="419"/>
      <c r="U1274" s="419"/>
      <c r="V1274" s="419"/>
      <c r="W1274" s="419">
        <f t="shared" si="58"/>
        <v>0</v>
      </c>
      <c r="X1274" s="412"/>
      <c r="Y1274" s="412"/>
      <c r="Z1274" s="412"/>
      <c r="AA1274" s="412">
        <v>150</v>
      </c>
      <c r="AB1274" s="412">
        <v>150</v>
      </c>
      <c r="AC1274" s="412">
        <v>150</v>
      </c>
      <c r="AD1274" s="412"/>
      <c r="AE1274" s="412"/>
      <c r="AF1274" s="412"/>
      <c r="AG1274" s="412"/>
      <c r="AH1274" s="412"/>
      <c r="AI1274" s="412"/>
      <c r="AJ1274" s="412">
        <f t="shared" si="59"/>
        <v>450</v>
      </c>
      <c r="AK1274" s="208"/>
      <c r="AL1274" s="250" t="s">
        <v>2067</v>
      </c>
    </row>
    <row r="1275" spans="1:38" ht="14.1" customHeight="1" x14ac:dyDescent="0.2">
      <c r="A1275" t="s">
        <v>890</v>
      </c>
      <c r="B1275" s="209">
        <v>4879</v>
      </c>
      <c r="C1275" s="210" t="s">
        <v>1043</v>
      </c>
      <c r="D1275" s="229" t="s">
        <v>1568</v>
      </c>
      <c r="E1275" s="229" t="s">
        <v>554</v>
      </c>
      <c r="F1275" s="240">
        <v>300</v>
      </c>
      <c r="G1275" s="205">
        <v>1</v>
      </c>
      <c r="H1275" s="206">
        <v>300</v>
      </c>
      <c r="I1275" s="207">
        <v>41406</v>
      </c>
      <c r="J1275" s="197" t="str">
        <f t="shared" si="60"/>
        <v>ok</v>
      </c>
      <c r="K1275" s="419"/>
      <c r="L1275" s="419"/>
      <c r="M1275" s="419"/>
      <c r="N1275" s="419"/>
      <c r="O1275" s="419"/>
      <c r="P1275" s="419"/>
      <c r="Q1275" s="419"/>
      <c r="R1275" s="419"/>
      <c r="S1275" s="419"/>
      <c r="T1275" s="419"/>
      <c r="U1275" s="419"/>
      <c r="V1275" s="419"/>
      <c r="W1275" s="419">
        <f t="shared" si="58"/>
        <v>0</v>
      </c>
      <c r="X1275" s="412"/>
      <c r="Y1275" s="412"/>
      <c r="Z1275" s="412">
        <v>300</v>
      </c>
      <c r="AA1275" s="412"/>
      <c r="AB1275" s="412"/>
      <c r="AC1275" s="412"/>
      <c r="AD1275" s="412"/>
      <c r="AE1275" s="412"/>
      <c r="AF1275" s="412"/>
      <c r="AG1275" s="412"/>
      <c r="AH1275" s="412"/>
      <c r="AI1275" s="412"/>
      <c r="AJ1275" s="412">
        <f t="shared" si="59"/>
        <v>300</v>
      </c>
      <c r="AK1275" s="208"/>
      <c r="AL1275" s="250" t="s">
        <v>2067</v>
      </c>
    </row>
    <row r="1276" spans="1:38" ht="14.1" customHeight="1" x14ac:dyDescent="0.2">
      <c r="A1276" t="s">
        <v>890</v>
      </c>
      <c r="B1276" s="209">
        <v>4880</v>
      </c>
      <c r="C1276" s="210" t="s">
        <v>990</v>
      </c>
      <c r="D1276" s="229" t="s">
        <v>1542</v>
      </c>
      <c r="E1276" s="229" t="s">
        <v>449</v>
      </c>
      <c r="F1276" s="240">
        <v>150</v>
      </c>
      <c r="G1276" s="205">
        <v>1</v>
      </c>
      <c r="H1276" s="206">
        <v>150</v>
      </c>
      <c r="I1276" s="207">
        <v>41406</v>
      </c>
      <c r="J1276" s="197" t="str">
        <f t="shared" si="60"/>
        <v>ok</v>
      </c>
      <c r="K1276" s="419"/>
      <c r="L1276" s="419"/>
      <c r="M1276" s="419"/>
      <c r="N1276" s="419"/>
      <c r="O1276" s="419"/>
      <c r="P1276" s="419"/>
      <c r="Q1276" s="419"/>
      <c r="R1276" s="419"/>
      <c r="S1276" s="419"/>
      <c r="T1276" s="419"/>
      <c r="U1276" s="419"/>
      <c r="V1276" s="419"/>
      <c r="W1276" s="419">
        <f t="shared" si="58"/>
        <v>0</v>
      </c>
      <c r="X1276" s="412"/>
      <c r="Y1276" s="412"/>
      <c r="Z1276" s="412"/>
      <c r="AA1276" s="412">
        <v>150</v>
      </c>
      <c r="AB1276" s="412"/>
      <c r="AC1276" s="412"/>
      <c r="AD1276" s="412"/>
      <c r="AE1276" s="412"/>
      <c r="AF1276" s="412"/>
      <c r="AG1276" s="412"/>
      <c r="AH1276" s="412"/>
      <c r="AI1276" s="412"/>
      <c r="AJ1276" s="412">
        <f t="shared" si="59"/>
        <v>150</v>
      </c>
      <c r="AK1276" s="208"/>
      <c r="AL1276" s="250" t="s">
        <v>2067</v>
      </c>
    </row>
    <row r="1277" spans="1:38" ht="14.1" customHeight="1" x14ac:dyDescent="0.2">
      <c r="A1277" t="s">
        <v>890</v>
      </c>
      <c r="B1277" s="209">
        <v>4881</v>
      </c>
      <c r="C1277" s="210" t="s">
        <v>1032</v>
      </c>
      <c r="D1277" s="229" t="s">
        <v>1476</v>
      </c>
      <c r="E1277" s="229" t="s">
        <v>537</v>
      </c>
      <c r="F1277" s="240">
        <v>300</v>
      </c>
      <c r="G1277" s="205">
        <v>1</v>
      </c>
      <c r="H1277" s="206">
        <v>300</v>
      </c>
      <c r="I1277" s="207">
        <v>41406</v>
      </c>
      <c r="J1277" s="197" t="str">
        <f t="shared" si="60"/>
        <v>ok</v>
      </c>
      <c r="K1277" s="419"/>
      <c r="L1277" s="419"/>
      <c r="M1277" s="419"/>
      <c r="N1277" s="419"/>
      <c r="O1277" s="419"/>
      <c r="P1277" s="419"/>
      <c r="Q1277" s="419"/>
      <c r="R1277" s="419"/>
      <c r="S1277" s="419"/>
      <c r="T1277" s="419"/>
      <c r="U1277" s="419"/>
      <c r="V1277" s="419"/>
      <c r="W1277" s="419">
        <f t="shared" si="58"/>
        <v>0</v>
      </c>
      <c r="X1277" s="412"/>
      <c r="Y1277" s="412"/>
      <c r="Z1277" s="412"/>
      <c r="AA1277" s="412"/>
      <c r="AB1277" s="412">
        <v>300</v>
      </c>
      <c r="AC1277" s="412"/>
      <c r="AD1277" s="412"/>
      <c r="AE1277" s="412"/>
      <c r="AF1277" s="412"/>
      <c r="AG1277" s="412"/>
      <c r="AH1277" s="412"/>
      <c r="AI1277" s="412"/>
      <c r="AJ1277" s="412">
        <f t="shared" si="59"/>
        <v>300</v>
      </c>
      <c r="AK1277" s="208"/>
      <c r="AL1277" s="250" t="s">
        <v>2067</v>
      </c>
    </row>
    <row r="1278" spans="1:38" ht="14.1" customHeight="1" x14ac:dyDescent="0.2">
      <c r="A1278" t="s">
        <v>893</v>
      </c>
      <c r="B1278" s="209">
        <v>4882</v>
      </c>
      <c r="C1278" s="210" t="s">
        <v>1082</v>
      </c>
      <c r="D1278" s="229" t="s">
        <v>1544</v>
      </c>
      <c r="E1278" s="229" t="s">
        <v>204</v>
      </c>
      <c r="F1278" s="240">
        <v>300</v>
      </c>
      <c r="G1278" s="205">
        <v>1</v>
      </c>
      <c r="H1278" s="206">
        <v>300</v>
      </c>
      <c r="I1278" s="207">
        <v>41406</v>
      </c>
      <c r="J1278" s="197" t="str">
        <f t="shared" si="60"/>
        <v>ok</v>
      </c>
      <c r="K1278" s="419"/>
      <c r="L1278" s="419"/>
      <c r="M1278" s="419"/>
      <c r="N1278" s="419"/>
      <c r="O1278" s="419"/>
      <c r="P1278" s="419"/>
      <c r="Q1278" s="419"/>
      <c r="R1278" s="419"/>
      <c r="S1278" s="419"/>
      <c r="T1278" s="419"/>
      <c r="U1278" s="419"/>
      <c r="V1278" s="419"/>
      <c r="W1278" s="419">
        <f t="shared" si="58"/>
        <v>0</v>
      </c>
      <c r="X1278" s="412"/>
      <c r="Y1278" s="412"/>
      <c r="Z1278" s="412"/>
      <c r="AA1278" s="412"/>
      <c r="AB1278" s="412">
        <v>300</v>
      </c>
      <c r="AC1278" s="412"/>
      <c r="AD1278" s="412"/>
      <c r="AE1278" s="412"/>
      <c r="AF1278" s="412"/>
      <c r="AG1278" s="412"/>
      <c r="AH1278" s="412"/>
      <c r="AI1278" s="412"/>
      <c r="AJ1278" s="412">
        <f t="shared" si="59"/>
        <v>300</v>
      </c>
      <c r="AK1278" s="208"/>
      <c r="AL1278" s="250" t="s">
        <v>2067</v>
      </c>
    </row>
    <row r="1279" spans="1:38" ht="14.1" customHeight="1" x14ac:dyDescent="0.2">
      <c r="A1279" t="s">
        <v>890</v>
      </c>
      <c r="B1279" s="209">
        <v>4883</v>
      </c>
      <c r="C1279" s="210" t="s">
        <v>991</v>
      </c>
      <c r="D1279" s="229" t="s">
        <v>1456</v>
      </c>
      <c r="E1279" s="229" t="s">
        <v>480</v>
      </c>
      <c r="F1279" s="240">
        <v>300</v>
      </c>
      <c r="G1279" s="205">
        <v>1</v>
      </c>
      <c r="H1279" s="206">
        <v>300</v>
      </c>
      <c r="I1279" s="207">
        <v>41406</v>
      </c>
      <c r="J1279" s="197" t="str">
        <f t="shared" si="60"/>
        <v>ok</v>
      </c>
      <c r="K1279" s="419"/>
      <c r="L1279" s="419"/>
      <c r="M1279" s="419"/>
      <c r="N1279" s="419"/>
      <c r="O1279" s="419"/>
      <c r="P1279" s="419"/>
      <c r="Q1279" s="419"/>
      <c r="R1279" s="419"/>
      <c r="S1279" s="419"/>
      <c r="T1279" s="419"/>
      <c r="U1279" s="419"/>
      <c r="V1279" s="419"/>
      <c r="W1279" s="419">
        <f t="shared" si="58"/>
        <v>0</v>
      </c>
      <c r="X1279" s="412"/>
      <c r="Y1279" s="412"/>
      <c r="Z1279" s="412"/>
      <c r="AA1279" s="412">
        <v>300</v>
      </c>
      <c r="AB1279" s="412"/>
      <c r="AC1279" s="412"/>
      <c r="AD1279" s="412"/>
      <c r="AE1279" s="412"/>
      <c r="AF1279" s="412"/>
      <c r="AG1279" s="412"/>
      <c r="AH1279" s="412"/>
      <c r="AI1279" s="412"/>
      <c r="AJ1279" s="412">
        <f t="shared" si="59"/>
        <v>300</v>
      </c>
      <c r="AK1279" s="208"/>
      <c r="AL1279" s="250" t="s">
        <v>2067</v>
      </c>
    </row>
    <row r="1280" spans="1:38" ht="14.1" customHeight="1" x14ac:dyDescent="0.2">
      <c r="A1280" t="s">
        <v>890</v>
      </c>
      <c r="B1280" s="209">
        <v>4884</v>
      </c>
      <c r="C1280" s="210" t="s">
        <v>1012</v>
      </c>
      <c r="D1280" s="229" t="s">
        <v>1474</v>
      </c>
      <c r="E1280" s="229" t="s">
        <v>729</v>
      </c>
      <c r="F1280" s="240">
        <v>300</v>
      </c>
      <c r="G1280" s="205">
        <v>1</v>
      </c>
      <c r="H1280" s="206">
        <v>300</v>
      </c>
      <c r="I1280" s="207">
        <v>41406</v>
      </c>
      <c r="J1280" s="197" t="str">
        <f t="shared" si="60"/>
        <v>ok</v>
      </c>
      <c r="K1280" s="419"/>
      <c r="L1280" s="419"/>
      <c r="M1280" s="419"/>
      <c r="N1280" s="419"/>
      <c r="O1280" s="419"/>
      <c r="P1280" s="419"/>
      <c r="Q1280" s="419"/>
      <c r="R1280" s="419"/>
      <c r="S1280" s="419"/>
      <c r="T1280" s="419"/>
      <c r="U1280" s="419"/>
      <c r="V1280" s="419"/>
      <c r="W1280" s="419">
        <f t="shared" si="58"/>
        <v>0</v>
      </c>
      <c r="X1280" s="412"/>
      <c r="Y1280" s="412"/>
      <c r="Z1280" s="412"/>
      <c r="AA1280" s="412"/>
      <c r="AB1280" s="412">
        <v>300</v>
      </c>
      <c r="AC1280" s="412"/>
      <c r="AD1280" s="412"/>
      <c r="AE1280" s="412"/>
      <c r="AF1280" s="412"/>
      <c r="AG1280" s="412"/>
      <c r="AH1280" s="412"/>
      <c r="AI1280" s="412"/>
      <c r="AJ1280" s="412">
        <f t="shared" si="59"/>
        <v>300</v>
      </c>
      <c r="AK1280" s="208"/>
      <c r="AL1280" s="250" t="s">
        <v>2067</v>
      </c>
    </row>
    <row r="1281" spans="1:38" ht="14.1" customHeight="1" x14ac:dyDescent="0.2">
      <c r="A1281" t="s">
        <v>890</v>
      </c>
      <c r="B1281" s="209">
        <v>4885</v>
      </c>
      <c r="C1281" s="210" t="s">
        <v>1035</v>
      </c>
      <c r="D1281" s="229" t="s">
        <v>1521</v>
      </c>
      <c r="E1281" s="229" t="s">
        <v>540</v>
      </c>
      <c r="F1281" s="240">
        <v>300</v>
      </c>
      <c r="G1281" s="205">
        <v>1</v>
      </c>
      <c r="H1281" s="206">
        <v>300</v>
      </c>
      <c r="I1281" s="207">
        <v>41406</v>
      </c>
      <c r="J1281" s="197" t="str">
        <f t="shared" si="60"/>
        <v>ok</v>
      </c>
      <c r="K1281" s="419"/>
      <c r="L1281" s="419"/>
      <c r="M1281" s="419"/>
      <c r="N1281" s="419"/>
      <c r="O1281" s="419"/>
      <c r="P1281" s="419"/>
      <c r="Q1281" s="419"/>
      <c r="R1281" s="419"/>
      <c r="S1281" s="419"/>
      <c r="T1281" s="419"/>
      <c r="U1281" s="419"/>
      <c r="V1281" s="419"/>
      <c r="W1281" s="419">
        <f t="shared" si="58"/>
        <v>0</v>
      </c>
      <c r="X1281" s="412"/>
      <c r="Y1281" s="412"/>
      <c r="Z1281" s="412"/>
      <c r="AA1281" s="412">
        <v>300</v>
      </c>
      <c r="AB1281" s="412"/>
      <c r="AC1281" s="412"/>
      <c r="AD1281" s="412"/>
      <c r="AE1281" s="412"/>
      <c r="AF1281" s="412"/>
      <c r="AG1281" s="412"/>
      <c r="AH1281" s="412"/>
      <c r="AI1281" s="412"/>
      <c r="AJ1281" s="412">
        <f t="shared" si="59"/>
        <v>300</v>
      </c>
      <c r="AK1281" s="208"/>
      <c r="AL1281" s="250" t="s">
        <v>2067</v>
      </c>
    </row>
    <row r="1282" spans="1:38" ht="14.1" customHeight="1" x14ac:dyDescent="0.2">
      <c r="A1282" t="s">
        <v>892</v>
      </c>
      <c r="B1282" s="209">
        <v>4886</v>
      </c>
      <c r="C1282" s="210" t="s">
        <v>1063</v>
      </c>
      <c r="D1282" s="229" t="s">
        <v>1359</v>
      </c>
      <c r="E1282" s="229" t="s">
        <v>521</v>
      </c>
      <c r="F1282" s="240">
        <v>300</v>
      </c>
      <c r="G1282" s="205">
        <v>1</v>
      </c>
      <c r="H1282" s="206">
        <v>300</v>
      </c>
      <c r="I1282" s="207">
        <v>41407</v>
      </c>
      <c r="J1282" s="197" t="str">
        <f t="shared" si="60"/>
        <v>ok</v>
      </c>
      <c r="K1282" s="419"/>
      <c r="L1282" s="419"/>
      <c r="M1282" s="419"/>
      <c r="N1282" s="419"/>
      <c r="O1282" s="419"/>
      <c r="P1282" s="419"/>
      <c r="Q1282" s="419"/>
      <c r="R1282" s="419"/>
      <c r="S1282" s="419"/>
      <c r="T1282" s="419"/>
      <c r="U1282" s="419"/>
      <c r="V1282" s="419"/>
      <c r="W1282" s="419">
        <f t="shared" si="58"/>
        <v>0</v>
      </c>
      <c r="X1282" s="412"/>
      <c r="Y1282" s="412"/>
      <c r="Z1282" s="412"/>
      <c r="AA1282" s="412"/>
      <c r="AB1282" s="412">
        <v>300</v>
      </c>
      <c r="AC1282" s="412"/>
      <c r="AD1282" s="412"/>
      <c r="AE1282" s="412"/>
      <c r="AF1282" s="412"/>
      <c r="AG1282" s="412"/>
      <c r="AH1282" s="412"/>
      <c r="AI1282" s="412"/>
      <c r="AJ1282" s="412">
        <f t="shared" si="59"/>
        <v>300</v>
      </c>
      <c r="AK1282" s="208"/>
      <c r="AL1282" s="250" t="s">
        <v>2067</v>
      </c>
    </row>
    <row r="1283" spans="1:38" ht="14.1" customHeight="1" x14ac:dyDescent="0.2">
      <c r="A1283" t="s">
        <v>892</v>
      </c>
      <c r="B1283" s="209">
        <v>4887</v>
      </c>
      <c r="C1283" s="210" t="s">
        <v>1063</v>
      </c>
      <c r="D1283" s="229" t="s">
        <v>1359</v>
      </c>
      <c r="E1283" s="229" t="s">
        <v>521</v>
      </c>
      <c r="F1283" s="240">
        <v>300</v>
      </c>
      <c r="G1283" s="205">
        <v>1</v>
      </c>
      <c r="H1283" s="206">
        <v>300</v>
      </c>
      <c r="I1283" s="207">
        <v>41407</v>
      </c>
      <c r="J1283" s="197" t="str">
        <f t="shared" si="60"/>
        <v>ok</v>
      </c>
      <c r="K1283" s="419"/>
      <c r="L1283" s="419"/>
      <c r="M1283" s="419"/>
      <c r="N1283" s="419"/>
      <c r="O1283" s="419"/>
      <c r="P1283" s="419"/>
      <c r="Q1283" s="419"/>
      <c r="R1283" s="419"/>
      <c r="S1283" s="419"/>
      <c r="T1283" s="419"/>
      <c r="U1283" s="419"/>
      <c r="V1283" s="419"/>
      <c r="W1283" s="419">
        <f t="shared" si="58"/>
        <v>0</v>
      </c>
      <c r="X1283" s="412"/>
      <c r="Y1283" s="412"/>
      <c r="Z1283" s="412"/>
      <c r="AA1283" s="412"/>
      <c r="AB1283" s="412"/>
      <c r="AC1283" s="412">
        <v>300</v>
      </c>
      <c r="AD1283" s="412"/>
      <c r="AE1283" s="412"/>
      <c r="AF1283" s="412"/>
      <c r="AG1283" s="412"/>
      <c r="AH1283" s="412"/>
      <c r="AI1283" s="412"/>
      <c r="AJ1283" s="412">
        <f t="shared" si="59"/>
        <v>300</v>
      </c>
      <c r="AK1283" s="208"/>
      <c r="AL1283" s="250" t="s">
        <v>2067</v>
      </c>
    </row>
    <row r="1284" spans="1:38" ht="14.1" customHeight="1" x14ac:dyDescent="0.2">
      <c r="A1284" t="s">
        <v>888</v>
      </c>
      <c r="B1284" s="209">
        <v>4888</v>
      </c>
      <c r="C1284" s="210" t="s">
        <v>948</v>
      </c>
      <c r="D1284" s="229" t="s">
        <v>1504</v>
      </c>
      <c r="E1284" s="229" t="s">
        <v>325</v>
      </c>
      <c r="F1284" s="240">
        <v>300</v>
      </c>
      <c r="G1284" s="205">
        <v>1</v>
      </c>
      <c r="H1284" s="206">
        <v>300</v>
      </c>
      <c r="I1284" s="207">
        <v>41408</v>
      </c>
      <c r="J1284" s="197" t="str">
        <f t="shared" si="60"/>
        <v>ok</v>
      </c>
      <c r="K1284" s="419"/>
      <c r="L1284" s="419"/>
      <c r="M1284" s="419"/>
      <c r="N1284" s="419"/>
      <c r="O1284" s="419"/>
      <c r="P1284" s="419"/>
      <c r="Q1284" s="419"/>
      <c r="R1284" s="419"/>
      <c r="S1284" s="419"/>
      <c r="T1284" s="419"/>
      <c r="U1284" s="419"/>
      <c r="V1284" s="419"/>
      <c r="W1284" s="419">
        <f t="shared" si="58"/>
        <v>0</v>
      </c>
      <c r="X1284" s="412"/>
      <c r="Y1284" s="412"/>
      <c r="Z1284" s="412"/>
      <c r="AA1284" s="412">
        <v>300</v>
      </c>
      <c r="AB1284" s="412"/>
      <c r="AC1284" s="412"/>
      <c r="AD1284" s="412"/>
      <c r="AE1284" s="412"/>
      <c r="AF1284" s="412"/>
      <c r="AG1284" s="412"/>
      <c r="AH1284" s="412"/>
      <c r="AI1284" s="412"/>
      <c r="AJ1284" s="412">
        <f t="shared" si="59"/>
        <v>300</v>
      </c>
      <c r="AK1284" s="208"/>
      <c r="AL1284" s="250" t="s">
        <v>2067</v>
      </c>
    </row>
    <row r="1285" spans="1:38" ht="14.1" customHeight="1" x14ac:dyDescent="0.2">
      <c r="A1285" t="s">
        <v>894</v>
      </c>
      <c r="B1285" s="209">
        <v>4889</v>
      </c>
      <c r="C1285" s="210" t="s">
        <v>1153</v>
      </c>
      <c r="D1285" s="229" t="s">
        <v>1436</v>
      </c>
      <c r="E1285" s="229" t="s">
        <v>191</v>
      </c>
      <c r="F1285" s="240">
        <v>400</v>
      </c>
      <c r="G1285" s="205">
        <v>1</v>
      </c>
      <c r="H1285" s="206">
        <v>400</v>
      </c>
      <c r="I1285" s="207">
        <v>41408</v>
      </c>
      <c r="J1285" s="197" t="str">
        <f t="shared" si="60"/>
        <v>ok</v>
      </c>
      <c r="K1285" s="419"/>
      <c r="L1285" s="419"/>
      <c r="M1285" s="419"/>
      <c r="N1285" s="419"/>
      <c r="O1285" s="419"/>
      <c r="P1285" s="419"/>
      <c r="Q1285" s="419"/>
      <c r="R1285" s="419"/>
      <c r="S1285" s="419"/>
      <c r="T1285" s="419"/>
      <c r="U1285" s="419"/>
      <c r="V1285" s="419"/>
      <c r="W1285" s="419">
        <f t="shared" si="58"/>
        <v>0</v>
      </c>
      <c r="X1285" s="412"/>
      <c r="Y1285" s="412"/>
      <c r="Z1285" s="412"/>
      <c r="AA1285" s="412"/>
      <c r="AB1285" s="412">
        <v>400</v>
      </c>
      <c r="AC1285" s="412"/>
      <c r="AD1285" s="412"/>
      <c r="AE1285" s="412"/>
      <c r="AF1285" s="412"/>
      <c r="AG1285" s="412"/>
      <c r="AH1285" s="412"/>
      <c r="AI1285" s="412"/>
      <c r="AJ1285" s="412">
        <f t="shared" si="59"/>
        <v>400</v>
      </c>
      <c r="AK1285" s="208"/>
      <c r="AL1285" s="250" t="s">
        <v>2067</v>
      </c>
    </row>
    <row r="1286" spans="1:38" ht="14.1" customHeight="1" x14ac:dyDescent="0.2">
      <c r="A1286" t="s">
        <v>893</v>
      </c>
      <c r="B1286" s="209">
        <v>4890</v>
      </c>
      <c r="C1286" s="210" t="s">
        <v>1141</v>
      </c>
      <c r="D1286" s="229" t="s">
        <v>1437</v>
      </c>
      <c r="E1286" s="229" t="s">
        <v>716</v>
      </c>
      <c r="F1286" s="240">
        <v>300</v>
      </c>
      <c r="G1286" s="205">
        <v>1</v>
      </c>
      <c r="H1286" s="206">
        <v>600</v>
      </c>
      <c r="I1286" s="207">
        <v>41413</v>
      </c>
      <c r="J1286" s="197" t="str">
        <f t="shared" si="60"/>
        <v>ok</v>
      </c>
      <c r="K1286" s="419"/>
      <c r="L1286" s="419"/>
      <c r="M1286" s="419"/>
      <c r="N1286" s="419"/>
      <c r="O1286" s="419"/>
      <c r="P1286" s="419"/>
      <c r="Q1286" s="419"/>
      <c r="R1286" s="419"/>
      <c r="S1286" s="419"/>
      <c r="T1286" s="419"/>
      <c r="U1286" s="419"/>
      <c r="V1286" s="419"/>
      <c r="W1286" s="419">
        <f t="shared" si="58"/>
        <v>0</v>
      </c>
      <c r="X1286" s="412"/>
      <c r="Y1286" s="412"/>
      <c r="Z1286" s="412"/>
      <c r="AA1286" s="412">
        <v>300</v>
      </c>
      <c r="AB1286" s="412">
        <v>300</v>
      </c>
      <c r="AC1286" s="412"/>
      <c r="AD1286" s="412"/>
      <c r="AE1286" s="412"/>
      <c r="AF1286" s="412"/>
      <c r="AG1286" s="412"/>
      <c r="AH1286" s="412"/>
      <c r="AI1286" s="412"/>
      <c r="AJ1286" s="412">
        <f t="shared" si="59"/>
        <v>600</v>
      </c>
      <c r="AK1286" s="208"/>
      <c r="AL1286" s="250" t="s">
        <v>2067</v>
      </c>
    </row>
    <row r="1287" spans="1:38" ht="14.1" customHeight="1" x14ac:dyDescent="0.2">
      <c r="A1287" t="s">
        <v>893</v>
      </c>
      <c r="B1287" s="209">
        <v>4890</v>
      </c>
      <c r="C1287" s="210" t="s">
        <v>1141</v>
      </c>
      <c r="D1287" s="229" t="s">
        <v>1437</v>
      </c>
      <c r="E1287" s="229" t="s">
        <v>716</v>
      </c>
      <c r="F1287" s="240">
        <v>300</v>
      </c>
      <c r="G1287" s="205">
        <v>4</v>
      </c>
      <c r="H1287" s="206">
        <v>160</v>
      </c>
      <c r="I1287" s="207">
        <v>41413</v>
      </c>
      <c r="J1287" s="197" t="str">
        <f t="shared" si="60"/>
        <v>ok</v>
      </c>
      <c r="K1287" s="419"/>
      <c r="L1287" s="419"/>
      <c r="M1287" s="419"/>
      <c r="N1287" s="419"/>
      <c r="O1287" s="419"/>
      <c r="P1287" s="419"/>
      <c r="Q1287" s="419"/>
      <c r="R1287" s="419"/>
      <c r="S1287" s="419"/>
      <c r="T1287" s="419"/>
      <c r="U1287" s="419"/>
      <c r="V1287" s="419"/>
      <c r="W1287" s="419">
        <f t="shared" ref="W1287:W1350" si="61">SUM(K1287:V1287)</f>
        <v>0</v>
      </c>
      <c r="X1287" s="412"/>
      <c r="Y1287" s="412"/>
      <c r="Z1287" s="412"/>
      <c r="AA1287" s="412"/>
      <c r="AB1287" s="412"/>
      <c r="AC1287" s="412"/>
      <c r="AD1287" s="412"/>
      <c r="AE1287" s="412"/>
      <c r="AF1287" s="412"/>
      <c r="AG1287" s="412"/>
      <c r="AH1287" s="412"/>
      <c r="AI1287" s="412"/>
      <c r="AJ1287" s="412">
        <f t="shared" ref="AJ1287:AJ1350" si="62">SUM(X1287:AI1287)</f>
        <v>0</v>
      </c>
      <c r="AK1287" s="208"/>
      <c r="AL1287" s="250" t="s">
        <v>2068</v>
      </c>
    </row>
    <row r="1288" spans="1:38" ht="14.1" customHeight="1" x14ac:dyDescent="0.2">
      <c r="A1288" t="s">
        <v>893</v>
      </c>
      <c r="B1288" s="209">
        <v>4891</v>
      </c>
      <c r="C1288" s="210" t="s">
        <v>1143</v>
      </c>
      <c r="D1288" s="229" t="s">
        <v>1475</v>
      </c>
      <c r="E1288" s="229" t="s">
        <v>322</v>
      </c>
      <c r="F1288" s="240">
        <v>150</v>
      </c>
      <c r="G1288" s="205">
        <v>3</v>
      </c>
      <c r="H1288" s="206">
        <v>150</v>
      </c>
      <c r="I1288" s="207">
        <v>41413</v>
      </c>
      <c r="J1288" s="197" t="str">
        <f t="shared" si="60"/>
        <v>ok</v>
      </c>
      <c r="K1288" s="419"/>
      <c r="L1288" s="419"/>
      <c r="M1288" s="419"/>
      <c r="N1288" s="419"/>
      <c r="O1288" s="419"/>
      <c r="P1288" s="419"/>
      <c r="Q1288" s="419"/>
      <c r="R1288" s="419"/>
      <c r="S1288" s="419"/>
      <c r="T1288" s="419"/>
      <c r="U1288" s="419"/>
      <c r="V1288" s="419"/>
      <c r="W1288" s="419">
        <f t="shared" si="61"/>
        <v>0</v>
      </c>
      <c r="X1288" s="412"/>
      <c r="Y1288" s="412"/>
      <c r="Z1288" s="412"/>
      <c r="AA1288" s="412"/>
      <c r="AB1288" s="412"/>
      <c r="AC1288" s="412"/>
      <c r="AD1288" s="412"/>
      <c r="AE1288" s="412"/>
      <c r="AF1288" s="412"/>
      <c r="AG1288" s="412"/>
      <c r="AH1288" s="412"/>
      <c r="AI1288" s="412"/>
      <c r="AJ1288" s="412">
        <f t="shared" si="62"/>
        <v>0</v>
      </c>
      <c r="AK1288" s="208"/>
      <c r="AL1288" s="250" t="s">
        <v>2068</v>
      </c>
    </row>
    <row r="1289" spans="1:38" ht="14.1" customHeight="1" x14ac:dyDescent="0.2">
      <c r="A1289" t="s">
        <v>890</v>
      </c>
      <c r="B1289" s="209">
        <v>4892</v>
      </c>
      <c r="C1289" s="210" t="s">
        <v>1009</v>
      </c>
      <c r="D1289" s="229" t="s">
        <v>1632</v>
      </c>
      <c r="E1289" s="229" t="s">
        <v>502</v>
      </c>
      <c r="F1289" s="240">
        <v>300</v>
      </c>
      <c r="G1289" s="205">
        <v>1</v>
      </c>
      <c r="H1289" s="206">
        <v>300</v>
      </c>
      <c r="I1289" s="207">
        <v>41413</v>
      </c>
      <c r="J1289" s="197" t="str">
        <f t="shared" si="60"/>
        <v>ok</v>
      </c>
      <c r="K1289" s="419"/>
      <c r="L1289" s="419"/>
      <c r="M1289" s="419"/>
      <c r="N1289" s="419"/>
      <c r="O1289" s="419"/>
      <c r="P1289" s="419"/>
      <c r="Q1289" s="419"/>
      <c r="R1289" s="419"/>
      <c r="S1289" s="419"/>
      <c r="T1289" s="419"/>
      <c r="U1289" s="419"/>
      <c r="V1289" s="419"/>
      <c r="W1289" s="419">
        <f t="shared" si="61"/>
        <v>0</v>
      </c>
      <c r="X1289" s="412"/>
      <c r="Y1289" s="412"/>
      <c r="Z1289" s="412"/>
      <c r="AA1289" s="412"/>
      <c r="AB1289" s="412">
        <v>300</v>
      </c>
      <c r="AC1289" s="412"/>
      <c r="AD1289" s="412"/>
      <c r="AE1289" s="412"/>
      <c r="AF1289" s="412"/>
      <c r="AG1289" s="412"/>
      <c r="AH1289" s="412"/>
      <c r="AI1289" s="412"/>
      <c r="AJ1289" s="412">
        <f t="shared" si="62"/>
        <v>300</v>
      </c>
      <c r="AK1289" s="208"/>
      <c r="AL1289" s="250" t="s">
        <v>2067</v>
      </c>
    </row>
    <row r="1290" spans="1:38" ht="14.1" customHeight="1" x14ac:dyDescent="0.2">
      <c r="A1290" t="s">
        <v>884</v>
      </c>
      <c r="B1290" s="209">
        <v>4893</v>
      </c>
      <c r="C1290" s="210" t="s">
        <v>836</v>
      </c>
      <c r="D1290" s="229" t="s">
        <v>1383</v>
      </c>
      <c r="E1290" s="229" t="s">
        <v>73</v>
      </c>
      <c r="F1290" s="240">
        <v>300</v>
      </c>
      <c r="G1290" s="205">
        <v>1</v>
      </c>
      <c r="H1290" s="206">
        <v>300</v>
      </c>
      <c r="I1290" s="207">
        <v>41413</v>
      </c>
      <c r="J1290" s="197" t="str">
        <f t="shared" si="60"/>
        <v>ok</v>
      </c>
      <c r="K1290" s="419"/>
      <c r="L1290" s="419"/>
      <c r="M1290" s="419"/>
      <c r="N1290" s="419"/>
      <c r="O1290" s="419"/>
      <c r="P1290" s="419"/>
      <c r="Q1290" s="419"/>
      <c r="R1290" s="419"/>
      <c r="S1290" s="419"/>
      <c r="T1290" s="419"/>
      <c r="U1290" s="419"/>
      <c r="V1290" s="419"/>
      <c r="W1290" s="419">
        <f t="shared" si="61"/>
        <v>0</v>
      </c>
      <c r="X1290" s="412"/>
      <c r="Y1290" s="412"/>
      <c r="Z1290" s="412"/>
      <c r="AA1290" s="412"/>
      <c r="AB1290" s="412">
        <v>300</v>
      </c>
      <c r="AC1290" s="412"/>
      <c r="AD1290" s="412"/>
      <c r="AE1290" s="412"/>
      <c r="AF1290" s="412"/>
      <c r="AG1290" s="412"/>
      <c r="AH1290" s="412"/>
      <c r="AI1290" s="412"/>
      <c r="AJ1290" s="412">
        <f t="shared" si="62"/>
        <v>300</v>
      </c>
      <c r="AK1290" s="208"/>
      <c r="AL1290" s="250" t="s">
        <v>2067</v>
      </c>
    </row>
    <row r="1291" spans="1:38" ht="14.1" customHeight="1" x14ac:dyDescent="0.2">
      <c r="A1291" t="s">
        <v>884</v>
      </c>
      <c r="B1291" s="209">
        <v>4894</v>
      </c>
      <c r="C1291" s="210" t="s">
        <v>861</v>
      </c>
      <c r="D1291" s="229" t="s">
        <v>1446</v>
      </c>
      <c r="E1291" s="229" t="s">
        <v>1208</v>
      </c>
      <c r="F1291" s="240">
        <v>150</v>
      </c>
      <c r="G1291" s="205">
        <v>3</v>
      </c>
      <c r="H1291" s="206">
        <v>150</v>
      </c>
      <c r="I1291" s="207">
        <v>41413</v>
      </c>
      <c r="J1291" s="197" t="str">
        <f t="shared" si="60"/>
        <v>ok</v>
      </c>
      <c r="K1291" s="419"/>
      <c r="L1291" s="419"/>
      <c r="M1291" s="419"/>
      <c r="N1291" s="419"/>
      <c r="O1291" s="419"/>
      <c r="P1291" s="419"/>
      <c r="Q1291" s="419"/>
      <c r="R1291" s="419"/>
      <c r="S1291" s="419"/>
      <c r="T1291" s="419"/>
      <c r="U1291" s="419"/>
      <c r="V1291" s="419"/>
      <c r="W1291" s="419">
        <f t="shared" si="61"/>
        <v>0</v>
      </c>
      <c r="X1291" s="412"/>
      <c r="Y1291" s="412"/>
      <c r="Z1291" s="412"/>
      <c r="AA1291" s="412"/>
      <c r="AB1291" s="412"/>
      <c r="AC1291" s="412"/>
      <c r="AD1291" s="412"/>
      <c r="AE1291" s="412"/>
      <c r="AF1291" s="412"/>
      <c r="AG1291" s="412"/>
      <c r="AH1291" s="412"/>
      <c r="AI1291" s="412"/>
      <c r="AJ1291" s="412">
        <f t="shared" si="62"/>
        <v>0</v>
      </c>
      <c r="AK1291" s="208"/>
      <c r="AL1291" s="250" t="s">
        <v>2068</v>
      </c>
    </row>
    <row r="1292" spans="1:38" ht="14.1" customHeight="1" x14ac:dyDescent="0.2">
      <c r="A1292" t="s">
        <v>884</v>
      </c>
      <c r="B1292" s="209">
        <v>4894</v>
      </c>
      <c r="C1292" s="210" t="s">
        <v>861</v>
      </c>
      <c r="D1292" s="229" t="s">
        <v>1446</v>
      </c>
      <c r="E1292" s="229" t="s">
        <v>1208</v>
      </c>
      <c r="F1292" s="240">
        <v>150</v>
      </c>
      <c r="G1292" s="205">
        <v>4</v>
      </c>
      <c r="H1292" s="206">
        <v>160</v>
      </c>
      <c r="I1292" s="207">
        <v>41413</v>
      </c>
      <c r="J1292" s="197" t="str">
        <f t="shared" si="60"/>
        <v>ok</v>
      </c>
      <c r="K1292" s="419"/>
      <c r="L1292" s="419"/>
      <c r="M1292" s="419"/>
      <c r="N1292" s="419"/>
      <c r="O1292" s="419"/>
      <c r="P1292" s="419"/>
      <c r="Q1292" s="419"/>
      <c r="R1292" s="419"/>
      <c r="S1292" s="419"/>
      <c r="T1292" s="419"/>
      <c r="U1292" s="419"/>
      <c r="V1292" s="419"/>
      <c r="W1292" s="419">
        <f t="shared" si="61"/>
        <v>0</v>
      </c>
      <c r="X1292" s="412"/>
      <c r="Y1292" s="412"/>
      <c r="Z1292" s="412"/>
      <c r="AA1292" s="412"/>
      <c r="AB1292" s="412"/>
      <c r="AC1292" s="412"/>
      <c r="AD1292" s="412"/>
      <c r="AE1292" s="412"/>
      <c r="AF1292" s="412"/>
      <c r="AG1292" s="412"/>
      <c r="AH1292" s="412"/>
      <c r="AI1292" s="412"/>
      <c r="AJ1292" s="412">
        <f t="shared" si="62"/>
        <v>0</v>
      </c>
      <c r="AK1292" s="208"/>
      <c r="AL1292" s="250" t="s">
        <v>2068</v>
      </c>
    </row>
    <row r="1293" spans="1:38" ht="14.1" customHeight="1" x14ac:dyDescent="0.2">
      <c r="A1293" t="s">
        <v>893</v>
      </c>
      <c r="B1293" s="209">
        <v>4895</v>
      </c>
      <c r="C1293" s="210" t="s">
        <v>1079</v>
      </c>
      <c r="D1293" s="229" t="s">
        <v>1552</v>
      </c>
      <c r="E1293" s="229" t="s">
        <v>198</v>
      </c>
      <c r="F1293" s="240">
        <v>150</v>
      </c>
      <c r="G1293" s="205">
        <v>1</v>
      </c>
      <c r="H1293" s="206">
        <v>150</v>
      </c>
      <c r="I1293" s="207">
        <v>41413</v>
      </c>
      <c r="J1293" s="197" t="str">
        <f t="shared" si="60"/>
        <v>ok</v>
      </c>
      <c r="K1293" s="419"/>
      <c r="L1293" s="419"/>
      <c r="M1293" s="419"/>
      <c r="N1293" s="419"/>
      <c r="O1293" s="419"/>
      <c r="P1293" s="419"/>
      <c r="Q1293" s="419"/>
      <c r="R1293" s="419"/>
      <c r="S1293" s="419"/>
      <c r="T1293" s="419"/>
      <c r="U1293" s="419"/>
      <c r="V1293" s="419"/>
      <c r="W1293" s="419">
        <f t="shared" si="61"/>
        <v>0</v>
      </c>
      <c r="X1293" s="412"/>
      <c r="Y1293" s="412"/>
      <c r="Z1293" s="412"/>
      <c r="AA1293" s="412"/>
      <c r="AB1293" s="412">
        <v>150</v>
      </c>
      <c r="AC1293" s="412"/>
      <c r="AD1293" s="412"/>
      <c r="AE1293" s="412"/>
      <c r="AF1293" s="412"/>
      <c r="AG1293" s="412"/>
      <c r="AH1293" s="412"/>
      <c r="AI1293" s="412"/>
      <c r="AJ1293" s="412">
        <f t="shared" si="62"/>
        <v>150</v>
      </c>
      <c r="AK1293" s="208"/>
      <c r="AL1293" s="250" t="s">
        <v>2067</v>
      </c>
    </row>
    <row r="1294" spans="1:38" ht="14.1" customHeight="1" x14ac:dyDescent="0.2">
      <c r="A1294" t="s">
        <v>894</v>
      </c>
      <c r="B1294" s="209">
        <v>4896</v>
      </c>
      <c r="C1294" s="210" t="s">
        <v>1154</v>
      </c>
      <c r="D1294" s="229" t="s">
        <v>1367</v>
      </c>
      <c r="E1294" s="229" t="s">
        <v>1239</v>
      </c>
      <c r="F1294" s="240">
        <v>300</v>
      </c>
      <c r="G1294" s="205">
        <v>1</v>
      </c>
      <c r="H1294" s="206">
        <v>600</v>
      </c>
      <c r="I1294" s="207">
        <v>41413</v>
      </c>
      <c r="J1294" s="197" t="str">
        <f t="shared" ref="J1294:J1356" si="63">IF(OR(G1294&lt;&gt;1,SUM(W1294,AJ1294)=H1294),"ok","error")</f>
        <v>ok</v>
      </c>
      <c r="K1294" s="419"/>
      <c r="L1294" s="419"/>
      <c r="M1294" s="419"/>
      <c r="N1294" s="419"/>
      <c r="O1294" s="419"/>
      <c r="P1294" s="419"/>
      <c r="Q1294" s="419"/>
      <c r="R1294" s="419"/>
      <c r="S1294" s="419"/>
      <c r="T1294" s="419"/>
      <c r="U1294" s="419"/>
      <c r="V1294" s="419"/>
      <c r="W1294" s="419">
        <f t="shared" si="61"/>
        <v>0</v>
      </c>
      <c r="X1294" s="412"/>
      <c r="Y1294" s="412"/>
      <c r="Z1294" s="412"/>
      <c r="AA1294" s="412">
        <v>300</v>
      </c>
      <c r="AB1294" s="412">
        <v>300</v>
      </c>
      <c r="AC1294" s="412"/>
      <c r="AD1294" s="412"/>
      <c r="AE1294" s="412"/>
      <c r="AF1294" s="412"/>
      <c r="AG1294" s="412"/>
      <c r="AH1294" s="412"/>
      <c r="AI1294" s="412"/>
      <c r="AJ1294" s="412">
        <f t="shared" si="62"/>
        <v>600</v>
      </c>
      <c r="AK1294" s="208"/>
      <c r="AL1294" s="250" t="s">
        <v>2067</v>
      </c>
    </row>
    <row r="1295" spans="1:38" ht="14.1" customHeight="1" x14ac:dyDescent="0.2">
      <c r="A1295" t="s">
        <v>894</v>
      </c>
      <c r="B1295" s="209">
        <v>4897</v>
      </c>
      <c r="C1295" s="210" t="s">
        <v>1160</v>
      </c>
      <c r="D1295" s="229" t="s">
        <v>1608</v>
      </c>
      <c r="E1295" s="229" t="s">
        <v>1275</v>
      </c>
      <c r="F1295" s="240">
        <v>300</v>
      </c>
      <c r="G1295" s="205">
        <v>1</v>
      </c>
      <c r="H1295" s="206">
        <v>300</v>
      </c>
      <c r="I1295" s="207">
        <v>41413</v>
      </c>
      <c r="J1295" s="197" t="str">
        <f t="shared" si="63"/>
        <v>ok</v>
      </c>
      <c r="K1295" s="419"/>
      <c r="L1295" s="419"/>
      <c r="M1295" s="419"/>
      <c r="N1295" s="419"/>
      <c r="O1295" s="419"/>
      <c r="P1295" s="419"/>
      <c r="Q1295" s="419"/>
      <c r="R1295" s="419"/>
      <c r="S1295" s="419"/>
      <c r="T1295" s="419"/>
      <c r="U1295" s="419"/>
      <c r="V1295" s="419"/>
      <c r="W1295" s="419">
        <f t="shared" si="61"/>
        <v>0</v>
      </c>
      <c r="X1295" s="412"/>
      <c r="Y1295" s="412"/>
      <c r="Z1295" s="412"/>
      <c r="AA1295" s="412"/>
      <c r="AB1295" s="412">
        <v>300</v>
      </c>
      <c r="AC1295" s="412"/>
      <c r="AD1295" s="412"/>
      <c r="AE1295" s="412"/>
      <c r="AF1295" s="412"/>
      <c r="AG1295" s="412"/>
      <c r="AH1295" s="412"/>
      <c r="AI1295" s="412"/>
      <c r="AJ1295" s="412">
        <f t="shared" si="62"/>
        <v>300</v>
      </c>
      <c r="AK1295" s="208"/>
      <c r="AL1295" s="250" t="s">
        <v>2067</v>
      </c>
    </row>
    <row r="1296" spans="1:38" ht="14.1" customHeight="1" x14ac:dyDescent="0.2">
      <c r="A1296" t="s">
        <v>884</v>
      </c>
      <c r="B1296" s="209">
        <v>4898</v>
      </c>
      <c r="C1296" s="210" t="s">
        <v>858</v>
      </c>
      <c r="D1296" s="229" t="s">
        <v>1527</v>
      </c>
      <c r="E1296" s="229" t="s">
        <v>103</v>
      </c>
      <c r="F1296" s="240">
        <v>300</v>
      </c>
      <c r="G1296" s="205">
        <v>1</v>
      </c>
      <c r="H1296" s="206">
        <v>300</v>
      </c>
      <c r="I1296" s="207">
        <v>41413</v>
      </c>
      <c r="J1296" s="197" t="str">
        <f t="shared" si="63"/>
        <v>ok</v>
      </c>
      <c r="K1296" s="419"/>
      <c r="L1296" s="419"/>
      <c r="M1296" s="419"/>
      <c r="N1296" s="419"/>
      <c r="O1296" s="419"/>
      <c r="P1296" s="419"/>
      <c r="Q1296" s="419"/>
      <c r="R1296" s="419"/>
      <c r="S1296" s="419"/>
      <c r="T1296" s="419"/>
      <c r="U1296" s="419"/>
      <c r="V1296" s="419"/>
      <c r="W1296" s="419">
        <f t="shared" si="61"/>
        <v>0</v>
      </c>
      <c r="X1296" s="412"/>
      <c r="Y1296" s="412"/>
      <c r="Z1296" s="412"/>
      <c r="AA1296" s="412"/>
      <c r="AB1296" s="412">
        <v>300</v>
      </c>
      <c r="AC1296" s="412"/>
      <c r="AD1296" s="412"/>
      <c r="AE1296" s="412"/>
      <c r="AF1296" s="412"/>
      <c r="AG1296" s="412"/>
      <c r="AH1296" s="412"/>
      <c r="AI1296" s="412"/>
      <c r="AJ1296" s="412">
        <f t="shared" si="62"/>
        <v>300</v>
      </c>
      <c r="AK1296" s="208"/>
      <c r="AL1296" s="250" t="s">
        <v>2067</v>
      </c>
    </row>
    <row r="1297" spans="1:38" ht="14.1" customHeight="1" x14ac:dyDescent="0.2">
      <c r="A1297" t="s">
        <v>894</v>
      </c>
      <c r="B1297" s="209">
        <v>4899</v>
      </c>
      <c r="C1297" s="210" t="s">
        <v>1155</v>
      </c>
      <c r="D1297" s="229" t="s">
        <v>1596</v>
      </c>
      <c r="E1297" s="229" t="s">
        <v>734</v>
      </c>
      <c r="F1297" s="240">
        <v>300</v>
      </c>
      <c r="G1297" s="205">
        <v>1</v>
      </c>
      <c r="H1297" s="206">
        <v>300</v>
      </c>
      <c r="I1297" s="207">
        <v>41413</v>
      </c>
      <c r="J1297" s="197" t="str">
        <f t="shared" si="63"/>
        <v>ok</v>
      </c>
      <c r="K1297" s="419"/>
      <c r="L1297" s="419"/>
      <c r="M1297" s="419"/>
      <c r="N1297" s="419"/>
      <c r="O1297" s="419"/>
      <c r="P1297" s="419"/>
      <c r="Q1297" s="419"/>
      <c r="R1297" s="419"/>
      <c r="S1297" s="419"/>
      <c r="T1297" s="419"/>
      <c r="U1297" s="419"/>
      <c r="V1297" s="419"/>
      <c r="W1297" s="419">
        <f t="shared" si="61"/>
        <v>0</v>
      </c>
      <c r="X1297" s="412"/>
      <c r="Y1297" s="412"/>
      <c r="Z1297" s="412"/>
      <c r="AA1297" s="412"/>
      <c r="AB1297" s="412">
        <v>300</v>
      </c>
      <c r="AC1297" s="412"/>
      <c r="AD1297" s="412"/>
      <c r="AE1297" s="412"/>
      <c r="AF1297" s="412"/>
      <c r="AG1297" s="412"/>
      <c r="AH1297" s="412"/>
      <c r="AI1297" s="412"/>
      <c r="AJ1297" s="412">
        <f t="shared" si="62"/>
        <v>300</v>
      </c>
      <c r="AK1297" s="208"/>
      <c r="AL1297" s="250" t="s">
        <v>2067</v>
      </c>
    </row>
    <row r="1298" spans="1:38" ht="14.1" customHeight="1" x14ac:dyDescent="0.2">
      <c r="A1298" t="s">
        <v>894</v>
      </c>
      <c r="B1298" s="209">
        <v>4899</v>
      </c>
      <c r="C1298" s="210" t="s">
        <v>1155</v>
      </c>
      <c r="D1298" s="229" t="s">
        <v>1596</v>
      </c>
      <c r="E1298" s="229" t="s">
        <v>734</v>
      </c>
      <c r="F1298" s="240">
        <v>300</v>
      </c>
      <c r="G1298" s="205">
        <v>3</v>
      </c>
      <c r="H1298" s="206">
        <v>150</v>
      </c>
      <c r="I1298" s="207">
        <v>41413</v>
      </c>
      <c r="J1298" s="197" t="str">
        <f t="shared" si="63"/>
        <v>ok</v>
      </c>
      <c r="K1298" s="419"/>
      <c r="L1298" s="419"/>
      <c r="M1298" s="419"/>
      <c r="N1298" s="419"/>
      <c r="O1298" s="419"/>
      <c r="P1298" s="419"/>
      <c r="Q1298" s="419"/>
      <c r="R1298" s="419"/>
      <c r="S1298" s="419"/>
      <c r="T1298" s="419"/>
      <c r="U1298" s="419"/>
      <c r="V1298" s="419"/>
      <c r="W1298" s="419">
        <f t="shared" si="61"/>
        <v>0</v>
      </c>
      <c r="X1298" s="412"/>
      <c r="Y1298" s="412"/>
      <c r="Z1298" s="412"/>
      <c r="AA1298" s="412"/>
      <c r="AB1298" s="412"/>
      <c r="AC1298" s="412"/>
      <c r="AD1298" s="412"/>
      <c r="AE1298" s="412"/>
      <c r="AF1298" s="412"/>
      <c r="AG1298" s="412"/>
      <c r="AH1298" s="412"/>
      <c r="AI1298" s="412"/>
      <c r="AJ1298" s="412">
        <f t="shared" si="62"/>
        <v>0</v>
      </c>
      <c r="AK1298" s="208"/>
      <c r="AL1298" s="250" t="s">
        <v>2068</v>
      </c>
    </row>
    <row r="1299" spans="1:38" ht="14.1" customHeight="1" x14ac:dyDescent="0.2">
      <c r="A1299" t="s">
        <v>884</v>
      </c>
      <c r="B1299" s="209">
        <v>4900</v>
      </c>
      <c r="C1299" s="210" t="s">
        <v>825</v>
      </c>
      <c r="D1299" s="229" t="s">
        <v>1580</v>
      </c>
      <c r="E1299" s="229" t="s">
        <v>53</v>
      </c>
      <c r="F1299" s="240">
        <v>300</v>
      </c>
      <c r="G1299" s="205">
        <v>1</v>
      </c>
      <c r="H1299" s="206">
        <v>300</v>
      </c>
      <c r="I1299" s="207">
        <v>41413</v>
      </c>
      <c r="J1299" s="197" t="str">
        <f t="shared" si="63"/>
        <v>ok</v>
      </c>
      <c r="K1299" s="419"/>
      <c r="L1299" s="419"/>
      <c r="M1299" s="419"/>
      <c r="N1299" s="419"/>
      <c r="O1299" s="419"/>
      <c r="P1299" s="419"/>
      <c r="Q1299" s="419"/>
      <c r="R1299" s="419"/>
      <c r="S1299" s="419"/>
      <c r="T1299" s="419"/>
      <c r="U1299" s="419"/>
      <c r="V1299" s="419"/>
      <c r="W1299" s="419">
        <f t="shared" si="61"/>
        <v>0</v>
      </c>
      <c r="X1299" s="412"/>
      <c r="Y1299" s="412"/>
      <c r="Z1299" s="412"/>
      <c r="AA1299" s="412"/>
      <c r="AB1299" s="412">
        <v>300</v>
      </c>
      <c r="AC1299" s="412"/>
      <c r="AD1299" s="412"/>
      <c r="AE1299" s="412"/>
      <c r="AF1299" s="412"/>
      <c r="AG1299" s="412"/>
      <c r="AH1299" s="412"/>
      <c r="AI1299" s="412"/>
      <c r="AJ1299" s="412">
        <f t="shared" si="62"/>
        <v>300</v>
      </c>
      <c r="AK1299" s="208"/>
      <c r="AL1299" s="250" t="s">
        <v>2067</v>
      </c>
    </row>
    <row r="1300" spans="1:38" ht="14.1" customHeight="1" x14ac:dyDescent="0.2">
      <c r="A1300" t="s">
        <v>884</v>
      </c>
      <c r="B1300" s="209">
        <v>4900</v>
      </c>
      <c r="C1300" s="210" t="s">
        <v>825</v>
      </c>
      <c r="D1300" s="229" t="s">
        <v>1580</v>
      </c>
      <c r="E1300" s="229" t="s">
        <v>53</v>
      </c>
      <c r="F1300" s="240">
        <v>300</v>
      </c>
      <c r="G1300" s="205">
        <v>4</v>
      </c>
      <c r="H1300" s="206">
        <v>160</v>
      </c>
      <c r="I1300" s="207">
        <v>41413</v>
      </c>
      <c r="J1300" s="197" t="str">
        <f t="shared" si="63"/>
        <v>ok</v>
      </c>
      <c r="K1300" s="419"/>
      <c r="L1300" s="419"/>
      <c r="M1300" s="419"/>
      <c r="N1300" s="419"/>
      <c r="O1300" s="419"/>
      <c r="P1300" s="419"/>
      <c r="Q1300" s="419"/>
      <c r="R1300" s="419"/>
      <c r="S1300" s="419"/>
      <c r="T1300" s="419"/>
      <c r="U1300" s="419"/>
      <c r="V1300" s="419"/>
      <c r="W1300" s="419">
        <f t="shared" si="61"/>
        <v>0</v>
      </c>
      <c r="X1300" s="412"/>
      <c r="Y1300" s="412"/>
      <c r="Z1300" s="412"/>
      <c r="AA1300" s="412"/>
      <c r="AB1300" s="412"/>
      <c r="AC1300" s="412"/>
      <c r="AD1300" s="412"/>
      <c r="AE1300" s="412"/>
      <c r="AF1300" s="412"/>
      <c r="AG1300" s="412"/>
      <c r="AH1300" s="412"/>
      <c r="AI1300" s="412"/>
      <c r="AJ1300" s="412">
        <f t="shared" si="62"/>
        <v>0</v>
      </c>
      <c r="AK1300" s="208"/>
      <c r="AL1300" s="250" t="s">
        <v>2068</v>
      </c>
    </row>
    <row r="1301" spans="1:38" ht="14.1" customHeight="1" x14ac:dyDescent="0.2">
      <c r="A1301" t="s">
        <v>893</v>
      </c>
      <c r="B1301" s="209">
        <v>4901</v>
      </c>
      <c r="C1301" s="210" t="s">
        <v>1110</v>
      </c>
      <c r="D1301" s="229" t="s">
        <v>1583</v>
      </c>
      <c r="E1301" s="229" t="s">
        <v>113</v>
      </c>
      <c r="F1301" s="240">
        <v>300</v>
      </c>
      <c r="G1301" s="205">
        <v>1</v>
      </c>
      <c r="H1301" s="206">
        <v>300</v>
      </c>
      <c r="I1301" s="207">
        <v>41413</v>
      </c>
      <c r="J1301" s="197" t="str">
        <f t="shared" si="63"/>
        <v>ok</v>
      </c>
      <c r="K1301" s="419"/>
      <c r="L1301" s="419"/>
      <c r="M1301" s="419"/>
      <c r="N1301" s="419"/>
      <c r="O1301" s="419"/>
      <c r="P1301" s="419"/>
      <c r="Q1301" s="419"/>
      <c r="R1301" s="419"/>
      <c r="S1301" s="419"/>
      <c r="T1301" s="419"/>
      <c r="U1301" s="419"/>
      <c r="V1301" s="419"/>
      <c r="W1301" s="419">
        <f t="shared" si="61"/>
        <v>0</v>
      </c>
      <c r="X1301" s="412"/>
      <c r="Y1301" s="412"/>
      <c r="Z1301" s="412"/>
      <c r="AA1301" s="412"/>
      <c r="AB1301" s="412">
        <v>300</v>
      </c>
      <c r="AC1301" s="412"/>
      <c r="AD1301" s="412"/>
      <c r="AE1301" s="412"/>
      <c r="AF1301" s="412"/>
      <c r="AG1301" s="412"/>
      <c r="AH1301" s="412"/>
      <c r="AI1301" s="412"/>
      <c r="AJ1301" s="412">
        <f t="shared" si="62"/>
        <v>300</v>
      </c>
      <c r="AK1301" s="208"/>
      <c r="AL1301" s="250" t="s">
        <v>2067</v>
      </c>
    </row>
    <row r="1302" spans="1:38" ht="14.1" customHeight="1" x14ac:dyDescent="0.2">
      <c r="A1302" t="s">
        <v>893</v>
      </c>
      <c r="B1302" s="209">
        <v>4902</v>
      </c>
      <c r="C1302" s="210" t="s">
        <v>1137</v>
      </c>
      <c r="D1302" s="229" t="s">
        <v>1463</v>
      </c>
      <c r="E1302" s="229" t="s">
        <v>310</v>
      </c>
      <c r="F1302" s="240">
        <v>300</v>
      </c>
      <c r="G1302" s="205">
        <v>1</v>
      </c>
      <c r="H1302" s="206">
        <v>300</v>
      </c>
      <c r="I1302" s="207">
        <v>41413</v>
      </c>
      <c r="J1302" s="197" t="str">
        <f t="shared" si="63"/>
        <v>ok</v>
      </c>
      <c r="K1302" s="419"/>
      <c r="L1302" s="419"/>
      <c r="M1302" s="419"/>
      <c r="N1302" s="419"/>
      <c r="O1302" s="419"/>
      <c r="P1302" s="419"/>
      <c r="Q1302" s="419"/>
      <c r="R1302" s="419"/>
      <c r="S1302" s="419"/>
      <c r="T1302" s="419"/>
      <c r="U1302" s="419"/>
      <c r="V1302" s="419"/>
      <c r="W1302" s="419">
        <f t="shared" si="61"/>
        <v>0</v>
      </c>
      <c r="X1302" s="412"/>
      <c r="Y1302" s="412"/>
      <c r="Z1302" s="412"/>
      <c r="AA1302" s="412"/>
      <c r="AB1302" s="412">
        <v>300</v>
      </c>
      <c r="AC1302" s="412"/>
      <c r="AD1302" s="412"/>
      <c r="AE1302" s="412"/>
      <c r="AF1302" s="412"/>
      <c r="AG1302" s="412"/>
      <c r="AH1302" s="412"/>
      <c r="AI1302" s="412"/>
      <c r="AJ1302" s="412">
        <f t="shared" si="62"/>
        <v>300</v>
      </c>
      <c r="AK1302" s="208"/>
      <c r="AL1302" s="250" t="s">
        <v>2067</v>
      </c>
    </row>
    <row r="1303" spans="1:38" ht="14.1" customHeight="1" x14ac:dyDescent="0.2">
      <c r="A1303" t="s">
        <v>894</v>
      </c>
      <c r="B1303" s="209">
        <v>4903</v>
      </c>
      <c r="C1303" s="210" t="s">
        <v>1151</v>
      </c>
      <c r="D1303" s="229" t="s">
        <v>1560</v>
      </c>
      <c r="E1303" s="229" t="s">
        <v>588</v>
      </c>
      <c r="F1303" s="240">
        <v>300</v>
      </c>
      <c r="G1303" s="205">
        <v>1</v>
      </c>
      <c r="H1303" s="206">
        <v>600</v>
      </c>
      <c r="I1303" s="207">
        <v>41413</v>
      </c>
      <c r="J1303" s="197" t="str">
        <f t="shared" si="63"/>
        <v>ok</v>
      </c>
      <c r="K1303" s="419"/>
      <c r="L1303" s="419"/>
      <c r="M1303" s="419"/>
      <c r="N1303" s="419"/>
      <c r="O1303" s="419"/>
      <c r="P1303" s="419"/>
      <c r="Q1303" s="419"/>
      <c r="R1303" s="419"/>
      <c r="S1303" s="419"/>
      <c r="T1303" s="419"/>
      <c r="U1303" s="419"/>
      <c r="V1303" s="419"/>
      <c r="W1303" s="419">
        <f t="shared" si="61"/>
        <v>0</v>
      </c>
      <c r="X1303" s="412"/>
      <c r="Y1303" s="412"/>
      <c r="Z1303" s="412"/>
      <c r="AA1303" s="412">
        <v>300</v>
      </c>
      <c r="AB1303" s="412">
        <v>300</v>
      </c>
      <c r="AC1303" s="412"/>
      <c r="AD1303" s="412"/>
      <c r="AE1303" s="412"/>
      <c r="AF1303" s="412"/>
      <c r="AG1303" s="412"/>
      <c r="AH1303" s="412"/>
      <c r="AI1303" s="412"/>
      <c r="AJ1303" s="412">
        <f t="shared" si="62"/>
        <v>600</v>
      </c>
      <c r="AK1303" s="208"/>
      <c r="AL1303" s="250" t="s">
        <v>2067</v>
      </c>
    </row>
    <row r="1304" spans="1:38" ht="14.1" customHeight="1" x14ac:dyDescent="0.2">
      <c r="A1304" t="s">
        <v>890</v>
      </c>
      <c r="B1304" s="209">
        <v>4904</v>
      </c>
      <c r="C1304" s="210" t="s">
        <v>1025</v>
      </c>
      <c r="D1304" s="229" t="s">
        <v>1378</v>
      </c>
      <c r="E1304" s="229" t="s">
        <v>525</v>
      </c>
      <c r="F1304" s="240">
        <v>300</v>
      </c>
      <c r="G1304" s="205">
        <v>1</v>
      </c>
      <c r="H1304" s="206">
        <v>300</v>
      </c>
      <c r="I1304" s="207">
        <v>41413</v>
      </c>
      <c r="J1304" s="197" t="str">
        <f t="shared" si="63"/>
        <v>ok</v>
      </c>
      <c r="K1304" s="419"/>
      <c r="L1304" s="419"/>
      <c r="M1304" s="419"/>
      <c r="N1304" s="419"/>
      <c r="O1304" s="419"/>
      <c r="P1304" s="419"/>
      <c r="Q1304" s="419"/>
      <c r="R1304" s="419"/>
      <c r="S1304" s="419"/>
      <c r="T1304" s="419"/>
      <c r="U1304" s="419"/>
      <c r="V1304" s="419"/>
      <c r="W1304" s="419">
        <f t="shared" si="61"/>
        <v>0</v>
      </c>
      <c r="X1304" s="412"/>
      <c r="Y1304" s="412"/>
      <c r="Z1304" s="412"/>
      <c r="AA1304" s="412"/>
      <c r="AB1304" s="412">
        <v>300</v>
      </c>
      <c r="AC1304" s="412"/>
      <c r="AD1304" s="412"/>
      <c r="AE1304" s="412"/>
      <c r="AF1304" s="412"/>
      <c r="AG1304" s="412"/>
      <c r="AH1304" s="412"/>
      <c r="AI1304" s="412"/>
      <c r="AJ1304" s="412">
        <f t="shared" si="62"/>
        <v>300</v>
      </c>
      <c r="AK1304" s="208"/>
      <c r="AL1304" s="250" t="s">
        <v>2067</v>
      </c>
    </row>
    <row r="1305" spans="1:38" ht="14.1" customHeight="1" x14ac:dyDescent="0.2">
      <c r="A1305" t="s">
        <v>893</v>
      </c>
      <c r="B1305" s="209">
        <v>4905</v>
      </c>
      <c r="C1305" s="210" t="s">
        <v>1081</v>
      </c>
      <c r="D1305" s="229" t="s">
        <v>1652</v>
      </c>
      <c r="E1305" s="229" t="s">
        <v>202</v>
      </c>
      <c r="F1305" s="240">
        <v>300</v>
      </c>
      <c r="G1305" s="205">
        <v>1</v>
      </c>
      <c r="H1305" s="206">
        <v>600</v>
      </c>
      <c r="I1305" s="207">
        <v>41413</v>
      </c>
      <c r="J1305" s="197" t="str">
        <f t="shared" si="63"/>
        <v>ok</v>
      </c>
      <c r="K1305" s="419"/>
      <c r="L1305" s="419"/>
      <c r="M1305" s="419"/>
      <c r="N1305" s="419"/>
      <c r="O1305" s="419"/>
      <c r="P1305" s="419"/>
      <c r="Q1305" s="419"/>
      <c r="R1305" s="419"/>
      <c r="S1305" s="419"/>
      <c r="T1305" s="419"/>
      <c r="U1305" s="419"/>
      <c r="V1305" s="419"/>
      <c r="W1305" s="419">
        <f t="shared" si="61"/>
        <v>0</v>
      </c>
      <c r="X1305" s="412"/>
      <c r="Y1305" s="412">
        <v>300</v>
      </c>
      <c r="Z1305" s="412">
        <v>300</v>
      </c>
      <c r="AA1305" s="412"/>
      <c r="AB1305" s="412"/>
      <c r="AC1305" s="412"/>
      <c r="AD1305" s="412"/>
      <c r="AE1305" s="412"/>
      <c r="AF1305" s="412"/>
      <c r="AG1305" s="412"/>
      <c r="AH1305" s="412"/>
      <c r="AI1305" s="412"/>
      <c r="AJ1305" s="412">
        <f t="shared" si="62"/>
        <v>600</v>
      </c>
      <c r="AK1305" s="208"/>
      <c r="AL1305" s="250" t="s">
        <v>2067</v>
      </c>
    </row>
    <row r="1306" spans="1:38" ht="14.1" customHeight="1" x14ac:dyDescent="0.2">
      <c r="A1306" t="s">
        <v>884</v>
      </c>
      <c r="B1306" s="209">
        <v>4906</v>
      </c>
      <c r="C1306" s="210" t="s">
        <v>802</v>
      </c>
      <c r="D1306" s="229" t="s">
        <v>1412</v>
      </c>
      <c r="E1306" s="229" t="s">
        <v>19</v>
      </c>
      <c r="F1306" s="240">
        <v>300</v>
      </c>
      <c r="G1306" s="205">
        <v>1</v>
      </c>
      <c r="H1306" s="206">
        <v>300</v>
      </c>
      <c r="I1306" s="207">
        <v>41413</v>
      </c>
      <c r="J1306" s="197" t="str">
        <f t="shared" si="63"/>
        <v>ok</v>
      </c>
      <c r="K1306" s="419"/>
      <c r="L1306" s="419"/>
      <c r="M1306" s="419"/>
      <c r="N1306" s="419"/>
      <c r="O1306" s="419"/>
      <c r="P1306" s="419"/>
      <c r="Q1306" s="419"/>
      <c r="R1306" s="419"/>
      <c r="S1306" s="419"/>
      <c r="T1306" s="419"/>
      <c r="U1306" s="419"/>
      <c r="V1306" s="419"/>
      <c r="W1306" s="419">
        <f t="shared" si="61"/>
        <v>0</v>
      </c>
      <c r="X1306" s="412"/>
      <c r="Y1306" s="412"/>
      <c r="Z1306" s="412"/>
      <c r="AA1306" s="412"/>
      <c r="AB1306" s="412">
        <v>300</v>
      </c>
      <c r="AC1306" s="412"/>
      <c r="AD1306" s="412"/>
      <c r="AE1306" s="412"/>
      <c r="AF1306" s="412"/>
      <c r="AG1306" s="412"/>
      <c r="AH1306" s="412"/>
      <c r="AI1306" s="412"/>
      <c r="AJ1306" s="412">
        <f t="shared" si="62"/>
        <v>300</v>
      </c>
      <c r="AK1306" s="208"/>
      <c r="AL1306" s="250" t="s">
        <v>2067</v>
      </c>
    </row>
    <row r="1307" spans="1:38" ht="14.1" customHeight="1" x14ac:dyDescent="0.2">
      <c r="A1307" t="s">
        <v>893</v>
      </c>
      <c r="B1307" s="209">
        <v>4907</v>
      </c>
      <c r="C1307" s="210" t="s">
        <v>1076</v>
      </c>
      <c r="D1307" s="229" t="s">
        <v>1395</v>
      </c>
      <c r="E1307" s="229" t="s">
        <v>193</v>
      </c>
      <c r="F1307" s="240">
        <v>300</v>
      </c>
      <c r="G1307" s="205">
        <v>3</v>
      </c>
      <c r="H1307" s="206">
        <v>150</v>
      </c>
      <c r="I1307" s="207">
        <v>41413</v>
      </c>
      <c r="J1307" s="197" t="str">
        <f t="shared" si="63"/>
        <v>ok</v>
      </c>
      <c r="K1307" s="419"/>
      <c r="L1307" s="419"/>
      <c r="M1307" s="419"/>
      <c r="N1307" s="419"/>
      <c r="O1307" s="419"/>
      <c r="P1307" s="419"/>
      <c r="Q1307" s="419"/>
      <c r="R1307" s="419"/>
      <c r="S1307" s="419"/>
      <c r="T1307" s="419"/>
      <c r="U1307" s="419"/>
      <c r="V1307" s="419"/>
      <c r="W1307" s="419">
        <f t="shared" si="61"/>
        <v>0</v>
      </c>
      <c r="X1307" s="412"/>
      <c r="Y1307" s="412"/>
      <c r="Z1307" s="412"/>
      <c r="AA1307" s="412"/>
      <c r="AB1307" s="412"/>
      <c r="AC1307" s="412"/>
      <c r="AD1307" s="412"/>
      <c r="AE1307" s="412"/>
      <c r="AF1307" s="412"/>
      <c r="AG1307" s="412"/>
      <c r="AH1307" s="412"/>
      <c r="AI1307" s="412"/>
      <c r="AJ1307" s="412">
        <f t="shared" si="62"/>
        <v>0</v>
      </c>
      <c r="AK1307" s="208"/>
      <c r="AL1307" s="250" t="s">
        <v>2068</v>
      </c>
    </row>
    <row r="1308" spans="1:38" ht="14.1" customHeight="1" x14ac:dyDescent="0.2">
      <c r="A1308" t="s">
        <v>888</v>
      </c>
      <c r="B1308" s="209">
        <v>4908</v>
      </c>
      <c r="C1308" s="210" t="s">
        <v>920</v>
      </c>
      <c r="D1308" s="229" t="s">
        <v>1424</v>
      </c>
      <c r="E1308" s="229" t="s">
        <v>361</v>
      </c>
      <c r="F1308" s="240">
        <v>300</v>
      </c>
      <c r="G1308" s="205">
        <v>1</v>
      </c>
      <c r="H1308" s="206">
        <v>600</v>
      </c>
      <c r="I1308" s="207">
        <v>41413</v>
      </c>
      <c r="J1308" s="197" t="str">
        <f t="shared" si="63"/>
        <v>ok</v>
      </c>
      <c r="K1308" s="419"/>
      <c r="L1308" s="419"/>
      <c r="M1308" s="419"/>
      <c r="N1308" s="419"/>
      <c r="O1308" s="419"/>
      <c r="P1308" s="419"/>
      <c r="Q1308" s="419"/>
      <c r="R1308" s="419"/>
      <c r="S1308" s="419"/>
      <c r="T1308" s="419"/>
      <c r="U1308" s="419"/>
      <c r="V1308" s="419"/>
      <c r="W1308" s="419">
        <f t="shared" si="61"/>
        <v>0</v>
      </c>
      <c r="X1308" s="412"/>
      <c r="Y1308" s="412"/>
      <c r="Z1308" s="412"/>
      <c r="AA1308" s="412">
        <v>300</v>
      </c>
      <c r="AB1308" s="412">
        <v>300</v>
      </c>
      <c r="AC1308" s="412"/>
      <c r="AD1308" s="412"/>
      <c r="AE1308" s="412"/>
      <c r="AF1308" s="412"/>
      <c r="AG1308" s="412"/>
      <c r="AH1308" s="412"/>
      <c r="AI1308" s="412"/>
      <c r="AJ1308" s="412">
        <f t="shared" si="62"/>
        <v>600</v>
      </c>
      <c r="AK1308" s="208"/>
      <c r="AL1308" s="250" t="s">
        <v>2067</v>
      </c>
    </row>
    <row r="1309" spans="1:38" ht="14.1" customHeight="1" x14ac:dyDescent="0.2">
      <c r="A1309" t="s">
        <v>888</v>
      </c>
      <c r="B1309" s="209">
        <v>4908</v>
      </c>
      <c r="C1309" s="210" t="s">
        <v>920</v>
      </c>
      <c r="D1309" s="229" t="s">
        <v>1424</v>
      </c>
      <c r="E1309" s="229" t="s">
        <v>361</v>
      </c>
      <c r="F1309" s="240">
        <v>300</v>
      </c>
      <c r="G1309" s="205">
        <v>4</v>
      </c>
      <c r="H1309" s="206">
        <v>160</v>
      </c>
      <c r="I1309" s="207">
        <v>41413</v>
      </c>
      <c r="J1309" s="197" t="str">
        <f t="shared" si="63"/>
        <v>ok</v>
      </c>
      <c r="K1309" s="419"/>
      <c r="L1309" s="419"/>
      <c r="M1309" s="419"/>
      <c r="N1309" s="419"/>
      <c r="O1309" s="419"/>
      <c r="P1309" s="419"/>
      <c r="Q1309" s="419"/>
      <c r="R1309" s="419"/>
      <c r="S1309" s="419"/>
      <c r="T1309" s="419"/>
      <c r="U1309" s="419"/>
      <c r="V1309" s="419"/>
      <c r="W1309" s="419">
        <f t="shared" si="61"/>
        <v>0</v>
      </c>
      <c r="X1309" s="412"/>
      <c r="Y1309" s="412"/>
      <c r="Z1309" s="412"/>
      <c r="AA1309" s="412"/>
      <c r="AB1309" s="412"/>
      <c r="AC1309" s="412"/>
      <c r="AD1309" s="412"/>
      <c r="AE1309" s="412"/>
      <c r="AF1309" s="412"/>
      <c r="AG1309" s="412"/>
      <c r="AH1309" s="412"/>
      <c r="AI1309" s="412"/>
      <c r="AJ1309" s="412">
        <f t="shared" si="62"/>
        <v>0</v>
      </c>
      <c r="AK1309" s="208"/>
      <c r="AL1309" s="250" t="s">
        <v>2068</v>
      </c>
    </row>
    <row r="1310" spans="1:38" ht="14.1" customHeight="1" x14ac:dyDescent="0.2">
      <c r="A1310" t="s">
        <v>890</v>
      </c>
      <c r="B1310" s="209">
        <v>4909</v>
      </c>
      <c r="C1310" s="210" t="s">
        <v>1014</v>
      </c>
      <c r="D1310" s="229" t="s">
        <v>1553</v>
      </c>
      <c r="E1310" s="229" t="s">
        <v>508</v>
      </c>
      <c r="F1310" s="240">
        <v>300</v>
      </c>
      <c r="G1310" s="205">
        <v>1</v>
      </c>
      <c r="H1310" s="206">
        <v>600</v>
      </c>
      <c r="I1310" s="207">
        <v>41413</v>
      </c>
      <c r="J1310" s="197" t="str">
        <f t="shared" si="63"/>
        <v>ok</v>
      </c>
      <c r="K1310" s="419"/>
      <c r="L1310" s="419"/>
      <c r="M1310" s="419"/>
      <c r="N1310" s="419"/>
      <c r="O1310" s="419"/>
      <c r="P1310" s="419"/>
      <c r="Q1310" s="419"/>
      <c r="R1310" s="419"/>
      <c r="S1310" s="419"/>
      <c r="T1310" s="419"/>
      <c r="U1310" s="419"/>
      <c r="V1310" s="419"/>
      <c r="W1310" s="419">
        <f t="shared" si="61"/>
        <v>0</v>
      </c>
      <c r="X1310" s="412"/>
      <c r="Y1310" s="412"/>
      <c r="Z1310" s="412">
        <v>300</v>
      </c>
      <c r="AA1310" s="412">
        <v>300</v>
      </c>
      <c r="AB1310" s="412"/>
      <c r="AC1310" s="412"/>
      <c r="AD1310" s="412"/>
      <c r="AE1310" s="412"/>
      <c r="AF1310" s="412"/>
      <c r="AG1310" s="412"/>
      <c r="AH1310" s="412"/>
      <c r="AI1310" s="412"/>
      <c r="AJ1310" s="412">
        <f t="shared" si="62"/>
        <v>600</v>
      </c>
      <c r="AK1310" s="208"/>
      <c r="AL1310" s="250" t="s">
        <v>2067</v>
      </c>
    </row>
    <row r="1311" spans="1:38" ht="14.1" customHeight="1" x14ac:dyDescent="0.2">
      <c r="A1311" t="s">
        <v>888</v>
      </c>
      <c r="B1311" s="209">
        <v>4910</v>
      </c>
      <c r="C1311" s="210" t="s">
        <v>914</v>
      </c>
      <c r="D1311" s="229" t="s">
        <v>1567</v>
      </c>
      <c r="E1311" s="229" t="s">
        <v>350</v>
      </c>
      <c r="F1311" s="240">
        <v>300</v>
      </c>
      <c r="G1311" s="205">
        <v>1</v>
      </c>
      <c r="H1311" s="206">
        <v>300</v>
      </c>
      <c r="I1311" s="207">
        <v>41413</v>
      </c>
      <c r="J1311" s="197" t="str">
        <f t="shared" si="63"/>
        <v>ok</v>
      </c>
      <c r="K1311" s="419"/>
      <c r="L1311" s="419"/>
      <c r="M1311" s="419"/>
      <c r="N1311" s="419"/>
      <c r="O1311" s="419"/>
      <c r="P1311" s="419"/>
      <c r="Q1311" s="419"/>
      <c r="R1311" s="419"/>
      <c r="S1311" s="419"/>
      <c r="T1311" s="419"/>
      <c r="U1311" s="419"/>
      <c r="V1311" s="419"/>
      <c r="W1311" s="419">
        <f t="shared" si="61"/>
        <v>0</v>
      </c>
      <c r="X1311" s="412"/>
      <c r="Y1311" s="412"/>
      <c r="Z1311" s="412"/>
      <c r="AA1311" s="412"/>
      <c r="AB1311" s="412">
        <v>300</v>
      </c>
      <c r="AC1311" s="412"/>
      <c r="AD1311" s="412"/>
      <c r="AE1311" s="412"/>
      <c r="AF1311" s="412"/>
      <c r="AG1311" s="412"/>
      <c r="AH1311" s="412"/>
      <c r="AI1311" s="412"/>
      <c r="AJ1311" s="412">
        <f t="shared" si="62"/>
        <v>300</v>
      </c>
      <c r="AK1311" s="208"/>
      <c r="AL1311" s="250" t="s">
        <v>2067</v>
      </c>
    </row>
    <row r="1312" spans="1:38" ht="14.1" customHeight="1" x14ac:dyDescent="0.2">
      <c r="A1312" t="s">
        <v>888</v>
      </c>
      <c r="B1312" s="209">
        <v>4911</v>
      </c>
      <c r="C1312" s="210" t="s">
        <v>914</v>
      </c>
      <c r="D1312" s="229" t="s">
        <v>1567</v>
      </c>
      <c r="E1312" s="229" t="s">
        <v>350</v>
      </c>
      <c r="F1312" s="240">
        <v>300</v>
      </c>
      <c r="G1312" s="205">
        <v>4</v>
      </c>
      <c r="H1312" s="206">
        <v>160</v>
      </c>
      <c r="I1312" s="207">
        <v>41413</v>
      </c>
      <c r="J1312" s="197" t="str">
        <f t="shared" si="63"/>
        <v>ok</v>
      </c>
      <c r="K1312" s="419"/>
      <c r="L1312" s="419"/>
      <c r="M1312" s="419"/>
      <c r="N1312" s="419"/>
      <c r="O1312" s="419"/>
      <c r="P1312" s="419"/>
      <c r="Q1312" s="419"/>
      <c r="R1312" s="419"/>
      <c r="S1312" s="419"/>
      <c r="T1312" s="419"/>
      <c r="U1312" s="419"/>
      <c r="V1312" s="419"/>
      <c r="W1312" s="419">
        <f t="shared" si="61"/>
        <v>0</v>
      </c>
      <c r="X1312" s="412"/>
      <c r="Y1312" s="412"/>
      <c r="Z1312" s="412"/>
      <c r="AA1312" s="412"/>
      <c r="AB1312" s="412"/>
      <c r="AC1312" s="412"/>
      <c r="AD1312" s="412"/>
      <c r="AE1312" s="412"/>
      <c r="AF1312" s="412"/>
      <c r="AG1312" s="412"/>
      <c r="AH1312" s="412"/>
      <c r="AI1312" s="412"/>
      <c r="AJ1312" s="412">
        <f t="shared" si="62"/>
        <v>0</v>
      </c>
      <c r="AK1312" s="208"/>
      <c r="AL1312" s="250" t="s">
        <v>2068</v>
      </c>
    </row>
    <row r="1313" spans="1:38" ht="14.1" customHeight="1" x14ac:dyDescent="0.2">
      <c r="A1313" t="s">
        <v>884</v>
      </c>
      <c r="B1313" s="209">
        <v>4912</v>
      </c>
      <c r="C1313" s="210" t="s">
        <v>852</v>
      </c>
      <c r="D1313" s="229" t="s">
        <v>1477</v>
      </c>
      <c r="E1313" s="229" t="s">
        <v>92</v>
      </c>
      <c r="F1313" s="240">
        <v>170</v>
      </c>
      <c r="G1313" s="205">
        <v>1</v>
      </c>
      <c r="H1313" s="206">
        <v>170</v>
      </c>
      <c r="I1313" s="207">
        <v>41413</v>
      </c>
      <c r="J1313" s="197" t="str">
        <f t="shared" si="63"/>
        <v>ok</v>
      </c>
      <c r="K1313" s="419"/>
      <c r="L1313" s="419"/>
      <c r="M1313" s="419"/>
      <c r="N1313" s="419"/>
      <c r="O1313" s="419"/>
      <c r="P1313" s="419"/>
      <c r="Q1313" s="419"/>
      <c r="R1313" s="419"/>
      <c r="S1313" s="419"/>
      <c r="T1313" s="419"/>
      <c r="U1313" s="419"/>
      <c r="V1313" s="419"/>
      <c r="W1313" s="419">
        <f t="shared" si="61"/>
        <v>0</v>
      </c>
      <c r="X1313" s="412"/>
      <c r="Y1313" s="412"/>
      <c r="Z1313" s="412"/>
      <c r="AA1313" s="412"/>
      <c r="AB1313" s="412">
        <v>170</v>
      </c>
      <c r="AC1313" s="412"/>
      <c r="AD1313" s="412"/>
      <c r="AE1313" s="412"/>
      <c r="AF1313" s="412"/>
      <c r="AG1313" s="412"/>
      <c r="AH1313" s="412"/>
      <c r="AI1313" s="412"/>
      <c r="AJ1313" s="412">
        <f t="shared" si="62"/>
        <v>170</v>
      </c>
      <c r="AK1313" s="208"/>
      <c r="AL1313" s="250" t="s">
        <v>2067</v>
      </c>
    </row>
    <row r="1314" spans="1:38" ht="14.1" customHeight="1" x14ac:dyDescent="0.2">
      <c r="A1314" t="s">
        <v>893</v>
      </c>
      <c r="B1314" s="209">
        <v>4913</v>
      </c>
      <c r="C1314" s="210" t="s">
        <v>1105</v>
      </c>
      <c r="D1314" s="229" t="s">
        <v>1659</v>
      </c>
      <c r="E1314" s="229" t="s">
        <v>252</v>
      </c>
      <c r="F1314" s="240">
        <v>300</v>
      </c>
      <c r="G1314" s="205">
        <v>1</v>
      </c>
      <c r="H1314" s="206">
        <v>1500</v>
      </c>
      <c r="I1314" s="207">
        <v>41413</v>
      </c>
      <c r="J1314" s="197" t="str">
        <f t="shared" si="63"/>
        <v>ok</v>
      </c>
      <c r="K1314" s="419"/>
      <c r="L1314" s="419"/>
      <c r="M1314" s="419"/>
      <c r="N1314" s="419"/>
      <c r="O1314" s="419"/>
      <c r="P1314" s="419"/>
      <c r="Q1314" s="419"/>
      <c r="R1314" s="419"/>
      <c r="S1314" s="419"/>
      <c r="T1314" s="419"/>
      <c r="U1314" s="419"/>
      <c r="V1314" s="419"/>
      <c r="W1314" s="419">
        <f t="shared" si="61"/>
        <v>0</v>
      </c>
      <c r="X1314" s="412">
        <v>300</v>
      </c>
      <c r="Y1314" s="412">
        <v>300</v>
      </c>
      <c r="Z1314" s="412">
        <v>300</v>
      </c>
      <c r="AA1314" s="412">
        <v>300</v>
      </c>
      <c r="AB1314" s="412">
        <v>300</v>
      </c>
      <c r="AC1314" s="412"/>
      <c r="AD1314" s="412"/>
      <c r="AE1314" s="412"/>
      <c r="AF1314" s="412"/>
      <c r="AG1314" s="412"/>
      <c r="AH1314" s="412"/>
      <c r="AI1314" s="412"/>
      <c r="AJ1314" s="412">
        <f t="shared" si="62"/>
        <v>1500</v>
      </c>
      <c r="AK1314" s="208"/>
      <c r="AL1314" s="250" t="s">
        <v>2067</v>
      </c>
    </row>
    <row r="1315" spans="1:38" ht="14.1" customHeight="1" x14ac:dyDescent="0.2">
      <c r="A1315" t="s">
        <v>884</v>
      </c>
      <c r="B1315" s="209">
        <v>4914</v>
      </c>
      <c r="C1315" s="210" t="s">
        <v>819</v>
      </c>
      <c r="D1315" s="229" t="s">
        <v>1530</v>
      </c>
      <c r="E1315" s="229" t="s">
        <v>1183</v>
      </c>
      <c r="F1315" s="240">
        <v>200</v>
      </c>
      <c r="G1315" s="205">
        <v>1</v>
      </c>
      <c r="H1315" s="206">
        <v>200</v>
      </c>
      <c r="I1315" s="207">
        <v>41413</v>
      </c>
      <c r="J1315" s="197" t="str">
        <f t="shared" si="63"/>
        <v>ok</v>
      </c>
      <c r="K1315" s="419"/>
      <c r="L1315" s="419"/>
      <c r="M1315" s="419"/>
      <c r="N1315" s="419"/>
      <c r="O1315" s="419"/>
      <c r="P1315" s="419"/>
      <c r="Q1315" s="419"/>
      <c r="R1315" s="419"/>
      <c r="S1315" s="419"/>
      <c r="T1315" s="419"/>
      <c r="U1315" s="419"/>
      <c r="V1315" s="419"/>
      <c r="W1315" s="419">
        <f t="shared" si="61"/>
        <v>0</v>
      </c>
      <c r="X1315" s="412"/>
      <c r="Y1315" s="412"/>
      <c r="Z1315" s="412"/>
      <c r="AA1315" s="412"/>
      <c r="AB1315" s="412">
        <v>200</v>
      </c>
      <c r="AC1315" s="412"/>
      <c r="AD1315" s="412"/>
      <c r="AE1315" s="412"/>
      <c r="AF1315" s="412"/>
      <c r="AG1315" s="412"/>
      <c r="AH1315" s="412"/>
      <c r="AI1315" s="412"/>
      <c r="AJ1315" s="412">
        <f t="shared" si="62"/>
        <v>200</v>
      </c>
      <c r="AK1315" s="208"/>
      <c r="AL1315" s="250" t="s">
        <v>2067</v>
      </c>
    </row>
    <row r="1316" spans="1:38" ht="14.1" customHeight="1" x14ac:dyDescent="0.2">
      <c r="A1316" t="s">
        <v>888</v>
      </c>
      <c r="B1316" s="209">
        <v>4915</v>
      </c>
      <c r="C1316" s="210" t="s">
        <v>962</v>
      </c>
      <c r="D1316" s="229" t="s">
        <v>1609</v>
      </c>
      <c r="E1316" s="229" t="s">
        <v>451</v>
      </c>
      <c r="F1316" s="240">
        <v>150</v>
      </c>
      <c r="G1316" s="205">
        <v>1</v>
      </c>
      <c r="H1316" s="206">
        <v>150</v>
      </c>
      <c r="I1316" s="207">
        <v>41413</v>
      </c>
      <c r="J1316" s="197" t="str">
        <f t="shared" si="63"/>
        <v>ok</v>
      </c>
      <c r="K1316" s="419"/>
      <c r="L1316" s="419"/>
      <c r="M1316" s="419"/>
      <c r="N1316" s="419"/>
      <c r="O1316" s="419"/>
      <c r="P1316" s="419"/>
      <c r="Q1316" s="419"/>
      <c r="R1316" s="419"/>
      <c r="S1316" s="419"/>
      <c r="T1316" s="419"/>
      <c r="U1316" s="419"/>
      <c r="V1316" s="419"/>
      <c r="W1316" s="419">
        <f t="shared" si="61"/>
        <v>0</v>
      </c>
      <c r="X1316" s="412"/>
      <c r="Y1316" s="412"/>
      <c r="Z1316" s="412"/>
      <c r="AA1316" s="412"/>
      <c r="AB1316" s="412">
        <v>150</v>
      </c>
      <c r="AC1316" s="412"/>
      <c r="AD1316" s="412"/>
      <c r="AE1316" s="412"/>
      <c r="AF1316" s="412"/>
      <c r="AG1316" s="412"/>
      <c r="AH1316" s="412"/>
      <c r="AI1316" s="412"/>
      <c r="AJ1316" s="412">
        <f t="shared" si="62"/>
        <v>150</v>
      </c>
      <c r="AK1316" s="208"/>
      <c r="AL1316" s="250" t="s">
        <v>2067</v>
      </c>
    </row>
    <row r="1317" spans="1:38" ht="14.1" customHeight="1" x14ac:dyDescent="0.2">
      <c r="A1317" t="s">
        <v>893</v>
      </c>
      <c r="B1317" s="209">
        <v>4916</v>
      </c>
      <c r="C1317" s="210" t="s">
        <v>1113</v>
      </c>
      <c r="D1317" s="229" t="s">
        <v>1531</v>
      </c>
      <c r="E1317" s="229" t="s">
        <v>57</v>
      </c>
      <c r="F1317" s="240">
        <v>150</v>
      </c>
      <c r="G1317" s="205">
        <v>1</v>
      </c>
      <c r="H1317" s="206">
        <v>150</v>
      </c>
      <c r="I1317" s="207">
        <v>41413</v>
      </c>
      <c r="J1317" s="197" t="str">
        <f t="shared" si="63"/>
        <v>ok</v>
      </c>
      <c r="K1317" s="419"/>
      <c r="L1317" s="419"/>
      <c r="M1317" s="419"/>
      <c r="N1317" s="419"/>
      <c r="O1317" s="419"/>
      <c r="P1317" s="419"/>
      <c r="Q1317" s="419"/>
      <c r="R1317" s="419"/>
      <c r="S1317" s="419"/>
      <c r="T1317" s="419"/>
      <c r="U1317" s="419"/>
      <c r="V1317" s="419"/>
      <c r="W1317" s="419">
        <f t="shared" si="61"/>
        <v>0</v>
      </c>
      <c r="X1317" s="412"/>
      <c r="Y1317" s="412"/>
      <c r="Z1317" s="412"/>
      <c r="AA1317" s="412"/>
      <c r="AB1317" s="412">
        <v>150</v>
      </c>
      <c r="AC1317" s="412"/>
      <c r="AD1317" s="412"/>
      <c r="AE1317" s="412"/>
      <c r="AF1317" s="412"/>
      <c r="AG1317" s="412"/>
      <c r="AH1317" s="412"/>
      <c r="AI1317" s="412"/>
      <c r="AJ1317" s="412">
        <f t="shared" si="62"/>
        <v>150</v>
      </c>
      <c r="AK1317" s="208"/>
      <c r="AL1317" s="250" t="s">
        <v>2067</v>
      </c>
    </row>
    <row r="1318" spans="1:38" ht="14.1" customHeight="1" x14ac:dyDescent="0.2">
      <c r="A1318" t="s">
        <v>884</v>
      </c>
      <c r="B1318" s="209">
        <v>4917</v>
      </c>
      <c r="C1318" s="210" t="s">
        <v>814</v>
      </c>
      <c r="D1318" s="229" t="s">
        <v>1505</v>
      </c>
      <c r="E1318" s="229" t="s">
        <v>1201</v>
      </c>
      <c r="F1318" s="240">
        <v>300</v>
      </c>
      <c r="G1318" s="205">
        <v>1</v>
      </c>
      <c r="H1318" s="206">
        <v>300</v>
      </c>
      <c r="I1318" s="207">
        <v>41413</v>
      </c>
      <c r="J1318" s="197" t="str">
        <f t="shared" si="63"/>
        <v>ok</v>
      </c>
      <c r="K1318" s="419"/>
      <c r="L1318" s="419"/>
      <c r="M1318" s="419"/>
      <c r="N1318" s="419"/>
      <c r="O1318" s="419"/>
      <c r="P1318" s="419"/>
      <c r="Q1318" s="419"/>
      <c r="R1318" s="419"/>
      <c r="S1318" s="419"/>
      <c r="T1318" s="419"/>
      <c r="U1318" s="419"/>
      <c r="V1318" s="419"/>
      <c r="W1318" s="419">
        <f t="shared" si="61"/>
        <v>0</v>
      </c>
      <c r="X1318" s="412"/>
      <c r="Y1318" s="412"/>
      <c r="Z1318" s="412"/>
      <c r="AA1318" s="412"/>
      <c r="AB1318" s="412">
        <v>300</v>
      </c>
      <c r="AC1318" s="412"/>
      <c r="AD1318" s="412"/>
      <c r="AE1318" s="412"/>
      <c r="AF1318" s="412"/>
      <c r="AG1318" s="412"/>
      <c r="AH1318" s="412"/>
      <c r="AI1318" s="412"/>
      <c r="AJ1318" s="412">
        <f t="shared" si="62"/>
        <v>300</v>
      </c>
      <c r="AK1318" s="208"/>
      <c r="AL1318" s="250" t="s">
        <v>2067</v>
      </c>
    </row>
    <row r="1319" spans="1:38" ht="14.1" customHeight="1" x14ac:dyDescent="0.2">
      <c r="A1319" t="s">
        <v>890</v>
      </c>
      <c r="B1319" s="209">
        <v>4918</v>
      </c>
      <c r="C1319" s="210" t="s">
        <v>1004</v>
      </c>
      <c r="D1319" s="229" t="s">
        <v>1660</v>
      </c>
      <c r="E1319" s="229" t="s">
        <v>495</v>
      </c>
      <c r="F1319" s="240">
        <v>250</v>
      </c>
      <c r="G1319" s="205">
        <v>1</v>
      </c>
      <c r="H1319" s="206">
        <v>500</v>
      </c>
      <c r="I1319" s="207">
        <v>41413</v>
      </c>
      <c r="J1319" s="197" t="str">
        <f t="shared" si="63"/>
        <v>ok</v>
      </c>
      <c r="K1319" s="419"/>
      <c r="L1319" s="419"/>
      <c r="M1319" s="419"/>
      <c r="N1319" s="419"/>
      <c r="O1319" s="419"/>
      <c r="P1319" s="419"/>
      <c r="Q1319" s="419"/>
      <c r="R1319" s="419"/>
      <c r="S1319" s="419"/>
      <c r="T1319" s="419"/>
      <c r="U1319" s="419"/>
      <c r="V1319" s="419"/>
      <c r="W1319" s="419">
        <f t="shared" si="61"/>
        <v>0</v>
      </c>
      <c r="X1319" s="412">
        <v>250</v>
      </c>
      <c r="Y1319" s="412">
        <v>250</v>
      </c>
      <c r="Z1319" s="412"/>
      <c r="AA1319" s="412"/>
      <c r="AB1319" s="412"/>
      <c r="AC1319" s="412"/>
      <c r="AD1319" s="412"/>
      <c r="AE1319" s="412"/>
      <c r="AF1319" s="412"/>
      <c r="AG1319" s="412"/>
      <c r="AH1319" s="412"/>
      <c r="AI1319" s="412"/>
      <c r="AJ1319" s="412">
        <f t="shared" si="62"/>
        <v>500</v>
      </c>
      <c r="AK1319" s="208"/>
      <c r="AL1319" s="250" t="s">
        <v>2067</v>
      </c>
    </row>
    <row r="1320" spans="1:38" ht="14.1" customHeight="1" x14ac:dyDescent="0.2">
      <c r="A1320" t="s">
        <v>888</v>
      </c>
      <c r="B1320" s="209">
        <v>4919</v>
      </c>
      <c r="C1320" s="210" t="s">
        <v>923</v>
      </c>
      <c r="D1320" s="229" t="s">
        <v>1561</v>
      </c>
      <c r="E1320" s="229" t="s">
        <v>191</v>
      </c>
      <c r="F1320" s="240">
        <v>300</v>
      </c>
      <c r="G1320" s="205">
        <v>1</v>
      </c>
      <c r="H1320" s="206">
        <v>600</v>
      </c>
      <c r="I1320" s="207">
        <v>41413</v>
      </c>
      <c r="J1320" s="197" t="str">
        <f t="shared" si="63"/>
        <v>ok</v>
      </c>
      <c r="K1320" s="419"/>
      <c r="L1320" s="419"/>
      <c r="M1320" s="419"/>
      <c r="N1320" s="419"/>
      <c r="O1320" s="419"/>
      <c r="P1320" s="419"/>
      <c r="Q1320" s="419"/>
      <c r="R1320" s="419"/>
      <c r="S1320" s="419"/>
      <c r="T1320" s="419"/>
      <c r="U1320" s="419"/>
      <c r="V1320" s="419"/>
      <c r="W1320" s="419">
        <f t="shared" si="61"/>
        <v>0</v>
      </c>
      <c r="X1320" s="412"/>
      <c r="Y1320" s="412"/>
      <c r="Z1320" s="412"/>
      <c r="AA1320" s="412"/>
      <c r="AB1320" s="412">
        <v>300</v>
      </c>
      <c r="AC1320" s="412">
        <v>300</v>
      </c>
      <c r="AD1320" s="412"/>
      <c r="AE1320" s="412"/>
      <c r="AF1320" s="412"/>
      <c r="AG1320" s="412"/>
      <c r="AH1320" s="412"/>
      <c r="AI1320" s="412"/>
      <c r="AJ1320" s="412">
        <f t="shared" si="62"/>
        <v>600</v>
      </c>
      <c r="AK1320" s="208"/>
      <c r="AL1320" s="250" t="s">
        <v>2067</v>
      </c>
    </row>
    <row r="1321" spans="1:38" ht="14.1" customHeight="1" x14ac:dyDescent="0.2">
      <c r="A1321" t="s">
        <v>884</v>
      </c>
      <c r="B1321" s="209">
        <v>4920</v>
      </c>
      <c r="C1321" s="210" t="s">
        <v>838</v>
      </c>
      <c r="D1321" s="229" t="s">
        <v>1484</v>
      </c>
      <c r="E1321" s="229" t="s">
        <v>77</v>
      </c>
      <c r="F1321" s="240">
        <v>300</v>
      </c>
      <c r="G1321" s="205">
        <v>1</v>
      </c>
      <c r="H1321" s="206">
        <v>900</v>
      </c>
      <c r="I1321" s="207">
        <v>41413</v>
      </c>
      <c r="J1321" s="197" t="str">
        <f t="shared" si="63"/>
        <v>ok</v>
      </c>
      <c r="K1321" s="419"/>
      <c r="L1321" s="419"/>
      <c r="M1321" s="419"/>
      <c r="N1321" s="419"/>
      <c r="O1321" s="419"/>
      <c r="P1321" s="419"/>
      <c r="Q1321" s="419"/>
      <c r="R1321" s="419"/>
      <c r="S1321" s="419"/>
      <c r="T1321" s="419"/>
      <c r="U1321" s="419"/>
      <c r="V1321" s="419"/>
      <c r="W1321" s="419">
        <f t="shared" si="61"/>
        <v>0</v>
      </c>
      <c r="X1321" s="412">
        <v>300</v>
      </c>
      <c r="Y1321" s="412">
        <v>300</v>
      </c>
      <c r="Z1321" s="412">
        <v>300</v>
      </c>
      <c r="AA1321" s="412"/>
      <c r="AB1321" s="412"/>
      <c r="AC1321" s="412"/>
      <c r="AD1321" s="412"/>
      <c r="AE1321" s="412"/>
      <c r="AF1321" s="412"/>
      <c r="AG1321" s="412"/>
      <c r="AH1321" s="412"/>
      <c r="AI1321" s="412"/>
      <c r="AJ1321" s="412">
        <f t="shared" si="62"/>
        <v>900</v>
      </c>
      <c r="AK1321" s="208"/>
      <c r="AL1321" s="250" t="s">
        <v>2067</v>
      </c>
    </row>
    <row r="1322" spans="1:38" ht="14.1" customHeight="1" x14ac:dyDescent="0.2">
      <c r="A1322" t="s">
        <v>884</v>
      </c>
      <c r="B1322" s="209">
        <v>4921</v>
      </c>
      <c r="C1322" s="210" t="s">
        <v>835</v>
      </c>
      <c r="D1322" s="229" t="s">
        <v>1597</v>
      </c>
      <c r="E1322" s="229" t="s">
        <v>72</v>
      </c>
      <c r="F1322" s="240">
        <v>300</v>
      </c>
      <c r="G1322" s="205">
        <v>1</v>
      </c>
      <c r="H1322" s="206">
        <v>300</v>
      </c>
      <c r="I1322" s="207">
        <v>41413</v>
      </c>
      <c r="J1322" s="197" t="str">
        <f t="shared" si="63"/>
        <v>ok</v>
      </c>
      <c r="K1322" s="419"/>
      <c r="L1322" s="419"/>
      <c r="M1322" s="419"/>
      <c r="N1322" s="419"/>
      <c r="O1322" s="419"/>
      <c r="P1322" s="419"/>
      <c r="Q1322" s="419"/>
      <c r="R1322" s="419"/>
      <c r="S1322" s="419"/>
      <c r="T1322" s="419"/>
      <c r="U1322" s="419"/>
      <c r="V1322" s="419"/>
      <c r="W1322" s="419">
        <f t="shared" si="61"/>
        <v>0</v>
      </c>
      <c r="X1322" s="412"/>
      <c r="Y1322" s="412"/>
      <c r="Z1322" s="412"/>
      <c r="AA1322" s="412"/>
      <c r="AB1322" s="412">
        <v>300</v>
      </c>
      <c r="AC1322" s="412"/>
      <c r="AD1322" s="412"/>
      <c r="AE1322" s="412"/>
      <c r="AF1322" s="412"/>
      <c r="AG1322" s="412"/>
      <c r="AH1322" s="412"/>
      <c r="AI1322" s="412"/>
      <c r="AJ1322" s="412">
        <f t="shared" si="62"/>
        <v>300</v>
      </c>
      <c r="AK1322" s="208"/>
      <c r="AL1322" s="250" t="s">
        <v>2067</v>
      </c>
    </row>
    <row r="1323" spans="1:38" ht="14.1" customHeight="1" x14ac:dyDescent="0.2">
      <c r="A1323" t="s">
        <v>884</v>
      </c>
      <c r="B1323" s="209">
        <v>4922</v>
      </c>
      <c r="C1323" s="210" t="s">
        <v>848</v>
      </c>
      <c r="D1323" s="229" t="s">
        <v>1545</v>
      </c>
      <c r="E1323" s="229" t="s">
        <v>1206</v>
      </c>
      <c r="F1323" s="240">
        <v>300</v>
      </c>
      <c r="G1323" s="205">
        <v>1</v>
      </c>
      <c r="H1323" s="206">
        <v>300</v>
      </c>
      <c r="I1323" s="207">
        <v>41413</v>
      </c>
      <c r="J1323" s="197" t="str">
        <f t="shared" si="63"/>
        <v>ok</v>
      </c>
      <c r="K1323" s="419"/>
      <c r="L1323" s="419"/>
      <c r="M1323" s="419"/>
      <c r="N1323" s="419"/>
      <c r="O1323" s="419"/>
      <c r="P1323" s="419"/>
      <c r="Q1323" s="419"/>
      <c r="R1323" s="419"/>
      <c r="S1323" s="419"/>
      <c r="T1323" s="419"/>
      <c r="U1323" s="419"/>
      <c r="V1323" s="419"/>
      <c r="W1323" s="419">
        <f t="shared" si="61"/>
        <v>0</v>
      </c>
      <c r="X1323" s="412"/>
      <c r="Y1323" s="412"/>
      <c r="Z1323" s="412"/>
      <c r="AA1323" s="412"/>
      <c r="AB1323" s="412">
        <v>300</v>
      </c>
      <c r="AC1323" s="412"/>
      <c r="AD1323" s="412"/>
      <c r="AE1323" s="412"/>
      <c r="AF1323" s="412"/>
      <c r="AG1323" s="412"/>
      <c r="AH1323" s="412"/>
      <c r="AI1323" s="412"/>
      <c r="AJ1323" s="412">
        <f t="shared" si="62"/>
        <v>300</v>
      </c>
      <c r="AK1323" s="208"/>
      <c r="AL1323" s="250" t="s">
        <v>2067</v>
      </c>
    </row>
    <row r="1324" spans="1:38" ht="14.1" customHeight="1" x14ac:dyDescent="0.2">
      <c r="A1324" t="s">
        <v>893</v>
      </c>
      <c r="B1324" s="209">
        <v>4923</v>
      </c>
      <c r="C1324" s="210" t="s">
        <v>1145</v>
      </c>
      <c r="D1324" s="229" t="s">
        <v>1489</v>
      </c>
      <c r="E1324" s="229" t="s">
        <v>325</v>
      </c>
      <c r="F1324" s="240">
        <v>300</v>
      </c>
      <c r="G1324" s="205">
        <v>1</v>
      </c>
      <c r="H1324" s="206">
        <v>300</v>
      </c>
      <c r="I1324" s="207">
        <v>41413</v>
      </c>
      <c r="J1324" s="197" t="str">
        <f t="shared" si="63"/>
        <v>ok</v>
      </c>
      <c r="K1324" s="419"/>
      <c r="L1324" s="419"/>
      <c r="M1324" s="419"/>
      <c r="N1324" s="419"/>
      <c r="O1324" s="419"/>
      <c r="P1324" s="419"/>
      <c r="Q1324" s="419"/>
      <c r="R1324" s="419"/>
      <c r="S1324" s="419"/>
      <c r="T1324" s="419"/>
      <c r="U1324" s="419"/>
      <c r="V1324" s="419"/>
      <c r="W1324" s="419">
        <f t="shared" si="61"/>
        <v>0</v>
      </c>
      <c r="X1324" s="412"/>
      <c r="Y1324" s="412"/>
      <c r="Z1324" s="412"/>
      <c r="AA1324" s="412"/>
      <c r="AB1324" s="412">
        <v>300</v>
      </c>
      <c r="AC1324" s="412"/>
      <c r="AD1324" s="412"/>
      <c r="AE1324" s="412"/>
      <c r="AF1324" s="412"/>
      <c r="AG1324" s="412"/>
      <c r="AH1324" s="412"/>
      <c r="AI1324" s="412"/>
      <c r="AJ1324" s="412">
        <f t="shared" si="62"/>
        <v>300</v>
      </c>
      <c r="AK1324" s="208"/>
      <c r="AL1324" s="250" t="s">
        <v>2067</v>
      </c>
    </row>
    <row r="1325" spans="1:38" ht="14.1" customHeight="1" x14ac:dyDescent="0.2">
      <c r="A1325" t="s">
        <v>884</v>
      </c>
      <c r="B1325" s="209">
        <v>4924</v>
      </c>
      <c r="C1325" s="210" t="s">
        <v>799</v>
      </c>
      <c r="D1325" s="229" t="s">
        <v>1661</v>
      </c>
      <c r="E1325" s="229" t="s">
        <v>15</v>
      </c>
      <c r="F1325" s="240">
        <v>300</v>
      </c>
      <c r="G1325" s="205">
        <v>1</v>
      </c>
      <c r="H1325" s="206">
        <v>300</v>
      </c>
      <c r="I1325" s="207">
        <v>41415</v>
      </c>
      <c r="J1325" s="197" t="str">
        <f t="shared" si="63"/>
        <v>ok</v>
      </c>
      <c r="K1325" s="419"/>
      <c r="L1325" s="419"/>
      <c r="M1325" s="419"/>
      <c r="N1325" s="419"/>
      <c r="O1325" s="419"/>
      <c r="P1325" s="419"/>
      <c r="Q1325" s="419"/>
      <c r="R1325" s="419"/>
      <c r="S1325" s="419"/>
      <c r="T1325" s="419"/>
      <c r="U1325" s="419"/>
      <c r="V1325" s="419"/>
      <c r="W1325" s="419">
        <f t="shared" si="61"/>
        <v>0</v>
      </c>
      <c r="X1325" s="412"/>
      <c r="Y1325" s="412"/>
      <c r="Z1325" s="412"/>
      <c r="AA1325" s="412"/>
      <c r="AB1325" s="412">
        <v>300</v>
      </c>
      <c r="AC1325" s="412"/>
      <c r="AD1325" s="412"/>
      <c r="AE1325" s="412"/>
      <c r="AF1325" s="412"/>
      <c r="AG1325" s="412"/>
      <c r="AH1325" s="412"/>
      <c r="AI1325" s="412"/>
      <c r="AJ1325" s="412">
        <f t="shared" si="62"/>
        <v>300</v>
      </c>
      <c r="AK1325" s="208"/>
      <c r="AL1325" s="250" t="s">
        <v>2067</v>
      </c>
    </row>
    <row r="1326" spans="1:38" ht="14.1" customHeight="1" x14ac:dyDescent="0.2">
      <c r="A1326" t="s">
        <v>884</v>
      </c>
      <c r="B1326" s="209">
        <v>4925</v>
      </c>
      <c r="C1326" s="210" t="s">
        <v>849</v>
      </c>
      <c r="D1326" s="229" t="s">
        <v>1558</v>
      </c>
      <c r="E1326" s="229" t="s">
        <v>89</v>
      </c>
      <c r="F1326" s="240">
        <v>150</v>
      </c>
      <c r="G1326" s="205">
        <v>1</v>
      </c>
      <c r="H1326" s="206">
        <v>150</v>
      </c>
      <c r="I1326" s="207">
        <v>41416</v>
      </c>
      <c r="J1326" s="197" t="str">
        <f t="shared" si="63"/>
        <v>ok</v>
      </c>
      <c r="K1326" s="419"/>
      <c r="L1326" s="419"/>
      <c r="M1326" s="419"/>
      <c r="N1326" s="419"/>
      <c r="O1326" s="419"/>
      <c r="P1326" s="419"/>
      <c r="Q1326" s="419"/>
      <c r="R1326" s="419"/>
      <c r="S1326" s="419"/>
      <c r="T1326" s="419"/>
      <c r="U1326" s="419"/>
      <c r="V1326" s="419"/>
      <c r="W1326" s="419">
        <f t="shared" si="61"/>
        <v>0</v>
      </c>
      <c r="X1326" s="412"/>
      <c r="Y1326" s="412"/>
      <c r="Z1326" s="412"/>
      <c r="AA1326" s="412"/>
      <c r="AB1326" s="412">
        <v>150</v>
      </c>
      <c r="AC1326" s="412"/>
      <c r="AD1326" s="412"/>
      <c r="AE1326" s="412"/>
      <c r="AF1326" s="412"/>
      <c r="AG1326" s="412"/>
      <c r="AH1326" s="412"/>
      <c r="AI1326" s="412"/>
      <c r="AJ1326" s="412">
        <f t="shared" si="62"/>
        <v>150</v>
      </c>
      <c r="AK1326" s="208"/>
      <c r="AL1326" s="250" t="s">
        <v>2067</v>
      </c>
    </row>
    <row r="1327" spans="1:38" ht="14.1" customHeight="1" x14ac:dyDescent="0.2">
      <c r="A1327" t="s">
        <v>888</v>
      </c>
      <c r="B1327" s="209">
        <v>4926</v>
      </c>
      <c r="C1327" s="210" t="s">
        <v>948</v>
      </c>
      <c r="D1327" s="229" t="s">
        <v>1504</v>
      </c>
      <c r="E1327" s="229" t="s">
        <v>325</v>
      </c>
      <c r="F1327" s="240">
        <v>300</v>
      </c>
      <c r="G1327" s="205">
        <v>1</v>
      </c>
      <c r="H1327" s="206">
        <v>300</v>
      </c>
      <c r="I1327" s="207">
        <v>41416</v>
      </c>
      <c r="J1327" s="197" t="str">
        <f t="shared" si="63"/>
        <v>ok</v>
      </c>
      <c r="K1327" s="419"/>
      <c r="L1327" s="419"/>
      <c r="M1327" s="419"/>
      <c r="N1327" s="419"/>
      <c r="O1327" s="419"/>
      <c r="P1327" s="419"/>
      <c r="Q1327" s="419"/>
      <c r="R1327" s="419"/>
      <c r="S1327" s="419"/>
      <c r="T1327" s="419"/>
      <c r="U1327" s="419"/>
      <c r="V1327" s="419"/>
      <c r="W1327" s="419">
        <f t="shared" si="61"/>
        <v>0</v>
      </c>
      <c r="X1327" s="412"/>
      <c r="Y1327" s="412"/>
      <c r="Z1327" s="412"/>
      <c r="AA1327" s="412"/>
      <c r="AB1327" s="412">
        <v>300</v>
      </c>
      <c r="AC1327" s="412"/>
      <c r="AD1327" s="412"/>
      <c r="AE1327" s="412"/>
      <c r="AF1327" s="412"/>
      <c r="AG1327" s="412"/>
      <c r="AH1327" s="412"/>
      <c r="AI1327" s="412"/>
      <c r="AJ1327" s="412">
        <f t="shared" si="62"/>
        <v>300</v>
      </c>
      <c r="AK1327" s="208"/>
      <c r="AL1327" s="250" t="s">
        <v>2067</v>
      </c>
    </row>
    <row r="1328" spans="1:38" ht="14.1" customHeight="1" x14ac:dyDescent="0.2">
      <c r="A1328" t="s">
        <v>892</v>
      </c>
      <c r="B1328" s="209">
        <v>4927</v>
      </c>
      <c r="C1328" s="210" t="s">
        <v>1065</v>
      </c>
      <c r="D1328" s="229" t="s">
        <v>1662</v>
      </c>
      <c r="E1328" s="229" t="s">
        <v>1190</v>
      </c>
      <c r="F1328" s="240">
        <v>300</v>
      </c>
      <c r="G1328" s="205">
        <v>1</v>
      </c>
      <c r="H1328" s="206">
        <v>900</v>
      </c>
      <c r="I1328" s="207">
        <v>41423</v>
      </c>
      <c r="J1328" s="197" t="str">
        <f t="shared" si="63"/>
        <v>ok</v>
      </c>
      <c r="K1328" s="419"/>
      <c r="L1328" s="419"/>
      <c r="M1328" s="419"/>
      <c r="N1328" s="419"/>
      <c r="O1328" s="419"/>
      <c r="P1328" s="419"/>
      <c r="Q1328" s="419"/>
      <c r="R1328" s="419"/>
      <c r="S1328" s="419"/>
      <c r="T1328" s="419"/>
      <c r="U1328" s="419"/>
      <c r="V1328" s="419"/>
      <c r="W1328" s="419">
        <f t="shared" si="61"/>
        <v>0</v>
      </c>
      <c r="X1328" s="412"/>
      <c r="Y1328" s="412"/>
      <c r="Z1328" s="412">
        <v>300</v>
      </c>
      <c r="AA1328" s="412">
        <v>300</v>
      </c>
      <c r="AB1328" s="412">
        <v>300</v>
      </c>
      <c r="AC1328" s="412"/>
      <c r="AD1328" s="412"/>
      <c r="AE1328" s="412"/>
      <c r="AF1328" s="412"/>
      <c r="AG1328" s="412"/>
      <c r="AH1328" s="412"/>
      <c r="AI1328" s="412"/>
      <c r="AJ1328" s="412">
        <f t="shared" si="62"/>
        <v>900</v>
      </c>
      <c r="AK1328" s="208"/>
      <c r="AL1328" s="250" t="s">
        <v>2067</v>
      </c>
    </row>
    <row r="1329" spans="1:38" ht="14.1" customHeight="1" x14ac:dyDescent="0.2">
      <c r="A1329" t="s">
        <v>893</v>
      </c>
      <c r="B1329" s="209">
        <v>4928</v>
      </c>
      <c r="C1329" s="210" t="s">
        <v>1139</v>
      </c>
      <c r="D1329" s="229" t="s">
        <v>1528</v>
      </c>
      <c r="E1329" s="229" t="s">
        <v>313</v>
      </c>
      <c r="F1329" s="240">
        <v>300</v>
      </c>
      <c r="G1329" s="205">
        <v>1</v>
      </c>
      <c r="H1329" s="206">
        <v>300</v>
      </c>
      <c r="I1329" s="207">
        <v>41420</v>
      </c>
      <c r="J1329" s="197" t="str">
        <f t="shared" si="63"/>
        <v>ok</v>
      </c>
      <c r="K1329" s="419"/>
      <c r="L1329" s="419"/>
      <c r="M1329" s="419"/>
      <c r="N1329" s="419"/>
      <c r="O1329" s="419"/>
      <c r="P1329" s="419"/>
      <c r="Q1329" s="419"/>
      <c r="R1329" s="419"/>
      <c r="S1329" s="419"/>
      <c r="T1329" s="419"/>
      <c r="U1329" s="419"/>
      <c r="V1329" s="419"/>
      <c r="W1329" s="419">
        <f t="shared" si="61"/>
        <v>0</v>
      </c>
      <c r="X1329" s="412"/>
      <c r="Y1329" s="412"/>
      <c r="Z1329" s="412"/>
      <c r="AA1329" s="412"/>
      <c r="AB1329" s="412">
        <v>300</v>
      </c>
      <c r="AC1329" s="412"/>
      <c r="AD1329" s="412"/>
      <c r="AE1329" s="412"/>
      <c r="AF1329" s="412"/>
      <c r="AG1329" s="412"/>
      <c r="AH1329" s="412"/>
      <c r="AI1329" s="412"/>
      <c r="AJ1329" s="412">
        <f t="shared" si="62"/>
        <v>300</v>
      </c>
      <c r="AK1329" s="208"/>
      <c r="AL1329" s="250" t="s">
        <v>2067</v>
      </c>
    </row>
    <row r="1330" spans="1:38" ht="14.1" customHeight="1" x14ac:dyDescent="0.2">
      <c r="A1330" t="s">
        <v>884</v>
      </c>
      <c r="B1330" s="209">
        <v>4929</v>
      </c>
      <c r="C1330" s="210" t="s">
        <v>795</v>
      </c>
      <c r="D1330" s="229" t="s">
        <v>1497</v>
      </c>
      <c r="E1330" s="229" t="s">
        <v>8</v>
      </c>
      <c r="F1330" s="240">
        <v>300</v>
      </c>
      <c r="G1330" s="205">
        <v>4</v>
      </c>
      <c r="H1330" s="206">
        <v>160</v>
      </c>
      <c r="I1330" s="207">
        <v>41420</v>
      </c>
      <c r="J1330" s="197" t="str">
        <f t="shared" si="63"/>
        <v>ok</v>
      </c>
      <c r="K1330" s="419"/>
      <c r="L1330" s="419"/>
      <c r="M1330" s="419"/>
      <c r="N1330" s="419"/>
      <c r="O1330" s="419"/>
      <c r="P1330" s="419"/>
      <c r="Q1330" s="419"/>
      <c r="R1330" s="419"/>
      <c r="S1330" s="419"/>
      <c r="T1330" s="419"/>
      <c r="U1330" s="419"/>
      <c r="V1330" s="419"/>
      <c r="W1330" s="419">
        <f t="shared" si="61"/>
        <v>0</v>
      </c>
      <c r="X1330" s="412"/>
      <c r="Y1330" s="412"/>
      <c r="Z1330" s="412"/>
      <c r="AA1330" s="412"/>
      <c r="AB1330" s="412"/>
      <c r="AC1330" s="412"/>
      <c r="AD1330" s="412"/>
      <c r="AE1330" s="412"/>
      <c r="AF1330" s="412"/>
      <c r="AG1330" s="412"/>
      <c r="AH1330" s="412"/>
      <c r="AI1330" s="412"/>
      <c r="AJ1330" s="412">
        <f t="shared" si="62"/>
        <v>0</v>
      </c>
      <c r="AK1330" s="208"/>
      <c r="AL1330" s="250" t="s">
        <v>2068</v>
      </c>
    </row>
    <row r="1331" spans="1:38" ht="14.1" customHeight="1" x14ac:dyDescent="0.2">
      <c r="A1331" t="s">
        <v>894</v>
      </c>
      <c r="B1331" s="209">
        <v>4930</v>
      </c>
      <c r="C1331" s="210" t="s">
        <v>1151</v>
      </c>
      <c r="D1331" s="229" t="s">
        <v>1560</v>
      </c>
      <c r="E1331" s="229" t="s">
        <v>588</v>
      </c>
      <c r="F1331" s="240">
        <v>300</v>
      </c>
      <c r="G1331" s="205">
        <v>4</v>
      </c>
      <c r="H1331" s="206">
        <v>160</v>
      </c>
      <c r="I1331" s="207">
        <v>41420</v>
      </c>
      <c r="J1331" s="197" t="str">
        <f t="shared" si="63"/>
        <v>ok</v>
      </c>
      <c r="K1331" s="419"/>
      <c r="L1331" s="419"/>
      <c r="M1331" s="419"/>
      <c r="N1331" s="419"/>
      <c r="O1331" s="419"/>
      <c r="P1331" s="419"/>
      <c r="Q1331" s="419"/>
      <c r="R1331" s="419"/>
      <c r="S1331" s="419"/>
      <c r="T1331" s="419"/>
      <c r="U1331" s="419"/>
      <c r="V1331" s="419"/>
      <c r="W1331" s="419">
        <f t="shared" si="61"/>
        <v>0</v>
      </c>
      <c r="X1331" s="412"/>
      <c r="Y1331" s="412"/>
      <c r="Z1331" s="412"/>
      <c r="AA1331" s="412"/>
      <c r="AB1331" s="412"/>
      <c r="AC1331" s="412"/>
      <c r="AD1331" s="412"/>
      <c r="AE1331" s="412"/>
      <c r="AF1331" s="412"/>
      <c r="AG1331" s="412"/>
      <c r="AH1331" s="412"/>
      <c r="AI1331" s="412"/>
      <c r="AJ1331" s="412">
        <f t="shared" si="62"/>
        <v>0</v>
      </c>
      <c r="AK1331" s="208"/>
      <c r="AL1331" s="250" t="s">
        <v>2068</v>
      </c>
    </row>
    <row r="1332" spans="1:38" ht="14.1" customHeight="1" x14ac:dyDescent="0.2">
      <c r="A1332" t="s">
        <v>892</v>
      </c>
      <c r="B1332" s="209">
        <v>4931</v>
      </c>
      <c r="C1332" s="210" t="s">
        <v>1059</v>
      </c>
      <c r="D1332" s="229" t="s">
        <v>1426</v>
      </c>
      <c r="E1332" s="229" t="s">
        <v>660</v>
      </c>
      <c r="F1332" s="240">
        <v>150</v>
      </c>
      <c r="G1332" s="205">
        <v>1</v>
      </c>
      <c r="H1332" s="206">
        <v>150</v>
      </c>
      <c r="I1332" s="207">
        <v>41420</v>
      </c>
      <c r="J1332" s="197" t="str">
        <f t="shared" si="63"/>
        <v>ok</v>
      </c>
      <c r="K1332" s="419"/>
      <c r="L1332" s="419"/>
      <c r="M1332" s="419"/>
      <c r="N1332" s="419"/>
      <c r="O1332" s="419"/>
      <c r="P1332" s="419"/>
      <c r="Q1332" s="419"/>
      <c r="R1332" s="419"/>
      <c r="S1332" s="419"/>
      <c r="T1332" s="419"/>
      <c r="U1332" s="419"/>
      <c r="V1332" s="419"/>
      <c r="W1332" s="419">
        <f t="shared" si="61"/>
        <v>0</v>
      </c>
      <c r="X1332" s="412"/>
      <c r="Y1332" s="412"/>
      <c r="Z1332" s="412"/>
      <c r="AA1332" s="412"/>
      <c r="AB1332" s="412">
        <v>150</v>
      </c>
      <c r="AC1332" s="412"/>
      <c r="AD1332" s="412"/>
      <c r="AE1332" s="412"/>
      <c r="AF1332" s="412"/>
      <c r="AG1332" s="412"/>
      <c r="AH1332" s="412"/>
      <c r="AI1332" s="412"/>
      <c r="AJ1332" s="412">
        <f t="shared" si="62"/>
        <v>150</v>
      </c>
      <c r="AK1332" s="208"/>
      <c r="AL1332" s="250" t="s">
        <v>2067</v>
      </c>
    </row>
    <row r="1333" spans="1:38" ht="14.1" customHeight="1" x14ac:dyDescent="0.2">
      <c r="A1333" t="s">
        <v>888</v>
      </c>
      <c r="B1333" s="209">
        <v>4932</v>
      </c>
      <c r="C1333" s="210" t="s">
        <v>930</v>
      </c>
      <c r="D1333" s="229" t="s">
        <v>1539</v>
      </c>
      <c r="E1333" s="229" t="s">
        <v>1273</v>
      </c>
      <c r="F1333" s="240">
        <v>300</v>
      </c>
      <c r="G1333" s="205">
        <v>1</v>
      </c>
      <c r="H1333" s="206">
        <v>300</v>
      </c>
      <c r="I1333" s="207">
        <v>41420</v>
      </c>
      <c r="J1333" s="197" t="str">
        <f t="shared" si="63"/>
        <v>ok</v>
      </c>
      <c r="K1333" s="419"/>
      <c r="L1333" s="419"/>
      <c r="M1333" s="419"/>
      <c r="N1333" s="419"/>
      <c r="O1333" s="419"/>
      <c r="P1333" s="419"/>
      <c r="Q1333" s="419"/>
      <c r="R1333" s="419"/>
      <c r="S1333" s="419"/>
      <c r="T1333" s="419"/>
      <c r="U1333" s="419"/>
      <c r="V1333" s="419"/>
      <c r="W1333" s="419">
        <f t="shared" si="61"/>
        <v>0</v>
      </c>
      <c r="X1333" s="412"/>
      <c r="Y1333" s="412"/>
      <c r="Z1333" s="412"/>
      <c r="AA1333" s="412"/>
      <c r="AB1333" s="412">
        <v>300</v>
      </c>
      <c r="AC1333" s="412"/>
      <c r="AD1333" s="412"/>
      <c r="AE1333" s="412"/>
      <c r="AF1333" s="412"/>
      <c r="AG1333" s="412"/>
      <c r="AH1333" s="412"/>
      <c r="AI1333" s="412"/>
      <c r="AJ1333" s="412">
        <f t="shared" si="62"/>
        <v>300</v>
      </c>
      <c r="AK1333" s="208"/>
      <c r="AL1333" s="250" t="s">
        <v>2067</v>
      </c>
    </row>
    <row r="1334" spans="1:38" ht="14.1" customHeight="1" x14ac:dyDescent="0.2">
      <c r="A1334" t="s">
        <v>893</v>
      </c>
      <c r="B1334" s="209">
        <v>4933</v>
      </c>
      <c r="C1334" s="210" t="s">
        <v>1132</v>
      </c>
      <c r="D1334" s="229" t="s">
        <v>1363</v>
      </c>
      <c r="E1334" s="229" t="s">
        <v>1270</v>
      </c>
      <c r="F1334" s="240">
        <v>300</v>
      </c>
      <c r="G1334" s="205">
        <v>1</v>
      </c>
      <c r="H1334" s="206">
        <v>300</v>
      </c>
      <c r="I1334" s="207">
        <v>41420</v>
      </c>
      <c r="J1334" s="197" t="str">
        <f t="shared" si="63"/>
        <v>ok</v>
      </c>
      <c r="K1334" s="419"/>
      <c r="L1334" s="419"/>
      <c r="M1334" s="419"/>
      <c r="N1334" s="419"/>
      <c r="O1334" s="419"/>
      <c r="P1334" s="419"/>
      <c r="Q1334" s="419"/>
      <c r="R1334" s="419"/>
      <c r="S1334" s="419"/>
      <c r="T1334" s="419"/>
      <c r="U1334" s="419"/>
      <c r="V1334" s="419"/>
      <c r="W1334" s="419">
        <f t="shared" si="61"/>
        <v>0</v>
      </c>
      <c r="X1334" s="412"/>
      <c r="Y1334" s="412"/>
      <c r="Z1334" s="412"/>
      <c r="AA1334" s="412"/>
      <c r="AB1334" s="412"/>
      <c r="AC1334" s="412">
        <v>300</v>
      </c>
      <c r="AD1334" s="412"/>
      <c r="AE1334" s="412"/>
      <c r="AF1334" s="412"/>
      <c r="AG1334" s="412"/>
      <c r="AH1334" s="412"/>
      <c r="AI1334" s="412"/>
      <c r="AJ1334" s="412">
        <f t="shared" si="62"/>
        <v>300</v>
      </c>
      <c r="AK1334" s="208"/>
      <c r="AL1334" s="250" t="s">
        <v>2067</v>
      </c>
    </row>
    <row r="1335" spans="1:38" ht="14.1" customHeight="1" x14ac:dyDescent="0.2">
      <c r="A1335" t="s">
        <v>894</v>
      </c>
      <c r="B1335" s="209">
        <v>4934</v>
      </c>
      <c r="C1335" s="210" t="s">
        <v>1157</v>
      </c>
      <c r="D1335" s="229" t="s">
        <v>1487</v>
      </c>
      <c r="E1335" s="229" t="s">
        <v>1224</v>
      </c>
      <c r="F1335" s="240">
        <v>300</v>
      </c>
      <c r="G1335" s="205">
        <v>1</v>
      </c>
      <c r="H1335" s="206">
        <v>300</v>
      </c>
      <c r="I1335" s="207">
        <v>41420</v>
      </c>
      <c r="J1335" s="197" t="str">
        <f t="shared" si="63"/>
        <v>ok</v>
      </c>
      <c r="K1335" s="419"/>
      <c r="L1335" s="419"/>
      <c r="M1335" s="419"/>
      <c r="N1335" s="419"/>
      <c r="O1335" s="419"/>
      <c r="P1335" s="419"/>
      <c r="Q1335" s="419"/>
      <c r="R1335" s="419"/>
      <c r="S1335" s="419"/>
      <c r="T1335" s="419"/>
      <c r="U1335" s="419"/>
      <c r="V1335" s="419"/>
      <c r="W1335" s="419">
        <f t="shared" si="61"/>
        <v>0</v>
      </c>
      <c r="X1335" s="412"/>
      <c r="Y1335" s="412"/>
      <c r="Z1335" s="412"/>
      <c r="AA1335" s="412"/>
      <c r="AB1335" s="412">
        <v>300</v>
      </c>
      <c r="AC1335" s="412"/>
      <c r="AD1335" s="412"/>
      <c r="AE1335" s="412"/>
      <c r="AF1335" s="412"/>
      <c r="AG1335" s="412"/>
      <c r="AH1335" s="412"/>
      <c r="AI1335" s="412"/>
      <c r="AJ1335" s="412">
        <f t="shared" si="62"/>
        <v>300</v>
      </c>
      <c r="AK1335" s="208"/>
      <c r="AL1335" s="250" t="s">
        <v>2067</v>
      </c>
    </row>
    <row r="1336" spans="1:38" ht="14.1" customHeight="1" x14ac:dyDescent="0.2">
      <c r="A1336" t="s">
        <v>890</v>
      </c>
      <c r="B1336" s="209">
        <v>4935</v>
      </c>
      <c r="C1336" s="210" t="s">
        <v>1004</v>
      </c>
      <c r="D1336" s="229" t="s">
        <v>1660</v>
      </c>
      <c r="E1336" s="229" t="s">
        <v>495</v>
      </c>
      <c r="F1336" s="240">
        <v>250</v>
      </c>
      <c r="G1336" s="205">
        <v>4</v>
      </c>
      <c r="H1336" s="206">
        <v>160</v>
      </c>
      <c r="I1336" s="207">
        <v>41420</v>
      </c>
      <c r="J1336" s="197" t="str">
        <f t="shared" si="63"/>
        <v>ok</v>
      </c>
      <c r="K1336" s="419"/>
      <c r="L1336" s="419"/>
      <c r="M1336" s="419"/>
      <c r="N1336" s="419"/>
      <c r="O1336" s="419"/>
      <c r="P1336" s="419"/>
      <c r="Q1336" s="419"/>
      <c r="R1336" s="419"/>
      <c r="S1336" s="419"/>
      <c r="T1336" s="419"/>
      <c r="U1336" s="419"/>
      <c r="V1336" s="419"/>
      <c r="W1336" s="419">
        <f t="shared" si="61"/>
        <v>0</v>
      </c>
      <c r="X1336" s="412"/>
      <c r="Y1336" s="412"/>
      <c r="Z1336" s="412"/>
      <c r="AA1336" s="412"/>
      <c r="AB1336" s="412"/>
      <c r="AC1336" s="412"/>
      <c r="AD1336" s="412"/>
      <c r="AE1336" s="412"/>
      <c r="AF1336" s="412"/>
      <c r="AG1336" s="412"/>
      <c r="AH1336" s="412"/>
      <c r="AI1336" s="412"/>
      <c r="AJ1336" s="412">
        <f t="shared" si="62"/>
        <v>0</v>
      </c>
      <c r="AK1336" s="208"/>
      <c r="AL1336" s="250" t="s">
        <v>2068</v>
      </c>
    </row>
    <row r="1337" spans="1:38" ht="14.1" customHeight="1" x14ac:dyDescent="0.2">
      <c r="A1337" t="s">
        <v>890</v>
      </c>
      <c r="B1337" s="209">
        <v>4936</v>
      </c>
      <c r="C1337" s="210" t="s">
        <v>990</v>
      </c>
      <c r="D1337" s="229" t="s">
        <v>1542</v>
      </c>
      <c r="E1337" s="229" t="s">
        <v>449</v>
      </c>
      <c r="F1337" s="240">
        <v>150</v>
      </c>
      <c r="G1337" s="205">
        <v>1</v>
      </c>
      <c r="H1337" s="206">
        <v>150</v>
      </c>
      <c r="I1337" s="207">
        <v>41420</v>
      </c>
      <c r="J1337" s="197" t="str">
        <f t="shared" si="63"/>
        <v>ok</v>
      </c>
      <c r="K1337" s="419"/>
      <c r="L1337" s="419"/>
      <c r="M1337" s="419"/>
      <c r="N1337" s="419"/>
      <c r="O1337" s="419"/>
      <c r="P1337" s="419"/>
      <c r="Q1337" s="419"/>
      <c r="R1337" s="419"/>
      <c r="S1337" s="419"/>
      <c r="T1337" s="419"/>
      <c r="U1337" s="419"/>
      <c r="V1337" s="419"/>
      <c r="W1337" s="419">
        <f t="shared" si="61"/>
        <v>0</v>
      </c>
      <c r="X1337" s="412"/>
      <c r="Y1337" s="412"/>
      <c r="Z1337" s="412"/>
      <c r="AA1337" s="412"/>
      <c r="AB1337" s="412">
        <v>150</v>
      </c>
      <c r="AC1337" s="412"/>
      <c r="AD1337" s="412"/>
      <c r="AE1337" s="412"/>
      <c r="AF1337" s="412"/>
      <c r="AG1337" s="412"/>
      <c r="AH1337" s="412"/>
      <c r="AI1337" s="412"/>
      <c r="AJ1337" s="412">
        <f t="shared" si="62"/>
        <v>150</v>
      </c>
      <c r="AK1337" s="208"/>
      <c r="AL1337" s="250" t="s">
        <v>2067</v>
      </c>
    </row>
    <row r="1338" spans="1:38" ht="14.1" customHeight="1" x14ac:dyDescent="0.2">
      <c r="A1338" t="s">
        <v>890</v>
      </c>
      <c r="B1338" s="209">
        <v>4936</v>
      </c>
      <c r="C1338" s="210" t="s">
        <v>990</v>
      </c>
      <c r="D1338" s="229" t="s">
        <v>1542</v>
      </c>
      <c r="E1338" s="229" t="s">
        <v>449</v>
      </c>
      <c r="F1338" s="240">
        <v>150</v>
      </c>
      <c r="G1338" s="205">
        <v>3</v>
      </c>
      <c r="H1338" s="206">
        <v>150</v>
      </c>
      <c r="I1338" s="207">
        <v>41420</v>
      </c>
      <c r="J1338" s="197" t="str">
        <f t="shared" si="63"/>
        <v>ok</v>
      </c>
      <c r="K1338" s="419"/>
      <c r="L1338" s="419"/>
      <c r="M1338" s="419"/>
      <c r="N1338" s="419"/>
      <c r="O1338" s="419"/>
      <c r="P1338" s="419"/>
      <c r="Q1338" s="419"/>
      <c r="R1338" s="419"/>
      <c r="S1338" s="419"/>
      <c r="T1338" s="419"/>
      <c r="U1338" s="419"/>
      <c r="V1338" s="419"/>
      <c r="W1338" s="419">
        <f t="shared" si="61"/>
        <v>0</v>
      </c>
      <c r="X1338" s="412"/>
      <c r="Y1338" s="412"/>
      <c r="Z1338" s="412"/>
      <c r="AA1338" s="412"/>
      <c r="AB1338" s="412"/>
      <c r="AC1338" s="412"/>
      <c r="AD1338" s="412"/>
      <c r="AE1338" s="412"/>
      <c r="AF1338" s="412"/>
      <c r="AG1338" s="412"/>
      <c r="AH1338" s="412"/>
      <c r="AI1338" s="412"/>
      <c r="AJ1338" s="412">
        <f t="shared" si="62"/>
        <v>0</v>
      </c>
      <c r="AK1338" s="208"/>
      <c r="AL1338" s="250" t="s">
        <v>2068</v>
      </c>
    </row>
    <row r="1339" spans="1:38" ht="14.1" customHeight="1" x14ac:dyDescent="0.2">
      <c r="A1339" t="s">
        <v>888</v>
      </c>
      <c r="B1339" s="209">
        <v>4937</v>
      </c>
      <c r="C1339" s="210" t="s">
        <v>944</v>
      </c>
      <c r="D1339" s="229" t="s">
        <v>1525</v>
      </c>
      <c r="E1339" s="229" t="s">
        <v>405</v>
      </c>
      <c r="F1339" s="240">
        <v>300</v>
      </c>
      <c r="G1339" s="205">
        <v>1</v>
      </c>
      <c r="H1339" s="206">
        <v>600</v>
      </c>
      <c r="I1339" s="207">
        <v>41420</v>
      </c>
      <c r="J1339" s="197" t="str">
        <f t="shared" si="63"/>
        <v>ok</v>
      </c>
      <c r="K1339" s="419"/>
      <c r="L1339" s="419"/>
      <c r="M1339" s="419"/>
      <c r="N1339" s="419"/>
      <c r="O1339" s="419"/>
      <c r="P1339" s="419"/>
      <c r="Q1339" s="419"/>
      <c r="R1339" s="419"/>
      <c r="S1339" s="419"/>
      <c r="T1339" s="419"/>
      <c r="U1339" s="419"/>
      <c r="V1339" s="419"/>
      <c r="W1339" s="419">
        <f t="shared" si="61"/>
        <v>0</v>
      </c>
      <c r="X1339" s="412"/>
      <c r="Y1339" s="412"/>
      <c r="Z1339" s="412"/>
      <c r="AA1339" s="412">
        <v>300</v>
      </c>
      <c r="AB1339" s="412">
        <v>300</v>
      </c>
      <c r="AC1339" s="412"/>
      <c r="AD1339" s="412"/>
      <c r="AE1339" s="412"/>
      <c r="AF1339" s="412"/>
      <c r="AG1339" s="412"/>
      <c r="AH1339" s="412"/>
      <c r="AI1339" s="412"/>
      <c r="AJ1339" s="412">
        <f t="shared" si="62"/>
        <v>600</v>
      </c>
      <c r="AK1339" s="208"/>
      <c r="AL1339" s="250" t="s">
        <v>2067</v>
      </c>
    </row>
    <row r="1340" spans="1:38" ht="14.1" customHeight="1" x14ac:dyDescent="0.2">
      <c r="A1340" t="s">
        <v>893</v>
      </c>
      <c r="B1340" s="209">
        <v>4938</v>
      </c>
      <c r="C1340" s="210" t="s">
        <v>1113</v>
      </c>
      <c r="D1340" s="229" t="s">
        <v>1531</v>
      </c>
      <c r="E1340" s="229" t="s">
        <v>57</v>
      </c>
      <c r="F1340" s="240">
        <v>150</v>
      </c>
      <c r="G1340" s="205">
        <v>4</v>
      </c>
      <c r="H1340" s="206">
        <v>160</v>
      </c>
      <c r="I1340" s="207">
        <v>41420</v>
      </c>
      <c r="J1340" s="197" t="str">
        <f t="shared" si="63"/>
        <v>ok</v>
      </c>
      <c r="K1340" s="419"/>
      <c r="L1340" s="419"/>
      <c r="M1340" s="419"/>
      <c r="N1340" s="419"/>
      <c r="O1340" s="419"/>
      <c r="P1340" s="419"/>
      <c r="Q1340" s="419"/>
      <c r="R1340" s="419"/>
      <c r="S1340" s="419"/>
      <c r="T1340" s="419"/>
      <c r="U1340" s="419"/>
      <c r="V1340" s="419"/>
      <c r="W1340" s="419">
        <f t="shared" si="61"/>
        <v>0</v>
      </c>
      <c r="X1340" s="412"/>
      <c r="Y1340" s="412"/>
      <c r="Z1340" s="412"/>
      <c r="AA1340" s="412"/>
      <c r="AB1340" s="412"/>
      <c r="AC1340" s="412"/>
      <c r="AD1340" s="412"/>
      <c r="AE1340" s="412"/>
      <c r="AF1340" s="412"/>
      <c r="AG1340" s="412"/>
      <c r="AH1340" s="412"/>
      <c r="AI1340" s="412"/>
      <c r="AJ1340" s="412">
        <f t="shared" si="62"/>
        <v>0</v>
      </c>
      <c r="AK1340" s="208"/>
      <c r="AL1340" s="250" t="s">
        <v>2068</v>
      </c>
    </row>
    <row r="1341" spans="1:38" ht="14.1" customHeight="1" x14ac:dyDescent="0.2">
      <c r="A1341" t="s">
        <v>893</v>
      </c>
      <c r="B1341" s="209">
        <v>4939</v>
      </c>
      <c r="C1341" s="210" t="s">
        <v>1095</v>
      </c>
      <c r="D1341" s="229" t="s">
        <v>1469</v>
      </c>
      <c r="E1341" s="229" t="s">
        <v>232</v>
      </c>
      <c r="F1341" s="240">
        <v>200</v>
      </c>
      <c r="G1341" s="205">
        <v>1</v>
      </c>
      <c r="H1341" s="206">
        <v>200</v>
      </c>
      <c r="I1341" s="207">
        <v>41420</v>
      </c>
      <c r="J1341" s="197" t="str">
        <f t="shared" si="63"/>
        <v>ok</v>
      </c>
      <c r="K1341" s="419"/>
      <c r="L1341" s="419"/>
      <c r="M1341" s="419"/>
      <c r="N1341" s="419"/>
      <c r="O1341" s="419"/>
      <c r="P1341" s="419"/>
      <c r="Q1341" s="419"/>
      <c r="R1341" s="419"/>
      <c r="S1341" s="419"/>
      <c r="T1341" s="419"/>
      <c r="U1341" s="419"/>
      <c r="V1341" s="419"/>
      <c r="W1341" s="419">
        <f t="shared" si="61"/>
        <v>0</v>
      </c>
      <c r="X1341" s="412"/>
      <c r="Y1341" s="412"/>
      <c r="Z1341" s="412">
        <v>200</v>
      </c>
      <c r="AA1341" s="412"/>
      <c r="AB1341" s="412"/>
      <c r="AC1341" s="412"/>
      <c r="AD1341" s="412"/>
      <c r="AE1341" s="412"/>
      <c r="AF1341" s="412"/>
      <c r="AG1341" s="412"/>
      <c r="AH1341" s="412"/>
      <c r="AI1341" s="412"/>
      <c r="AJ1341" s="412">
        <f t="shared" si="62"/>
        <v>200</v>
      </c>
      <c r="AK1341" s="208"/>
      <c r="AL1341" s="250" t="s">
        <v>2067</v>
      </c>
    </row>
    <row r="1342" spans="1:38" ht="14.1" customHeight="1" x14ac:dyDescent="0.2">
      <c r="A1342" t="s">
        <v>890</v>
      </c>
      <c r="B1342" s="209">
        <v>4940</v>
      </c>
      <c r="C1342" s="210" t="s">
        <v>988</v>
      </c>
      <c r="D1342" s="229" t="s">
        <v>1410</v>
      </c>
      <c r="E1342" s="229" t="s">
        <v>477</v>
      </c>
      <c r="F1342" s="240">
        <v>300</v>
      </c>
      <c r="G1342" s="205">
        <v>1</v>
      </c>
      <c r="H1342" s="206">
        <v>900</v>
      </c>
      <c r="I1342" s="207">
        <v>41420</v>
      </c>
      <c r="J1342" s="197" t="str">
        <f t="shared" si="63"/>
        <v>ok</v>
      </c>
      <c r="K1342" s="419"/>
      <c r="L1342" s="419"/>
      <c r="M1342" s="419"/>
      <c r="N1342" s="419"/>
      <c r="O1342" s="419"/>
      <c r="P1342" s="419"/>
      <c r="Q1342" s="419"/>
      <c r="R1342" s="419"/>
      <c r="S1342" s="419"/>
      <c r="T1342" s="419"/>
      <c r="U1342" s="419"/>
      <c r="V1342" s="419"/>
      <c r="W1342" s="419">
        <f t="shared" si="61"/>
        <v>0</v>
      </c>
      <c r="X1342" s="412"/>
      <c r="Y1342" s="412"/>
      <c r="Z1342" s="412"/>
      <c r="AA1342" s="412">
        <v>300</v>
      </c>
      <c r="AB1342" s="412">
        <v>300</v>
      </c>
      <c r="AC1342" s="412">
        <v>300</v>
      </c>
      <c r="AD1342" s="412"/>
      <c r="AE1342" s="412"/>
      <c r="AF1342" s="412"/>
      <c r="AG1342" s="412"/>
      <c r="AH1342" s="412"/>
      <c r="AI1342" s="412"/>
      <c r="AJ1342" s="412">
        <f t="shared" si="62"/>
        <v>900</v>
      </c>
      <c r="AK1342" s="208"/>
      <c r="AL1342" s="250" t="s">
        <v>2067</v>
      </c>
    </row>
    <row r="1343" spans="1:38" ht="14.1" customHeight="1" x14ac:dyDescent="0.2">
      <c r="A1343" t="s">
        <v>892</v>
      </c>
      <c r="B1343" s="209">
        <v>4941</v>
      </c>
      <c r="C1343" s="210" t="s">
        <v>1057</v>
      </c>
      <c r="D1343" s="229" t="s">
        <v>1548</v>
      </c>
      <c r="E1343" s="229" t="s">
        <v>46</v>
      </c>
      <c r="F1343" s="240">
        <v>300</v>
      </c>
      <c r="G1343" s="205">
        <v>1</v>
      </c>
      <c r="H1343" s="206">
        <v>300</v>
      </c>
      <c r="I1343" s="207">
        <v>41420</v>
      </c>
      <c r="J1343" s="197" t="str">
        <f t="shared" si="63"/>
        <v>ok</v>
      </c>
      <c r="K1343" s="419"/>
      <c r="L1343" s="419"/>
      <c r="M1343" s="419"/>
      <c r="N1343" s="419"/>
      <c r="O1343" s="419"/>
      <c r="P1343" s="419"/>
      <c r="Q1343" s="419"/>
      <c r="R1343" s="419"/>
      <c r="S1343" s="419"/>
      <c r="T1343" s="419"/>
      <c r="U1343" s="419"/>
      <c r="V1343" s="419"/>
      <c r="W1343" s="419">
        <f t="shared" si="61"/>
        <v>0</v>
      </c>
      <c r="X1343" s="412"/>
      <c r="Y1343" s="412"/>
      <c r="Z1343" s="412"/>
      <c r="AA1343" s="412"/>
      <c r="AB1343" s="412">
        <v>300</v>
      </c>
      <c r="AC1343" s="412"/>
      <c r="AD1343" s="412"/>
      <c r="AE1343" s="412"/>
      <c r="AF1343" s="412"/>
      <c r="AG1343" s="412"/>
      <c r="AH1343" s="412"/>
      <c r="AI1343" s="412"/>
      <c r="AJ1343" s="412">
        <f t="shared" si="62"/>
        <v>300</v>
      </c>
      <c r="AK1343" s="208"/>
      <c r="AL1343" s="250" t="s">
        <v>2067</v>
      </c>
    </row>
    <row r="1344" spans="1:38" ht="14.1" customHeight="1" x14ac:dyDescent="0.2">
      <c r="A1344" t="s">
        <v>884</v>
      </c>
      <c r="B1344" s="209">
        <v>4942</v>
      </c>
      <c r="C1344" s="210" t="s">
        <v>831</v>
      </c>
      <c r="D1344" s="229" t="s">
        <v>1534</v>
      </c>
      <c r="E1344" s="229" t="s">
        <v>64</v>
      </c>
      <c r="F1344" s="240">
        <v>300</v>
      </c>
      <c r="G1344" s="205">
        <v>1</v>
      </c>
      <c r="H1344" s="206">
        <v>300</v>
      </c>
      <c r="I1344" s="207">
        <v>41420</v>
      </c>
      <c r="J1344" s="197" t="str">
        <f t="shared" si="63"/>
        <v>ok</v>
      </c>
      <c r="K1344" s="419"/>
      <c r="L1344" s="419"/>
      <c r="M1344" s="419"/>
      <c r="N1344" s="419"/>
      <c r="O1344" s="419"/>
      <c r="P1344" s="419"/>
      <c r="Q1344" s="419"/>
      <c r="R1344" s="419"/>
      <c r="S1344" s="419"/>
      <c r="T1344" s="419"/>
      <c r="U1344" s="419"/>
      <c r="V1344" s="419"/>
      <c r="W1344" s="419">
        <f t="shared" si="61"/>
        <v>0</v>
      </c>
      <c r="X1344" s="412"/>
      <c r="Y1344" s="412"/>
      <c r="Z1344" s="412"/>
      <c r="AA1344" s="412"/>
      <c r="AB1344" s="412">
        <v>300</v>
      </c>
      <c r="AC1344" s="412"/>
      <c r="AD1344" s="412"/>
      <c r="AE1344" s="412"/>
      <c r="AF1344" s="412"/>
      <c r="AG1344" s="412"/>
      <c r="AH1344" s="412"/>
      <c r="AI1344" s="412"/>
      <c r="AJ1344" s="412">
        <f t="shared" si="62"/>
        <v>300</v>
      </c>
      <c r="AK1344" s="208"/>
      <c r="AL1344" s="250" t="s">
        <v>2067</v>
      </c>
    </row>
    <row r="1345" spans="1:38" ht="14.1" customHeight="1" x14ac:dyDescent="0.2">
      <c r="A1345" t="s">
        <v>888</v>
      </c>
      <c r="B1345" s="209">
        <v>4943</v>
      </c>
      <c r="C1345" s="210" t="s">
        <v>945</v>
      </c>
      <c r="D1345" s="229" t="s">
        <v>1379</v>
      </c>
      <c r="E1345" s="229" t="s">
        <v>407</v>
      </c>
      <c r="F1345" s="240">
        <v>300</v>
      </c>
      <c r="G1345" s="205">
        <v>1</v>
      </c>
      <c r="H1345" s="206">
        <v>600</v>
      </c>
      <c r="I1345" s="207">
        <v>41420</v>
      </c>
      <c r="J1345" s="197" t="str">
        <f t="shared" si="63"/>
        <v>ok</v>
      </c>
      <c r="K1345" s="419"/>
      <c r="L1345" s="419"/>
      <c r="M1345" s="419"/>
      <c r="N1345" s="419"/>
      <c r="O1345" s="419"/>
      <c r="P1345" s="419"/>
      <c r="Q1345" s="419"/>
      <c r="R1345" s="419"/>
      <c r="S1345" s="419"/>
      <c r="T1345" s="419"/>
      <c r="U1345" s="419"/>
      <c r="V1345" s="419"/>
      <c r="W1345" s="419">
        <f t="shared" si="61"/>
        <v>0</v>
      </c>
      <c r="X1345" s="412"/>
      <c r="Y1345" s="412"/>
      <c r="Z1345" s="412"/>
      <c r="AA1345" s="412">
        <v>300</v>
      </c>
      <c r="AB1345" s="412">
        <v>300</v>
      </c>
      <c r="AC1345" s="412"/>
      <c r="AD1345" s="412"/>
      <c r="AE1345" s="412"/>
      <c r="AF1345" s="412"/>
      <c r="AG1345" s="412"/>
      <c r="AH1345" s="412"/>
      <c r="AI1345" s="412"/>
      <c r="AJ1345" s="412">
        <f t="shared" si="62"/>
        <v>600</v>
      </c>
      <c r="AK1345" s="208"/>
      <c r="AL1345" s="250" t="s">
        <v>2067</v>
      </c>
    </row>
    <row r="1346" spans="1:38" ht="14.1" customHeight="1" x14ac:dyDescent="0.2">
      <c r="A1346" t="s">
        <v>890</v>
      </c>
      <c r="B1346" s="209">
        <v>4944</v>
      </c>
      <c r="C1346" s="210" t="s">
        <v>1021</v>
      </c>
      <c r="D1346" s="229" t="s">
        <v>1398</v>
      </c>
      <c r="E1346" s="229" t="s">
        <v>520</v>
      </c>
      <c r="F1346" s="240">
        <v>300</v>
      </c>
      <c r="G1346" s="205">
        <v>1</v>
      </c>
      <c r="H1346" s="206">
        <v>900</v>
      </c>
      <c r="I1346" s="207">
        <v>41420</v>
      </c>
      <c r="J1346" s="197" t="str">
        <f t="shared" si="63"/>
        <v>ok</v>
      </c>
      <c r="K1346" s="419"/>
      <c r="L1346" s="419"/>
      <c r="M1346" s="419"/>
      <c r="N1346" s="419"/>
      <c r="O1346" s="419"/>
      <c r="P1346" s="419"/>
      <c r="Q1346" s="419"/>
      <c r="R1346" s="419"/>
      <c r="S1346" s="419"/>
      <c r="T1346" s="419"/>
      <c r="U1346" s="419"/>
      <c r="V1346" s="419"/>
      <c r="W1346" s="419">
        <f t="shared" si="61"/>
        <v>0</v>
      </c>
      <c r="X1346" s="412"/>
      <c r="Y1346" s="412"/>
      <c r="Z1346" s="412">
        <v>300</v>
      </c>
      <c r="AA1346" s="412">
        <v>300</v>
      </c>
      <c r="AB1346" s="412">
        <v>300</v>
      </c>
      <c r="AC1346" s="412"/>
      <c r="AD1346" s="412"/>
      <c r="AE1346" s="412"/>
      <c r="AF1346" s="412"/>
      <c r="AG1346" s="412"/>
      <c r="AH1346" s="412"/>
      <c r="AI1346" s="412"/>
      <c r="AJ1346" s="412">
        <f t="shared" si="62"/>
        <v>900</v>
      </c>
      <c r="AK1346" s="208"/>
      <c r="AL1346" s="250" t="s">
        <v>2067</v>
      </c>
    </row>
    <row r="1347" spans="1:38" ht="14.1" customHeight="1" x14ac:dyDescent="0.2">
      <c r="A1347" t="s">
        <v>894</v>
      </c>
      <c r="B1347" s="209">
        <v>4945</v>
      </c>
      <c r="C1347" s="210" t="s">
        <v>1158</v>
      </c>
      <c r="D1347" s="229" t="s">
        <v>1590</v>
      </c>
      <c r="E1347" s="229" t="s">
        <v>600</v>
      </c>
      <c r="F1347" s="240">
        <v>300</v>
      </c>
      <c r="G1347" s="205">
        <v>1</v>
      </c>
      <c r="H1347" s="206">
        <v>300</v>
      </c>
      <c r="I1347" s="207">
        <v>41420</v>
      </c>
      <c r="J1347" s="197" t="str">
        <f t="shared" si="63"/>
        <v>ok</v>
      </c>
      <c r="K1347" s="419"/>
      <c r="L1347" s="419"/>
      <c r="M1347" s="419"/>
      <c r="N1347" s="419"/>
      <c r="O1347" s="419"/>
      <c r="P1347" s="419"/>
      <c r="Q1347" s="419"/>
      <c r="R1347" s="419"/>
      <c r="S1347" s="419"/>
      <c r="T1347" s="419"/>
      <c r="U1347" s="419"/>
      <c r="V1347" s="419"/>
      <c r="W1347" s="419">
        <f t="shared" si="61"/>
        <v>0</v>
      </c>
      <c r="X1347" s="412"/>
      <c r="Y1347" s="412"/>
      <c r="Z1347" s="412"/>
      <c r="AA1347" s="412">
        <v>300</v>
      </c>
      <c r="AB1347" s="412"/>
      <c r="AC1347" s="412"/>
      <c r="AD1347" s="412"/>
      <c r="AE1347" s="412"/>
      <c r="AF1347" s="412"/>
      <c r="AG1347" s="412"/>
      <c r="AH1347" s="412"/>
      <c r="AI1347" s="412"/>
      <c r="AJ1347" s="412">
        <f t="shared" si="62"/>
        <v>300</v>
      </c>
      <c r="AK1347" s="208"/>
      <c r="AL1347" s="250" t="s">
        <v>2067</v>
      </c>
    </row>
    <row r="1348" spans="1:38" ht="14.1" customHeight="1" x14ac:dyDescent="0.2">
      <c r="A1348" t="s">
        <v>893</v>
      </c>
      <c r="B1348" s="209">
        <v>4946</v>
      </c>
      <c r="C1348" s="210" t="s">
        <v>1106</v>
      </c>
      <c r="D1348" s="229" t="s">
        <v>1433</v>
      </c>
      <c r="E1348" s="229" t="s">
        <v>1221</v>
      </c>
      <c r="F1348" s="240">
        <v>300</v>
      </c>
      <c r="G1348" s="205">
        <v>1</v>
      </c>
      <c r="H1348" s="206">
        <v>900</v>
      </c>
      <c r="I1348" s="207">
        <v>41420</v>
      </c>
      <c r="J1348" s="197" t="str">
        <f t="shared" si="63"/>
        <v>ok</v>
      </c>
      <c r="K1348" s="419"/>
      <c r="L1348" s="419"/>
      <c r="M1348" s="419"/>
      <c r="N1348" s="419"/>
      <c r="O1348" s="419"/>
      <c r="P1348" s="419"/>
      <c r="Q1348" s="419"/>
      <c r="R1348" s="419"/>
      <c r="S1348" s="419"/>
      <c r="T1348" s="419"/>
      <c r="U1348" s="419"/>
      <c r="V1348" s="419"/>
      <c r="W1348" s="419">
        <f t="shared" si="61"/>
        <v>0</v>
      </c>
      <c r="X1348" s="412"/>
      <c r="Y1348" s="412"/>
      <c r="Z1348" s="412"/>
      <c r="AA1348" s="412">
        <v>300</v>
      </c>
      <c r="AB1348" s="412">
        <v>300</v>
      </c>
      <c r="AC1348" s="412">
        <v>300</v>
      </c>
      <c r="AD1348" s="412"/>
      <c r="AE1348" s="412"/>
      <c r="AF1348" s="412"/>
      <c r="AG1348" s="412"/>
      <c r="AH1348" s="412"/>
      <c r="AI1348" s="412"/>
      <c r="AJ1348" s="412">
        <f t="shared" si="62"/>
        <v>900</v>
      </c>
      <c r="AK1348" s="208"/>
      <c r="AL1348" s="250" t="s">
        <v>2067</v>
      </c>
    </row>
    <row r="1349" spans="1:38" ht="14.1" customHeight="1" x14ac:dyDescent="0.2">
      <c r="A1349" t="s">
        <v>893</v>
      </c>
      <c r="B1349" s="209">
        <v>4947</v>
      </c>
      <c r="C1349" s="210" t="s">
        <v>1106</v>
      </c>
      <c r="D1349" s="229" t="s">
        <v>1433</v>
      </c>
      <c r="E1349" s="229" t="s">
        <v>1221</v>
      </c>
      <c r="F1349" s="240">
        <v>300</v>
      </c>
      <c r="G1349" s="205">
        <v>4</v>
      </c>
      <c r="H1349" s="206">
        <v>160</v>
      </c>
      <c r="I1349" s="207">
        <v>41420</v>
      </c>
      <c r="J1349" s="197" t="str">
        <f t="shared" si="63"/>
        <v>ok</v>
      </c>
      <c r="K1349" s="419"/>
      <c r="L1349" s="419"/>
      <c r="M1349" s="419"/>
      <c r="N1349" s="419"/>
      <c r="O1349" s="419"/>
      <c r="P1349" s="419"/>
      <c r="Q1349" s="419"/>
      <c r="R1349" s="419"/>
      <c r="S1349" s="419"/>
      <c r="T1349" s="419"/>
      <c r="U1349" s="419"/>
      <c r="V1349" s="419"/>
      <c r="W1349" s="419">
        <f t="shared" si="61"/>
        <v>0</v>
      </c>
      <c r="X1349" s="412"/>
      <c r="Y1349" s="412"/>
      <c r="Z1349" s="412"/>
      <c r="AA1349" s="412"/>
      <c r="AB1349" s="412"/>
      <c r="AC1349" s="412"/>
      <c r="AD1349" s="412"/>
      <c r="AE1349" s="412"/>
      <c r="AF1349" s="412"/>
      <c r="AG1349" s="412"/>
      <c r="AH1349" s="412"/>
      <c r="AI1349" s="412"/>
      <c r="AJ1349" s="412">
        <f t="shared" si="62"/>
        <v>0</v>
      </c>
      <c r="AK1349" s="208"/>
      <c r="AL1349" s="250" t="s">
        <v>2068</v>
      </c>
    </row>
    <row r="1350" spans="1:38" ht="14.1" customHeight="1" x14ac:dyDescent="0.2">
      <c r="A1350" t="s">
        <v>893</v>
      </c>
      <c r="B1350" s="209">
        <v>4948</v>
      </c>
      <c r="C1350" s="210" t="s">
        <v>1112</v>
      </c>
      <c r="D1350" s="229" t="s">
        <v>1566</v>
      </c>
      <c r="E1350" s="229" t="s">
        <v>263</v>
      </c>
      <c r="F1350" s="240">
        <v>300</v>
      </c>
      <c r="G1350" s="205">
        <v>1</v>
      </c>
      <c r="H1350" s="206">
        <v>300</v>
      </c>
      <c r="I1350" s="207">
        <v>41420</v>
      </c>
      <c r="J1350" s="197" t="str">
        <f t="shared" si="63"/>
        <v>ok</v>
      </c>
      <c r="K1350" s="419"/>
      <c r="L1350" s="419"/>
      <c r="M1350" s="419"/>
      <c r="N1350" s="419"/>
      <c r="O1350" s="419"/>
      <c r="P1350" s="419"/>
      <c r="Q1350" s="419"/>
      <c r="R1350" s="419"/>
      <c r="S1350" s="419"/>
      <c r="T1350" s="419"/>
      <c r="U1350" s="419"/>
      <c r="V1350" s="419"/>
      <c r="W1350" s="419">
        <f t="shared" si="61"/>
        <v>0</v>
      </c>
      <c r="X1350" s="412"/>
      <c r="Y1350" s="412"/>
      <c r="Z1350" s="412"/>
      <c r="AA1350" s="412"/>
      <c r="AB1350" s="412">
        <v>300</v>
      </c>
      <c r="AC1350" s="412"/>
      <c r="AD1350" s="412"/>
      <c r="AE1350" s="412"/>
      <c r="AF1350" s="412"/>
      <c r="AG1350" s="412"/>
      <c r="AH1350" s="412"/>
      <c r="AI1350" s="412"/>
      <c r="AJ1350" s="412">
        <f t="shared" si="62"/>
        <v>300</v>
      </c>
      <c r="AK1350" s="208"/>
      <c r="AL1350" s="250" t="s">
        <v>2067</v>
      </c>
    </row>
    <row r="1351" spans="1:38" ht="14.1" customHeight="1" x14ac:dyDescent="0.2">
      <c r="A1351" t="s">
        <v>890</v>
      </c>
      <c r="B1351" s="209">
        <v>4949</v>
      </c>
      <c r="C1351" s="210" t="s">
        <v>1024</v>
      </c>
      <c r="D1351" s="229" t="s">
        <v>1599</v>
      </c>
      <c r="E1351" s="229" t="s">
        <v>257</v>
      </c>
      <c r="F1351" s="240">
        <v>100</v>
      </c>
      <c r="G1351" s="205">
        <v>1</v>
      </c>
      <c r="H1351" s="206">
        <v>100</v>
      </c>
      <c r="I1351" s="207">
        <v>41420</v>
      </c>
      <c r="J1351" s="197" t="str">
        <f t="shared" si="63"/>
        <v>ok</v>
      </c>
      <c r="K1351" s="419"/>
      <c r="L1351" s="419"/>
      <c r="M1351" s="419"/>
      <c r="N1351" s="419"/>
      <c r="O1351" s="419"/>
      <c r="P1351" s="419"/>
      <c r="Q1351" s="419"/>
      <c r="R1351" s="419"/>
      <c r="S1351" s="419"/>
      <c r="T1351" s="419"/>
      <c r="U1351" s="419"/>
      <c r="V1351" s="419"/>
      <c r="W1351" s="419">
        <f t="shared" ref="W1351:W1414" si="64">SUM(K1351:V1351)</f>
        <v>0</v>
      </c>
      <c r="X1351" s="412"/>
      <c r="Y1351" s="412"/>
      <c r="Z1351" s="412"/>
      <c r="AA1351" s="412"/>
      <c r="AB1351" s="412">
        <v>100</v>
      </c>
      <c r="AC1351" s="412"/>
      <c r="AD1351" s="412"/>
      <c r="AE1351" s="412"/>
      <c r="AF1351" s="412"/>
      <c r="AG1351" s="412"/>
      <c r="AH1351" s="412"/>
      <c r="AI1351" s="412"/>
      <c r="AJ1351" s="412">
        <f t="shared" ref="AJ1351:AJ1414" si="65">SUM(X1351:AI1351)</f>
        <v>100</v>
      </c>
      <c r="AK1351" s="208"/>
      <c r="AL1351" s="250" t="s">
        <v>2067</v>
      </c>
    </row>
    <row r="1352" spans="1:38" ht="14.1" customHeight="1" x14ac:dyDescent="0.2">
      <c r="A1352" t="s">
        <v>888</v>
      </c>
      <c r="B1352" s="209">
        <v>4950</v>
      </c>
      <c r="C1352" s="210" t="s">
        <v>910</v>
      </c>
      <c r="D1352" s="229" t="s">
        <v>1514</v>
      </c>
      <c r="E1352" s="229" t="s">
        <v>1262</v>
      </c>
      <c r="F1352" s="240">
        <v>150</v>
      </c>
      <c r="G1352" s="205">
        <v>1</v>
      </c>
      <c r="H1352" s="206">
        <v>300</v>
      </c>
      <c r="I1352" s="207">
        <v>41420</v>
      </c>
      <c r="J1352" s="197" t="str">
        <f t="shared" si="63"/>
        <v>ok</v>
      </c>
      <c r="K1352" s="419"/>
      <c r="L1352" s="419"/>
      <c r="M1352" s="419"/>
      <c r="N1352" s="419"/>
      <c r="O1352" s="419"/>
      <c r="P1352" s="419"/>
      <c r="Q1352" s="419"/>
      <c r="R1352" s="419"/>
      <c r="S1352" s="419"/>
      <c r="T1352" s="419"/>
      <c r="U1352" s="419"/>
      <c r="V1352" s="419"/>
      <c r="W1352" s="419">
        <f t="shared" si="64"/>
        <v>0</v>
      </c>
      <c r="X1352" s="412"/>
      <c r="Y1352" s="412"/>
      <c r="Z1352" s="412"/>
      <c r="AA1352" s="412">
        <v>150</v>
      </c>
      <c r="AB1352" s="412">
        <v>150</v>
      </c>
      <c r="AC1352" s="412"/>
      <c r="AD1352" s="412"/>
      <c r="AE1352" s="412"/>
      <c r="AF1352" s="412"/>
      <c r="AG1352" s="412"/>
      <c r="AH1352" s="412"/>
      <c r="AI1352" s="412"/>
      <c r="AJ1352" s="412">
        <f t="shared" si="65"/>
        <v>300</v>
      </c>
      <c r="AK1352" s="208"/>
      <c r="AL1352" s="250" t="s">
        <v>2067</v>
      </c>
    </row>
    <row r="1353" spans="1:38" ht="14.1" customHeight="1" x14ac:dyDescent="0.2">
      <c r="A1353" t="s">
        <v>884</v>
      </c>
      <c r="B1353" s="209">
        <v>4951</v>
      </c>
      <c r="C1353" s="210" t="s">
        <v>794</v>
      </c>
      <c r="D1353" s="229" t="s">
        <v>1518</v>
      </c>
      <c r="E1353" s="229" t="s">
        <v>6</v>
      </c>
      <c r="F1353" s="240">
        <v>100</v>
      </c>
      <c r="G1353" s="205">
        <v>1</v>
      </c>
      <c r="H1353" s="206">
        <v>200</v>
      </c>
      <c r="I1353" s="207">
        <v>41420</v>
      </c>
      <c r="J1353" s="197" t="str">
        <f t="shared" si="63"/>
        <v>ok</v>
      </c>
      <c r="K1353" s="419"/>
      <c r="L1353" s="419"/>
      <c r="M1353" s="419"/>
      <c r="N1353" s="419"/>
      <c r="O1353" s="419"/>
      <c r="P1353" s="419"/>
      <c r="Q1353" s="419"/>
      <c r="R1353" s="419"/>
      <c r="S1353" s="419"/>
      <c r="T1353" s="419"/>
      <c r="U1353" s="419"/>
      <c r="V1353" s="419"/>
      <c r="W1353" s="419">
        <f t="shared" si="64"/>
        <v>0</v>
      </c>
      <c r="X1353" s="412"/>
      <c r="Y1353" s="412"/>
      <c r="Z1353" s="412"/>
      <c r="AA1353" s="412">
        <v>100</v>
      </c>
      <c r="AB1353" s="412">
        <v>100</v>
      </c>
      <c r="AC1353" s="412"/>
      <c r="AD1353" s="412"/>
      <c r="AE1353" s="412"/>
      <c r="AF1353" s="412"/>
      <c r="AG1353" s="412"/>
      <c r="AH1353" s="412"/>
      <c r="AI1353" s="412"/>
      <c r="AJ1353" s="412">
        <f t="shared" si="65"/>
        <v>200</v>
      </c>
      <c r="AK1353" s="208"/>
      <c r="AL1353" s="250" t="s">
        <v>2067</v>
      </c>
    </row>
    <row r="1354" spans="1:38" ht="14.1" customHeight="1" x14ac:dyDescent="0.2">
      <c r="A1354" t="s">
        <v>884</v>
      </c>
      <c r="B1354" s="209">
        <v>4952</v>
      </c>
      <c r="C1354" s="210" t="s">
        <v>821</v>
      </c>
      <c r="D1354" s="229" t="s">
        <v>1428</v>
      </c>
      <c r="E1354" s="229" t="s">
        <v>48</v>
      </c>
      <c r="F1354" s="240">
        <v>300</v>
      </c>
      <c r="G1354" s="205">
        <v>1</v>
      </c>
      <c r="H1354" s="206">
        <v>300</v>
      </c>
      <c r="I1354" s="207">
        <v>41420</v>
      </c>
      <c r="J1354" s="197" t="str">
        <f t="shared" si="63"/>
        <v>ok</v>
      </c>
      <c r="K1354" s="419"/>
      <c r="L1354" s="419"/>
      <c r="M1354" s="419"/>
      <c r="N1354" s="419"/>
      <c r="O1354" s="419"/>
      <c r="P1354" s="419"/>
      <c r="Q1354" s="419"/>
      <c r="R1354" s="419"/>
      <c r="S1354" s="419"/>
      <c r="T1354" s="419"/>
      <c r="U1354" s="419"/>
      <c r="V1354" s="419"/>
      <c r="W1354" s="419">
        <f t="shared" si="64"/>
        <v>0</v>
      </c>
      <c r="X1354" s="412"/>
      <c r="Y1354" s="412"/>
      <c r="Z1354" s="412"/>
      <c r="AA1354" s="412"/>
      <c r="AB1354" s="412">
        <v>300</v>
      </c>
      <c r="AC1354" s="412"/>
      <c r="AD1354" s="412"/>
      <c r="AE1354" s="412"/>
      <c r="AF1354" s="412"/>
      <c r="AG1354" s="412"/>
      <c r="AH1354" s="412"/>
      <c r="AI1354" s="412"/>
      <c r="AJ1354" s="412">
        <f t="shared" si="65"/>
        <v>300</v>
      </c>
      <c r="AK1354" s="208"/>
      <c r="AL1354" s="250" t="s">
        <v>2067</v>
      </c>
    </row>
    <row r="1355" spans="1:38" ht="14.1" customHeight="1" x14ac:dyDescent="0.2">
      <c r="A1355" t="s">
        <v>891</v>
      </c>
      <c r="B1355" s="211">
        <v>4953</v>
      </c>
      <c r="C1355" s="212" t="s">
        <v>1053</v>
      </c>
      <c r="D1355" s="231" t="s">
        <v>1508</v>
      </c>
      <c r="E1355" s="231" t="s">
        <v>657</v>
      </c>
      <c r="F1355" s="241">
        <v>200</v>
      </c>
      <c r="G1355" s="213">
        <v>3</v>
      </c>
      <c r="H1355" s="214">
        <v>150</v>
      </c>
      <c r="I1355" s="215">
        <v>41425</v>
      </c>
      <c r="J1355" s="197" t="str">
        <f t="shared" si="63"/>
        <v>ok</v>
      </c>
      <c r="K1355" s="421"/>
      <c r="L1355" s="421"/>
      <c r="M1355" s="421"/>
      <c r="N1355" s="421"/>
      <c r="O1355" s="421"/>
      <c r="P1355" s="421"/>
      <c r="Q1355" s="421"/>
      <c r="R1355" s="421"/>
      <c r="S1355" s="421"/>
      <c r="T1355" s="421"/>
      <c r="U1355" s="421"/>
      <c r="V1355" s="421"/>
      <c r="W1355" s="419">
        <f t="shared" si="64"/>
        <v>0</v>
      </c>
      <c r="X1355" s="422"/>
      <c r="Y1355" s="422"/>
      <c r="Z1355" s="422"/>
      <c r="AA1355" s="422"/>
      <c r="AB1355" s="422"/>
      <c r="AC1355" s="422"/>
      <c r="AD1355" s="422"/>
      <c r="AE1355" s="422"/>
      <c r="AF1355" s="422"/>
      <c r="AG1355" s="422"/>
      <c r="AH1355" s="422"/>
      <c r="AI1355" s="422"/>
      <c r="AJ1355" s="422">
        <f t="shared" si="65"/>
        <v>0</v>
      </c>
      <c r="AK1355" s="216"/>
      <c r="AL1355" s="250" t="s">
        <v>2068</v>
      </c>
    </row>
    <row r="1356" spans="1:38" ht="14.1" customHeight="1" x14ac:dyDescent="0.2">
      <c r="A1356" t="s">
        <v>889</v>
      </c>
      <c r="B1356" s="374" t="s">
        <v>1984</v>
      </c>
      <c r="C1356" s="178" t="s">
        <v>973</v>
      </c>
      <c r="D1356" s="370" t="s">
        <v>1855</v>
      </c>
      <c r="E1356" s="370" t="s">
        <v>645</v>
      </c>
      <c r="F1356" s="375">
        <v>1000</v>
      </c>
      <c r="G1356" s="376">
        <v>1</v>
      </c>
      <c r="H1356" s="377">
        <v>1000</v>
      </c>
      <c r="I1356" s="215">
        <v>41425</v>
      </c>
      <c r="J1356" s="197" t="str">
        <f t="shared" si="63"/>
        <v>ok</v>
      </c>
      <c r="K1356" s="423"/>
      <c r="L1356" s="423"/>
      <c r="M1356" s="423"/>
      <c r="N1356" s="423"/>
      <c r="O1356" s="423"/>
      <c r="P1356" s="423"/>
      <c r="Q1356" s="423"/>
      <c r="R1356" s="423"/>
      <c r="S1356" s="423"/>
      <c r="T1356" s="423"/>
      <c r="U1356" s="423"/>
      <c r="V1356" s="423"/>
      <c r="W1356" s="419">
        <f t="shared" si="64"/>
        <v>0</v>
      </c>
      <c r="X1356" s="424"/>
      <c r="Y1356" s="424"/>
      <c r="Z1356" s="424"/>
      <c r="AA1356" s="424"/>
      <c r="AB1356" s="424">
        <v>1000</v>
      </c>
      <c r="AC1356" s="424"/>
      <c r="AD1356" s="424"/>
      <c r="AE1356" s="424"/>
      <c r="AF1356" s="424"/>
      <c r="AG1356" s="424"/>
      <c r="AH1356" s="424"/>
      <c r="AI1356" s="424"/>
      <c r="AJ1356" s="424">
        <f t="shared" si="65"/>
        <v>1000</v>
      </c>
      <c r="AK1356" s="372"/>
      <c r="AL1356" s="250" t="s">
        <v>2067</v>
      </c>
    </row>
    <row r="1357" spans="1:38" ht="21.95" customHeight="1" x14ac:dyDescent="0.2">
      <c r="B1357" s="126" t="s">
        <v>756</v>
      </c>
      <c r="C1357" s="126" t="s">
        <v>903</v>
      </c>
      <c r="D1357" s="126" t="s">
        <v>885</v>
      </c>
      <c r="E1357" s="126" t="s">
        <v>689</v>
      </c>
      <c r="F1357" s="235" t="s">
        <v>702</v>
      </c>
      <c r="G1357" s="126" t="s">
        <v>1182</v>
      </c>
      <c r="H1357" s="126" t="s">
        <v>757</v>
      </c>
      <c r="I1357" s="126" t="s">
        <v>758</v>
      </c>
      <c r="J1357" s="126" t="s">
        <v>2069</v>
      </c>
      <c r="K1357" s="126" t="s">
        <v>690</v>
      </c>
      <c r="L1357" s="126" t="s">
        <v>691</v>
      </c>
      <c r="M1357" s="126" t="s">
        <v>692</v>
      </c>
      <c r="N1357" s="126" t="s">
        <v>693</v>
      </c>
      <c r="O1357" s="126" t="s">
        <v>694</v>
      </c>
      <c r="P1357" s="126" t="s">
        <v>695</v>
      </c>
      <c r="Q1357" s="126" t="s">
        <v>696</v>
      </c>
      <c r="R1357" s="126" t="s">
        <v>697</v>
      </c>
      <c r="S1357" s="126" t="s">
        <v>698</v>
      </c>
      <c r="T1357" s="126" t="s">
        <v>699</v>
      </c>
      <c r="U1357" s="126" t="s">
        <v>700</v>
      </c>
      <c r="V1357" s="126" t="s">
        <v>701</v>
      </c>
      <c r="W1357" s="248" t="s">
        <v>1715</v>
      </c>
      <c r="X1357" s="126" t="s">
        <v>690</v>
      </c>
      <c r="Y1357" s="126" t="s">
        <v>691</v>
      </c>
      <c r="Z1357" s="126" t="s">
        <v>692</v>
      </c>
      <c r="AA1357" s="126" t="s">
        <v>693</v>
      </c>
      <c r="AB1357" s="126" t="s">
        <v>694</v>
      </c>
      <c r="AC1357" s="126" t="s">
        <v>695</v>
      </c>
      <c r="AD1357" s="126" t="s">
        <v>696</v>
      </c>
      <c r="AE1357" s="126" t="s">
        <v>697</v>
      </c>
      <c r="AF1357" s="126" t="s">
        <v>698</v>
      </c>
      <c r="AG1357" s="126" t="s">
        <v>699</v>
      </c>
      <c r="AH1357" s="126" t="s">
        <v>700</v>
      </c>
      <c r="AI1357" s="126" t="s">
        <v>701</v>
      </c>
      <c r="AJ1357" s="248" t="s">
        <v>1834</v>
      </c>
      <c r="AK1357" s="126" t="s">
        <v>759</v>
      </c>
      <c r="AL1357" s="250" t="e">
        <v>#VALUE!</v>
      </c>
    </row>
    <row r="1358" spans="1:38" ht="14.1" customHeight="1" x14ac:dyDescent="0.2">
      <c r="A1358" t="s">
        <v>884</v>
      </c>
      <c r="B1358" s="217">
        <v>4954</v>
      </c>
      <c r="C1358" s="218" t="s">
        <v>783</v>
      </c>
      <c r="D1358" s="232" t="s">
        <v>1572</v>
      </c>
      <c r="E1358" s="232" t="s">
        <v>1202</v>
      </c>
      <c r="F1358" s="239">
        <v>300</v>
      </c>
      <c r="G1358" s="219">
        <v>1</v>
      </c>
      <c r="H1358" s="220">
        <v>300</v>
      </c>
      <c r="I1358" s="221">
        <v>41427</v>
      </c>
      <c r="J1358" s="197" t="str">
        <f t="shared" ref="J1358:J1421" si="66">IF(OR(G1358&lt;&gt;1,SUM(W1358,AJ1358)=H1358),"ok","error")</f>
        <v>ok</v>
      </c>
      <c r="K1358" s="418"/>
      <c r="L1358" s="418"/>
      <c r="M1358" s="418"/>
      <c r="N1358" s="418"/>
      <c r="O1358" s="418"/>
      <c r="P1358" s="418"/>
      <c r="Q1358" s="418"/>
      <c r="R1358" s="418"/>
      <c r="S1358" s="418"/>
      <c r="T1358" s="418"/>
      <c r="U1358" s="418"/>
      <c r="V1358" s="418"/>
      <c r="W1358" s="419">
        <f t="shared" si="64"/>
        <v>0</v>
      </c>
      <c r="X1358" s="420"/>
      <c r="Y1358" s="420"/>
      <c r="Z1358" s="420"/>
      <c r="AA1358" s="420"/>
      <c r="AB1358" s="420"/>
      <c r="AC1358" s="420">
        <v>300</v>
      </c>
      <c r="AD1358" s="420"/>
      <c r="AE1358" s="420"/>
      <c r="AF1358" s="420"/>
      <c r="AG1358" s="420"/>
      <c r="AH1358" s="420"/>
      <c r="AI1358" s="420"/>
      <c r="AJ1358" s="420">
        <f t="shared" si="65"/>
        <v>300</v>
      </c>
      <c r="AK1358" s="222"/>
      <c r="AL1358" s="250" t="s">
        <v>2067</v>
      </c>
    </row>
    <row r="1359" spans="1:38" x14ac:dyDescent="0.2">
      <c r="A1359" t="s">
        <v>893</v>
      </c>
      <c r="B1359" s="209">
        <v>4955</v>
      </c>
      <c r="C1359" s="210" t="s">
        <v>1089</v>
      </c>
      <c r="D1359" s="229" t="s">
        <v>1559</v>
      </c>
      <c r="E1359" s="229" t="s">
        <v>218</v>
      </c>
      <c r="F1359" s="240">
        <v>300</v>
      </c>
      <c r="G1359" s="205">
        <v>1</v>
      </c>
      <c r="H1359" s="206">
        <v>900</v>
      </c>
      <c r="I1359" s="207">
        <v>41427</v>
      </c>
      <c r="J1359" s="197" t="str">
        <f t="shared" si="66"/>
        <v>ok</v>
      </c>
      <c r="K1359" s="419"/>
      <c r="L1359" s="419"/>
      <c r="M1359" s="419"/>
      <c r="N1359" s="419"/>
      <c r="O1359" s="419"/>
      <c r="P1359" s="419"/>
      <c r="Q1359" s="419"/>
      <c r="R1359" s="419"/>
      <c r="S1359" s="419"/>
      <c r="T1359" s="419"/>
      <c r="U1359" s="419"/>
      <c r="V1359" s="419"/>
      <c r="W1359" s="419">
        <f t="shared" si="64"/>
        <v>0</v>
      </c>
      <c r="X1359" s="412"/>
      <c r="Y1359" s="412">
        <v>300</v>
      </c>
      <c r="Z1359" s="412">
        <v>300</v>
      </c>
      <c r="AA1359" s="412">
        <v>300</v>
      </c>
      <c r="AB1359" s="412"/>
      <c r="AC1359" s="412"/>
      <c r="AD1359" s="412"/>
      <c r="AE1359" s="412"/>
      <c r="AF1359" s="412"/>
      <c r="AG1359" s="412"/>
      <c r="AH1359" s="412"/>
      <c r="AI1359" s="412"/>
      <c r="AJ1359" s="412">
        <f t="shared" si="65"/>
        <v>900</v>
      </c>
      <c r="AK1359" s="208"/>
      <c r="AL1359" s="250" t="s">
        <v>2067</v>
      </c>
    </row>
    <row r="1360" spans="1:38" x14ac:dyDescent="0.2">
      <c r="B1360" s="209">
        <v>4956</v>
      </c>
      <c r="C1360" s="273"/>
      <c r="D1360" s="271" t="s">
        <v>1362</v>
      </c>
      <c r="E1360" s="271" t="s">
        <v>1362</v>
      </c>
      <c r="F1360" s="275"/>
      <c r="G1360" s="205">
        <v>1</v>
      </c>
      <c r="H1360" s="206">
        <v>300</v>
      </c>
      <c r="I1360" s="207">
        <v>41427</v>
      </c>
      <c r="J1360" s="197" t="str">
        <f t="shared" si="66"/>
        <v>error</v>
      </c>
      <c r="K1360" s="419"/>
      <c r="L1360" s="419"/>
      <c r="M1360" s="419"/>
      <c r="N1360" s="419"/>
      <c r="O1360" s="419"/>
      <c r="P1360" s="419"/>
      <c r="Q1360" s="419"/>
      <c r="R1360" s="419"/>
      <c r="S1360" s="419"/>
      <c r="T1360" s="419"/>
      <c r="U1360" s="419"/>
      <c r="V1360" s="419"/>
      <c r="W1360" s="419">
        <f t="shared" si="64"/>
        <v>0</v>
      </c>
      <c r="X1360" s="412"/>
      <c r="Y1360" s="412"/>
      <c r="Z1360" s="412"/>
      <c r="AA1360" s="412"/>
      <c r="AB1360" s="412"/>
      <c r="AC1360" s="412"/>
      <c r="AD1360" s="412"/>
      <c r="AE1360" s="412"/>
      <c r="AF1360" s="412"/>
      <c r="AG1360" s="412"/>
      <c r="AH1360" s="412"/>
      <c r="AI1360" s="412"/>
      <c r="AJ1360" s="412">
        <f t="shared" si="65"/>
        <v>0</v>
      </c>
      <c r="AK1360" s="208" t="s">
        <v>1686</v>
      </c>
      <c r="AL1360" s="250" t="s">
        <v>2068</v>
      </c>
    </row>
    <row r="1361" spans="1:38" x14ac:dyDescent="0.2">
      <c r="A1361" t="s">
        <v>893</v>
      </c>
      <c r="B1361" s="209">
        <v>4957</v>
      </c>
      <c r="C1361" s="210" t="s">
        <v>1089</v>
      </c>
      <c r="D1361" s="229" t="s">
        <v>1559</v>
      </c>
      <c r="E1361" s="229" t="s">
        <v>218</v>
      </c>
      <c r="F1361" s="240">
        <v>300</v>
      </c>
      <c r="G1361" s="205">
        <v>1</v>
      </c>
      <c r="H1361" s="206">
        <v>600</v>
      </c>
      <c r="I1361" s="207">
        <v>41427</v>
      </c>
      <c r="J1361" s="197" t="str">
        <f t="shared" si="66"/>
        <v>ok</v>
      </c>
      <c r="K1361" s="419"/>
      <c r="L1361" s="419"/>
      <c r="M1361" s="419"/>
      <c r="N1361" s="419"/>
      <c r="O1361" s="419"/>
      <c r="P1361" s="419"/>
      <c r="Q1361" s="419"/>
      <c r="R1361" s="419"/>
      <c r="S1361" s="419"/>
      <c r="T1361" s="419"/>
      <c r="U1361" s="419"/>
      <c r="V1361" s="419"/>
      <c r="W1361" s="419">
        <f t="shared" si="64"/>
        <v>0</v>
      </c>
      <c r="X1361" s="412"/>
      <c r="Y1361" s="412"/>
      <c r="Z1361" s="412"/>
      <c r="AA1361" s="412"/>
      <c r="AB1361" s="412">
        <v>300</v>
      </c>
      <c r="AC1361" s="412">
        <v>300</v>
      </c>
      <c r="AD1361" s="412"/>
      <c r="AE1361" s="412"/>
      <c r="AF1361" s="412"/>
      <c r="AG1361" s="412"/>
      <c r="AH1361" s="412"/>
      <c r="AI1361" s="412"/>
      <c r="AJ1361" s="412">
        <f t="shared" si="65"/>
        <v>600</v>
      </c>
      <c r="AK1361" s="208"/>
      <c r="AL1361" s="250" t="s">
        <v>2067</v>
      </c>
    </row>
    <row r="1362" spans="1:38" x14ac:dyDescent="0.2">
      <c r="A1362" t="s">
        <v>894</v>
      </c>
      <c r="B1362" s="209">
        <v>4958</v>
      </c>
      <c r="C1362" s="210" t="s">
        <v>1179</v>
      </c>
      <c r="D1362" s="229" t="s">
        <v>1452</v>
      </c>
      <c r="E1362" s="229" t="s">
        <v>639</v>
      </c>
      <c r="F1362" s="240">
        <v>250</v>
      </c>
      <c r="G1362" s="205">
        <v>1</v>
      </c>
      <c r="H1362" s="206">
        <v>500</v>
      </c>
      <c r="I1362" s="207">
        <v>41427</v>
      </c>
      <c r="J1362" s="197" t="str">
        <f t="shared" si="66"/>
        <v>ok</v>
      </c>
      <c r="K1362" s="419"/>
      <c r="L1362" s="419"/>
      <c r="M1362" s="419"/>
      <c r="N1362" s="419"/>
      <c r="O1362" s="419"/>
      <c r="P1362" s="419"/>
      <c r="Q1362" s="419"/>
      <c r="R1362" s="419"/>
      <c r="S1362" s="419"/>
      <c r="T1362" s="419"/>
      <c r="U1362" s="419"/>
      <c r="V1362" s="419"/>
      <c r="W1362" s="419">
        <f t="shared" si="64"/>
        <v>0</v>
      </c>
      <c r="X1362" s="412"/>
      <c r="Y1362" s="412"/>
      <c r="Z1362" s="412"/>
      <c r="AA1362" s="412"/>
      <c r="AB1362" s="412">
        <v>250</v>
      </c>
      <c r="AC1362" s="412">
        <v>250</v>
      </c>
      <c r="AD1362" s="412"/>
      <c r="AE1362" s="412"/>
      <c r="AF1362" s="412"/>
      <c r="AG1362" s="412"/>
      <c r="AH1362" s="412"/>
      <c r="AI1362" s="412"/>
      <c r="AJ1362" s="412">
        <f t="shared" si="65"/>
        <v>500</v>
      </c>
      <c r="AK1362" s="208"/>
      <c r="AL1362" s="250" t="s">
        <v>2067</v>
      </c>
    </row>
    <row r="1363" spans="1:38" x14ac:dyDescent="0.2">
      <c r="A1363" t="s">
        <v>893</v>
      </c>
      <c r="B1363" s="209">
        <v>4959</v>
      </c>
      <c r="C1363" s="210" t="s">
        <v>1076</v>
      </c>
      <c r="D1363" s="229" t="s">
        <v>1395</v>
      </c>
      <c r="E1363" s="229" t="s">
        <v>193</v>
      </c>
      <c r="F1363" s="240">
        <v>300</v>
      </c>
      <c r="G1363" s="205">
        <v>1</v>
      </c>
      <c r="H1363" s="206">
        <v>300</v>
      </c>
      <c r="I1363" s="207">
        <v>41427</v>
      </c>
      <c r="J1363" s="197" t="str">
        <f t="shared" si="66"/>
        <v>ok</v>
      </c>
      <c r="K1363" s="419"/>
      <c r="L1363" s="419"/>
      <c r="M1363" s="419"/>
      <c r="N1363" s="419"/>
      <c r="O1363" s="419"/>
      <c r="P1363" s="419"/>
      <c r="Q1363" s="419"/>
      <c r="R1363" s="419"/>
      <c r="S1363" s="419"/>
      <c r="T1363" s="419"/>
      <c r="U1363" s="419"/>
      <c r="V1363" s="419"/>
      <c r="W1363" s="419">
        <f t="shared" si="64"/>
        <v>0</v>
      </c>
      <c r="X1363" s="412"/>
      <c r="Y1363" s="412"/>
      <c r="Z1363" s="412"/>
      <c r="AA1363" s="412"/>
      <c r="AB1363" s="412"/>
      <c r="AC1363" s="412">
        <v>300</v>
      </c>
      <c r="AD1363" s="412"/>
      <c r="AE1363" s="412"/>
      <c r="AF1363" s="412"/>
      <c r="AG1363" s="412"/>
      <c r="AH1363" s="412"/>
      <c r="AI1363" s="412"/>
      <c r="AJ1363" s="412">
        <f t="shared" si="65"/>
        <v>300</v>
      </c>
      <c r="AK1363" s="208"/>
      <c r="AL1363" s="250" t="s">
        <v>2067</v>
      </c>
    </row>
    <row r="1364" spans="1:38" x14ac:dyDescent="0.2">
      <c r="A1364" t="s">
        <v>888</v>
      </c>
      <c r="B1364" s="209">
        <v>4960</v>
      </c>
      <c r="C1364" s="210" t="s">
        <v>761</v>
      </c>
      <c r="D1364" s="229" t="s">
        <v>1419</v>
      </c>
      <c r="E1364" s="229" t="s">
        <v>443</v>
      </c>
      <c r="F1364" s="240">
        <v>300</v>
      </c>
      <c r="G1364" s="205">
        <v>1</v>
      </c>
      <c r="H1364" s="206">
        <v>300</v>
      </c>
      <c r="I1364" s="207">
        <v>41427</v>
      </c>
      <c r="J1364" s="197" t="str">
        <f t="shared" si="66"/>
        <v>ok</v>
      </c>
      <c r="K1364" s="419"/>
      <c r="L1364" s="419"/>
      <c r="M1364" s="419"/>
      <c r="N1364" s="419"/>
      <c r="O1364" s="419"/>
      <c r="P1364" s="419"/>
      <c r="Q1364" s="419"/>
      <c r="R1364" s="419"/>
      <c r="S1364" s="419"/>
      <c r="T1364" s="419"/>
      <c r="U1364" s="419"/>
      <c r="V1364" s="419"/>
      <c r="W1364" s="419">
        <f t="shared" si="64"/>
        <v>0</v>
      </c>
      <c r="X1364" s="412"/>
      <c r="Y1364" s="412"/>
      <c r="Z1364" s="412"/>
      <c r="AA1364" s="412"/>
      <c r="AB1364" s="412"/>
      <c r="AC1364" s="412">
        <v>300</v>
      </c>
      <c r="AD1364" s="412"/>
      <c r="AE1364" s="412"/>
      <c r="AF1364" s="412"/>
      <c r="AG1364" s="412"/>
      <c r="AH1364" s="412"/>
      <c r="AI1364" s="412"/>
      <c r="AJ1364" s="412">
        <f t="shared" si="65"/>
        <v>300</v>
      </c>
      <c r="AK1364" s="208"/>
      <c r="AL1364" s="250" t="s">
        <v>2067</v>
      </c>
    </row>
    <row r="1365" spans="1:38" x14ac:dyDescent="0.2">
      <c r="A1365" t="s">
        <v>893</v>
      </c>
      <c r="B1365" s="209">
        <v>4961</v>
      </c>
      <c r="C1365" s="210" t="s">
        <v>1085</v>
      </c>
      <c r="D1365" s="229" t="s">
        <v>1408</v>
      </c>
      <c r="E1365" s="229" t="s">
        <v>211</v>
      </c>
      <c r="F1365" s="240">
        <v>300</v>
      </c>
      <c r="G1365" s="205">
        <v>1</v>
      </c>
      <c r="H1365" s="206">
        <v>300</v>
      </c>
      <c r="I1365" s="207">
        <v>41427</v>
      </c>
      <c r="J1365" s="197" t="str">
        <f t="shared" si="66"/>
        <v>ok</v>
      </c>
      <c r="K1365" s="419"/>
      <c r="L1365" s="419"/>
      <c r="M1365" s="419"/>
      <c r="N1365" s="419"/>
      <c r="O1365" s="419"/>
      <c r="P1365" s="419"/>
      <c r="Q1365" s="419"/>
      <c r="R1365" s="419"/>
      <c r="S1365" s="419"/>
      <c r="T1365" s="419"/>
      <c r="U1365" s="419"/>
      <c r="V1365" s="419"/>
      <c r="W1365" s="419">
        <f t="shared" si="64"/>
        <v>0</v>
      </c>
      <c r="X1365" s="412"/>
      <c r="Y1365" s="412"/>
      <c r="Z1365" s="412"/>
      <c r="AA1365" s="412"/>
      <c r="AB1365" s="412"/>
      <c r="AC1365" s="412">
        <v>300</v>
      </c>
      <c r="AD1365" s="412"/>
      <c r="AE1365" s="412"/>
      <c r="AF1365" s="412"/>
      <c r="AG1365" s="412"/>
      <c r="AH1365" s="412"/>
      <c r="AI1365" s="412"/>
      <c r="AJ1365" s="412">
        <f t="shared" si="65"/>
        <v>300</v>
      </c>
      <c r="AK1365" s="208"/>
      <c r="AL1365" s="250" t="s">
        <v>2067</v>
      </c>
    </row>
    <row r="1366" spans="1:38" x14ac:dyDescent="0.2">
      <c r="A1366" t="s">
        <v>884</v>
      </c>
      <c r="B1366" s="209">
        <v>4962</v>
      </c>
      <c r="C1366" s="210" t="s">
        <v>856</v>
      </c>
      <c r="D1366" s="229" t="s">
        <v>1515</v>
      </c>
      <c r="E1366" s="229" t="s">
        <v>99</v>
      </c>
      <c r="F1366" s="240">
        <v>300</v>
      </c>
      <c r="G1366" s="205">
        <v>1</v>
      </c>
      <c r="H1366" s="206">
        <v>300</v>
      </c>
      <c r="I1366" s="207">
        <v>41427</v>
      </c>
      <c r="J1366" s="197" t="str">
        <f t="shared" si="66"/>
        <v>ok</v>
      </c>
      <c r="K1366" s="419"/>
      <c r="L1366" s="419"/>
      <c r="M1366" s="419"/>
      <c r="N1366" s="419"/>
      <c r="O1366" s="419"/>
      <c r="P1366" s="419"/>
      <c r="Q1366" s="419"/>
      <c r="R1366" s="419"/>
      <c r="S1366" s="419"/>
      <c r="T1366" s="419"/>
      <c r="U1366" s="419"/>
      <c r="V1366" s="419"/>
      <c r="W1366" s="419">
        <f t="shared" si="64"/>
        <v>0</v>
      </c>
      <c r="X1366" s="412"/>
      <c r="Y1366" s="412"/>
      <c r="Z1366" s="412"/>
      <c r="AA1366" s="412"/>
      <c r="AB1366" s="412">
        <v>300</v>
      </c>
      <c r="AC1366" s="412"/>
      <c r="AD1366" s="412"/>
      <c r="AE1366" s="412"/>
      <c r="AF1366" s="412"/>
      <c r="AG1366" s="412"/>
      <c r="AH1366" s="412"/>
      <c r="AI1366" s="412"/>
      <c r="AJ1366" s="412">
        <f t="shared" si="65"/>
        <v>300</v>
      </c>
      <c r="AK1366" s="208"/>
      <c r="AL1366" s="250" t="s">
        <v>2067</v>
      </c>
    </row>
    <row r="1367" spans="1:38" x14ac:dyDescent="0.2">
      <c r="A1367" t="s">
        <v>890</v>
      </c>
      <c r="B1367" s="209">
        <v>4963</v>
      </c>
      <c r="C1367" s="210" t="s">
        <v>997</v>
      </c>
      <c r="D1367" s="229" t="s">
        <v>1377</v>
      </c>
      <c r="E1367" s="229" t="s">
        <v>485</v>
      </c>
      <c r="F1367" s="240">
        <v>200</v>
      </c>
      <c r="G1367" s="205">
        <v>1</v>
      </c>
      <c r="H1367" s="206">
        <v>200</v>
      </c>
      <c r="I1367" s="207">
        <v>41427</v>
      </c>
      <c r="J1367" s="197" t="str">
        <f t="shared" si="66"/>
        <v>ok</v>
      </c>
      <c r="K1367" s="419"/>
      <c r="L1367" s="419"/>
      <c r="M1367" s="419"/>
      <c r="N1367" s="419"/>
      <c r="O1367" s="419"/>
      <c r="P1367" s="419"/>
      <c r="Q1367" s="419"/>
      <c r="R1367" s="419"/>
      <c r="S1367" s="419"/>
      <c r="T1367" s="419"/>
      <c r="U1367" s="419"/>
      <c r="V1367" s="419"/>
      <c r="W1367" s="419">
        <f t="shared" si="64"/>
        <v>0</v>
      </c>
      <c r="X1367" s="412"/>
      <c r="Y1367" s="412"/>
      <c r="Z1367" s="412"/>
      <c r="AA1367" s="412"/>
      <c r="AB1367" s="412"/>
      <c r="AC1367" s="412">
        <v>200</v>
      </c>
      <c r="AD1367" s="412"/>
      <c r="AE1367" s="412"/>
      <c r="AF1367" s="412"/>
      <c r="AG1367" s="412"/>
      <c r="AH1367" s="412"/>
      <c r="AI1367" s="412"/>
      <c r="AJ1367" s="412">
        <f t="shared" si="65"/>
        <v>200</v>
      </c>
      <c r="AK1367" s="208"/>
      <c r="AL1367" s="250" t="s">
        <v>2067</v>
      </c>
    </row>
    <row r="1368" spans="1:38" x14ac:dyDescent="0.2">
      <c r="A1368" t="s">
        <v>888</v>
      </c>
      <c r="B1368" s="209">
        <v>4964</v>
      </c>
      <c r="C1368" s="210" t="s">
        <v>938</v>
      </c>
      <c r="D1368" s="229" t="s">
        <v>1368</v>
      </c>
      <c r="E1368" s="229" t="s">
        <v>35</v>
      </c>
      <c r="F1368" s="240">
        <v>300</v>
      </c>
      <c r="G1368" s="205">
        <v>1</v>
      </c>
      <c r="H1368" s="206">
        <v>600</v>
      </c>
      <c r="I1368" s="207">
        <v>41427</v>
      </c>
      <c r="J1368" s="197" t="str">
        <f t="shared" si="66"/>
        <v>ok</v>
      </c>
      <c r="K1368" s="419"/>
      <c r="L1368" s="419"/>
      <c r="M1368" s="419"/>
      <c r="N1368" s="419"/>
      <c r="O1368" s="419"/>
      <c r="P1368" s="419"/>
      <c r="Q1368" s="419"/>
      <c r="R1368" s="419"/>
      <c r="S1368" s="419"/>
      <c r="T1368" s="419"/>
      <c r="U1368" s="419"/>
      <c r="V1368" s="419"/>
      <c r="W1368" s="419">
        <f t="shared" si="64"/>
        <v>0</v>
      </c>
      <c r="X1368" s="412"/>
      <c r="Y1368" s="412"/>
      <c r="Z1368" s="412"/>
      <c r="AA1368" s="412"/>
      <c r="AB1368" s="412">
        <v>300</v>
      </c>
      <c r="AC1368" s="412">
        <v>300</v>
      </c>
      <c r="AD1368" s="412"/>
      <c r="AE1368" s="412"/>
      <c r="AF1368" s="412"/>
      <c r="AG1368" s="412"/>
      <c r="AH1368" s="412"/>
      <c r="AI1368" s="412"/>
      <c r="AJ1368" s="412">
        <f t="shared" si="65"/>
        <v>600</v>
      </c>
      <c r="AK1368" s="208"/>
      <c r="AL1368" s="250" t="s">
        <v>2067</v>
      </c>
    </row>
    <row r="1369" spans="1:38" x14ac:dyDescent="0.2">
      <c r="A1369" t="s">
        <v>888</v>
      </c>
      <c r="B1369" s="209">
        <v>4965</v>
      </c>
      <c r="C1369" s="210" t="s">
        <v>913</v>
      </c>
      <c r="D1369" s="229" t="s">
        <v>1415</v>
      </c>
      <c r="E1369" s="229" t="s">
        <v>348</v>
      </c>
      <c r="F1369" s="240">
        <v>200</v>
      </c>
      <c r="G1369" s="205">
        <v>1</v>
      </c>
      <c r="H1369" s="206">
        <v>400</v>
      </c>
      <c r="I1369" s="207">
        <v>41427</v>
      </c>
      <c r="J1369" s="197" t="str">
        <f t="shared" si="66"/>
        <v>ok</v>
      </c>
      <c r="K1369" s="419"/>
      <c r="L1369" s="419"/>
      <c r="M1369" s="419"/>
      <c r="N1369" s="419"/>
      <c r="O1369" s="419"/>
      <c r="P1369" s="419"/>
      <c r="Q1369" s="419"/>
      <c r="R1369" s="419"/>
      <c r="S1369" s="419"/>
      <c r="T1369" s="419"/>
      <c r="U1369" s="419"/>
      <c r="V1369" s="419"/>
      <c r="W1369" s="419">
        <f t="shared" si="64"/>
        <v>0</v>
      </c>
      <c r="X1369" s="412"/>
      <c r="Y1369" s="412"/>
      <c r="Z1369" s="412"/>
      <c r="AA1369" s="412"/>
      <c r="AB1369" s="412">
        <v>200</v>
      </c>
      <c r="AC1369" s="412">
        <v>200</v>
      </c>
      <c r="AD1369" s="412"/>
      <c r="AE1369" s="412"/>
      <c r="AF1369" s="412"/>
      <c r="AG1369" s="412"/>
      <c r="AH1369" s="412"/>
      <c r="AI1369" s="412"/>
      <c r="AJ1369" s="412">
        <f t="shared" si="65"/>
        <v>400</v>
      </c>
      <c r="AK1369" s="208"/>
      <c r="AL1369" s="250" t="s">
        <v>2067</v>
      </c>
    </row>
    <row r="1370" spans="1:38" x14ac:dyDescent="0.2">
      <c r="A1370" t="s">
        <v>884</v>
      </c>
      <c r="B1370" s="209">
        <v>4966</v>
      </c>
      <c r="C1370" s="210" t="s">
        <v>772</v>
      </c>
      <c r="D1370" s="229" t="s">
        <v>1409</v>
      </c>
      <c r="E1370" s="229" t="s">
        <v>705</v>
      </c>
      <c r="F1370" s="240">
        <v>125</v>
      </c>
      <c r="G1370" s="205">
        <v>1</v>
      </c>
      <c r="H1370" s="206">
        <v>125</v>
      </c>
      <c r="I1370" s="207">
        <v>41427</v>
      </c>
      <c r="J1370" s="197" t="str">
        <f t="shared" si="66"/>
        <v>ok</v>
      </c>
      <c r="K1370" s="419"/>
      <c r="L1370" s="419"/>
      <c r="M1370" s="419"/>
      <c r="N1370" s="419"/>
      <c r="O1370" s="419"/>
      <c r="P1370" s="419"/>
      <c r="Q1370" s="419"/>
      <c r="R1370" s="419"/>
      <c r="S1370" s="419"/>
      <c r="T1370" s="419"/>
      <c r="U1370" s="419"/>
      <c r="V1370" s="419"/>
      <c r="W1370" s="419">
        <f t="shared" si="64"/>
        <v>0</v>
      </c>
      <c r="X1370" s="412"/>
      <c r="Y1370" s="412"/>
      <c r="Z1370" s="412"/>
      <c r="AA1370" s="412"/>
      <c r="AB1370" s="412"/>
      <c r="AC1370" s="412">
        <v>125</v>
      </c>
      <c r="AD1370" s="412"/>
      <c r="AE1370" s="412"/>
      <c r="AF1370" s="412"/>
      <c r="AG1370" s="412"/>
      <c r="AH1370" s="412"/>
      <c r="AI1370" s="412"/>
      <c r="AJ1370" s="412">
        <f t="shared" si="65"/>
        <v>125</v>
      </c>
      <c r="AK1370" s="208"/>
      <c r="AL1370" s="250" t="s">
        <v>2067</v>
      </c>
    </row>
    <row r="1371" spans="1:38" x14ac:dyDescent="0.2">
      <c r="A1371" t="s">
        <v>888</v>
      </c>
      <c r="B1371" s="209">
        <v>4967</v>
      </c>
      <c r="C1371" s="210" t="s">
        <v>940</v>
      </c>
      <c r="D1371" s="229" t="s">
        <v>1575</v>
      </c>
      <c r="E1371" s="229" t="s">
        <v>397</v>
      </c>
      <c r="F1371" s="240">
        <v>300</v>
      </c>
      <c r="G1371" s="205">
        <v>1</v>
      </c>
      <c r="H1371" s="206">
        <v>600</v>
      </c>
      <c r="I1371" s="207">
        <v>41427</v>
      </c>
      <c r="J1371" s="197" t="str">
        <f t="shared" si="66"/>
        <v>ok</v>
      </c>
      <c r="K1371" s="419"/>
      <c r="L1371" s="419"/>
      <c r="M1371" s="419"/>
      <c r="N1371" s="419"/>
      <c r="O1371" s="419"/>
      <c r="P1371" s="419"/>
      <c r="Q1371" s="419"/>
      <c r="R1371" s="419"/>
      <c r="S1371" s="419"/>
      <c r="T1371" s="419"/>
      <c r="U1371" s="419"/>
      <c r="V1371" s="419"/>
      <c r="W1371" s="419">
        <f t="shared" si="64"/>
        <v>0</v>
      </c>
      <c r="X1371" s="412"/>
      <c r="Y1371" s="412"/>
      <c r="Z1371" s="412"/>
      <c r="AA1371" s="412"/>
      <c r="AB1371" s="412">
        <v>300</v>
      </c>
      <c r="AC1371" s="412">
        <v>300</v>
      </c>
      <c r="AD1371" s="412"/>
      <c r="AE1371" s="412"/>
      <c r="AF1371" s="412"/>
      <c r="AG1371" s="412"/>
      <c r="AH1371" s="412"/>
      <c r="AI1371" s="412"/>
      <c r="AJ1371" s="412">
        <f t="shared" si="65"/>
        <v>600</v>
      </c>
      <c r="AK1371" s="208"/>
      <c r="AL1371" s="250" t="s">
        <v>2067</v>
      </c>
    </row>
    <row r="1372" spans="1:38" x14ac:dyDescent="0.2">
      <c r="A1372" t="s">
        <v>884</v>
      </c>
      <c r="B1372" s="209">
        <v>4968</v>
      </c>
      <c r="C1372" s="210" t="s">
        <v>775</v>
      </c>
      <c r="D1372" s="229" t="s">
        <v>1388</v>
      </c>
      <c r="E1372" s="229" t="s">
        <v>1207</v>
      </c>
      <c r="F1372" s="240">
        <v>300</v>
      </c>
      <c r="G1372" s="205">
        <v>1</v>
      </c>
      <c r="H1372" s="206">
        <v>300</v>
      </c>
      <c r="I1372" s="207">
        <v>41427</v>
      </c>
      <c r="J1372" s="197" t="str">
        <f t="shared" si="66"/>
        <v>ok</v>
      </c>
      <c r="K1372" s="419"/>
      <c r="L1372" s="419"/>
      <c r="M1372" s="419"/>
      <c r="N1372" s="419"/>
      <c r="O1372" s="419"/>
      <c r="P1372" s="419"/>
      <c r="Q1372" s="419"/>
      <c r="R1372" s="419"/>
      <c r="S1372" s="419"/>
      <c r="T1372" s="419"/>
      <c r="U1372" s="419"/>
      <c r="V1372" s="419"/>
      <c r="W1372" s="419">
        <f t="shared" si="64"/>
        <v>0</v>
      </c>
      <c r="X1372" s="412"/>
      <c r="Y1372" s="412"/>
      <c r="Z1372" s="412"/>
      <c r="AA1372" s="412"/>
      <c r="AB1372" s="412"/>
      <c r="AC1372" s="412">
        <v>300</v>
      </c>
      <c r="AD1372" s="412"/>
      <c r="AE1372" s="412"/>
      <c r="AF1372" s="412"/>
      <c r="AG1372" s="412"/>
      <c r="AH1372" s="412"/>
      <c r="AI1372" s="412"/>
      <c r="AJ1372" s="412">
        <f t="shared" si="65"/>
        <v>300</v>
      </c>
      <c r="AK1372" s="208"/>
      <c r="AL1372" s="250" t="s">
        <v>2067</v>
      </c>
    </row>
    <row r="1373" spans="1:38" x14ac:dyDescent="0.2">
      <c r="A1373" t="s">
        <v>891</v>
      </c>
      <c r="B1373" s="209">
        <v>4969</v>
      </c>
      <c r="C1373" s="210" t="s">
        <v>1050</v>
      </c>
      <c r="D1373" s="229" t="s">
        <v>1380</v>
      </c>
      <c r="E1373" s="229" t="s">
        <v>1220</v>
      </c>
      <c r="F1373" s="240">
        <v>150</v>
      </c>
      <c r="G1373" s="205">
        <v>1</v>
      </c>
      <c r="H1373" s="206">
        <v>150</v>
      </c>
      <c r="I1373" s="207">
        <v>41427</v>
      </c>
      <c r="J1373" s="197" t="str">
        <f t="shared" si="66"/>
        <v>ok</v>
      </c>
      <c r="K1373" s="419"/>
      <c r="L1373" s="419"/>
      <c r="M1373" s="419"/>
      <c r="N1373" s="419"/>
      <c r="O1373" s="419"/>
      <c r="P1373" s="419"/>
      <c r="Q1373" s="419"/>
      <c r="R1373" s="419"/>
      <c r="S1373" s="419"/>
      <c r="T1373" s="419"/>
      <c r="U1373" s="419"/>
      <c r="V1373" s="419"/>
      <c r="W1373" s="419">
        <f t="shared" si="64"/>
        <v>0</v>
      </c>
      <c r="X1373" s="412"/>
      <c r="Y1373" s="412"/>
      <c r="Z1373" s="412"/>
      <c r="AA1373" s="412"/>
      <c r="AB1373" s="412"/>
      <c r="AC1373" s="412">
        <v>150</v>
      </c>
      <c r="AD1373" s="412"/>
      <c r="AE1373" s="412"/>
      <c r="AF1373" s="412"/>
      <c r="AG1373" s="412"/>
      <c r="AH1373" s="412"/>
      <c r="AI1373" s="412"/>
      <c r="AJ1373" s="412">
        <f t="shared" si="65"/>
        <v>150</v>
      </c>
      <c r="AK1373" s="208"/>
      <c r="AL1373" s="250" t="s">
        <v>2067</v>
      </c>
    </row>
    <row r="1374" spans="1:38" x14ac:dyDescent="0.2">
      <c r="A1374" t="s">
        <v>890</v>
      </c>
      <c r="B1374" s="209">
        <v>4970</v>
      </c>
      <c r="C1374" s="210" t="s">
        <v>1006</v>
      </c>
      <c r="D1374" s="229" t="s">
        <v>1370</v>
      </c>
      <c r="E1374" s="229" t="s">
        <v>1217</v>
      </c>
      <c r="F1374" s="240">
        <v>300</v>
      </c>
      <c r="G1374" s="205">
        <v>1</v>
      </c>
      <c r="H1374" s="206">
        <v>300</v>
      </c>
      <c r="I1374" s="207">
        <v>41427</v>
      </c>
      <c r="J1374" s="197" t="str">
        <f t="shared" si="66"/>
        <v>ok</v>
      </c>
      <c r="K1374" s="419"/>
      <c r="L1374" s="419"/>
      <c r="M1374" s="419"/>
      <c r="N1374" s="419"/>
      <c r="O1374" s="419"/>
      <c r="P1374" s="419"/>
      <c r="Q1374" s="419"/>
      <c r="R1374" s="419"/>
      <c r="S1374" s="419"/>
      <c r="T1374" s="419"/>
      <c r="U1374" s="419"/>
      <c r="V1374" s="419"/>
      <c r="W1374" s="419">
        <f t="shared" si="64"/>
        <v>0</v>
      </c>
      <c r="X1374" s="412"/>
      <c r="Y1374" s="412"/>
      <c r="Z1374" s="412"/>
      <c r="AA1374" s="412"/>
      <c r="AB1374" s="412"/>
      <c r="AC1374" s="412">
        <v>300</v>
      </c>
      <c r="AD1374" s="412"/>
      <c r="AE1374" s="412"/>
      <c r="AF1374" s="412"/>
      <c r="AG1374" s="412"/>
      <c r="AH1374" s="412"/>
      <c r="AI1374" s="412"/>
      <c r="AJ1374" s="412">
        <f t="shared" si="65"/>
        <v>300</v>
      </c>
      <c r="AK1374" s="208"/>
      <c r="AL1374" s="250" t="s">
        <v>2067</v>
      </c>
    </row>
    <row r="1375" spans="1:38" x14ac:dyDescent="0.2">
      <c r="A1375" t="s">
        <v>893</v>
      </c>
      <c r="B1375" s="209">
        <v>4971</v>
      </c>
      <c r="C1375" s="210" t="s">
        <v>781</v>
      </c>
      <c r="D1375" s="229" t="s">
        <v>1401</v>
      </c>
      <c r="E1375" s="229" t="s">
        <v>331</v>
      </c>
      <c r="F1375" s="240">
        <v>300</v>
      </c>
      <c r="G1375" s="205">
        <v>1</v>
      </c>
      <c r="H1375" s="206">
        <v>300</v>
      </c>
      <c r="I1375" s="207">
        <v>41427</v>
      </c>
      <c r="J1375" s="197" t="str">
        <f t="shared" si="66"/>
        <v>ok</v>
      </c>
      <c r="K1375" s="419"/>
      <c r="L1375" s="419"/>
      <c r="M1375" s="419"/>
      <c r="N1375" s="419"/>
      <c r="O1375" s="419"/>
      <c r="P1375" s="419"/>
      <c r="Q1375" s="419"/>
      <c r="R1375" s="419"/>
      <c r="S1375" s="419"/>
      <c r="T1375" s="419"/>
      <c r="U1375" s="419"/>
      <c r="V1375" s="419"/>
      <c r="W1375" s="419">
        <f t="shared" si="64"/>
        <v>0</v>
      </c>
      <c r="X1375" s="412"/>
      <c r="Y1375" s="412"/>
      <c r="Z1375" s="412"/>
      <c r="AA1375" s="412"/>
      <c r="AB1375" s="412"/>
      <c r="AC1375" s="412">
        <v>300</v>
      </c>
      <c r="AD1375" s="412"/>
      <c r="AE1375" s="412"/>
      <c r="AF1375" s="412"/>
      <c r="AG1375" s="412"/>
      <c r="AH1375" s="412"/>
      <c r="AI1375" s="412"/>
      <c r="AJ1375" s="412">
        <f t="shared" si="65"/>
        <v>300</v>
      </c>
      <c r="AK1375" s="208"/>
      <c r="AL1375" s="250" t="s">
        <v>2067</v>
      </c>
    </row>
    <row r="1376" spans="1:38" x14ac:dyDescent="0.2">
      <c r="A1376" t="s">
        <v>888</v>
      </c>
      <c r="B1376" s="209">
        <v>4972</v>
      </c>
      <c r="C1376" s="210" t="s">
        <v>961</v>
      </c>
      <c r="D1376" s="229" t="s">
        <v>1481</v>
      </c>
      <c r="E1376" s="229" t="s">
        <v>1663</v>
      </c>
      <c r="F1376" s="240">
        <v>250</v>
      </c>
      <c r="G1376" s="205">
        <v>1</v>
      </c>
      <c r="H1376" s="206">
        <v>500</v>
      </c>
      <c r="I1376" s="207">
        <v>41427</v>
      </c>
      <c r="J1376" s="197" t="str">
        <f t="shared" si="66"/>
        <v>ok</v>
      </c>
      <c r="K1376" s="419"/>
      <c r="L1376" s="419"/>
      <c r="M1376" s="419"/>
      <c r="N1376" s="419"/>
      <c r="O1376" s="419"/>
      <c r="P1376" s="419"/>
      <c r="Q1376" s="419"/>
      <c r="R1376" s="419"/>
      <c r="S1376" s="419"/>
      <c r="T1376" s="419"/>
      <c r="U1376" s="419"/>
      <c r="V1376" s="419"/>
      <c r="W1376" s="419">
        <f t="shared" si="64"/>
        <v>0</v>
      </c>
      <c r="X1376" s="412"/>
      <c r="Y1376" s="412"/>
      <c r="Z1376" s="412"/>
      <c r="AA1376" s="412"/>
      <c r="AB1376" s="412">
        <v>250</v>
      </c>
      <c r="AC1376" s="412">
        <v>250</v>
      </c>
      <c r="AD1376" s="412"/>
      <c r="AE1376" s="412"/>
      <c r="AF1376" s="412"/>
      <c r="AG1376" s="412"/>
      <c r="AH1376" s="412"/>
      <c r="AI1376" s="412"/>
      <c r="AJ1376" s="412">
        <f t="shared" si="65"/>
        <v>500</v>
      </c>
      <c r="AK1376" s="208"/>
      <c r="AL1376" s="250" t="s">
        <v>2067</v>
      </c>
    </row>
    <row r="1377" spans="1:38" x14ac:dyDescent="0.2">
      <c r="A1377" t="s">
        <v>894</v>
      </c>
      <c r="B1377" s="209">
        <v>4973</v>
      </c>
      <c r="C1377" s="210" t="s">
        <v>1166</v>
      </c>
      <c r="D1377" s="229" t="s">
        <v>1498</v>
      </c>
      <c r="E1377" s="229" t="s">
        <v>615</v>
      </c>
      <c r="F1377" s="240">
        <v>300</v>
      </c>
      <c r="G1377" s="205">
        <v>1</v>
      </c>
      <c r="H1377" s="206">
        <v>300</v>
      </c>
      <c r="I1377" s="207">
        <v>41427</v>
      </c>
      <c r="J1377" s="197" t="str">
        <f t="shared" si="66"/>
        <v>ok</v>
      </c>
      <c r="K1377" s="419"/>
      <c r="L1377" s="419"/>
      <c r="M1377" s="419"/>
      <c r="N1377" s="419"/>
      <c r="O1377" s="419"/>
      <c r="P1377" s="419"/>
      <c r="Q1377" s="419"/>
      <c r="R1377" s="419"/>
      <c r="S1377" s="419"/>
      <c r="T1377" s="419"/>
      <c r="U1377" s="419"/>
      <c r="V1377" s="419"/>
      <c r="W1377" s="419">
        <f t="shared" si="64"/>
        <v>0</v>
      </c>
      <c r="X1377" s="412"/>
      <c r="Y1377" s="412"/>
      <c r="Z1377" s="412"/>
      <c r="AA1377" s="412"/>
      <c r="AB1377" s="412">
        <v>300</v>
      </c>
      <c r="AC1377" s="412"/>
      <c r="AD1377" s="412"/>
      <c r="AE1377" s="412"/>
      <c r="AF1377" s="412"/>
      <c r="AG1377" s="412"/>
      <c r="AH1377" s="412"/>
      <c r="AI1377" s="412"/>
      <c r="AJ1377" s="412">
        <f t="shared" si="65"/>
        <v>300</v>
      </c>
      <c r="AK1377" s="208"/>
      <c r="AL1377" s="250" t="s">
        <v>2067</v>
      </c>
    </row>
    <row r="1378" spans="1:38" x14ac:dyDescent="0.2">
      <c r="A1378" t="s">
        <v>893</v>
      </c>
      <c r="B1378" s="209">
        <v>4974</v>
      </c>
      <c r="C1378" s="210" t="s">
        <v>779</v>
      </c>
      <c r="D1378" s="229" t="s">
        <v>1391</v>
      </c>
      <c r="E1378" s="229" t="s">
        <v>713</v>
      </c>
      <c r="F1378" s="240">
        <v>300</v>
      </c>
      <c r="G1378" s="205">
        <v>1</v>
      </c>
      <c r="H1378" s="206">
        <v>300</v>
      </c>
      <c r="I1378" s="207">
        <v>41427</v>
      </c>
      <c r="J1378" s="197" t="str">
        <f t="shared" si="66"/>
        <v>ok</v>
      </c>
      <c r="K1378" s="419"/>
      <c r="L1378" s="419"/>
      <c r="M1378" s="419"/>
      <c r="N1378" s="419"/>
      <c r="O1378" s="419"/>
      <c r="P1378" s="419"/>
      <c r="Q1378" s="419"/>
      <c r="R1378" s="419"/>
      <c r="S1378" s="419"/>
      <c r="T1378" s="419"/>
      <c r="U1378" s="419"/>
      <c r="V1378" s="419"/>
      <c r="W1378" s="419">
        <f t="shared" si="64"/>
        <v>0</v>
      </c>
      <c r="X1378" s="412"/>
      <c r="Y1378" s="412"/>
      <c r="Z1378" s="412"/>
      <c r="AA1378" s="412"/>
      <c r="AB1378" s="412"/>
      <c r="AC1378" s="412">
        <v>300</v>
      </c>
      <c r="AD1378" s="412"/>
      <c r="AE1378" s="412"/>
      <c r="AF1378" s="412"/>
      <c r="AG1378" s="412"/>
      <c r="AH1378" s="412"/>
      <c r="AI1378" s="412"/>
      <c r="AJ1378" s="412">
        <f t="shared" si="65"/>
        <v>300</v>
      </c>
      <c r="AK1378" s="208"/>
      <c r="AL1378" s="250" t="s">
        <v>2067</v>
      </c>
    </row>
    <row r="1379" spans="1:38" x14ac:dyDescent="0.2">
      <c r="A1379" t="s">
        <v>884</v>
      </c>
      <c r="B1379" s="209">
        <v>4975</v>
      </c>
      <c r="C1379" s="210" t="s">
        <v>803</v>
      </c>
      <c r="D1379" s="229" t="s">
        <v>1403</v>
      </c>
      <c r="E1379" s="229" t="s">
        <v>20</v>
      </c>
      <c r="F1379" s="240">
        <v>300</v>
      </c>
      <c r="G1379" s="205">
        <v>1</v>
      </c>
      <c r="H1379" s="206">
        <v>300</v>
      </c>
      <c r="I1379" s="207">
        <v>41427</v>
      </c>
      <c r="J1379" s="197" t="str">
        <f t="shared" si="66"/>
        <v>ok</v>
      </c>
      <c r="K1379" s="419"/>
      <c r="L1379" s="419"/>
      <c r="M1379" s="419"/>
      <c r="N1379" s="419"/>
      <c r="O1379" s="419"/>
      <c r="P1379" s="419"/>
      <c r="Q1379" s="419"/>
      <c r="R1379" s="419"/>
      <c r="S1379" s="419"/>
      <c r="T1379" s="419"/>
      <c r="U1379" s="419"/>
      <c r="V1379" s="419"/>
      <c r="W1379" s="419">
        <f t="shared" si="64"/>
        <v>0</v>
      </c>
      <c r="X1379" s="412"/>
      <c r="Y1379" s="412"/>
      <c r="Z1379" s="412"/>
      <c r="AA1379" s="412"/>
      <c r="AB1379" s="412"/>
      <c r="AC1379" s="412">
        <v>300</v>
      </c>
      <c r="AD1379" s="412"/>
      <c r="AE1379" s="412"/>
      <c r="AF1379" s="412"/>
      <c r="AG1379" s="412"/>
      <c r="AH1379" s="412"/>
      <c r="AI1379" s="412"/>
      <c r="AJ1379" s="412">
        <f t="shared" si="65"/>
        <v>300</v>
      </c>
      <c r="AK1379" s="208"/>
      <c r="AL1379" s="250" t="s">
        <v>2067</v>
      </c>
    </row>
    <row r="1380" spans="1:38" x14ac:dyDescent="0.2">
      <c r="A1380" t="s">
        <v>893</v>
      </c>
      <c r="B1380" s="209">
        <v>4976</v>
      </c>
      <c r="C1380" s="210" t="s">
        <v>1122</v>
      </c>
      <c r="D1380" s="229" t="s">
        <v>1577</v>
      </c>
      <c r="E1380" s="229" t="s">
        <v>280</v>
      </c>
      <c r="F1380" s="240">
        <v>300</v>
      </c>
      <c r="G1380" s="205">
        <v>1</v>
      </c>
      <c r="H1380" s="206">
        <v>300</v>
      </c>
      <c r="I1380" s="207">
        <v>41427</v>
      </c>
      <c r="J1380" s="197" t="str">
        <f t="shared" si="66"/>
        <v>ok</v>
      </c>
      <c r="K1380" s="419"/>
      <c r="L1380" s="419"/>
      <c r="M1380" s="419"/>
      <c r="N1380" s="419"/>
      <c r="O1380" s="419"/>
      <c r="P1380" s="419"/>
      <c r="Q1380" s="419"/>
      <c r="R1380" s="419"/>
      <c r="S1380" s="419"/>
      <c r="T1380" s="419"/>
      <c r="U1380" s="419"/>
      <c r="V1380" s="419"/>
      <c r="W1380" s="419">
        <f t="shared" si="64"/>
        <v>0</v>
      </c>
      <c r="X1380" s="412"/>
      <c r="Y1380" s="412"/>
      <c r="Z1380" s="412"/>
      <c r="AA1380" s="412"/>
      <c r="AB1380" s="412"/>
      <c r="AC1380" s="412">
        <v>300</v>
      </c>
      <c r="AD1380" s="412"/>
      <c r="AE1380" s="412"/>
      <c r="AF1380" s="412"/>
      <c r="AG1380" s="412"/>
      <c r="AH1380" s="412"/>
      <c r="AI1380" s="412"/>
      <c r="AJ1380" s="412">
        <f t="shared" si="65"/>
        <v>300</v>
      </c>
      <c r="AK1380" s="208"/>
      <c r="AL1380" s="250" t="s">
        <v>2067</v>
      </c>
    </row>
    <row r="1381" spans="1:38" x14ac:dyDescent="0.2">
      <c r="A1381" t="s">
        <v>884</v>
      </c>
      <c r="B1381" s="209">
        <v>4977</v>
      </c>
      <c r="C1381" s="210" t="s">
        <v>817</v>
      </c>
      <c r="D1381" s="229" t="s">
        <v>1382</v>
      </c>
      <c r="E1381" s="229" t="s">
        <v>40</v>
      </c>
      <c r="F1381" s="240">
        <v>300</v>
      </c>
      <c r="G1381" s="205">
        <v>1</v>
      </c>
      <c r="H1381" s="206">
        <v>300</v>
      </c>
      <c r="I1381" s="207">
        <v>41427</v>
      </c>
      <c r="J1381" s="197" t="str">
        <f t="shared" si="66"/>
        <v>ok</v>
      </c>
      <c r="K1381" s="419"/>
      <c r="L1381" s="419"/>
      <c r="M1381" s="419"/>
      <c r="N1381" s="419"/>
      <c r="O1381" s="419"/>
      <c r="P1381" s="419"/>
      <c r="Q1381" s="419"/>
      <c r="R1381" s="419"/>
      <c r="S1381" s="419"/>
      <c r="T1381" s="419"/>
      <c r="U1381" s="419"/>
      <c r="V1381" s="419"/>
      <c r="W1381" s="419">
        <f t="shared" si="64"/>
        <v>0</v>
      </c>
      <c r="X1381" s="412"/>
      <c r="Y1381" s="412"/>
      <c r="Z1381" s="412"/>
      <c r="AA1381" s="412"/>
      <c r="AB1381" s="412"/>
      <c r="AC1381" s="412">
        <v>300</v>
      </c>
      <c r="AD1381" s="412"/>
      <c r="AE1381" s="412"/>
      <c r="AF1381" s="412"/>
      <c r="AG1381" s="412"/>
      <c r="AH1381" s="412"/>
      <c r="AI1381" s="412"/>
      <c r="AJ1381" s="412">
        <f t="shared" si="65"/>
        <v>300</v>
      </c>
      <c r="AK1381" s="208"/>
      <c r="AL1381" s="250" t="s">
        <v>2067</v>
      </c>
    </row>
    <row r="1382" spans="1:38" x14ac:dyDescent="0.2">
      <c r="A1382" t="s">
        <v>890</v>
      </c>
      <c r="B1382" s="209">
        <v>4978</v>
      </c>
      <c r="C1382" s="210" t="s">
        <v>770</v>
      </c>
      <c r="D1382" s="229" t="s">
        <v>1438</v>
      </c>
      <c r="E1382" s="229" t="s">
        <v>536</v>
      </c>
      <c r="F1382" s="240">
        <v>300</v>
      </c>
      <c r="G1382" s="205">
        <v>1</v>
      </c>
      <c r="H1382" s="206">
        <v>300</v>
      </c>
      <c r="I1382" s="207">
        <v>41427</v>
      </c>
      <c r="J1382" s="197" t="str">
        <f t="shared" si="66"/>
        <v>ok</v>
      </c>
      <c r="K1382" s="419"/>
      <c r="L1382" s="419"/>
      <c r="M1382" s="419"/>
      <c r="N1382" s="419"/>
      <c r="O1382" s="419"/>
      <c r="P1382" s="419"/>
      <c r="Q1382" s="419"/>
      <c r="R1382" s="419"/>
      <c r="S1382" s="419"/>
      <c r="T1382" s="419"/>
      <c r="U1382" s="419"/>
      <c r="V1382" s="419"/>
      <c r="W1382" s="419">
        <f t="shared" si="64"/>
        <v>0</v>
      </c>
      <c r="X1382" s="412"/>
      <c r="Y1382" s="412"/>
      <c r="Z1382" s="412"/>
      <c r="AA1382" s="412"/>
      <c r="AB1382" s="412"/>
      <c r="AC1382" s="412">
        <v>300</v>
      </c>
      <c r="AD1382" s="412"/>
      <c r="AE1382" s="412"/>
      <c r="AF1382" s="412"/>
      <c r="AG1382" s="412"/>
      <c r="AH1382" s="412"/>
      <c r="AI1382" s="412"/>
      <c r="AJ1382" s="412">
        <f t="shared" si="65"/>
        <v>300</v>
      </c>
      <c r="AK1382" s="208"/>
      <c r="AL1382" s="250" t="s">
        <v>2067</v>
      </c>
    </row>
    <row r="1383" spans="1:38" x14ac:dyDescent="0.2">
      <c r="A1383" t="s">
        <v>890</v>
      </c>
      <c r="B1383" s="209">
        <v>4979</v>
      </c>
      <c r="C1383" s="210" t="s">
        <v>998</v>
      </c>
      <c r="D1383" s="229" t="s">
        <v>1562</v>
      </c>
      <c r="E1383" s="229" t="s">
        <v>487</v>
      </c>
      <c r="F1383" s="240">
        <v>300</v>
      </c>
      <c r="G1383" s="205">
        <v>1</v>
      </c>
      <c r="H1383" s="206">
        <v>300</v>
      </c>
      <c r="I1383" s="207">
        <v>41427</v>
      </c>
      <c r="J1383" s="197" t="str">
        <f t="shared" si="66"/>
        <v>ok</v>
      </c>
      <c r="K1383" s="419"/>
      <c r="L1383" s="419"/>
      <c r="M1383" s="419"/>
      <c r="N1383" s="419"/>
      <c r="O1383" s="419"/>
      <c r="P1383" s="419"/>
      <c r="Q1383" s="419"/>
      <c r="R1383" s="419"/>
      <c r="S1383" s="419"/>
      <c r="T1383" s="419"/>
      <c r="U1383" s="419"/>
      <c r="V1383" s="419"/>
      <c r="W1383" s="419">
        <f t="shared" si="64"/>
        <v>0</v>
      </c>
      <c r="X1383" s="412"/>
      <c r="Y1383" s="412"/>
      <c r="Z1383" s="412"/>
      <c r="AA1383" s="412"/>
      <c r="AB1383" s="412">
        <v>300</v>
      </c>
      <c r="AC1383" s="412"/>
      <c r="AD1383" s="412"/>
      <c r="AE1383" s="412"/>
      <c r="AF1383" s="412"/>
      <c r="AG1383" s="412"/>
      <c r="AH1383" s="412"/>
      <c r="AI1383" s="412"/>
      <c r="AJ1383" s="412">
        <f t="shared" si="65"/>
        <v>300</v>
      </c>
      <c r="AK1383" s="208"/>
      <c r="AL1383" s="250" t="s">
        <v>2067</v>
      </c>
    </row>
    <row r="1384" spans="1:38" x14ac:dyDescent="0.2">
      <c r="A1384" t="s">
        <v>892</v>
      </c>
      <c r="B1384" s="209">
        <v>4980</v>
      </c>
      <c r="C1384" s="210" t="s">
        <v>1066</v>
      </c>
      <c r="D1384" s="229" t="s">
        <v>1591</v>
      </c>
      <c r="E1384" s="229" t="s">
        <v>663</v>
      </c>
      <c r="F1384" s="240">
        <v>300</v>
      </c>
      <c r="G1384" s="205">
        <v>1</v>
      </c>
      <c r="H1384" s="206">
        <v>300</v>
      </c>
      <c r="I1384" s="207">
        <v>41427</v>
      </c>
      <c r="J1384" s="197" t="str">
        <f t="shared" si="66"/>
        <v>ok</v>
      </c>
      <c r="K1384" s="419"/>
      <c r="L1384" s="419"/>
      <c r="M1384" s="419"/>
      <c r="N1384" s="419"/>
      <c r="O1384" s="419"/>
      <c r="P1384" s="419"/>
      <c r="Q1384" s="419"/>
      <c r="R1384" s="419"/>
      <c r="S1384" s="419"/>
      <c r="T1384" s="419"/>
      <c r="U1384" s="419"/>
      <c r="V1384" s="419"/>
      <c r="W1384" s="419">
        <f t="shared" si="64"/>
        <v>0</v>
      </c>
      <c r="X1384" s="412"/>
      <c r="Y1384" s="412"/>
      <c r="Z1384" s="412"/>
      <c r="AA1384" s="412"/>
      <c r="AB1384" s="412"/>
      <c r="AC1384" s="412">
        <v>300</v>
      </c>
      <c r="AD1384" s="412"/>
      <c r="AE1384" s="412"/>
      <c r="AF1384" s="412"/>
      <c r="AG1384" s="412"/>
      <c r="AH1384" s="412"/>
      <c r="AI1384" s="412"/>
      <c r="AJ1384" s="412">
        <f t="shared" si="65"/>
        <v>300</v>
      </c>
      <c r="AK1384" s="208"/>
      <c r="AL1384" s="250" t="s">
        <v>2067</v>
      </c>
    </row>
    <row r="1385" spans="1:38" x14ac:dyDescent="0.2">
      <c r="A1385" t="s">
        <v>893</v>
      </c>
      <c r="B1385" s="209">
        <v>4981</v>
      </c>
      <c r="C1385" s="210" t="s">
        <v>773</v>
      </c>
      <c r="D1385" s="229" t="s">
        <v>1537</v>
      </c>
      <c r="E1385" s="229" t="s">
        <v>317</v>
      </c>
      <c r="F1385" s="240">
        <v>300</v>
      </c>
      <c r="G1385" s="205">
        <v>1</v>
      </c>
      <c r="H1385" s="206">
        <v>300</v>
      </c>
      <c r="I1385" s="207">
        <v>41427</v>
      </c>
      <c r="J1385" s="197" t="str">
        <f t="shared" si="66"/>
        <v>ok</v>
      </c>
      <c r="K1385" s="419"/>
      <c r="L1385" s="419"/>
      <c r="M1385" s="419"/>
      <c r="N1385" s="419"/>
      <c r="O1385" s="419"/>
      <c r="P1385" s="419"/>
      <c r="Q1385" s="419"/>
      <c r="R1385" s="419"/>
      <c r="S1385" s="419"/>
      <c r="T1385" s="419"/>
      <c r="U1385" s="419"/>
      <c r="V1385" s="419"/>
      <c r="W1385" s="419">
        <f t="shared" si="64"/>
        <v>0</v>
      </c>
      <c r="X1385" s="412"/>
      <c r="Y1385" s="412"/>
      <c r="Z1385" s="412"/>
      <c r="AA1385" s="412"/>
      <c r="AB1385" s="412"/>
      <c r="AC1385" s="412">
        <v>300</v>
      </c>
      <c r="AD1385" s="412"/>
      <c r="AE1385" s="412"/>
      <c r="AF1385" s="412"/>
      <c r="AG1385" s="412"/>
      <c r="AH1385" s="412"/>
      <c r="AI1385" s="412"/>
      <c r="AJ1385" s="412">
        <f t="shared" si="65"/>
        <v>300</v>
      </c>
      <c r="AK1385" s="208"/>
      <c r="AL1385" s="250" t="s">
        <v>2067</v>
      </c>
    </row>
    <row r="1386" spans="1:38" x14ac:dyDescent="0.2">
      <c r="A1386" t="s">
        <v>893</v>
      </c>
      <c r="B1386" s="209">
        <v>4982</v>
      </c>
      <c r="C1386" s="210" t="s">
        <v>1124</v>
      </c>
      <c r="D1386" s="229" t="s">
        <v>1364</v>
      </c>
      <c r="E1386" s="229" t="s">
        <v>1630</v>
      </c>
      <c r="F1386" s="240">
        <v>300</v>
      </c>
      <c r="G1386" s="205">
        <v>1</v>
      </c>
      <c r="H1386" s="206">
        <v>300</v>
      </c>
      <c r="I1386" s="207">
        <v>41427</v>
      </c>
      <c r="J1386" s="197" t="str">
        <f t="shared" si="66"/>
        <v>ok</v>
      </c>
      <c r="K1386" s="419"/>
      <c r="L1386" s="419"/>
      <c r="M1386" s="419"/>
      <c r="N1386" s="419"/>
      <c r="O1386" s="419"/>
      <c r="P1386" s="419"/>
      <c r="Q1386" s="419"/>
      <c r="R1386" s="419"/>
      <c r="S1386" s="419"/>
      <c r="T1386" s="419"/>
      <c r="U1386" s="419"/>
      <c r="V1386" s="419"/>
      <c r="W1386" s="419">
        <f t="shared" si="64"/>
        <v>0</v>
      </c>
      <c r="X1386" s="412"/>
      <c r="Y1386" s="412"/>
      <c r="Z1386" s="412"/>
      <c r="AA1386" s="412"/>
      <c r="AB1386" s="412"/>
      <c r="AC1386" s="412">
        <v>300</v>
      </c>
      <c r="AD1386" s="412"/>
      <c r="AE1386" s="412"/>
      <c r="AF1386" s="412"/>
      <c r="AG1386" s="412"/>
      <c r="AH1386" s="412"/>
      <c r="AI1386" s="412"/>
      <c r="AJ1386" s="412">
        <f t="shared" si="65"/>
        <v>300</v>
      </c>
      <c r="AK1386" s="208"/>
      <c r="AL1386" s="250" t="s">
        <v>2067</v>
      </c>
    </row>
    <row r="1387" spans="1:38" x14ac:dyDescent="0.2">
      <c r="A1387" t="s">
        <v>890</v>
      </c>
      <c r="B1387" s="209">
        <v>4983</v>
      </c>
      <c r="C1387" s="210" t="s">
        <v>1012</v>
      </c>
      <c r="D1387" s="229" t="s">
        <v>1474</v>
      </c>
      <c r="E1387" s="229" t="s">
        <v>729</v>
      </c>
      <c r="F1387" s="240">
        <v>300</v>
      </c>
      <c r="G1387" s="205">
        <v>1</v>
      </c>
      <c r="H1387" s="206">
        <v>300</v>
      </c>
      <c r="I1387" s="207">
        <v>41427</v>
      </c>
      <c r="J1387" s="197" t="str">
        <f t="shared" si="66"/>
        <v>ok</v>
      </c>
      <c r="K1387" s="419"/>
      <c r="L1387" s="419"/>
      <c r="M1387" s="419"/>
      <c r="N1387" s="419"/>
      <c r="O1387" s="419"/>
      <c r="P1387" s="419"/>
      <c r="Q1387" s="419"/>
      <c r="R1387" s="419"/>
      <c r="S1387" s="419"/>
      <c r="T1387" s="419"/>
      <c r="U1387" s="419"/>
      <c r="V1387" s="419"/>
      <c r="W1387" s="419">
        <f t="shared" si="64"/>
        <v>0</v>
      </c>
      <c r="X1387" s="412"/>
      <c r="Y1387" s="412"/>
      <c r="Z1387" s="412"/>
      <c r="AA1387" s="412"/>
      <c r="AB1387" s="412"/>
      <c r="AC1387" s="412">
        <v>300</v>
      </c>
      <c r="AD1387" s="412"/>
      <c r="AE1387" s="412"/>
      <c r="AF1387" s="412"/>
      <c r="AG1387" s="412"/>
      <c r="AH1387" s="412"/>
      <c r="AI1387" s="412"/>
      <c r="AJ1387" s="412">
        <f t="shared" si="65"/>
        <v>300</v>
      </c>
      <c r="AK1387" s="208"/>
      <c r="AL1387" s="250" t="s">
        <v>2067</v>
      </c>
    </row>
    <row r="1388" spans="1:38" x14ac:dyDescent="0.2">
      <c r="A1388" t="s">
        <v>894</v>
      </c>
      <c r="B1388" s="209">
        <v>4984</v>
      </c>
      <c r="C1388" s="210" t="s">
        <v>1172</v>
      </c>
      <c r="D1388" s="229" t="s">
        <v>1390</v>
      </c>
      <c r="E1388" s="229" t="s">
        <v>626</v>
      </c>
      <c r="F1388" s="240">
        <v>300</v>
      </c>
      <c r="G1388" s="205">
        <v>1</v>
      </c>
      <c r="H1388" s="206">
        <v>300</v>
      </c>
      <c r="I1388" s="207">
        <v>41427</v>
      </c>
      <c r="J1388" s="197" t="str">
        <f t="shared" si="66"/>
        <v>ok</v>
      </c>
      <c r="K1388" s="419"/>
      <c r="L1388" s="419"/>
      <c r="M1388" s="419"/>
      <c r="N1388" s="419"/>
      <c r="O1388" s="419"/>
      <c r="P1388" s="419"/>
      <c r="Q1388" s="419"/>
      <c r="R1388" s="419"/>
      <c r="S1388" s="419"/>
      <c r="T1388" s="419"/>
      <c r="U1388" s="419"/>
      <c r="V1388" s="419"/>
      <c r="W1388" s="419">
        <f t="shared" si="64"/>
        <v>0</v>
      </c>
      <c r="X1388" s="412"/>
      <c r="Y1388" s="412"/>
      <c r="Z1388" s="412"/>
      <c r="AA1388" s="412"/>
      <c r="AB1388" s="412"/>
      <c r="AC1388" s="412">
        <v>300</v>
      </c>
      <c r="AD1388" s="412"/>
      <c r="AE1388" s="412"/>
      <c r="AF1388" s="412"/>
      <c r="AG1388" s="412"/>
      <c r="AH1388" s="412"/>
      <c r="AI1388" s="412"/>
      <c r="AJ1388" s="412">
        <f t="shared" si="65"/>
        <v>300</v>
      </c>
      <c r="AK1388" s="208"/>
      <c r="AL1388" s="250" t="s">
        <v>2067</v>
      </c>
    </row>
    <row r="1389" spans="1:38" x14ac:dyDescent="0.2">
      <c r="A1389" t="s">
        <v>888</v>
      </c>
      <c r="B1389" s="209">
        <v>4985</v>
      </c>
      <c r="C1389" s="210" t="s">
        <v>768</v>
      </c>
      <c r="D1389" s="229" t="s">
        <v>1399</v>
      </c>
      <c r="E1389" s="229" t="s">
        <v>365</v>
      </c>
      <c r="F1389" s="240">
        <v>300</v>
      </c>
      <c r="G1389" s="205">
        <v>1</v>
      </c>
      <c r="H1389" s="206">
        <v>300</v>
      </c>
      <c r="I1389" s="207">
        <v>41427</v>
      </c>
      <c r="J1389" s="197" t="str">
        <f t="shared" si="66"/>
        <v>ok</v>
      </c>
      <c r="K1389" s="419"/>
      <c r="L1389" s="419"/>
      <c r="M1389" s="419"/>
      <c r="N1389" s="419"/>
      <c r="O1389" s="419"/>
      <c r="P1389" s="419"/>
      <c r="Q1389" s="419"/>
      <c r="R1389" s="419"/>
      <c r="S1389" s="419"/>
      <c r="T1389" s="419"/>
      <c r="U1389" s="419"/>
      <c r="V1389" s="419"/>
      <c r="W1389" s="419">
        <f t="shared" si="64"/>
        <v>0</v>
      </c>
      <c r="X1389" s="412"/>
      <c r="Y1389" s="412"/>
      <c r="Z1389" s="412"/>
      <c r="AA1389" s="412"/>
      <c r="AB1389" s="412"/>
      <c r="AC1389" s="412">
        <v>300</v>
      </c>
      <c r="AD1389" s="412"/>
      <c r="AE1389" s="412"/>
      <c r="AF1389" s="412"/>
      <c r="AG1389" s="412"/>
      <c r="AH1389" s="412"/>
      <c r="AI1389" s="412"/>
      <c r="AJ1389" s="412">
        <f t="shared" si="65"/>
        <v>300</v>
      </c>
      <c r="AK1389" s="208"/>
      <c r="AL1389" s="250" t="s">
        <v>2067</v>
      </c>
    </row>
    <row r="1390" spans="1:38" x14ac:dyDescent="0.2">
      <c r="A1390" t="s">
        <v>884</v>
      </c>
      <c r="B1390" s="209">
        <v>4986</v>
      </c>
      <c r="C1390" s="210" t="s">
        <v>764</v>
      </c>
      <c r="D1390" s="229" t="s">
        <v>1386</v>
      </c>
      <c r="E1390" s="229" t="s">
        <v>133</v>
      </c>
      <c r="F1390" s="240">
        <v>200</v>
      </c>
      <c r="G1390" s="205">
        <v>1</v>
      </c>
      <c r="H1390" s="206">
        <v>200</v>
      </c>
      <c r="I1390" s="207">
        <v>41427</v>
      </c>
      <c r="J1390" s="197" t="str">
        <f t="shared" si="66"/>
        <v>ok</v>
      </c>
      <c r="K1390" s="419"/>
      <c r="L1390" s="419"/>
      <c r="M1390" s="419"/>
      <c r="N1390" s="419"/>
      <c r="O1390" s="419"/>
      <c r="P1390" s="419"/>
      <c r="Q1390" s="419"/>
      <c r="R1390" s="419"/>
      <c r="S1390" s="419"/>
      <c r="T1390" s="419"/>
      <c r="U1390" s="419"/>
      <c r="V1390" s="419"/>
      <c r="W1390" s="419">
        <f t="shared" si="64"/>
        <v>0</v>
      </c>
      <c r="X1390" s="412"/>
      <c r="Y1390" s="412"/>
      <c r="Z1390" s="412"/>
      <c r="AA1390" s="412"/>
      <c r="AB1390" s="412"/>
      <c r="AC1390" s="412">
        <v>200</v>
      </c>
      <c r="AD1390" s="412"/>
      <c r="AE1390" s="412"/>
      <c r="AF1390" s="412"/>
      <c r="AG1390" s="412"/>
      <c r="AH1390" s="412"/>
      <c r="AI1390" s="412"/>
      <c r="AJ1390" s="412">
        <f t="shared" si="65"/>
        <v>200</v>
      </c>
      <c r="AK1390" s="208"/>
      <c r="AL1390" s="250" t="s">
        <v>2067</v>
      </c>
    </row>
    <row r="1391" spans="1:38" x14ac:dyDescent="0.2">
      <c r="A1391" t="s">
        <v>893</v>
      </c>
      <c r="B1391" s="209">
        <v>4987</v>
      </c>
      <c r="C1391" s="210" t="s">
        <v>780</v>
      </c>
      <c r="D1391" s="229" t="s">
        <v>1593</v>
      </c>
      <c r="E1391" s="229" t="s">
        <v>294</v>
      </c>
      <c r="F1391" s="240">
        <v>300</v>
      </c>
      <c r="G1391" s="205">
        <v>1</v>
      </c>
      <c r="H1391" s="206">
        <v>300</v>
      </c>
      <c r="I1391" s="207">
        <v>41427</v>
      </c>
      <c r="J1391" s="197" t="str">
        <f t="shared" si="66"/>
        <v>ok</v>
      </c>
      <c r="K1391" s="419"/>
      <c r="L1391" s="419"/>
      <c r="M1391" s="419"/>
      <c r="N1391" s="419"/>
      <c r="O1391" s="419"/>
      <c r="P1391" s="419"/>
      <c r="Q1391" s="419"/>
      <c r="R1391" s="419"/>
      <c r="S1391" s="419"/>
      <c r="T1391" s="419"/>
      <c r="U1391" s="419"/>
      <c r="V1391" s="419"/>
      <c r="W1391" s="419">
        <f t="shared" si="64"/>
        <v>0</v>
      </c>
      <c r="X1391" s="412"/>
      <c r="Y1391" s="412"/>
      <c r="Z1391" s="412"/>
      <c r="AA1391" s="412"/>
      <c r="AB1391" s="412"/>
      <c r="AC1391" s="412">
        <v>300</v>
      </c>
      <c r="AD1391" s="412"/>
      <c r="AE1391" s="412"/>
      <c r="AF1391" s="412"/>
      <c r="AG1391" s="412"/>
      <c r="AH1391" s="412"/>
      <c r="AI1391" s="412"/>
      <c r="AJ1391" s="412">
        <f t="shared" si="65"/>
        <v>300</v>
      </c>
      <c r="AK1391" s="208"/>
      <c r="AL1391" s="250" t="s">
        <v>2067</v>
      </c>
    </row>
    <row r="1392" spans="1:38" x14ac:dyDescent="0.2">
      <c r="A1392" t="s">
        <v>891</v>
      </c>
      <c r="B1392" s="209">
        <v>4988</v>
      </c>
      <c r="C1392" s="210" t="s">
        <v>1054</v>
      </c>
      <c r="D1392" s="229" t="s">
        <v>1471</v>
      </c>
      <c r="E1392" s="229" t="s">
        <v>659</v>
      </c>
      <c r="F1392" s="240">
        <v>300</v>
      </c>
      <c r="G1392" s="205">
        <v>1</v>
      </c>
      <c r="H1392" s="206">
        <v>900</v>
      </c>
      <c r="I1392" s="207">
        <v>41427</v>
      </c>
      <c r="J1392" s="197" t="str">
        <f t="shared" si="66"/>
        <v>ok</v>
      </c>
      <c r="K1392" s="419"/>
      <c r="L1392" s="419"/>
      <c r="M1392" s="419"/>
      <c r="N1392" s="419"/>
      <c r="O1392" s="419"/>
      <c r="P1392" s="419"/>
      <c r="Q1392" s="419"/>
      <c r="R1392" s="419"/>
      <c r="S1392" s="419"/>
      <c r="T1392" s="419"/>
      <c r="U1392" s="419"/>
      <c r="V1392" s="419"/>
      <c r="W1392" s="419">
        <f t="shared" si="64"/>
        <v>0</v>
      </c>
      <c r="X1392" s="412"/>
      <c r="Y1392" s="412"/>
      <c r="Z1392" s="412"/>
      <c r="AA1392" s="412">
        <v>300</v>
      </c>
      <c r="AB1392" s="412">
        <v>300</v>
      </c>
      <c r="AC1392" s="412">
        <v>300</v>
      </c>
      <c r="AD1392" s="412"/>
      <c r="AE1392" s="412"/>
      <c r="AF1392" s="412"/>
      <c r="AG1392" s="412"/>
      <c r="AH1392" s="412"/>
      <c r="AI1392" s="412"/>
      <c r="AJ1392" s="412">
        <f t="shared" si="65"/>
        <v>900</v>
      </c>
      <c r="AK1392" s="208"/>
      <c r="AL1392" s="250" t="s">
        <v>2067</v>
      </c>
    </row>
    <row r="1393" spans="1:38" x14ac:dyDescent="0.2">
      <c r="A1393" t="s">
        <v>893</v>
      </c>
      <c r="B1393" s="209">
        <v>4989</v>
      </c>
      <c r="C1393" s="210" t="s">
        <v>778</v>
      </c>
      <c r="D1393" s="229" t="s">
        <v>1573</v>
      </c>
      <c r="E1393" s="229" t="s">
        <v>715</v>
      </c>
      <c r="F1393" s="240">
        <v>300</v>
      </c>
      <c r="G1393" s="205">
        <v>1</v>
      </c>
      <c r="H1393" s="206">
        <v>300</v>
      </c>
      <c r="I1393" s="207">
        <v>41427</v>
      </c>
      <c r="J1393" s="197" t="str">
        <f t="shared" si="66"/>
        <v>ok</v>
      </c>
      <c r="K1393" s="419"/>
      <c r="L1393" s="419"/>
      <c r="M1393" s="419"/>
      <c r="N1393" s="419"/>
      <c r="O1393" s="419"/>
      <c r="P1393" s="419"/>
      <c r="Q1393" s="419"/>
      <c r="R1393" s="419"/>
      <c r="S1393" s="419"/>
      <c r="T1393" s="419"/>
      <c r="U1393" s="419"/>
      <c r="V1393" s="419"/>
      <c r="W1393" s="419">
        <f t="shared" si="64"/>
        <v>0</v>
      </c>
      <c r="X1393" s="412"/>
      <c r="Y1393" s="412"/>
      <c r="Z1393" s="412"/>
      <c r="AA1393" s="412"/>
      <c r="AB1393" s="412"/>
      <c r="AC1393" s="412">
        <v>300</v>
      </c>
      <c r="AD1393" s="412"/>
      <c r="AE1393" s="412"/>
      <c r="AF1393" s="412"/>
      <c r="AG1393" s="412"/>
      <c r="AH1393" s="412"/>
      <c r="AI1393" s="412"/>
      <c r="AJ1393" s="412">
        <f t="shared" si="65"/>
        <v>300</v>
      </c>
      <c r="AK1393" s="208"/>
      <c r="AL1393" s="250" t="s">
        <v>2067</v>
      </c>
    </row>
    <row r="1394" spans="1:38" x14ac:dyDescent="0.2">
      <c r="A1394" t="s">
        <v>884</v>
      </c>
      <c r="B1394" s="209">
        <v>4990</v>
      </c>
      <c r="C1394" s="210" t="s">
        <v>848</v>
      </c>
      <c r="D1394" s="229" t="s">
        <v>1545</v>
      </c>
      <c r="E1394" s="229" t="s">
        <v>1206</v>
      </c>
      <c r="F1394" s="240">
        <v>300</v>
      </c>
      <c r="G1394" s="205">
        <v>1</v>
      </c>
      <c r="H1394" s="206">
        <v>300</v>
      </c>
      <c r="I1394" s="207">
        <v>41427</v>
      </c>
      <c r="J1394" s="197" t="str">
        <f t="shared" si="66"/>
        <v>ok</v>
      </c>
      <c r="K1394" s="419"/>
      <c r="L1394" s="419"/>
      <c r="M1394" s="419"/>
      <c r="N1394" s="419"/>
      <c r="O1394" s="419"/>
      <c r="P1394" s="419"/>
      <c r="Q1394" s="419"/>
      <c r="R1394" s="419"/>
      <c r="S1394" s="419"/>
      <c r="T1394" s="419"/>
      <c r="U1394" s="419"/>
      <c r="V1394" s="419"/>
      <c r="W1394" s="419">
        <f t="shared" si="64"/>
        <v>0</v>
      </c>
      <c r="X1394" s="412"/>
      <c r="Y1394" s="412"/>
      <c r="Z1394" s="412"/>
      <c r="AA1394" s="412"/>
      <c r="AB1394" s="412"/>
      <c r="AC1394" s="412">
        <v>300</v>
      </c>
      <c r="AD1394" s="412"/>
      <c r="AE1394" s="412"/>
      <c r="AF1394" s="412"/>
      <c r="AG1394" s="412"/>
      <c r="AH1394" s="412"/>
      <c r="AI1394" s="412"/>
      <c r="AJ1394" s="412">
        <f t="shared" si="65"/>
        <v>300</v>
      </c>
      <c r="AK1394" s="208"/>
      <c r="AL1394" s="250" t="s">
        <v>2067</v>
      </c>
    </row>
    <row r="1395" spans="1:38" x14ac:dyDescent="0.2">
      <c r="A1395" t="s">
        <v>890</v>
      </c>
      <c r="B1395" s="209">
        <v>4991</v>
      </c>
      <c r="C1395" s="210" t="s">
        <v>977</v>
      </c>
      <c r="D1395" s="229" t="s">
        <v>1494</v>
      </c>
      <c r="E1395" s="229" t="s">
        <v>359</v>
      </c>
      <c r="F1395" s="240">
        <v>150</v>
      </c>
      <c r="G1395" s="205">
        <v>1</v>
      </c>
      <c r="H1395" s="206">
        <v>150</v>
      </c>
      <c r="I1395" s="207">
        <v>41427</v>
      </c>
      <c r="J1395" s="197" t="str">
        <f t="shared" si="66"/>
        <v>ok</v>
      </c>
      <c r="K1395" s="419"/>
      <c r="L1395" s="419"/>
      <c r="M1395" s="419"/>
      <c r="N1395" s="419"/>
      <c r="O1395" s="419"/>
      <c r="P1395" s="419"/>
      <c r="Q1395" s="419"/>
      <c r="R1395" s="419"/>
      <c r="S1395" s="419"/>
      <c r="T1395" s="419"/>
      <c r="U1395" s="419"/>
      <c r="V1395" s="419"/>
      <c r="W1395" s="419">
        <f t="shared" si="64"/>
        <v>0</v>
      </c>
      <c r="X1395" s="412"/>
      <c r="Y1395" s="412"/>
      <c r="Z1395" s="412"/>
      <c r="AA1395" s="412"/>
      <c r="AB1395" s="412"/>
      <c r="AC1395" s="412">
        <v>150</v>
      </c>
      <c r="AD1395" s="412"/>
      <c r="AE1395" s="412"/>
      <c r="AF1395" s="412"/>
      <c r="AG1395" s="412"/>
      <c r="AH1395" s="412"/>
      <c r="AI1395" s="412"/>
      <c r="AJ1395" s="412">
        <f t="shared" si="65"/>
        <v>150</v>
      </c>
      <c r="AK1395" s="208"/>
      <c r="AL1395" s="250" t="s">
        <v>2067</v>
      </c>
    </row>
    <row r="1396" spans="1:38" x14ac:dyDescent="0.2">
      <c r="A1396" t="s">
        <v>893</v>
      </c>
      <c r="B1396" s="209">
        <v>4992</v>
      </c>
      <c r="C1396" s="210" t="s">
        <v>1109</v>
      </c>
      <c r="D1396" s="229" t="s">
        <v>1533</v>
      </c>
      <c r="E1396" s="229" t="s">
        <v>70</v>
      </c>
      <c r="F1396" s="240">
        <v>300</v>
      </c>
      <c r="G1396" s="205">
        <v>1</v>
      </c>
      <c r="H1396" s="206">
        <v>300</v>
      </c>
      <c r="I1396" s="207">
        <v>41427</v>
      </c>
      <c r="J1396" s="197" t="str">
        <f t="shared" si="66"/>
        <v>ok</v>
      </c>
      <c r="K1396" s="419"/>
      <c r="L1396" s="419"/>
      <c r="M1396" s="419"/>
      <c r="N1396" s="419"/>
      <c r="O1396" s="419"/>
      <c r="P1396" s="419"/>
      <c r="Q1396" s="419"/>
      <c r="R1396" s="419"/>
      <c r="S1396" s="419"/>
      <c r="T1396" s="419"/>
      <c r="U1396" s="419"/>
      <c r="V1396" s="419"/>
      <c r="W1396" s="419">
        <f t="shared" si="64"/>
        <v>0</v>
      </c>
      <c r="X1396" s="412"/>
      <c r="Y1396" s="412"/>
      <c r="Z1396" s="412"/>
      <c r="AA1396" s="412">
        <v>300</v>
      </c>
      <c r="AB1396" s="412"/>
      <c r="AC1396" s="412"/>
      <c r="AD1396" s="412"/>
      <c r="AE1396" s="412"/>
      <c r="AF1396" s="412"/>
      <c r="AG1396" s="412"/>
      <c r="AH1396" s="412"/>
      <c r="AI1396" s="412"/>
      <c r="AJ1396" s="412">
        <f t="shared" si="65"/>
        <v>300</v>
      </c>
      <c r="AK1396" s="208"/>
      <c r="AL1396" s="250" t="s">
        <v>2067</v>
      </c>
    </row>
    <row r="1397" spans="1:38" x14ac:dyDescent="0.2">
      <c r="A1397" t="s">
        <v>888</v>
      </c>
      <c r="B1397" s="209">
        <v>4993</v>
      </c>
      <c r="C1397" s="210" t="s">
        <v>933</v>
      </c>
      <c r="D1397" s="229" t="s">
        <v>1427</v>
      </c>
      <c r="E1397" s="229" t="s">
        <v>1212</v>
      </c>
      <c r="F1397" s="240">
        <v>300</v>
      </c>
      <c r="G1397" s="205">
        <v>1</v>
      </c>
      <c r="H1397" s="206">
        <v>300</v>
      </c>
      <c r="I1397" s="207">
        <v>41427</v>
      </c>
      <c r="J1397" s="197" t="str">
        <f t="shared" si="66"/>
        <v>ok</v>
      </c>
      <c r="K1397" s="419"/>
      <c r="L1397" s="419"/>
      <c r="M1397" s="419"/>
      <c r="N1397" s="419"/>
      <c r="O1397" s="419"/>
      <c r="P1397" s="419"/>
      <c r="Q1397" s="419"/>
      <c r="R1397" s="419"/>
      <c r="S1397" s="419"/>
      <c r="T1397" s="419"/>
      <c r="U1397" s="419"/>
      <c r="V1397" s="419"/>
      <c r="W1397" s="419">
        <f t="shared" si="64"/>
        <v>0</v>
      </c>
      <c r="X1397" s="412"/>
      <c r="Y1397" s="412"/>
      <c r="Z1397" s="412"/>
      <c r="AA1397" s="412"/>
      <c r="AB1397" s="412"/>
      <c r="AC1397" s="412">
        <v>300</v>
      </c>
      <c r="AD1397" s="412"/>
      <c r="AE1397" s="412"/>
      <c r="AF1397" s="412"/>
      <c r="AG1397" s="412"/>
      <c r="AH1397" s="412"/>
      <c r="AI1397" s="412"/>
      <c r="AJ1397" s="412">
        <f t="shared" si="65"/>
        <v>300</v>
      </c>
      <c r="AK1397" s="208"/>
      <c r="AL1397" s="250" t="s">
        <v>2067</v>
      </c>
    </row>
    <row r="1398" spans="1:38" x14ac:dyDescent="0.2">
      <c r="A1398" t="s">
        <v>884</v>
      </c>
      <c r="B1398" s="209">
        <v>4994</v>
      </c>
      <c r="C1398" s="210" t="s">
        <v>789</v>
      </c>
      <c r="D1398" s="229" t="s">
        <v>1485</v>
      </c>
      <c r="E1398" s="229" t="s">
        <v>104</v>
      </c>
      <c r="F1398" s="240">
        <v>300</v>
      </c>
      <c r="G1398" s="205">
        <v>1</v>
      </c>
      <c r="H1398" s="206">
        <v>300</v>
      </c>
      <c r="I1398" s="207">
        <v>41427</v>
      </c>
      <c r="J1398" s="197" t="str">
        <f t="shared" si="66"/>
        <v>ok</v>
      </c>
      <c r="K1398" s="419"/>
      <c r="L1398" s="419"/>
      <c r="M1398" s="419"/>
      <c r="N1398" s="419"/>
      <c r="O1398" s="419"/>
      <c r="P1398" s="419"/>
      <c r="Q1398" s="419"/>
      <c r="R1398" s="419"/>
      <c r="S1398" s="419"/>
      <c r="T1398" s="419"/>
      <c r="U1398" s="419"/>
      <c r="V1398" s="419"/>
      <c r="W1398" s="419">
        <f t="shared" si="64"/>
        <v>0</v>
      </c>
      <c r="X1398" s="412"/>
      <c r="Y1398" s="412"/>
      <c r="Z1398" s="412"/>
      <c r="AA1398" s="412"/>
      <c r="AB1398" s="412"/>
      <c r="AC1398" s="412">
        <v>300</v>
      </c>
      <c r="AD1398" s="412"/>
      <c r="AE1398" s="412"/>
      <c r="AF1398" s="412"/>
      <c r="AG1398" s="412"/>
      <c r="AH1398" s="412"/>
      <c r="AI1398" s="412"/>
      <c r="AJ1398" s="412">
        <f t="shared" si="65"/>
        <v>300</v>
      </c>
      <c r="AK1398" s="208"/>
      <c r="AL1398" s="250" t="s">
        <v>2067</v>
      </c>
    </row>
    <row r="1399" spans="1:38" x14ac:dyDescent="0.2">
      <c r="A1399" t="s">
        <v>884</v>
      </c>
      <c r="B1399" s="209">
        <v>4995</v>
      </c>
      <c r="C1399" s="210" t="s">
        <v>812</v>
      </c>
      <c r="D1399" s="229" t="s">
        <v>1420</v>
      </c>
      <c r="E1399" s="229" t="s">
        <v>33</v>
      </c>
      <c r="F1399" s="240">
        <v>300</v>
      </c>
      <c r="G1399" s="205">
        <v>1</v>
      </c>
      <c r="H1399" s="206">
        <v>300</v>
      </c>
      <c r="I1399" s="207">
        <v>41427</v>
      </c>
      <c r="J1399" s="197" t="str">
        <f t="shared" si="66"/>
        <v>ok</v>
      </c>
      <c r="K1399" s="419"/>
      <c r="L1399" s="419"/>
      <c r="M1399" s="419"/>
      <c r="N1399" s="419"/>
      <c r="O1399" s="419"/>
      <c r="P1399" s="419"/>
      <c r="Q1399" s="419"/>
      <c r="R1399" s="419"/>
      <c r="S1399" s="419"/>
      <c r="T1399" s="419"/>
      <c r="U1399" s="419"/>
      <c r="V1399" s="419"/>
      <c r="W1399" s="419">
        <f t="shared" si="64"/>
        <v>0</v>
      </c>
      <c r="X1399" s="412"/>
      <c r="Y1399" s="412"/>
      <c r="Z1399" s="412"/>
      <c r="AA1399" s="412"/>
      <c r="AB1399" s="412"/>
      <c r="AC1399" s="412">
        <v>300</v>
      </c>
      <c r="AD1399" s="412"/>
      <c r="AE1399" s="412"/>
      <c r="AF1399" s="412"/>
      <c r="AG1399" s="412"/>
      <c r="AH1399" s="412"/>
      <c r="AI1399" s="412"/>
      <c r="AJ1399" s="412">
        <f t="shared" si="65"/>
        <v>300</v>
      </c>
      <c r="AK1399" s="208"/>
      <c r="AL1399" s="250" t="s">
        <v>2067</v>
      </c>
    </row>
    <row r="1400" spans="1:38" x14ac:dyDescent="0.2">
      <c r="A1400" t="s">
        <v>893</v>
      </c>
      <c r="B1400" s="209">
        <v>4996</v>
      </c>
      <c r="C1400" s="210" t="s">
        <v>1091</v>
      </c>
      <c r="D1400" s="229" t="s">
        <v>1372</v>
      </c>
      <c r="E1400" s="229" t="s">
        <v>221</v>
      </c>
      <c r="F1400" s="240">
        <v>300</v>
      </c>
      <c r="G1400" s="205">
        <v>1</v>
      </c>
      <c r="H1400" s="206">
        <v>300</v>
      </c>
      <c r="I1400" s="207">
        <v>41427</v>
      </c>
      <c r="J1400" s="197" t="str">
        <f t="shared" si="66"/>
        <v>ok</v>
      </c>
      <c r="K1400" s="419"/>
      <c r="L1400" s="419"/>
      <c r="M1400" s="419"/>
      <c r="N1400" s="419"/>
      <c r="O1400" s="419"/>
      <c r="P1400" s="419"/>
      <c r="Q1400" s="419"/>
      <c r="R1400" s="419"/>
      <c r="S1400" s="419"/>
      <c r="T1400" s="419"/>
      <c r="U1400" s="419"/>
      <c r="V1400" s="419"/>
      <c r="W1400" s="419">
        <f t="shared" si="64"/>
        <v>0</v>
      </c>
      <c r="X1400" s="412"/>
      <c r="Y1400" s="412"/>
      <c r="Z1400" s="412"/>
      <c r="AA1400" s="412"/>
      <c r="AB1400" s="412">
        <v>300</v>
      </c>
      <c r="AC1400" s="412"/>
      <c r="AD1400" s="412"/>
      <c r="AE1400" s="412"/>
      <c r="AF1400" s="412"/>
      <c r="AG1400" s="412"/>
      <c r="AH1400" s="412"/>
      <c r="AI1400" s="412"/>
      <c r="AJ1400" s="412">
        <f t="shared" si="65"/>
        <v>300</v>
      </c>
      <c r="AK1400" s="208"/>
      <c r="AL1400" s="250" t="s">
        <v>2067</v>
      </c>
    </row>
    <row r="1401" spans="1:38" x14ac:dyDescent="0.2">
      <c r="A1401" t="s">
        <v>894</v>
      </c>
      <c r="B1401" s="209">
        <v>4997</v>
      </c>
      <c r="C1401" s="210" t="s">
        <v>1163</v>
      </c>
      <c r="D1401" s="229" t="s">
        <v>1492</v>
      </c>
      <c r="E1401" s="229" t="s">
        <v>1225</v>
      </c>
      <c r="F1401" s="240">
        <v>250</v>
      </c>
      <c r="G1401" s="205">
        <v>1</v>
      </c>
      <c r="H1401" s="206">
        <v>500</v>
      </c>
      <c r="I1401" s="207">
        <v>41427</v>
      </c>
      <c r="J1401" s="197" t="str">
        <f t="shared" si="66"/>
        <v>ok</v>
      </c>
      <c r="K1401" s="419"/>
      <c r="L1401" s="419"/>
      <c r="M1401" s="419"/>
      <c r="N1401" s="419"/>
      <c r="O1401" s="419"/>
      <c r="P1401" s="419"/>
      <c r="Q1401" s="419"/>
      <c r="R1401" s="419"/>
      <c r="S1401" s="419"/>
      <c r="T1401" s="419"/>
      <c r="U1401" s="419"/>
      <c r="V1401" s="419"/>
      <c r="W1401" s="419">
        <f t="shared" si="64"/>
        <v>0</v>
      </c>
      <c r="X1401" s="412"/>
      <c r="Y1401" s="412"/>
      <c r="Z1401" s="412"/>
      <c r="AA1401" s="412"/>
      <c r="AB1401" s="412">
        <v>250</v>
      </c>
      <c r="AC1401" s="412">
        <v>250</v>
      </c>
      <c r="AD1401" s="412"/>
      <c r="AE1401" s="412"/>
      <c r="AF1401" s="412"/>
      <c r="AG1401" s="412"/>
      <c r="AH1401" s="412"/>
      <c r="AI1401" s="412"/>
      <c r="AJ1401" s="412">
        <f t="shared" si="65"/>
        <v>500</v>
      </c>
      <c r="AK1401" s="208"/>
      <c r="AL1401" s="250" t="s">
        <v>2067</v>
      </c>
    </row>
    <row r="1402" spans="1:38" x14ac:dyDescent="0.2">
      <c r="A1402" t="s">
        <v>891</v>
      </c>
      <c r="B1402" s="209">
        <v>4998</v>
      </c>
      <c r="C1402" s="210" t="s">
        <v>1052</v>
      </c>
      <c r="D1402" s="229" t="s">
        <v>1571</v>
      </c>
      <c r="E1402" s="229" t="s">
        <v>654</v>
      </c>
      <c r="F1402" s="240">
        <v>300</v>
      </c>
      <c r="G1402" s="205">
        <v>1</v>
      </c>
      <c r="H1402" s="206">
        <v>600</v>
      </c>
      <c r="I1402" s="207">
        <v>41427</v>
      </c>
      <c r="J1402" s="197" t="str">
        <f t="shared" si="66"/>
        <v>ok</v>
      </c>
      <c r="K1402" s="419"/>
      <c r="L1402" s="419"/>
      <c r="M1402" s="419"/>
      <c r="N1402" s="419"/>
      <c r="O1402" s="419"/>
      <c r="P1402" s="419"/>
      <c r="Q1402" s="419"/>
      <c r="R1402" s="419"/>
      <c r="S1402" s="419"/>
      <c r="T1402" s="419"/>
      <c r="U1402" s="419"/>
      <c r="V1402" s="419"/>
      <c r="W1402" s="419">
        <f t="shared" si="64"/>
        <v>0</v>
      </c>
      <c r="X1402" s="412"/>
      <c r="Y1402" s="412"/>
      <c r="Z1402" s="412"/>
      <c r="AA1402" s="412">
        <v>300</v>
      </c>
      <c r="AB1402" s="412">
        <v>300</v>
      </c>
      <c r="AC1402" s="412"/>
      <c r="AD1402" s="412"/>
      <c r="AE1402" s="412"/>
      <c r="AF1402" s="412"/>
      <c r="AG1402" s="412"/>
      <c r="AH1402" s="412"/>
      <c r="AI1402" s="412"/>
      <c r="AJ1402" s="412">
        <f t="shared" si="65"/>
        <v>600</v>
      </c>
      <c r="AK1402" s="208"/>
      <c r="AL1402" s="250" t="s">
        <v>2067</v>
      </c>
    </row>
    <row r="1403" spans="1:38" x14ac:dyDescent="0.2">
      <c r="A1403" t="s">
        <v>884</v>
      </c>
      <c r="B1403" s="209">
        <v>4999</v>
      </c>
      <c r="C1403" s="210" t="s">
        <v>843</v>
      </c>
      <c r="D1403" s="229" t="s">
        <v>1434</v>
      </c>
      <c r="E1403" s="229" t="s">
        <v>1189</v>
      </c>
      <c r="F1403" s="240">
        <v>300</v>
      </c>
      <c r="G1403" s="205">
        <v>1</v>
      </c>
      <c r="H1403" s="206">
        <v>300</v>
      </c>
      <c r="I1403" s="207">
        <v>41427</v>
      </c>
      <c r="J1403" s="197" t="str">
        <f t="shared" si="66"/>
        <v>ok</v>
      </c>
      <c r="K1403" s="419"/>
      <c r="L1403" s="419"/>
      <c r="M1403" s="419"/>
      <c r="N1403" s="419"/>
      <c r="O1403" s="419"/>
      <c r="P1403" s="419"/>
      <c r="Q1403" s="419"/>
      <c r="R1403" s="419"/>
      <c r="S1403" s="419"/>
      <c r="T1403" s="419"/>
      <c r="U1403" s="419"/>
      <c r="V1403" s="419"/>
      <c r="W1403" s="419">
        <f t="shared" si="64"/>
        <v>0</v>
      </c>
      <c r="X1403" s="412"/>
      <c r="Y1403" s="412"/>
      <c r="Z1403" s="412"/>
      <c r="AA1403" s="412"/>
      <c r="AB1403" s="412"/>
      <c r="AC1403" s="412">
        <v>300</v>
      </c>
      <c r="AD1403" s="412"/>
      <c r="AE1403" s="412"/>
      <c r="AF1403" s="412"/>
      <c r="AG1403" s="412"/>
      <c r="AH1403" s="412"/>
      <c r="AI1403" s="412"/>
      <c r="AJ1403" s="412">
        <f t="shared" si="65"/>
        <v>300</v>
      </c>
      <c r="AK1403" s="208"/>
      <c r="AL1403" s="250" t="s">
        <v>2067</v>
      </c>
    </row>
    <row r="1404" spans="1:38" x14ac:dyDescent="0.2">
      <c r="A1404" t="s">
        <v>894</v>
      </c>
      <c r="B1404" s="209">
        <v>5000</v>
      </c>
      <c r="C1404" s="210" t="s">
        <v>1167</v>
      </c>
      <c r="D1404" s="229" t="s">
        <v>1432</v>
      </c>
      <c r="E1404" s="229" t="s">
        <v>617</v>
      </c>
      <c r="F1404" s="240">
        <v>250</v>
      </c>
      <c r="G1404" s="205">
        <v>1</v>
      </c>
      <c r="H1404" s="206">
        <v>250</v>
      </c>
      <c r="I1404" s="207">
        <v>41427</v>
      </c>
      <c r="J1404" s="197" t="str">
        <f t="shared" si="66"/>
        <v>ok</v>
      </c>
      <c r="K1404" s="419"/>
      <c r="L1404" s="419"/>
      <c r="M1404" s="419"/>
      <c r="N1404" s="419"/>
      <c r="O1404" s="419"/>
      <c r="P1404" s="419"/>
      <c r="Q1404" s="419"/>
      <c r="R1404" s="419"/>
      <c r="S1404" s="419"/>
      <c r="T1404" s="419"/>
      <c r="U1404" s="419"/>
      <c r="V1404" s="419"/>
      <c r="W1404" s="419">
        <f t="shared" si="64"/>
        <v>0</v>
      </c>
      <c r="X1404" s="412"/>
      <c r="Y1404" s="412"/>
      <c r="Z1404" s="412"/>
      <c r="AA1404" s="412"/>
      <c r="AB1404" s="412"/>
      <c r="AC1404" s="412">
        <v>250</v>
      </c>
      <c r="AD1404" s="412"/>
      <c r="AE1404" s="412"/>
      <c r="AF1404" s="412"/>
      <c r="AG1404" s="412"/>
      <c r="AH1404" s="412"/>
      <c r="AI1404" s="412"/>
      <c r="AJ1404" s="412">
        <f t="shared" si="65"/>
        <v>250</v>
      </c>
      <c r="AK1404" s="208"/>
      <c r="AL1404" s="250" t="s">
        <v>2067</v>
      </c>
    </row>
    <row r="1405" spans="1:38" x14ac:dyDescent="0.2">
      <c r="A1405" t="s">
        <v>884</v>
      </c>
      <c r="B1405" s="209">
        <v>5001</v>
      </c>
      <c r="C1405" s="210" t="s">
        <v>811</v>
      </c>
      <c r="D1405" s="229" t="s">
        <v>1650</v>
      </c>
      <c r="E1405" s="229" t="s">
        <v>32</v>
      </c>
      <c r="F1405" s="240">
        <v>300</v>
      </c>
      <c r="G1405" s="205">
        <v>1</v>
      </c>
      <c r="H1405" s="206">
        <v>600</v>
      </c>
      <c r="I1405" s="207">
        <v>41428</v>
      </c>
      <c r="J1405" s="197" t="str">
        <f t="shared" si="66"/>
        <v>ok</v>
      </c>
      <c r="K1405" s="419"/>
      <c r="L1405" s="419"/>
      <c r="M1405" s="419"/>
      <c r="N1405" s="419"/>
      <c r="O1405" s="419"/>
      <c r="P1405" s="419"/>
      <c r="Q1405" s="419"/>
      <c r="R1405" s="419"/>
      <c r="S1405" s="419"/>
      <c r="T1405" s="419"/>
      <c r="U1405" s="419"/>
      <c r="V1405" s="419"/>
      <c r="W1405" s="419">
        <f t="shared" si="64"/>
        <v>0</v>
      </c>
      <c r="X1405" s="412"/>
      <c r="Y1405" s="412"/>
      <c r="Z1405" s="412"/>
      <c r="AA1405" s="412">
        <v>300</v>
      </c>
      <c r="AB1405" s="412">
        <v>300</v>
      </c>
      <c r="AC1405" s="412"/>
      <c r="AD1405" s="412"/>
      <c r="AE1405" s="412"/>
      <c r="AF1405" s="412"/>
      <c r="AG1405" s="412"/>
      <c r="AH1405" s="412"/>
      <c r="AI1405" s="412"/>
      <c r="AJ1405" s="412">
        <f t="shared" si="65"/>
        <v>600</v>
      </c>
      <c r="AK1405" s="208"/>
      <c r="AL1405" s="250" t="s">
        <v>2067</v>
      </c>
    </row>
    <row r="1406" spans="1:38" x14ac:dyDescent="0.2">
      <c r="A1406" t="s">
        <v>893</v>
      </c>
      <c r="B1406" s="209">
        <v>5002</v>
      </c>
      <c r="C1406" s="210" t="s">
        <v>1147</v>
      </c>
      <c r="D1406" s="229" t="s">
        <v>1551</v>
      </c>
      <c r="E1406" s="229" t="s">
        <v>329</v>
      </c>
      <c r="F1406" s="240">
        <v>300</v>
      </c>
      <c r="G1406" s="205">
        <v>1</v>
      </c>
      <c r="H1406" s="206">
        <v>600</v>
      </c>
      <c r="I1406" s="207">
        <v>41430</v>
      </c>
      <c r="J1406" s="197" t="str">
        <f t="shared" si="66"/>
        <v>ok</v>
      </c>
      <c r="K1406" s="419"/>
      <c r="L1406" s="419"/>
      <c r="M1406" s="419"/>
      <c r="N1406" s="419"/>
      <c r="O1406" s="419"/>
      <c r="P1406" s="419"/>
      <c r="Q1406" s="419"/>
      <c r="R1406" s="419"/>
      <c r="S1406" s="419"/>
      <c r="T1406" s="419"/>
      <c r="U1406" s="419"/>
      <c r="V1406" s="419"/>
      <c r="W1406" s="419">
        <f t="shared" si="64"/>
        <v>0</v>
      </c>
      <c r="X1406" s="412"/>
      <c r="Y1406" s="412"/>
      <c r="Z1406" s="412"/>
      <c r="AA1406" s="412"/>
      <c r="AB1406" s="412">
        <v>300</v>
      </c>
      <c r="AC1406" s="412">
        <v>300</v>
      </c>
      <c r="AD1406" s="412"/>
      <c r="AE1406" s="412"/>
      <c r="AF1406" s="412"/>
      <c r="AG1406" s="412"/>
      <c r="AH1406" s="412"/>
      <c r="AI1406" s="412"/>
      <c r="AJ1406" s="412">
        <f t="shared" si="65"/>
        <v>600</v>
      </c>
      <c r="AK1406" s="208"/>
      <c r="AL1406" s="250" t="s">
        <v>2067</v>
      </c>
    </row>
    <row r="1407" spans="1:38" x14ac:dyDescent="0.2">
      <c r="A1407" t="s">
        <v>887</v>
      </c>
      <c r="B1407" s="209">
        <v>5003</v>
      </c>
      <c r="C1407" s="210" t="s">
        <v>904</v>
      </c>
      <c r="D1407" s="229" t="s">
        <v>1361</v>
      </c>
      <c r="E1407" s="229" t="s">
        <v>667</v>
      </c>
      <c r="F1407" s="240">
        <v>300</v>
      </c>
      <c r="G1407" s="205">
        <v>1</v>
      </c>
      <c r="H1407" s="206">
        <v>300</v>
      </c>
      <c r="I1407" s="207">
        <v>41434</v>
      </c>
      <c r="J1407" s="197" t="str">
        <f t="shared" si="66"/>
        <v>ok</v>
      </c>
      <c r="K1407" s="419"/>
      <c r="L1407" s="419"/>
      <c r="M1407" s="419"/>
      <c r="N1407" s="419"/>
      <c r="O1407" s="419"/>
      <c r="P1407" s="419"/>
      <c r="Q1407" s="419"/>
      <c r="R1407" s="419"/>
      <c r="S1407" s="419"/>
      <c r="T1407" s="419"/>
      <c r="U1407" s="419"/>
      <c r="V1407" s="419"/>
      <c r="W1407" s="419">
        <f t="shared" si="64"/>
        <v>0</v>
      </c>
      <c r="X1407" s="412"/>
      <c r="Y1407" s="412"/>
      <c r="Z1407" s="412"/>
      <c r="AA1407" s="412"/>
      <c r="AB1407" s="412"/>
      <c r="AC1407" s="412">
        <v>300</v>
      </c>
      <c r="AD1407" s="412"/>
      <c r="AE1407" s="412"/>
      <c r="AF1407" s="412"/>
      <c r="AG1407" s="412"/>
      <c r="AH1407" s="412"/>
      <c r="AI1407" s="412"/>
      <c r="AJ1407" s="412">
        <f t="shared" si="65"/>
        <v>300</v>
      </c>
      <c r="AK1407" s="208"/>
      <c r="AL1407" s="250" t="s">
        <v>2067</v>
      </c>
    </row>
    <row r="1408" spans="1:38" x14ac:dyDescent="0.2">
      <c r="A1408" t="s">
        <v>884</v>
      </c>
      <c r="B1408" s="209">
        <v>5004</v>
      </c>
      <c r="C1408" s="210" t="s">
        <v>800</v>
      </c>
      <c r="D1408" s="229" t="s">
        <v>1417</v>
      </c>
      <c r="E1408" s="229" t="s">
        <v>17</v>
      </c>
      <c r="F1408" s="240">
        <v>300</v>
      </c>
      <c r="G1408" s="205">
        <v>1</v>
      </c>
      <c r="H1408" s="206">
        <v>300</v>
      </c>
      <c r="I1408" s="207">
        <v>41434</v>
      </c>
      <c r="J1408" s="197" t="str">
        <f t="shared" si="66"/>
        <v>ok</v>
      </c>
      <c r="K1408" s="419"/>
      <c r="L1408" s="419"/>
      <c r="M1408" s="419"/>
      <c r="N1408" s="419"/>
      <c r="O1408" s="419"/>
      <c r="P1408" s="419"/>
      <c r="Q1408" s="419"/>
      <c r="R1408" s="419"/>
      <c r="S1408" s="419"/>
      <c r="T1408" s="419"/>
      <c r="U1408" s="419"/>
      <c r="V1408" s="419"/>
      <c r="W1408" s="419">
        <f t="shared" si="64"/>
        <v>0</v>
      </c>
      <c r="X1408" s="412"/>
      <c r="Y1408" s="412"/>
      <c r="Z1408" s="412">
        <v>300</v>
      </c>
      <c r="AA1408" s="412"/>
      <c r="AB1408" s="412"/>
      <c r="AC1408" s="412"/>
      <c r="AD1408" s="412"/>
      <c r="AE1408" s="412"/>
      <c r="AF1408" s="412"/>
      <c r="AG1408" s="412"/>
      <c r="AH1408" s="412"/>
      <c r="AI1408" s="412"/>
      <c r="AJ1408" s="412">
        <f t="shared" si="65"/>
        <v>300</v>
      </c>
      <c r="AK1408" s="208"/>
      <c r="AL1408" s="250" t="s">
        <v>2067</v>
      </c>
    </row>
    <row r="1409" spans="1:38" x14ac:dyDescent="0.2">
      <c r="A1409" t="s">
        <v>884</v>
      </c>
      <c r="B1409" s="209">
        <v>5005</v>
      </c>
      <c r="C1409" s="210" t="s">
        <v>840</v>
      </c>
      <c r="D1409" s="229" t="s">
        <v>1538</v>
      </c>
      <c r="E1409" s="229" t="s">
        <v>79</v>
      </c>
      <c r="F1409" s="240">
        <v>300</v>
      </c>
      <c r="G1409" s="205">
        <v>1</v>
      </c>
      <c r="H1409" s="206">
        <v>600</v>
      </c>
      <c r="I1409" s="207">
        <v>41434</v>
      </c>
      <c r="J1409" s="197" t="str">
        <f t="shared" si="66"/>
        <v>ok</v>
      </c>
      <c r="K1409" s="419"/>
      <c r="L1409" s="419"/>
      <c r="M1409" s="419"/>
      <c r="N1409" s="419"/>
      <c r="O1409" s="419"/>
      <c r="P1409" s="419"/>
      <c r="Q1409" s="419"/>
      <c r="R1409" s="419"/>
      <c r="S1409" s="419"/>
      <c r="T1409" s="419"/>
      <c r="U1409" s="419"/>
      <c r="V1409" s="419"/>
      <c r="W1409" s="419">
        <f t="shared" si="64"/>
        <v>0</v>
      </c>
      <c r="X1409" s="412"/>
      <c r="Y1409" s="412"/>
      <c r="Z1409" s="412"/>
      <c r="AA1409" s="412">
        <v>300</v>
      </c>
      <c r="AB1409" s="412">
        <v>300</v>
      </c>
      <c r="AC1409" s="412"/>
      <c r="AD1409" s="412"/>
      <c r="AE1409" s="412"/>
      <c r="AF1409" s="412"/>
      <c r="AG1409" s="412"/>
      <c r="AH1409" s="412"/>
      <c r="AI1409" s="412"/>
      <c r="AJ1409" s="412">
        <f t="shared" si="65"/>
        <v>600</v>
      </c>
      <c r="AK1409" s="208"/>
      <c r="AL1409" s="250" t="s">
        <v>2067</v>
      </c>
    </row>
    <row r="1410" spans="1:38" x14ac:dyDescent="0.2">
      <c r="A1410" t="s">
        <v>884</v>
      </c>
      <c r="B1410" s="209">
        <v>5006</v>
      </c>
      <c r="C1410" s="210" t="s">
        <v>867</v>
      </c>
      <c r="D1410" s="229" t="s">
        <v>1513</v>
      </c>
      <c r="E1410" s="229" t="s">
        <v>118</v>
      </c>
      <c r="F1410" s="240">
        <v>300</v>
      </c>
      <c r="G1410" s="205">
        <v>1</v>
      </c>
      <c r="H1410" s="206">
        <v>300</v>
      </c>
      <c r="I1410" s="207">
        <v>41434</v>
      </c>
      <c r="J1410" s="197" t="str">
        <f t="shared" si="66"/>
        <v>ok</v>
      </c>
      <c r="K1410" s="419"/>
      <c r="L1410" s="419"/>
      <c r="M1410" s="419"/>
      <c r="N1410" s="419"/>
      <c r="O1410" s="419"/>
      <c r="P1410" s="419"/>
      <c r="Q1410" s="419"/>
      <c r="R1410" s="419"/>
      <c r="S1410" s="419"/>
      <c r="T1410" s="419"/>
      <c r="U1410" s="419"/>
      <c r="V1410" s="419"/>
      <c r="W1410" s="419">
        <f t="shared" si="64"/>
        <v>0</v>
      </c>
      <c r="X1410" s="412"/>
      <c r="Y1410" s="412"/>
      <c r="Z1410" s="412"/>
      <c r="AA1410" s="412"/>
      <c r="AB1410" s="412"/>
      <c r="AC1410" s="412">
        <v>300</v>
      </c>
      <c r="AD1410" s="412"/>
      <c r="AE1410" s="412"/>
      <c r="AF1410" s="412"/>
      <c r="AG1410" s="412"/>
      <c r="AH1410" s="412"/>
      <c r="AI1410" s="412"/>
      <c r="AJ1410" s="412">
        <f t="shared" si="65"/>
        <v>300</v>
      </c>
      <c r="AK1410" s="208"/>
      <c r="AL1410" s="250" t="s">
        <v>2067</v>
      </c>
    </row>
    <row r="1411" spans="1:38" x14ac:dyDescent="0.2">
      <c r="A1411" t="s">
        <v>893</v>
      </c>
      <c r="B1411" s="209">
        <v>5007</v>
      </c>
      <c r="C1411" s="210" t="s">
        <v>1117</v>
      </c>
      <c r="D1411" s="229" t="s">
        <v>1430</v>
      </c>
      <c r="E1411" s="229" t="s">
        <v>271</v>
      </c>
      <c r="F1411" s="240">
        <v>300</v>
      </c>
      <c r="G1411" s="205">
        <v>1</v>
      </c>
      <c r="H1411" s="206">
        <v>300</v>
      </c>
      <c r="I1411" s="207">
        <v>41434</v>
      </c>
      <c r="J1411" s="197" t="str">
        <f t="shared" si="66"/>
        <v>ok</v>
      </c>
      <c r="K1411" s="419"/>
      <c r="L1411" s="419"/>
      <c r="M1411" s="419"/>
      <c r="N1411" s="419"/>
      <c r="O1411" s="419"/>
      <c r="P1411" s="419"/>
      <c r="Q1411" s="419"/>
      <c r="R1411" s="419"/>
      <c r="S1411" s="419"/>
      <c r="T1411" s="419"/>
      <c r="U1411" s="419"/>
      <c r="V1411" s="419"/>
      <c r="W1411" s="419">
        <f t="shared" si="64"/>
        <v>0</v>
      </c>
      <c r="X1411" s="412"/>
      <c r="Y1411" s="412"/>
      <c r="Z1411" s="412"/>
      <c r="AA1411" s="412"/>
      <c r="AB1411" s="412"/>
      <c r="AC1411" s="412">
        <v>300</v>
      </c>
      <c r="AD1411" s="412"/>
      <c r="AE1411" s="412"/>
      <c r="AF1411" s="412"/>
      <c r="AG1411" s="412"/>
      <c r="AH1411" s="412"/>
      <c r="AI1411" s="412"/>
      <c r="AJ1411" s="412">
        <f t="shared" si="65"/>
        <v>300</v>
      </c>
      <c r="AK1411" s="208"/>
      <c r="AL1411" s="250" t="s">
        <v>2067</v>
      </c>
    </row>
    <row r="1412" spans="1:38" x14ac:dyDescent="0.2">
      <c r="A1412" t="s">
        <v>893</v>
      </c>
      <c r="B1412" s="209">
        <v>5008</v>
      </c>
      <c r="C1412" s="210" t="s">
        <v>1136</v>
      </c>
      <c r="D1412" s="229" t="s">
        <v>1502</v>
      </c>
      <c r="E1412" s="229" t="s">
        <v>308</v>
      </c>
      <c r="F1412" s="240">
        <v>300</v>
      </c>
      <c r="G1412" s="205">
        <v>1</v>
      </c>
      <c r="H1412" s="206">
        <v>300</v>
      </c>
      <c r="I1412" s="207">
        <v>41434</v>
      </c>
      <c r="J1412" s="197" t="str">
        <f t="shared" si="66"/>
        <v>ok</v>
      </c>
      <c r="K1412" s="419"/>
      <c r="L1412" s="419"/>
      <c r="M1412" s="419"/>
      <c r="N1412" s="419"/>
      <c r="O1412" s="419"/>
      <c r="P1412" s="419"/>
      <c r="Q1412" s="419"/>
      <c r="R1412" s="419"/>
      <c r="S1412" s="419"/>
      <c r="T1412" s="419"/>
      <c r="U1412" s="419"/>
      <c r="V1412" s="419"/>
      <c r="W1412" s="419">
        <f t="shared" si="64"/>
        <v>0</v>
      </c>
      <c r="X1412" s="412"/>
      <c r="Y1412" s="412"/>
      <c r="Z1412" s="412"/>
      <c r="AA1412" s="412"/>
      <c r="AB1412" s="412"/>
      <c r="AC1412" s="412">
        <v>300</v>
      </c>
      <c r="AD1412" s="412"/>
      <c r="AE1412" s="412"/>
      <c r="AF1412" s="412"/>
      <c r="AG1412" s="412"/>
      <c r="AH1412" s="412"/>
      <c r="AI1412" s="412"/>
      <c r="AJ1412" s="412">
        <f t="shared" si="65"/>
        <v>300</v>
      </c>
      <c r="AK1412" s="208"/>
      <c r="AL1412" s="250" t="s">
        <v>2067</v>
      </c>
    </row>
    <row r="1413" spans="1:38" x14ac:dyDescent="0.2">
      <c r="A1413" t="s">
        <v>894</v>
      </c>
      <c r="B1413" s="209">
        <v>5009</v>
      </c>
      <c r="C1413" s="210" t="s">
        <v>1161</v>
      </c>
      <c r="D1413" s="229" t="s">
        <v>1582</v>
      </c>
      <c r="E1413" s="229" t="s">
        <v>605</v>
      </c>
      <c r="F1413" s="240">
        <v>300</v>
      </c>
      <c r="G1413" s="205">
        <v>1</v>
      </c>
      <c r="H1413" s="206">
        <v>300</v>
      </c>
      <c r="I1413" s="207">
        <v>41434</v>
      </c>
      <c r="J1413" s="197" t="str">
        <f t="shared" si="66"/>
        <v>ok</v>
      </c>
      <c r="K1413" s="419"/>
      <c r="L1413" s="419"/>
      <c r="M1413" s="419"/>
      <c r="N1413" s="419"/>
      <c r="O1413" s="419"/>
      <c r="P1413" s="419"/>
      <c r="Q1413" s="419"/>
      <c r="R1413" s="419"/>
      <c r="S1413" s="419"/>
      <c r="T1413" s="419"/>
      <c r="U1413" s="419"/>
      <c r="V1413" s="419"/>
      <c r="W1413" s="419">
        <f t="shared" si="64"/>
        <v>0</v>
      </c>
      <c r="X1413" s="412"/>
      <c r="Y1413" s="412"/>
      <c r="Z1413" s="412"/>
      <c r="AA1413" s="412"/>
      <c r="AB1413" s="412"/>
      <c r="AC1413" s="412">
        <v>300</v>
      </c>
      <c r="AD1413" s="412"/>
      <c r="AE1413" s="412"/>
      <c r="AF1413" s="412"/>
      <c r="AG1413" s="412"/>
      <c r="AH1413" s="412"/>
      <c r="AI1413" s="412"/>
      <c r="AJ1413" s="412">
        <f t="shared" si="65"/>
        <v>300</v>
      </c>
      <c r="AK1413" s="208"/>
      <c r="AL1413" s="250" t="s">
        <v>2067</v>
      </c>
    </row>
    <row r="1414" spans="1:38" x14ac:dyDescent="0.2">
      <c r="A1414" t="s">
        <v>884</v>
      </c>
      <c r="B1414" s="209">
        <v>5010</v>
      </c>
      <c r="C1414" s="210" t="s">
        <v>854</v>
      </c>
      <c r="D1414" s="229" t="s">
        <v>1478</v>
      </c>
      <c r="E1414" s="229" t="s">
        <v>95</v>
      </c>
      <c r="F1414" s="240">
        <v>300</v>
      </c>
      <c r="G1414" s="205">
        <v>1</v>
      </c>
      <c r="H1414" s="206">
        <v>600</v>
      </c>
      <c r="I1414" s="207">
        <v>41434</v>
      </c>
      <c r="J1414" s="197" t="str">
        <f t="shared" si="66"/>
        <v>ok</v>
      </c>
      <c r="K1414" s="419"/>
      <c r="L1414" s="419"/>
      <c r="M1414" s="419"/>
      <c r="N1414" s="419"/>
      <c r="O1414" s="419"/>
      <c r="P1414" s="419"/>
      <c r="Q1414" s="419"/>
      <c r="R1414" s="419"/>
      <c r="S1414" s="419"/>
      <c r="T1414" s="419"/>
      <c r="U1414" s="419"/>
      <c r="V1414" s="419"/>
      <c r="W1414" s="419">
        <f t="shared" si="64"/>
        <v>0</v>
      </c>
      <c r="X1414" s="412"/>
      <c r="Y1414" s="412"/>
      <c r="Z1414" s="412"/>
      <c r="AA1414" s="412"/>
      <c r="AB1414" s="412"/>
      <c r="AC1414" s="412">
        <v>300</v>
      </c>
      <c r="AD1414" s="412">
        <v>300</v>
      </c>
      <c r="AE1414" s="412"/>
      <c r="AF1414" s="412"/>
      <c r="AG1414" s="412"/>
      <c r="AH1414" s="412"/>
      <c r="AI1414" s="412"/>
      <c r="AJ1414" s="412">
        <f t="shared" si="65"/>
        <v>600</v>
      </c>
      <c r="AK1414" s="208"/>
      <c r="AL1414" s="250" t="s">
        <v>2067</v>
      </c>
    </row>
    <row r="1415" spans="1:38" x14ac:dyDescent="0.2">
      <c r="A1415" t="s">
        <v>894</v>
      </c>
      <c r="B1415" s="209">
        <v>5011</v>
      </c>
      <c r="C1415" s="210" t="s">
        <v>1161</v>
      </c>
      <c r="D1415" s="229" t="s">
        <v>1582</v>
      </c>
      <c r="E1415" s="229" t="s">
        <v>605</v>
      </c>
      <c r="F1415" s="240">
        <v>300</v>
      </c>
      <c r="G1415" s="205">
        <v>1</v>
      </c>
      <c r="H1415" s="206">
        <v>300</v>
      </c>
      <c r="I1415" s="207">
        <v>41434</v>
      </c>
      <c r="J1415" s="197" t="str">
        <f t="shared" si="66"/>
        <v>ok</v>
      </c>
      <c r="K1415" s="419"/>
      <c r="L1415" s="419"/>
      <c r="M1415" s="419"/>
      <c r="N1415" s="419"/>
      <c r="O1415" s="419"/>
      <c r="P1415" s="419"/>
      <c r="Q1415" s="419"/>
      <c r="R1415" s="419"/>
      <c r="S1415" s="419"/>
      <c r="T1415" s="419"/>
      <c r="U1415" s="419"/>
      <c r="V1415" s="419"/>
      <c r="W1415" s="419">
        <f t="shared" ref="W1415:W1478" si="67">SUM(K1415:V1415)</f>
        <v>0</v>
      </c>
      <c r="X1415" s="412"/>
      <c r="Y1415" s="412"/>
      <c r="Z1415" s="412"/>
      <c r="AA1415" s="412"/>
      <c r="AB1415" s="412"/>
      <c r="AC1415" s="412"/>
      <c r="AD1415" s="412">
        <v>300</v>
      </c>
      <c r="AE1415" s="412"/>
      <c r="AF1415" s="412"/>
      <c r="AG1415" s="412"/>
      <c r="AH1415" s="412"/>
      <c r="AI1415" s="412"/>
      <c r="AJ1415" s="412">
        <f t="shared" ref="AJ1415:AJ1478" si="68">SUM(X1415:AI1415)</f>
        <v>300</v>
      </c>
      <c r="AK1415" s="208"/>
      <c r="AL1415" s="250" t="s">
        <v>2067</v>
      </c>
    </row>
    <row r="1416" spans="1:38" x14ac:dyDescent="0.2">
      <c r="A1416" t="s">
        <v>884</v>
      </c>
      <c r="B1416" s="209">
        <v>5012</v>
      </c>
      <c r="C1416" s="210" t="s">
        <v>788</v>
      </c>
      <c r="D1416" s="229" t="s">
        <v>1468</v>
      </c>
      <c r="E1416" s="229" t="s">
        <v>1269</v>
      </c>
      <c r="F1416" s="240">
        <v>300</v>
      </c>
      <c r="G1416" s="205">
        <v>1</v>
      </c>
      <c r="H1416" s="206">
        <v>300</v>
      </c>
      <c r="I1416" s="207">
        <v>41434</v>
      </c>
      <c r="J1416" s="197" t="str">
        <f t="shared" si="66"/>
        <v>ok</v>
      </c>
      <c r="K1416" s="419"/>
      <c r="L1416" s="419"/>
      <c r="M1416" s="419"/>
      <c r="N1416" s="419"/>
      <c r="O1416" s="419"/>
      <c r="P1416" s="419"/>
      <c r="Q1416" s="419"/>
      <c r="R1416" s="419"/>
      <c r="S1416" s="419"/>
      <c r="T1416" s="419"/>
      <c r="U1416" s="419"/>
      <c r="V1416" s="419"/>
      <c r="W1416" s="419">
        <f t="shared" si="67"/>
        <v>0</v>
      </c>
      <c r="X1416" s="412"/>
      <c r="Y1416" s="412"/>
      <c r="Z1416" s="412"/>
      <c r="AA1416" s="412"/>
      <c r="AB1416" s="412"/>
      <c r="AC1416" s="412">
        <v>300</v>
      </c>
      <c r="AD1416" s="412"/>
      <c r="AE1416" s="412"/>
      <c r="AF1416" s="412"/>
      <c r="AG1416" s="412"/>
      <c r="AH1416" s="412"/>
      <c r="AI1416" s="412"/>
      <c r="AJ1416" s="412">
        <f t="shared" si="68"/>
        <v>300</v>
      </c>
      <c r="AK1416" s="208"/>
      <c r="AL1416" s="250" t="s">
        <v>2067</v>
      </c>
    </row>
    <row r="1417" spans="1:38" x14ac:dyDescent="0.2">
      <c r="A1417" t="s">
        <v>884</v>
      </c>
      <c r="B1417" s="209">
        <v>5013</v>
      </c>
      <c r="C1417" s="210" t="s">
        <v>802</v>
      </c>
      <c r="D1417" s="229" t="s">
        <v>1412</v>
      </c>
      <c r="E1417" s="229" t="s">
        <v>19</v>
      </c>
      <c r="F1417" s="240">
        <v>300</v>
      </c>
      <c r="G1417" s="205">
        <v>1</v>
      </c>
      <c r="H1417" s="206">
        <v>300</v>
      </c>
      <c r="I1417" s="207">
        <v>41434</v>
      </c>
      <c r="J1417" s="197" t="str">
        <f t="shared" si="66"/>
        <v>ok</v>
      </c>
      <c r="K1417" s="419"/>
      <c r="L1417" s="419"/>
      <c r="M1417" s="419"/>
      <c r="N1417" s="419"/>
      <c r="O1417" s="419"/>
      <c r="P1417" s="419"/>
      <c r="Q1417" s="419"/>
      <c r="R1417" s="419"/>
      <c r="S1417" s="419"/>
      <c r="T1417" s="419"/>
      <c r="U1417" s="419"/>
      <c r="V1417" s="419"/>
      <c r="W1417" s="419">
        <f t="shared" si="67"/>
        <v>0</v>
      </c>
      <c r="X1417" s="412"/>
      <c r="Y1417" s="412"/>
      <c r="Z1417" s="412"/>
      <c r="AA1417" s="412"/>
      <c r="AB1417" s="412"/>
      <c r="AC1417" s="412">
        <v>300</v>
      </c>
      <c r="AD1417" s="412"/>
      <c r="AE1417" s="412"/>
      <c r="AF1417" s="412"/>
      <c r="AG1417" s="412"/>
      <c r="AH1417" s="412"/>
      <c r="AI1417" s="412"/>
      <c r="AJ1417" s="412">
        <f t="shared" si="68"/>
        <v>300</v>
      </c>
      <c r="AK1417" s="208"/>
      <c r="AL1417" s="250" t="s">
        <v>2067</v>
      </c>
    </row>
    <row r="1418" spans="1:38" x14ac:dyDescent="0.2">
      <c r="A1418" t="s">
        <v>884</v>
      </c>
      <c r="B1418" s="209">
        <v>5014</v>
      </c>
      <c r="C1418" s="210" t="s">
        <v>861</v>
      </c>
      <c r="D1418" s="229" t="s">
        <v>1446</v>
      </c>
      <c r="E1418" s="229" t="s">
        <v>1208</v>
      </c>
      <c r="F1418" s="240">
        <v>150</v>
      </c>
      <c r="G1418" s="205">
        <v>1</v>
      </c>
      <c r="H1418" s="206">
        <v>150</v>
      </c>
      <c r="I1418" s="207">
        <v>41434</v>
      </c>
      <c r="J1418" s="197" t="str">
        <f t="shared" si="66"/>
        <v>ok</v>
      </c>
      <c r="K1418" s="419"/>
      <c r="L1418" s="419"/>
      <c r="M1418" s="419"/>
      <c r="N1418" s="419"/>
      <c r="O1418" s="419"/>
      <c r="P1418" s="419"/>
      <c r="Q1418" s="419"/>
      <c r="R1418" s="419"/>
      <c r="S1418" s="419"/>
      <c r="T1418" s="419"/>
      <c r="U1418" s="419"/>
      <c r="V1418" s="419"/>
      <c r="W1418" s="419">
        <f t="shared" si="67"/>
        <v>0</v>
      </c>
      <c r="X1418" s="412"/>
      <c r="Y1418" s="412"/>
      <c r="Z1418" s="412"/>
      <c r="AA1418" s="412"/>
      <c r="AB1418" s="412"/>
      <c r="AC1418" s="412">
        <v>150</v>
      </c>
      <c r="AD1418" s="412"/>
      <c r="AE1418" s="412"/>
      <c r="AF1418" s="412"/>
      <c r="AG1418" s="412"/>
      <c r="AH1418" s="412"/>
      <c r="AI1418" s="412"/>
      <c r="AJ1418" s="412">
        <f t="shared" si="68"/>
        <v>150</v>
      </c>
      <c r="AK1418" s="208"/>
      <c r="AL1418" s="250" t="s">
        <v>2067</v>
      </c>
    </row>
    <row r="1419" spans="1:38" x14ac:dyDescent="0.2">
      <c r="A1419" t="s">
        <v>894</v>
      </c>
      <c r="B1419" s="209">
        <v>5015</v>
      </c>
      <c r="C1419" s="210" t="s">
        <v>1160</v>
      </c>
      <c r="D1419" s="229" t="s">
        <v>1608</v>
      </c>
      <c r="E1419" s="229" t="s">
        <v>1275</v>
      </c>
      <c r="F1419" s="240">
        <v>300</v>
      </c>
      <c r="G1419" s="205">
        <v>1</v>
      </c>
      <c r="H1419" s="206">
        <v>300</v>
      </c>
      <c r="I1419" s="207">
        <v>41434</v>
      </c>
      <c r="J1419" s="197" t="str">
        <f t="shared" si="66"/>
        <v>ok</v>
      </c>
      <c r="K1419" s="419"/>
      <c r="L1419" s="419"/>
      <c r="M1419" s="419"/>
      <c r="N1419" s="419"/>
      <c r="O1419" s="419"/>
      <c r="P1419" s="419"/>
      <c r="Q1419" s="419"/>
      <c r="R1419" s="419"/>
      <c r="S1419" s="419"/>
      <c r="T1419" s="419"/>
      <c r="U1419" s="419"/>
      <c r="V1419" s="419"/>
      <c r="W1419" s="419">
        <f t="shared" si="67"/>
        <v>0</v>
      </c>
      <c r="X1419" s="412"/>
      <c r="Y1419" s="412"/>
      <c r="Z1419" s="412"/>
      <c r="AA1419" s="412"/>
      <c r="AB1419" s="412"/>
      <c r="AC1419" s="412">
        <v>300</v>
      </c>
      <c r="AD1419" s="412"/>
      <c r="AE1419" s="412"/>
      <c r="AF1419" s="412"/>
      <c r="AG1419" s="412"/>
      <c r="AH1419" s="412"/>
      <c r="AI1419" s="412"/>
      <c r="AJ1419" s="412">
        <f t="shared" si="68"/>
        <v>300</v>
      </c>
      <c r="AK1419" s="208"/>
      <c r="AL1419" s="250" t="s">
        <v>2067</v>
      </c>
    </row>
    <row r="1420" spans="1:38" x14ac:dyDescent="0.2">
      <c r="A1420" t="s">
        <v>893</v>
      </c>
      <c r="B1420" s="209">
        <v>5016</v>
      </c>
      <c r="C1420" s="210" t="s">
        <v>1137</v>
      </c>
      <c r="D1420" s="229" t="s">
        <v>1463</v>
      </c>
      <c r="E1420" s="229" t="s">
        <v>310</v>
      </c>
      <c r="F1420" s="240">
        <v>300</v>
      </c>
      <c r="G1420" s="205">
        <v>1</v>
      </c>
      <c r="H1420" s="206">
        <v>300</v>
      </c>
      <c r="I1420" s="207">
        <v>41434</v>
      </c>
      <c r="J1420" s="197" t="str">
        <f t="shared" si="66"/>
        <v>ok</v>
      </c>
      <c r="K1420" s="419"/>
      <c r="L1420" s="419"/>
      <c r="M1420" s="419"/>
      <c r="N1420" s="419"/>
      <c r="O1420" s="419"/>
      <c r="P1420" s="419"/>
      <c r="Q1420" s="419"/>
      <c r="R1420" s="419"/>
      <c r="S1420" s="419"/>
      <c r="T1420" s="419"/>
      <c r="U1420" s="419"/>
      <c r="V1420" s="419"/>
      <c r="W1420" s="419">
        <f t="shared" si="67"/>
        <v>0</v>
      </c>
      <c r="X1420" s="412"/>
      <c r="Y1420" s="412"/>
      <c r="Z1420" s="412"/>
      <c r="AA1420" s="412"/>
      <c r="AB1420" s="412"/>
      <c r="AC1420" s="412">
        <v>300</v>
      </c>
      <c r="AD1420" s="412"/>
      <c r="AE1420" s="412"/>
      <c r="AF1420" s="412"/>
      <c r="AG1420" s="412"/>
      <c r="AH1420" s="412"/>
      <c r="AI1420" s="412"/>
      <c r="AJ1420" s="412">
        <f t="shared" si="68"/>
        <v>300</v>
      </c>
      <c r="AK1420" s="208"/>
      <c r="AL1420" s="250" t="s">
        <v>2067</v>
      </c>
    </row>
    <row r="1421" spans="1:38" x14ac:dyDescent="0.2">
      <c r="A1421" t="s">
        <v>892</v>
      </c>
      <c r="B1421" s="209">
        <v>5017</v>
      </c>
      <c r="C1421" s="210" t="s">
        <v>1060</v>
      </c>
      <c r="D1421" s="229" t="s">
        <v>1460</v>
      </c>
      <c r="E1421" s="229" t="s">
        <v>737</v>
      </c>
      <c r="F1421" s="240">
        <v>300</v>
      </c>
      <c r="G1421" s="205">
        <v>1</v>
      </c>
      <c r="H1421" s="206">
        <v>300</v>
      </c>
      <c r="I1421" s="207">
        <v>41434</v>
      </c>
      <c r="J1421" s="197" t="str">
        <f t="shared" si="66"/>
        <v>ok</v>
      </c>
      <c r="K1421" s="419"/>
      <c r="L1421" s="419"/>
      <c r="M1421" s="419"/>
      <c r="N1421" s="419"/>
      <c r="O1421" s="419"/>
      <c r="P1421" s="419"/>
      <c r="Q1421" s="419"/>
      <c r="R1421" s="419"/>
      <c r="S1421" s="419"/>
      <c r="T1421" s="419"/>
      <c r="U1421" s="419"/>
      <c r="V1421" s="419"/>
      <c r="W1421" s="419">
        <f t="shared" si="67"/>
        <v>0</v>
      </c>
      <c r="X1421" s="412"/>
      <c r="Y1421" s="412"/>
      <c r="Z1421" s="412"/>
      <c r="AA1421" s="412"/>
      <c r="AB1421" s="412"/>
      <c r="AC1421" s="412">
        <v>300</v>
      </c>
      <c r="AD1421" s="412"/>
      <c r="AE1421" s="412"/>
      <c r="AF1421" s="412"/>
      <c r="AG1421" s="412"/>
      <c r="AH1421" s="412"/>
      <c r="AI1421" s="412"/>
      <c r="AJ1421" s="412">
        <f t="shared" si="68"/>
        <v>300</v>
      </c>
      <c r="AK1421" s="208"/>
      <c r="AL1421" s="250" t="s">
        <v>2067</v>
      </c>
    </row>
    <row r="1422" spans="1:38" x14ac:dyDescent="0.2">
      <c r="A1422" t="s">
        <v>892</v>
      </c>
      <c r="B1422" s="209">
        <v>5018</v>
      </c>
      <c r="C1422" s="210" t="s">
        <v>776</v>
      </c>
      <c r="D1422" s="229" t="s">
        <v>1413</v>
      </c>
      <c r="E1422" s="229" t="s">
        <v>736</v>
      </c>
      <c r="F1422" s="240">
        <v>300</v>
      </c>
      <c r="G1422" s="205">
        <v>1</v>
      </c>
      <c r="H1422" s="206">
        <v>300</v>
      </c>
      <c r="I1422" s="207">
        <v>41434</v>
      </c>
      <c r="J1422" s="197" t="str">
        <f t="shared" ref="J1422:J1485" si="69">IF(OR(G1422&lt;&gt;1,SUM(W1422,AJ1422)=H1422),"ok","error")</f>
        <v>ok</v>
      </c>
      <c r="K1422" s="419"/>
      <c r="L1422" s="419"/>
      <c r="M1422" s="419"/>
      <c r="N1422" s="419"/>
      <c r="O1422" s="419"/>
      <c r="P1422" s="419"/>
      <c r="Q1422" s="419"/>
      <c r="R1422" s="419"/>
      <c r="S1422" s="419"/>
      <c r="T1422" s="419"/>
      <c r="U1422" s="419"/>
      <c r="V1422" s="419"/>
      <c r="W1422" s="419">
        <f t="shared" si="67"/>
        <v>0</v>
      </c>
      <c r="X1422" s="412"/>
      <c r="Y1422" s="412"/>
      <c r="Z1422" s="412"/>
      <c r="AA1422" s="412"/>
      <c r="AB1422" s="412"/>
      <c r="AC1422" s="412">
        <v>300</v>
      </c>
      <c r="AD1422" s="412"/>
      <c r="AE1422" s="412"/>
      <c r="AF1422" s="412"/>
      <c r="AG1422" s="412"/>
      <c r="AH1422" s="412"/>
      <c r="AI1422" s="412"/>
      <c r="AJ1422" s="412">
        <f t="shared" si="68"/>
        <v>300</v>
      </c>
      <c r="AK1422" s="208"/>
      <c r="AL1422" s="250" t="s">
        <v>2067</v>
      </c>
    </row>
    <row r="1423" spans="1:38" x14ac:dyDescent="0.2">
      <c r="A1423" t="s">
        <v>888</v>
      </c>
      <c r="B1423" s="209">
        <v>5019</v>
      </c>
      <c r="C1423" s="210" t="s">
        <v>941</v>
      </c>
      <c r="D1423" s="229" t="s">
        <v>1665</v>
      </c>
      <c r="E1423" s="229" t="s">
        <v>399</v>
      </c>
      <c r="F1423" s="240">
        <v>300</v>
      </c>
      <c r="G1423" s="205">
        <v>3</v>
      </c>
      <c r="H1423" s="206">
        <v>150</v>
      </c>
      <c r="I1423" s="207">
        <v>41434</v>
      </c>
      <c r="J1423" s="197" t="str">
        <f t="shared" si="69"/>
        <v>ok</v>
      </c>
      <c r="K1423" s="419"/>
      <c r="L1423" s="419"/>
      <c r="M1423" s="419"/>
      <c r="N1423" s="419"/>
      <c r="O1423" s="419"/>
      <c r="P1423" s="419"/>
      <c r="Q1423" s="419"/>
      <c r="R1423" s="419"/>
      <c r="S1423" s="419"/>
      <c r="T1423" s="419"/>
      <c r="U1423" s="419"/>
      <c r="V1423" s="419"/>
      <c r="W1423" s="419">
        <f t="shared" si="67"/>
        <v>0</v>
      </c>
      <c r="X1423" s="412"/>
      <c r="Y1423" s="412"/>
      <c r="Z1423" s="412"/>
      <c r="AA1423" s="412"/>
      <c r="AB1423" s="412"/>
      <c r="AC1423" s="412"/>
      <c r="AD1423" s="412"/>
      <c r="AE1423" s="412"/>
      <c r="AF1423" s="412"/>
      <c r="AG1423" s="412"/>
      <c r="AH1423" s="412"/>
      <c r="AI1423" s="412"/>
      <c r="AJ1423" s="412">
        <f t="shared" si="68"/>
        <v>0</v>
      </c>
      <c r="AK1423" s="208"/>
      <c r="AL1423" s="250" t="s">
        <v>2068</v>
      </c>
    </row>
    <row r="1424" spans="1:38" x14ac:dyDescent="0.2">
      <c r="A1424" t="s">
        <v>884</v>
      </c>
      <c r="B1424" s="209">
        <v>5020</v>
      </c>
      <c r="C1424" s="210" t="s">
        <v>872</v>
      </c>
      <c r="D1424" s="229" t="s">
        <v>1501</v>
      </c>
      <c r="E1424" s="229" t="s">
        <v>125</v>
      </c>
      <c r="F1424" s="240">
        <v>300</v>
      </c>
      <c r="G1424" s="205">
        <v>1</v>
      </c>
      <c r="H1424" s="206">
        <v>300</v>
      </c>
      <c r="I1424" s="207">
        <v>41434</v>
      </c>
      <c r="J1424" s="197" t="str">
        <f t="shared" si="69"/>
        <v>ok</v>
      </c>
      <c r="K1424" s="419"/>
      <c r="L1424" s="419"/>
      <c r="M1424" s="419"/>
      <c r="N1424" s="419"/>
      <c r="O1424" s="419"/>
      <c r="P1424" s="419"/>
      <c r="Q1424" s="419"/>
      <c r="R1424" s="419"/>
      <c r="S1424" s="419"/>
      <c r="T1424" s="419"/>
      <c r="U1424" s="419"/>
      <c r="V1424" s="419"/>
      <c r="W1424" s="419">
        <f t="shared" si="67"/>
        <v>0</v>
      </c>
      <c r="X1424" s="412"/>
      <c r="Y1424" s="412"/>
      <c r="Z1424" s="412"/>
      <c r="AA1424" s="412"/>
      <c r="AB1424" s="412"/>
      <c r="AC1424" s="412">
        <v>300</v>
      </c>
      <c r="AD1424" s="412"/>
      <c r="AE1424" s="412"/>
      <c r="AF1424" s="412"/>
      <c r="AG1424" s="412"/>
      <c r="AH1424" s="412"/>
      <c r="AI1424" s="412"/>
      <c r="AJ1424" s="412">
        <f t="shared" si="68"/>
        <v>300</v>
      </c>
      <c r="AK1424" s="208"/>
      <c r="AL1424" s="250" t="s">
        <v>2067</v>
      </c>
    </row>
    <row r="1425" spans="1:38" x14ac:dyDescent="0.2">
      <c r="A1425" t="s">
        <v>893</v>
      </c>
      <c r="B1425" s="209">
        <v>5021</v>
      </c>
      <c r="C1425" s="210" t="s">
        <v>1146</v>
      </c>
      <c r="D1425" s="229" t="s">
        <v>1576</v>
      </c>
      <c r="E1425" s="229" t="s">
        <v>327</v>
      </c>
      <c r="F1425" s="240">
        <v>300</v>
      </c>
      <c r="G1425" s="205">
        <v>1</v>
      </c>
      <c r="H1425" s="206">
        <v>600</v>
      </c>
      <c r="I1425" s="207">
        <v>41434</v>
      </c>
      <c r="J1425" s="197" t="str">
        <f t="shared" si="69"/>
        <v>ok</v>
      </c>
      <c r="K1425" s="419"/>
      <c r="L1425" s="419"/>
      <c r="M1425" s="419"/>
      <c r="N1425" s="419"/>
      <c r="O1425" s="419"/>
      <c r="P1425" s="419"/>
      <c r="Q1425" s="419"/>
      <c r="R1425" s="419"/>
      <c r="S1425" s="419"/>
      <c r="T1425" s="419"/>
      <c r="U1425" s="419"/>
      <c r="V1425" s="419"/>
      <c r="W1425" s="419">
        <f t="shared" si="67"/>
        <v>0</v>
      </c>
      <c r="X1425" s="412"/>
      <c r="Y1425" s="412"/>
      <c r="Z1425" s="412"/>
      <c r="AA1425" s="412"/>
      <c r="AB1425" s="412">
        <v>300</v>
      </c>
      <c r="AC1425" s="412">
        <v>300</v>
      </c>
      <c r="AD1425" s="412"/>
      <c r="AE1425" s="412"/>
      <c r="AF1425" s="412"/>
      <c r="AG1425" s="412"/>
      <c r="AH1425" s="412"/>
      <c r="AI1425" s="412"/>
      <c r="AJ1425" s="412">
        <f t="shared" si="68"/>
        <v>600</v>
      </c>
      <c r="AK1425" s="208"/>
      <c r="AL1425" s="250" t="s">
        <v>2067</v>
      </c>
    </row>
    <row r="1426" spans="1:38" x14ac:dyDescent="0.2">
      <c r="A1426" t="s">
        <v>893</v>
      </c>
      <c r="B1426" s="209">
        <v>5022</v>
      </c>
      <c r="C1426" s="210" t="s">
        <v>1079</v>
      </c>
      <c r="D1426" s="229" t="s">
        <v>1552</v>
      </c>
      <c r="E1426" s="229" t="s">
        <v>198</v>
      </c>
      <c r="F1426" s="240">
        <v>150</v>
      </c>
      <c r="G1426" s="205">
        <v>1</v>
      </c>
      <c r="H1426" s="206">
        <v>150</v>
      </c>
      <c r="I1426" s="207">
        <v>41434</v>
      </c>
      <c r="J1426" s="197" t="str">
        <f t="shared" si="69"/>
        <v>ok</v>
      </c>
      <c r="K1426" s="419"/>
      <c r="L1426" s="419"/>
      <c r="M1426" s="419"/>
      <c r="N1426" s="419"/>
      <c r="O1426" s="419"/>
      <c r="P1426" s="419"/>
      <c r="Q1426" s="419"/>
      <c r="R1426" s="419"/>
      <c r="S1426" s="419"/>
      <c r="T1426" s="419"/>
      <c r="U1426" s="419"/>
      <c r="V1426" s="419"/>
      <c r="W1426" s="419">
        <f t="shared" si="67"/>
        <v>0</v>
      </c>
      <c r="X1426" s="412"/>
      <c r="Y1426" s="412"/>
      <c r="Z1426" s="412"/>
      <c r="AA1426" s="412"/>
      <c r="AB1426" s="412"/>
      <c r="AC1426" s="412">
        <v>150</v>
      </c>
      <c r="AD1426" s="412"/>
      <c r="AE1426" s="412"/>
      <c r="AF1426" s="412"/>
      <c r="AG1426" s="412"/>
      <c r="AH1426" s="412"/>
      <c r="AI1426" s="412"/>
      <c r="AJ1426" s="412">
        <f t="shared" si="68"/>
        <v>150</v>
      </c>
      <c r="AK1426" s="208"/>
      <c r="AL1426" s="250" t="s">
        <v>2067</v>
      </c>
    </row>
    <row r="1427" spans="1:38" x14ac:dyDescent="0.2">
      <c r="A1427" t="s">
        <v>893</v>
      </c>
      <c r="B1427" s="209">
        <v>5023</v>
      </c>
      <c r="C1427" s="210" t="s">
        <v>1141</v>
      </c>
      <c r="D1427" s="229" t="s">
        <v>1437</v>
      </c>
      <c r="E1427" s="229" t="s">
        <v>716</v>
      </c>
      <c r="F1427" s="240">
        <v>300</v>
      </c>
      <c r="G1427" s="205">
        <v>1</v>
      </c>
      <c r="H1427" s="206">
        <v>300</v>
      </c>
      <c r="I1427" s="207">
        <v>41434</v>
      </c>
      <c r="J1427" s="197" t="str">
        <f t="shared" si="69"/>
        <v>ok</v>
      </c>
      <c r="K1427" s="419"/>
      <c r="L1427" s="419"/>
      <c r="M1427" s="419"/>
      <c r="N1427" s="419"/>
      <c r="O1427" s="419"/>
      <c r="P1427" s="419"/>
      <c r="Q1427" s="419"/>
      <c r="R1427" s="419"/>
      <c r="S1427" s="419"/>
      <c r="T1427" s="419"/>
      <c r="U1427" s="419"/>
      <c r="V1427" s="419"/>
      <c r="W1427" s="419">
        <f t="shared" si="67"/>
        <v>0</v>
      </c>
      <c r="X1427" s="412"/>
      <c r="Y1427" s="412"/>
      <c r="Z1427" s="412"/>
      <c r="AA1427" s="412"/>
      <c r="AB1427" s="412"/>
      <c r="AC1427" s="412">
        <v>300</v>
      </c>
      <c r="AD1427" s="412"/>
      <c r="AE1427" s="412"/>
      <c r="AF1427" s="412"/>
      <c r="AG1427" s="412"/>
      <c r="AH1427" s="412"/>
      <c r="AI1427" s="412"/>
      <c r="AJ1427" s="412">
        <f t="shared" si="68"/>
        <v>300</v>
      </c>
      <c r="AK1427" s="208"/>
      <c r="AL1427" s="250" t="s">
        <v>2067</v>
      </c>
    </row>
    <row r="1428" spans="1:38" x14ac:dyDescent="0.2">
      <c r="A1428" t="s">
        <v>893</v>
      </c>
      <c r="B1428" s="209">
        <v>5024</v>
      </c>
      <c r="C1428" s="210" t="s">
        <v>1103</v>
      </c>
      <c r="D1428" s="229" t="s">
        <v>1407</v>
      </c>
      <c r="E1428" s="229" t="s">
        <v>248</v>
      </c>
      <c r="F1428" s="240">
        <v>300</v>
      </c>
      <c r="G1428" s="205">
        <v>1</v>
      </c>
      <c r="H1428" s="206">
        <v>300</v>
      </c>
      <c r="I1428" s="207">
        <v>41434</v>
      </c>
      <c r="J1428" s="197" t="str">
        <f t="shared" si="69"/>
        <v>ok</v>
      </c>
      <c r="K1428" s="419"/>
      <c r="L1428" s="419"/>
      <c r="M1428" s="419"/>
      <c r="N1428" s="419"/>
      <c r="O1428" s="419"/>
      <c r="P1428" s="419"/>
      <c r="Q1428" s="419"/>
      <c r="R1428" s="419"/>
      <c r="S1428" s="419"/>
      <c r="T1428" s="419"/>
      <c r="U1428" s="419"/>
      <c r="V1428" s="419"/>
      <c r="W1428" s="419">
        <f t="shared" si="67"/>
        <v>0</v>
      </c>
      <c r="X1428" s="412"/>
      <c r="Y1428" s="412"/>
      <c r="Z1428" s="412"/>
      <c r="AA1428" s="412"/>
      <c r="AB1428" s="412"/>
      <c r="AC1428" s="412">
        <v>300</v>
      </c>
      <c r="AD1428" s="412"/>
      <c r="AE1428" s="412"/>
      <c r="AF1428" s="412"/>
      <c r="AG1428" s="412"/>
      <c r="AH1428" s="412"/>
      <c r="AI1428" s="412"/>
      <c r="AJ1428" s="412">
        <f t="shared" si="68"/>
        <v>300</v>
      </c>
      <c r="AK1428" s="208"/>
      <c r="AL1428" s="250" t="s">
        <v>2067</v>
      </c>
    </row>
    <row r="1429" spans="1:38" x14ac:dyDescent="0.2">
      <c r="A1429" t="s">
        <v>884</v>
      </c>
      <c r="B1429" s="209">
        <v>5025</v>
      </c>
      <c r="C1429" s="210" t="s">
        <v>818</v>
      </c>
      <c r="D1429" s="229" t="s">
        <v>1375</v>
      </c>
      <c r="E1429" s="229" t="s">
        <v>42</v>
      </c>
      <c r="F1429" s="240">
        <v>250</v>
      </c>
      <c r="G1429" s="205">
        <v>1</v>
      </c>
      <c r="H1429" s="206">
        <v>250</v>
      </c>
      <c r="I1429" s="207">
        <v>41434</v>
      </c>
      <c r="J1429" s="197" t="str">
        <f t="shared" si="69"/>
        <v>ok</v>
      </c>
      <c r="K1429" s="419"/>
      <c r="L1429" s="419"/>
      <c r="M1429" s="419"/>
      <c r="N1429" s="419"/>
      <c r="O1429" s="419"/>
      <c r="P1429" s="419"/>
      <c r="Q1429" s="419"/>
      <c r="R1429" s="419"/>
      <c r="S1429" s="419"/>
      <c r="T1429" s="419"/>
      <c r="U1429" s="419"/>
      <c r="V1429" s="419"/>
      <c r="W1429" s="419">
        <f t="shared" si="67"/>
        <v>0</v>
      </c>
      <c r="X1429" s="412"/>
      <c r="Y1429" s="412"/>
      <c r="Z1429" s="412"/>
      <c r="AA1429" s="412"/>
      <c r="AB1429" s="412"/>
      <c r="AC1429" s="412">
        <v>250</v>
      </c>
      <c r="AD1429" s="412"/>
      <c r="AE1429" s="412"/>
      <c r="AF1429" s="412"/>
      <c r="AG1429" s="412"/>
      <c r="AH1429" s="412"/>
      <c r="AI1429" s="412"/>
      <c r="AJ1429" s="412">
        <f t="shared" si="68"/>
        <v>250</v>
      </c>
      <c r="AK1429" s="208"/>
      <c r="AL1429" s="250" t="s">
        <v>2067</v>
      </c>
    </row>
    <row r="1430" spans="1:38" x14ac:dyDescent="0.2">
      <c r="A1430" t="s">
        <v>893</v>
      </c>
      <c r="B1430" s="209">
        <v>5026</v>
      </c>
      <c r="C1430" s="210" t="s">
        <v>1073</v>
      </c>
      <c r="D1430" s="229" t="s">
        <v>1626</v>
      </c>
      <c r="E1430" s="229" t="s">
        <v>711</v>
      </c>
      <c r="F1430" s="240">
        <v>300</v>
      </c>
      <c r="G1430" s="205">
        <v>1</v>
      </c>
      <c r="H1430" s="206">
        <v>600</v>
      </c>
      <c r="I1430" s="207">
        <v>41434</v>
      </c>
      <c r="J1430" s="197" t="str">
        <f t="shared" si="69"/>
        <v>ok</v>
      </c>
      <c r="K1430" s="419"/>
      <c r="L1430" s="419"/>
      <c r="M1430" s="419"/>
      <c r="N1430" s="419"/>
      <c r="O1430" s="419"/>
      <c r="P1430" s="419"/>
      <c r="Q1430" s="419"/>
      <c r="R1430" s="419"/>
      <c r="S1430" s="419"/>
      <c r="T1430" s="419"/>
      <c r="U1430" s="419"/>
      <c r="V1430" s="419"/>
      <c r="W1430" s="419">
        <f t="shared" si="67"/>
        <v>0</v>
      </c>
      <c r="X1430" s="412"/>
      <c r="Y1430" s="412">
        <v>300</v>
      </c>
      <c r="Z1430" s="412">
        <v>300</v>
      </c>
      <c r="AA1430" s="412"/>
      <c r="AB1430" s="412"/>
      <c r="AC1430" s="412"/>
      <c r="AD1430" s="412"/>
      <c r="AE1430" s="412"/>
      <c r="AF1430" s="412"/>
      <c r="AG1430" s="412"/>
      <c r="AH1430" s="412"/>
      <c r="AI1430" s="412"/>
      <c r="AJ1430" s="412">
        <f t="shared" si="68"/>
        <v>600</v>
      </c>
      <c r="AK1430" s="208"/>
      <c r="AL1430" s="250" t="s">
        <v>2067</v>
      </c>
    </row>
    <row r="1431" spans="1:38" x14ac:dyDescent="0.2">
      <c r="A1431" t="s">
        <v>884</v>
      </c>
      <c r="B1431" s="209">
        <v>5027</v>
      </c>
      <c r="C1431" s="210" t="s">
        <v>851</v>
      </c>
      <c r="D1431" s="229" t="s">
        <v>1465</v>
      </c>
      <c r="E1431" s="229" t="s">
        <v>91</v>
      </c>
      <c r="F1431" s="240">
        <v>300</v>
      </c>
      <c r="G1431" s="205">
        <v>1</v>
      </c>
      <c r="H1431" s="206">
        <v>300</v>
      </c>
      <c r="I1431" s="207">
        <v>41434</v>
      </c>
      <c r="J1431" s="197" t="str">
        <f t="shared" si="69"/>
        <v>ok</v>
      </c>
      <c r="K1431" s="419"/>
      <c r="L1431" s="419"/>
      <c r="M1431" s="419"/>
      <c r="N1431" s="419"/>
      <c r="O1431" s="419"/>
      <c r="P1431" s="419"/>
      <c r="Q1431" s="419"/>
      <c r="R1431" s="419"/>
      <c r="S1431" s="419"/>
      <c r="T1431" s="419"/>
      <c r="U1431" s="419"/>
      <c r="V1431" s="419"/>
      <c r="W1431" s="419">
        <f t="shared" si="67"/>
        <v>0</v>
      </c>
      <c r="X1431" s="412"/>
      <c r="Y1431" s="412"/>
      <c r="Z1431" s="412"/>
      <c r="AA1431" s="412"/>
      <c r="AB1431" s="412"/>
      <c r="AC1431" s="412">
        <v>300</v>
      </c>
      <c r="AD1431" s="412"/>
      <c r="AE1431" s="412"/>
      <c r="AF1431" s="412"/>
      <c r="AG1431" s="412"/>
      <c r="AH1431" s="412"/>
      <c r="AI1431" s="412"/>
      <c r="AJ1431" s="412">
        <f t="shared" si="68"/>
        <v>300</v>
      </c>
      <c r="AK1431" s="208"/>
      <c r="AL1431" s="250" t="s">
        <v>2067</v>
      </c>
    </row>
    <row r="1432" spans="1:38" x14ac:dyDescent="0.2">
      <c r="A1432" t="s">
        <v>890</v>
      </c>
      <c r="B1432" s="209">
        <v>5028</v>
      </c>
      <c r="C1432" s="210" t="s">
        <v>989</v>
      </c>
      <c r="D1432" s="229" t="s">
        <v>1392</v>
      </c>
      <c r="E1432" s="229" t="s">
        <v>478</v>
      </c>
      <c r="F1432" s="240">
        <v>300</v>
      </c>
      <c r="G1432" s="205">
        <v>1</v>
      </c>
      <c r="H1432" s="206">
        <v>300</v>
      </c>
      <c r="I1432" s="207">
        <v>41434</v>
      </c>
      <c r="J1432" s="197" t="str">
        <f t="shared" si="69"/>
        <v>ok</v>
      </c>
      <c r="K1432" s="419"/>
      <c r="L1432" s="419"/>
      <c r="M1432" s="419"/>
      <c r="N1432" s="419"/>
      <c r="O1432" s="419"/>
      <c r="P1432" s="419"/>
      <c r="Q1432" s="419"/>
      <c r="R1432" s="419"/>
      <c r="S1432" s="419"/>
      <c r="T1432" s="419"/>
      <c r="U1432" s="419"/>
      <c r="V1432" s="419"/>
      <c r="W1432" s="419">
        <f t="shared" si="67"/>
        <v>0</v>
      </c>
      <c r="X1432" s="412"/>
      <c r="Y1432" s="412"/>
      <c r="Z1432" s="412"/>
      <c r="AA1432" s="412"/>
      <c r="AB1432" s="412"/>
      <c r="AC1432" s="412">
        <v>300</v>
      </c>
      <c r="AD1432" s="412"/>
      <c r="AE1432" s="412"/>
      <c r="AF1432" s="412"/>
      <c r="AG1432" s="412"/>
      <c r="AH1432" s="412"/>
      <c r="AI1432" s="412"/>
      <c r="AJ1432" s="412">
        <f t="shared" si="68"/>
        <v>300</v>
      </c>
      <c r="AK1432" s="208"/>
      <c r="AL1432" s="250" t="s">
        <v>2067</v>
      </c>
    </row>
    <row r="1433" spans="1:38" x14ac:dyDescent="0.2">
      <c r="A1433" t="s">
        <v>884</v>
      </c>
      <c r="B1433" s="209">
        <v>5029</v>
      </c>
      <c r="C1433" s="210" t="s">
        <v>853</v>
      </c>
      <c r="D1433" s="229" t="s">
        <v>1486</v>
      </c>
      <c r="E1433" s="229" t="s">
        <v>93</v>
      </c>
      <c r="F1433" s="240">
        <v>300</v>
      </c>
      <c r="G1433" s="205">
        <v>1</v>
      </c>
      <c r="H1433" s="206">
        <v>300</v>
      </c>
      <c r="I1433" s="207">
        <v>41434</v>
      </c>
      <c r="J1433" s="197" t="str">
        <f t="shared" si="69"/>
        <v>ok</v>
      </c>
      <c r="K1433" s="419"/>
      <c r="L1433" s="419"/>
      <c r="M1433" s="419"/>
      <c r="N1433" s="419"/>
      <c r="O1433" s="419"/>
      <c r="P1433" s="419"/>
      <c r="Q1433" s="419"/>
      <c r="R1433" s="419"/>
      <c r="S1433" s="419"/>
      <c r="T1433" s="419"/>
      <c r="U1433" s="419"/>
      <c r="V1433" s="419"/>
      <c r="W1433" s="419">
        <f t="shared" si="67"/>
        <v>0</v>
      </c>
      <c r="X1433" s="412"/>
      <c r="Y1433" s="412"/>
      <c r="Z1433" s="412"/>
      <c r="AA1433" s="412"/>
      <c r="AB1433" s="412"/>
      <c r="AC1433" s="412">
        <v>300</v>
      </c>
      <c r="AD1433" s="412"/>
      <c r="AE1433" s="412"/>
      <c r="AF1433" s="412"/>
      <c r="AG1433" s="412"/>
      <c r="AH1433" s="412"/>
      <c r="AI1433" s="412"/>
      <c r="AJ1433" s="412">
        <f t="shared" si="68"/>
        <v>300</v>
      </c>
      <c r="AK1433" s="208"/>
      <c r="AL1433" s="250" t="s">
        <v>2067</v>
      </c>
    </row>
    <row r="1434" spans="1:38" x14ac:dyDescent="0.2">
      <c r="A1434" t="s">
        <v>890</v>
      </c>
      <c r="B1434" s="209">
        <v>5030</v>
      </c>
      <c r="C1434" s="210" t="s">
        <v>1009</v>
      </c>
      <c r="D1434" s="229" t="s">
        <v>1632</v>
      </c>
      <c r="E1434" s="229" t="s">
        <v>502</v>
      </c>
      <c r="F1434" s="240">
        <v>300</v>
      </c>
      <c r="G1434" s="205">
        <v>1</v>
      </c>
      <c r="H1434" s="206">
        <v>300</v>
      </c>
      <c r="I1434" s="207">
        <v>41434</v>
      </c>
      <c r="J1434" s="197" t="str">
        <f t="shared" si="69"/>
        <v>ok</v>
      </c>
      <c r="K1434" s="419"/>
      <c r="L1434" s="419"/>
      <c r="M1434" s="419"/>
      <c r="N1434" s="419"/>
      <c r="O1434" s="419"/>
      <c r="P1434" s="419"/>
      <c r="Q1434" s="419"/>
      <c r="R1434" s="419"/>
      <c r="S1434" s="419"/>
      <c r="T1434" s="419"/>
      <c r="U1434" s="419"/>
      <c r="V1434" s="419"/>
      <c r="W1434" s="419">
        <f t="shared" si="67"/>
        <v>0</v>
      </c>
      <c r="X1434" s="412"/>
      <c r="Y1434" s="412"/>
      <c r="Z1434" s="412"/>
      <c r="AA1434" s="412"/>
      <c r="AB1434" s="412"/>
      <c r="AC1434" s="412">
        <v>300</v>
      </c>
      <c r="AD1434" s="412"/>
      <c r="AE1434" s="412"/>
      <c r="AF1434" s="412"/>
      <c r="AG1434" s="412"/>
      <c r="AH1434" s="412"/>
      <c r="AI1434" s="412"/>
      <c r="AJ1434" s="412">
        <f t="shared" si="68"/>
        <v>300</v>
      </c>
      <c r="AK1434" s="208"/>
      <c r="AL1434" s="250" t="s">
        <v>2067</v>
      </c>
    </row>
    <row r="1435" spans="1:38" x14ac:dyDescent="0.2">
      <c r="A1435" t="s">
        <v>890</v>
      </c>
      <c r="B1435" s="209">
        <v>5031</v>
      </c>
      <c r="C1435" s="210" t="s">
        <v>991</v>
      </c>
      <c r="D1435" s="229" t="s">
        <v>1456</v>
      </c>
      <c r="E1435" s="229" t="s">
        <v>480</v>
      </c>
      <c r="F1435" s="240">
        <v>300</v>
      </c>
      <c r="G1435" s="205">
        <v>1</v>
      </c>
      <c r="H1435" s="206">
        <v>300</v>
      </c>
      <c r="I1435" s="207">
        <v>41434</v>
      </c>
      <c r="J1435" s="197" t="str">
        <f t="shared" si="69"/>
        <v>ok</v>
      </c>
      <c r="K1435" s="419"/>
      <c r="L1435" s="419"/>
      <c r="M1435" s="419"/>
      <c r="N1435" s="419"/>
      <c r="O1435" s="419"/>
      <c r="P1435" s="419"/>
      <c r="Q1435" s="419"/>
      <c r="R1435" s="419"/>
      <c r="S1435" s="419"/>
      <c r="T1435" s="419"/>
      <c r="U1435" s="419"/>
      <c r="V1435" s="419"/>
      <c r="W1435" s="419">
        <f t="shared" si="67"/>
        <v>0</v>
      </c>
      <c r="X1435" s="412"/>
      <c r="Y1435" s="412"/>
      <c r="Z1435" s="412"/>
      <c r="AA1435" s="412"/>
      <c r="AB1435" s="412">
        <v>300</v>
      </c>
      <c r="AC1435" s="412"/>
      <c r="AD1435" s="412"/>
      <c r="AE1435" s="412"/>
      <c r="AF1435" s="412"/>
      <c r="AG1435" s="412"/>
      <c r="AH1435" s="412"/>
      <c r="AI1435" s="412"/>
      <c r="AJ1435" s="412">
        <f t="shared" si="68"/>
        <v>300</v>
      </c>
      <c r="AK1435" s="208"/>
      <c r="AL1435" s="250" t="s">
        <v>2067</v>
      </c>
    </row>
    <row r="1436" spans="1:38" x14ac:dyDescent="0.2">
      <c r="A1436" t="s">
        <v>890</v>
      </c>
      <c r="B1436" s="209">
        <v>5031</v>
      </c>
      <c r="C1436" s="210" t="s">
        <v>991</v>
      </c>
      <c r="D1436" s="229" t="s">
        <v>1456</v>
      </c>
      <c r="E1436" s="229" t="s">
        <v>480</v>
      </c>
      <c r="F1436" s="240">
        <v>300</v>
      </c>
      <c r="G1436" s="205">
        <v>4</v>
      </c>
      <c r="H1436" s="206">
        <v>160</v>
      </c>
      <c r="I1436" s="207">
        <v>41434</v>
      </c>
      <c r="J1436" s="197" t="str">
        <f t="shared" si="69"/>
        <v>ok</v>
      </c>
      <c r="K1436" s="419"/>
      <c r="L1436" s="419"/>
      <c r="M1436" s="419"/>
      <c r="N1436" s="419"/>
      <c r="O1436" s="419"/>
      <c r="P1436" s="419"/>
      <c r="Q1436" s="419"/>
      <c r="R1436" s="419"/>
      <c r="S1436" s="419"/>
      <c r="T1436" s="419"/>
      <c r="U1436" s="419"/>
      <c r="V1436" s="419"/>
      <c r="W1436" s="419">
        <f t="shared" si="67"/>
        <v>0</v>
      </c>
      <c r="X1436" s="412"/>
      <c r="Y1436" s="412"/>
      <c r="Z1436" s="412"/>
      <c r="AA1436" s="412"/>
      <c r="AB1436" s="412"/>
      <c r="AC1436" s="412"/>
      <c r="AD1436" s="412"/>
      <c r="AE1436" s="412"/>
      <c r="AF1436" s="412"/>
      <c r="AG1436" s="412"/>
      <c r="AH1436" s="412"/>
      <c r="AI1436" s="412"/>
      <c r="AJ1436" s="412">
        <f t="shared" si="68"/>
        <v>0</v>
      </c>
      <c r="AK1436" s="208"/>
      <c r="AL1436" s="250" t="s">
        <v>2068</v>
      </c>
    </row>
    <row r="1437" spans="1:38" x14ac:dyDescent="0.2">
      <c r="A1437" t="s">
        <v>888</v>
      </c>
      <c r="B1437" s="209">
        <v>5032</v>
      </c>
      <c r="C1437" s="210" t="s">
        <v>921</v>
      </c>
      <c r="D1437" s="229" t="s">
        <v>1546</v>
      </c>
      <c r="E1437" s="229" t="s">
        <v>363</v>
      </c>
      <c r="F1437" s="240">
        <v>300</v>
      </c>
      <c r="G1437" s="205">
        <v>1</v>
      </c>
      <c r="H1437" s="206">
        <v>300</v>
      </c>
      <c r="I1437" s="207">
        <v>41434</v>
      </c>
      <c r="J1437" s="197" t="str">
        <f t="shared" si="69"/>
        <v>ok</v>
      </c>
      <c r="K1437" s="419"/>
      <c r="L1437" s="419"/>
      <c r="M1437" s="419"/>
      <c r="N1437" s="419"/>
      <c r="O1437" s="419"/>
      <c r="P1437" s="419"/>
      <c r="Q1437" s="419"/>
      <c r="R1437" s="419"/>
      <c r="S1437" s="419"/>
      <c r="T1437" s="419"/>
      <c r="U1437" s="419"/>
      <c r="V1437" s="419"/>
      <c r="W1437" s="419">
        <f t="shared" si="67"/>
        <v>0</v>
      </c>
      <c r="X1437" s="412"/>
      <c r="Y1437" s="412"/>
      <c r="Z1437" s="412"/>
      <c r="AA1437" s="412"/>
      <c r="AB1437" s="412"/>
      <c r="AC1437" s="412">
        <v>300</v>
      </c>
      <c r="AD1437" s="412"/>
      <c r="AE1437" s="412"/>
      <c r="AF1437" s="412"/>
      <c r="AG1437" s="412"/>
      <c r="AH1437" s="412"/>
      <c r="AI1437" s="412"/>
      <c r="AJ1437" s="412">
        <f t="shared" si="68"/>
        <v>300</v>
      </c>
      <c r="AK1437" s="208"/>
      <c r="AL1437" s="250" t="s">
        <v>2067</v>
      </c>
    </row>
    <row r="1438" spans="1:38" x14ac:dyDescent="0.2">
      <c r="A1438" t="s">
        <v>893</v>
      </c>
      <c r="B1438" s="209">
        <v>5033</v>
      </c>
      <c r="C1438" s="210" t="s">
        <v>1143</v>
      </c>
      <c r="D1438" s="229" t="s">
        <v>1475</v>
      </c>
      <c r="E1438" s="229" t="s">
        <v>322</v>
      </c>
      <c r="F1438" s="240">
        <v>150</v>
      </c>
      <c r="G1438" s="205">
        <v>1</v>
      </c>
      <c r="H1438" s="206">
        <v>300</v>
      </c>
      <c r="I1438" s="207">
        <v>41434</v>
      </c>
      <c r="J1438" s="197" t="str">
        <f t="shared" si="69"/>
        <v>ok</v>
      </c>
      <c r="K1438" s="419"/>
      <c r="L1438" s="419"/>
      <c r="M1438" s="419"/>
      <c r="N1438" s="419"/>
      <c r="O1438" s="419"/>
      <c r="P1438" s="419"/>
      <c r="Q1438" s="419"/>
      <c r="R1438" s="419"/>
      <c r="S1438" s="419"/>
      <c r="T1438" s="419"/>
      <c r="U1438" s="419"/>
      <c r="V1438" s="419"/>
      <c r="W1438" s="419">
        <f t="shared" si="67"/>
        <v>0</v>
      </c>
      <c r="X1438" s="412"/>
      <c r="Y1438" s="412"/>
      <c r="Z1438" s="412"/>
      <c r="AA1438" s="412"/>
      <c r="AB1438" s="412">
        <v>150</v>
      </c>
      <c r="AC1438" s="412">
        <v>150</v>
      </c>
      <c r="AD1438" s="412"/>
      <c r="AE1438" s="412"/>
      <c r="AF1438" s="412"/>
      <c r="AG1438" s="412"/>
      <c r="AH1438" s="412"/>
      <c r="AI1438" s="412"/>
      <c r="AJ1438" s="412">
        <f t="shared" si="68"/>
        <v>300</v>
      </c>
      <c r="AK1438" s="208"/>
      <c r="AL1438" s="250" t="s">
        <v>2067</v>
      </c>
    </row>
    <row r="1439" spans="1:38" x14ac:dyDescent="0.2">
      <c r="A1439" t="s">
        <v>890</v>
      </c>
      <c r="B1439" s="209">
        <v>5034</v>
      </c>
      <c r="C1439" s="210" t="s">
        <v>1012</v>
      </c>
      <c r="D1439" s="229" t="s">
        <v>1474</v>
      </c>
      <c r="E1439" s="229" t="s">
        <v>729</v>
      </c>
      <c r="F1439" s="240">
        <v>300</v>
      </c>
      <c r="G1439" s="205">
        <v>3</v>
      </c>
      <c r="H1439" s="206">
        <v>150</v>
      </c>
      <c r="I1439" s="207">
        <v>41434</v>
      </c>
      <c r="J1439" s="197" t="str">
        <f t="shared" si="69"/>
        <v>ok</v>
      </c>
      <c r="K1439" s="419"/>
      <c r="L1439" s="419"/>
      <c r="M1439" s="419"/>
      <c r="N1439" s="419"/>
      <c r="O1439" s="419"/>
      <c r="P1439" s="419"/>
      <c r="Q1439" s="419"/>
      <c r="R1439" s="419"/>
      <c r="S1439" s="419"/>
      <c r="T1439" s="419"/>
      <c r="U1439" s="419"/>
      <c r="V1439" s="419"/>
      <c r="W1439" s="419">
        <f t="shared" si="67"/>
        <v>0</v>
      </c>
      <c r="X1439" s="412"/>
      <c r="Y1439" s="412"/>
      <c r="Z1439" s="412"/>
      <c r="AA1439" s="412"/>
      <c r="AB1439" s="412"/>
      <c r="AC1439" s="412"/>
      <c r="AD1439" s="412"/>
      <c r="AE1439" s="412"/>
      <c r="AF1439" s="412"/>
      <c r="AG1439" s="412"/>
      <c r="AH1439" s="412"/>
      <c r="AI1439" s="412"/>
      <c r="AJ1439" s="412">
        <f t="shared" si="68"/>
        <v>0</v>
      </c>
      <c r="AK1439" s="208"/>
      <c r="AL1439" s="250" t="s">
        <v>2068</v>
      </c>
    </row>
    <row r="1440" spans="1:38" x14ac:dyDescent="0.2">
      <c r="A1440" t="s">
        <v>890</v>
      </c>
      <c r="B1440" s="209">
        <v>5035</v>
      </c>
      <c r="C1440" s="210" t="s">
        <v>1023</v>
      </c>
      <c r="D1440" s="229" t="s">
        <v>1541</v>
      </c>
      <c r="E1440" s="229" t="s">
        <v>522</v>
      </c>
      <c r="F1440" s="240">
        <v>300</v>
      </c>
      <c r="G1440" s="205">
        <v>1</v>
      </c>
      <c r="H1440" s="206">
        <v>300</v>
      </c>
      <c r="I1440" s="207">
        <v>41434</v>
      </c>
      <c r="J1440" s="197" t="str">
        <f t="shared" si="69"/>
        <v>ok</v>
      </c>
      <c r="K1440" s="419"/>
      <c r="L1440" s="419"/>
      <c r="M1440" s="419"/>
      <c r="N1440" s="419"/>
      <c r="O1440" s="419"/>
      <c r="P1440" s="419"/>
      <c r="Q1440" s="419"/>
      <c r="R1440" s="419"/>
      <c r="S1440" s="419"/>
      <c r="T1440" s="419"/>
      <c r="U1440" s="419"/>
      <c r="V1440" s="419"/>
      <c r="W1440" s="419">
        <f t="shared" si="67"/>
        <v>0</v>
      </c>
      <c r="X1440" s="412"/>
      <c r="Y1440" s="412"/>
      <c r="Z1440" s="412"/>
      <c r="AA1440" s="412"/>
      <c r="AB1440" s="412"/>
      <c r="AC1440" s="412">
        <v>300</v>
      </c>
      <c r="AD1440" s="412"/>
      <c r="AE1440" s="412"/>
      <c r="AF1440" s="412"/>
      <c r="AG1440" s="412"/>
      <c r="AH1440" s="412"/>
      <c r="AI1440" s="412"/>
      <c r="AJ1440" s="412">
        <f t="shared" si="68"/>
        <v>300</v>
      </c>
      <c r="AK1440" s="208"/>
      <c r="AL1440" s="250" t="s">
        <v>2067</v>
      </c>
    </row>
    <row r="1441" spans="1:38" x14ac:dyDescent="0.2">
      <c r="A1441" t="s">
        <v>890</v>
      </c>
      <c r="B1441" s="209">
        <v>5036</v>
      </c>
      <c r="C1441" s="210" t="s">
        <v>1035</v>
      </c>
      <c r="D1441" s="229" t="s">
        <v>1521</v>
      </c>
      <c r="E1441" s="229" t="s">
        <v>540</v>
      </c>
      <c r="F1441" s="240">
        <v>300</v>
      </c>
      <c r="G1441" s="205">
        <v>1</v>
      </c>
      <c r="H1441" s="206">
        <v>300</v>
      </c>
      <c r="I1441" s="207">
        <v>41434</v>
      </c>
      <c r="J1441" s="197" t="str">
        <f t="shared" si="69"/>
        <v>ok</v>
      </c>
      <c r="K1441" s="419"/>
      <c r="L1441" s="419"/>
      <c r="M1441" s="419"/>
      <c r="N1441" s="419"/>
      <c r="O1441" s="419"/>
      <c r="P1441" s="419"/>
      <c r="Q1441" s="419"/>
      <c r="R1441" s="419"/>
      <c r="S1441" s="419"/>
      <c r="T1441" s="419"/>
      <c r="U1441" s="419"/>
      <c r="V1441" s="419"/>
      <c r="W1441" s="419">
        <f t="shared" si="67"/>
        <v>0</v>
      </c>
      <c r="X1441" s="412"/>
      <c r="Y1441" s="412"/>
      <c r="Z1441" s="412"/>
      <c r="AA1441" s="412"/>
      <c r="AB1441" s="412">
        <v>300</v>
      </c>
      <c r="AC1441" s="412"/>
      <c r="AD1441" s="412"/>
      <c r="AE1441" s="412"/>
      <c r="AF1441" s="412"/>
      <c r="AG1441" s="412"/>
      <c r="AH1441" s="412"/>
      <c r="AI1441" s="412"/>
      <c r="AJ1441" s="412">
        <f t="shared" si="68"/>
        <v>300</v>
      </c>
      <c r="AK1441" s="208"/>
      <c r="AL1441" s="250" t="s">
        <v>2067</v>
      </c>
    </row>
    <row r="1442" spans="1:38" x14ac:dyDescent="0.2">
      <c r="A1442" t="s">
        <v>890</v>
      </c>
      <c r="B1442" s="209">
        <v>5037</v>
      </c>
      <c r="C1442" s="210" t="s">
        <v>1002</v>
      </c>
      <c r="D1442" s="229" t="s">
        <v>1639</v>
      </c>
      <c r="E1442" s="229" t="s">
        <v>32</v>
      </c>
      <c r="F1442" s="240">
        <v>300</v>
      </c>
      <c r="G1442" s="205">
        <v>1</v>
      </c>
      <c r="H1442" s="206">
        <v>900</v>
      </c>
      <c r="I1442" s="207">
        <v>41434</v>
      </c>
      <c r="J1442" s="197" t="str">
        <f t="shared" si="69"/>
        <v>ok</v>
      </c>
      <c r="K1442" s="419"/>
      <c r="L1442" s="419"/>
      <c r="M1442" s="419"/>
      <c r="N1442" s="419"/>
      <c r="O1442" s="419"/>
      <c r="P1442" s="419"/>
      <c r="Q1442" s="419"/>
      <c r="R1442" s="419"/>
      <c r="S1442" s="419"/>
      <c r="T1442" s="419"/>
      <c r="U1442" s="419"/>
      <c r="V1442" s="419"/>
      <c r="W1442" s="419">
        <f t="shared" si="67"/>
        <v>0</v>
      </c>
      <c r="X1442" s="412">
        <v>300</v>
      </c>
      <c r="Y1442" s="412">
        <v>300</v>
      </c>
      <c r="Z1442" s="412"/>
      <c r="AA1442" s="412">
        <v>300</v>
      </c>
      <c r="AB1442" s="412"/>
      <c r="AC1442" s="412"/>
      <c r="AD1442" s="412"/>
      <c r="AE1442" s="412"/>
      <c r="AF1442" s="412"/>
      <c r="AG1442" s="412"/>
      <c r="AH1442" s="412"/>
      <c r="AI1442" s="412"/>
      <c r="AJ1442" s="412">
        <f t="shared" si="68"/>
        <v>900</v>
      </c>
      <c r="AK1442" s="208"/>
      <c r="AL1442" s="250" t="s">
        <v>2067</v>
      </c>
    </row>
    <row r="1443" spans="1:38" x14ac:dyDescent="0.2">
      <c r="A1443" t="s">
        <v>890</v>
      </c>
      <c r="B1443" s="209">
        <v>5038</v>
      </c>
      <c r="C1443" s="210" t="s">
        <v>1033</v>
      </c>
      <c r="D1443" s="229" t="s">
        <v>1366</v>
      </c>
      <c r="E1443" s="229" t="s">
        <v>1218</v>
      </c>
      <c r="F1443" s="240">
        <v>300</v>
      </c>
      <c r="G1443" s="205">
        <v>1</v>
      </c>
      <c r="H1443" s="206">
        <v>300</v>
      </c>
      <c r="I1443" s="207">
        <v>41434</v>
      </c>
      <c r="J1443" s="197" t="str">
        <f t="shared" si="69"/>
        <v>ok</v>
      </c>
      <c r="K1443" s="419"/>
      <c r="L1443" s="419"/>
      <c r="M1443" s="419"/>
      <c r="N1443" s="419"/>
      <c r="O1443" s="419"/>
      <c r="P1443" s="419"/>
      <c r="Q1443" s="419"/>
      <c r="R1443" s="419"/>
      <c r="S1443" s="419"/>
      <c r="T1443" s="419"/>
      <c r="U1443" s="419"/>
      <c r="V1443" s="419"/>
      <c r="W1443" s="419">
        <f t="shared" si="67"/>
        <v>0</v>
      </c>
      <c r="X1443" s="412"/>
      <c r="Y1443" s="412"/>
      <c r="Z1443" s="412"/>
      <c r="AA1443" s="412"/>
      <c r="AB1443" s="412"/>
      <c r="AC1443" s="412">
        <v>300</v>
      </c>
      <c r="AD1443" s="412"/>
      <c r="AE1443" s="412"/>
      <c r="AF1443" s="412"/>
      <c r="AG1443" s="412"/>
      <c r="AH1443" s="412"/>
      <c r="AI1443" s="412"/>
      <c r="AJ1443" s="412">
        <f t="shared" si="68"/>
        <v>300</v>
      </c>
      <c r="AK1443" s="208"/>
      <c r="AL1443" s="250" t="s">
        <v>2067</v>
      </c>
    </row>
    <row r="1444" spans="1:38" x14ac:dyDescent="0.2">
      <c r="A1444" t="s">
        <v>890</v>
      </c>
      <c r="B1444" s="209">
        <v>5039</v>
      </c>
      <c r="C1444" s="210" t="s">
        <v>1033</v>
      </c>
      <c r="D1444" s="229" t="s">
        <v>1366</v>
      </c>
      <c r="E1444" s="229" t="s">
        <v>1218</v>
      </c>
      <c r="F1444" s="240">
        <v>300</v>
      </c>
      <c r="G1444" s="205">
        <v>1</v>
      </c>
      <c r="H1444" s="206">
        <v>300</v>
      </c>
      <c r="I1444" s="207">
        <v>41434</v>
      </c>
      <c r="J1444" s="197" t="str">
        <f t="shared" si="69"/>
        <v>ok</v>
      </c>
      <c r="K1444" s="419"/>
      <c r="L1444" s="419"/>
      <c r="M1444" s="419"/>
      <c r="N1444" s="419"/>
      <c r="O1444" s="419"/>
      <c r="P1444" s="419"/>
      <c r="Q1444" s="419"/>
      <c r="R1444" s="419"/>
      <c r="S1444" s="419"/>
      <c r="T1444" s="419"/>
      <c r="U1444" s="419"/>
      <c r="V1444" s="419"/>
      <c r="W1444" s="419">
        <f t="shared" si="67"/>
        <v>0</v>
      </c>
      <c r="X1444" s="412"/>
      <c r="Y1444" s="412"/>
      <c r="Z1444" s="412"/>
      <c r="AA1444" s="412"/>
      <c r="AB1444" s="412"/>
      <c r="AC1444" s="412">
        <v>300</v>
      </c>
      <c r="AD1444" s="412"/>
      <c r="AE1444" s="412"/>
      <c r="AF1444" s="412"/>
      <c r="AG1444" s="412"/>
      <c r="AH1444" s="412"/>
      <c r="AI1444" s="412"/>
      <c r="AJ1444" s="412">
        <f t="shared" si="68"/>
        <v>300</v>
      </c>
      <c r="AK1444" s="208"/>
      <c r="AL1444" s="250" t="s">
        <v>2067</v>
      </c>
    </row>
    <row r="1445" spans="1:38" x14ac:dyDescent="0.2">
      <c r="A1445" t="s">
        <v>888</v>
      </c>
      <c r="B1445" s="209">
        <v>5040</v>
      </c>
      <c r="C1445" s="210" t="s">
        <v>948</v>
      </c>
      <c r="D1445" s="229" t="s">
        <v>1504</v>
      </c>
      <c r="E1445" s="229" t="s">
        <v>325</v>
      </c>
      <c r="F1445" s="240">
        <v>300</v>
      </c>
      <c r="G1445" s="205">
        <v>1</v>
      </c>
      <c r="H1445" s="206">
        <v>300</v>
      </c>
      <c r="I1445" s="207">
        <v>41434</v>
      </c>
      <c r="J1445" s="197" t="str">
        <f t="shared" si="69"/>
        <v>ok</v>
      </c>
      <c r="K1445" s="419"/>
      <c r="L1445" s="419"/>
      <c r="M1445" s="419"/>
      <c r="N1445" s="419"/>
      <c r="O1445" s="419"/>
      <c r="P1445" s="419"/>
      <c r="Q1445" s="419"/>
      <c r="R1445" s="419"/>
      <c r="S1445" s="419"/>
      <c r="T1445" s="419"/>
      <c r="U1445" s="419"/>
      <c r="V1445" s="419"/>
      <c r="W1445" s="419">
        <f t="shared" si="67"/>
        <v>0</v>
      </c>
      <c r="X1445" s="412"/>
      <c r="Y1445" s="412"/>
      <c r="Z1445" s="412"/>
      <c r="AA1445" s="412"/>
      <c r="AB1445" s="412"/>
      <c r="AC1445" s="412">
        <v>300</v>
      </c>
      <c r="AD1445" s="412"/>
      <c r="AE1445" s="412"/>
      <c r="AF1445" s="412"/>
      <c r="AG1445" s="412"/>
      <c r="AH1445" s="412"/>
      <c r="AI1445" s="412"/>
      <c r="AJ1445" s="412">
        <f t="shared" si="68"/>
        <v>300</v>
      </c>
      <c r="AK1445" s="208"/>
      <c r="AL1445" s="250" t="s">
        <v>2067</v>
      </c>
    </row>
    <row r="1446" spans="1:38" x14ac:dyDescent="0.2">
      <c r="A1446" t="s">
        <v>893</v>
      </c>
      <c r="B1446" s="209">
        <v>5041</v>
      </c>
      <c r="C1446" s="210" t="s">
        <v>1107</v>
      </c>
      <c r="D1446" s="229" t="s">
        <v>1453</v>
      </c>
      <c r="E1446" s="229" t="s">
        <v>255</v>
      </c>
      <c r="F1446" s="240">
        <v>300</v>
      </c>
      <c r="G1446" s="205">
        <v>1</v>
      </c>
      <c r="H1446" s="206">
        <v>300</v>
      </c>
      <c r="I1446" s="207">
        <v>41437</v>
      </c>
      <c r="J1446" s="197" t="str">
        <f t="shared" si="69"/>
        <v>ok</v>
      </c>
      <c r="K1446" s="419"/>
      <c r="L1446" s="419"/>
      <c r="M1446" s="419"/>
      <c r="N1446" s="419"/>
      <c r="O1446" s="419"/>
      <c r="P1446" s="419"/>
      <c r="Q1446" s="419"/>
      <c r="R1446" s="419"/>
      <c r="S1446" s="419"/>
      <c r="T1446" s="419"/>
      <c r="U1446" s="419"/>
      <c r="V1446" s="419"/>
      <c r="W1446" s="419">
        <f t="shared" si="67"/>
        <v>0</v>
      </c>
      <c r="X1446" s="412"/>
      <c r="Y1446" s="412"/>
      <c r="Z1446" s="412"/>
      <c r="AA1446" s="412">
        <v>300</v>
      </c>
      <c r="AB1446" s="412"/>
      <c r="AC1446" s="412"/>
      <c r="AD1446" s="412"/>
      <c r="AE1446" s="412"/>
      <c r="AF1446" s="412"/>
      <c r="AG1446" s="412"/>
      <c r="AH1446" s="412"/>
      <c r="AI1446" s="412"/>
      <c r="AJ1446" s="412">
        <f t="shared" si="68"/>
        <v>300</v>
      </c>
      <c r="AK1446" s="208"/>
      <c r="AL1446" s="250" t="s">
        <v>2067</v>
      </c>
    </row>
    <row r="1447" spans="1:38" x14ac:dyDescent="0.2">
      <c r="A1447" t="s">
        <v>893</v>
      </c>
      <c r="B1447" s="209">
        <v>5041</v>
      </c>
      <c r="C1447" s="210" t="s">
        <v>1107</v>
      </c>
      <c r="D1447" s="229" t="s">
        <v>1453</v>
      </c>
      <c r="E1447" s="229" t="s">
        <v>255</v>
      </c>
      <c r="F1447" s="240">
        <v>300</v>
      </c>
      <c r="G1447" s="205">
        <v>4</v>
      </c>
      <c r="H1447" s="206">
        <v>160</v>
      </c>
      <c r="I1447" s="207">
        <v>41437</v>
      </c>
      <c r="J1447" s="197" t="str">
        <f t="shared" si="69"/>
        <v>ok</v>
      </c>
      <c r="K1447" s="419"/>
      <c r="L1447" s="419"/>
      <c r="M1447" s="419"/>
      <c r="N1447" s="419"/>
      <c r="O1447" s="419"/>
      <c r="P1447" s="419"/>
      <c r="Q1447" s="419"/>
      <c r="R1447" s="419"/>
      <c r="S1447" s="419"/>
      <c r="T1447" s="419"/>
      <c r="U1447" s="419"/>
      <c r="V1447" s="419"/>
      <c r="W1447" s="419">
        <f t="shared" si="67"/>
        <v>0</v>
      </c>
      <c r="X1447" s="412"/>
      <c r="Y1447" s="412"/>
      <c r="Z1447" s="412"/>
      <c r="AA1447" s="412"/>
      <c r="AB1447" s="412"/>
      <c r="AC1447" s="412"/>
      <c r="AD1447" s="412"/>
      <c r="AE1447" s="412"/>
      <c r="AF1447" s="412"/>
      <c r="AG1447" s="412"/>
      <c r="AH1447" s="412"/>
      <c r="AI1447" s="412"/>
      <c r="AJ1447" s="412">
        <f t="shared" si="68"/>
        <v>0</v>
      </c>
      <c r="AK1447" s="208"/>
      <c r="AL1447" s="250" t="s">
        <v>2068</v>
      </c>
    </row>
    <row r="1448" spans="1:38" x14ac:dyDescent="0.2">
      <c r="A1448" t="s">
        <v>888</v>
      </c>
      <c r="B1448" s="209">
        <v>5042</v>
      </c>
      <c r="C1448" s="210" t="s">
        <v>1180</v>
      </c>
      <c r="D1448" s="229" t="s">
        <v>1400</v>
      </c>
      <c r="E1448" s="229" t="s">
        <v>418</v>
      </c>
      <c r="F1448" s="240">
        <v>300</v>
      </c>
      <c r="G1448" s="205">
        <v>4</v>
      </c>
      <c r="H1448" s="206">
        <v>160</v>
      </c>
      <c r="I1448" s="207">
        <v>41438</v>
      </c>
      <c r="J1448" s="197" t="str">
        <f t="shared" si="69"/>
        <v>ok</v>
      </c>
      <c r="K1448" s="419"/>
      <c r="L1448" s="419"/>
      <c r="M1448" s="419"/>
      <c r="N1448" s="419"/>
      <c r="O1448" s="419"/>
      <c r="P1448" s="419"/>
      <c r="Q1448" s="419"/>
      <c r="R1448" s="419"/>
      <c r="S1448" s="419"/>
      <c r="T1448" s="419"/>
      <c r="U1448" s="419"/>
      <c r="V1448" s="419"/>
      <c r="W1448" s="419">
        <f t="shared" si="67"/>
        <v>0</v>
      </c>
      <c r="X1448" s="412"/>
      <c r="Y1448" s="412"/>
      <c r="Z1448" s="412"/>
      <c r="AA1448" s="412"/>
      <c r="AB1448" s="412"/>
      <c r="AC1448" s="412"/>
      <c r="AD1448" s="412"/>
      <c r="AE1448" s="412"/>
      <c r="AF1448" s="412"/>
      <c r="AG1448" s="412"/>
      <c r="AH1448" s="412"/>
      <c r="AI1448" s="412"/>
      <c r="AJ1448" s="412">
        <f t="shared" si="68"/>
        <v>0</v>
      </c>
      <c r="AK1448" s="208"/>
      <c r="AL1448" s="250" t="s">
        <v>2068</v>
      </c>
    </row>
    <row r="1449" spans="1:38" x14ac:dyDescent="0.2">
      <c r="A1449" t="s">
        <v>890</v>
      </c>
      <c r="B1449" s="209">
        <v>5043</v>
      </c>
      <c r="C1449" s="210" t="s">
        <v>1043</v>
      </c>
      <c r="D1449" s="229" t="s">
        <v>1568</v>
      </c>
      <c r="E1449" s="229" t="s">
        <v>554</v>
      </c>
      <c r="F1449" s="240">
        <v>300</v>
      </c>
      <c r="G1449" s="205">
        <v>1</v>
      </c>
      <c r="H1449" s="206">
        <v>300</v>
      </c>
      <c r="I1449" s="207">
        <v>41441</v>
      </c>
      <c r="J1449" s="197" t="str">
        <f t="shared" si="69"/>
        <v>ok</v>
      </c>
      <c r="K1449" s="419"/>
      <c r="L1449" s="419"/>
      <c r="M1449" s="419"/>
      <c r="N1449" s="419"/>
      <c r="O1449" s="419"/>
      <c r="P1449" s="419"/>
      <c r="Q1449" s="419"/>
      <c r="R1449" s="419"/>
      <c r="S1449" s="419"/>
      <c r="T1449" s="419"/>
      <c r="U1449" s="419"/>
      <c r="V1449" s="419"/>
      <c r="W1449" s="419">
        <f t="shared" si="67"/>
        <v>0</v>
      </c>
      <c r="X1449" s="412"/>
      <c r="Y1449" s="412"/>
      <c r="Z1449" s="412"/>
      <c r="AA1449" s="412">
        <v>300</v>
      </c>
      <c r="AB1449" s="412"/>
      <c r="AC1449" s="412"/>
      <c r="AD1449" s="412"/>
      <c r="AE1449" s="412"/>
      <c r="AF1449" s="412"/>
      <c r="AG1449" s="412"/>
      <c r="AH1449" s="412"/>
      <c r="AI1449" s="412"/>
      <c r="AJ1449" s="412">
        <f t="shared" si="68"/>
        <v>300</v>
      </c>
      <c r="AK1449" s="208"/>
      <c r="AL1449" s="250" t="s">
        <v>2067</v>
      </c>
    </row>
    <row r="1450" spans="1:38" x14ac:dyDescent="0.2">
      <c r="A1450" t="s">
        <v>884</v>
      </c>
      <c r="B1450" s="209">
        <v>5044</v>
      </c>
      <c r="C1450" s="210" t="s">
        <v>805</v>
      </c>
      <c r="D1450" s="229" t="s">
        <v>1615</v>
      </c>
      <c r="E1450" s="229" t="s">
        <v>22</v>
      </c>
      <c r="F1450" s="240">
        <v>200</v>
      </c>
      <c r="G1450" s="205">
        <v>3</v>
      </c>
      <c r="H1450" s="206">
        <v>150</v>
      </c>
      <c r="I1450" s="207">
        <v>41441</v>
      </c>
      <c r="J1450" s="197" t="str">
        <f t="shared" si="69"/>
        <v>ok</v>
      </c>
      <c r="K1450" s="419"/>
      <c r="L1450" s="419"/>
      <c r="M1450" s="419"/>
      <c r="N1450" s="419"/>
      <c r="O1450" s="419"/>
      <c r="P1450" s="419"/>
      <c r="Q1450" s="419"/>
      <c r="R1450" s="419"/>
      <c r="S1450" s="419"/>
      <c r="T1450" s="419"/>
      <c r="U1450" s="419"/>
      <c r="V1450" s="419"/>
      <c r="W1450" s="419">
        <f t="shared" si="67"/>
        <v>0</v>
      </c>
      <c r="X1450" s="412"/>
      <c r="Y1450" s="412"/>
      <c r="Z1450" s="412"/>
      <c r="AA1450" s="412"/>
      <c r="AB1450" s="412"/>
      <c r="AC1450" s="412"/>
      <c r="AD1450" s="412"/>
      <c r="AE1450" s="412"/>
      <c r="AF1450" s="412"/>
      <c r="AG1450" s="412"/>
      <c r="AH1450" s="412"/>
      <c r="AI1450" s="412"/>
      <c r="AJ1450" s="412">
        <f t="shared" si="68"/>
        <v>0</v>
      </c>
      <c r="AK1450" s="208"/>
      <c r="AL1450" s="250" t="s">
        <v>2068</v>
      </c>
    </row>
    <row r="1451" spans="1:38" x14ac:dyDescent="0.2">
      <c r="A1451" t="s">
        <v>893</v>
      </c>
      <c r="B1451" s="209">
        <v>5045</v>
      </c>
      <c r="C1451" s="210" t="s">
        <v>1138</v>
      </c>
      <c r="D1451" s="229" t="s">
        <v>1493</v>
      </c>
      <c r="E1451" s="229" t="s">
        <v>1274</v>
      </c>
      <c r="F1451" s="240">
        <v>300</v>
      </c>
      <c r="G1451" s="205">
        <v>1</v>
      </c>
      <c r="H1451" s="206">
        <v>300</v>
      </c>
      <c r="I1451" s="207">
        <v>41441</v>
      </c>
      <c r="J1451" s="197" t="str">
        <f t="shared" si="69"/>
        <v>ok</v>
      </c>
      <c r="K1451" s="419"/>
      <c r="L1451" s="419"/>
      <c r="M1451" s="419"/>
      <c r="N1451" s="419"/>
      <c r="O1451" s="419"/>
      <c r="P1451" s="419"/>
      <c r="Q1451" s="419"/>
      <c r="R1451" s="419"/>
      <c r="S1451" s="419"/>
      <c r="T1451" s="419"/>
      <c r="U1451" s="419"/>
      <c r="V1451" s="419"/>
      <c r="W1451" s="419">
        <f t="shared" si="67"/>
        <v>0</v>
      </c>
      <c r="X1451" s="412"/>
      <c r="Y1451" s="412"/>
      <c r="Z1451" s="412"/>
      <c r="AA1451" s="412"/>
      <c r="AB1451" s="412"/>
      <c r="AC1451" s="412">
        <v>300</v>
      </c>
      <c r="AD1451" s="412"/>
      <c r="AE1451" s="412"/>
      <c r="AF1451" s="412"/>
      <c r="AG1451" s="412"/>
      <c r="AH1451" s="412"/>
      <c r="AI1451" s="412"/>
      <c r="AJ1451" s="412">
        <f t="shared" si="68"/>
        <v>300</v>
      </c>
      <c r="AK1451" s="208"/>
      <c r="AL1451" s="250" t="s">
        <v>2067</v>
      </c>
    </row>
    <row r="1452" spans="1:38" x14ac:dyDescent="0.2">
      <c r="A1452" t="s">
        <v>890</v>
      </c>
      <c r="B1452" s="209">
        <v>5046</v>
      </c>
      <c r="C1452" s="210" t="s">
        <v>763</v>
      </c>
      <c r="D1452" s="229" t="s">
        <v>1610</v>
      </c>
      <c r="E1452" s="229" t="s">
        <v>517</v>
      </c>
      <c r="F1452" s="240">
        <v>300</v>
      </c>
      <c r="G1452" s="205">
        <v>1</v>
      </c>
      <c r="H1452" s="206">
        <v>600</v>
      </c>
      <c r="I1452" s="207">
        <v>41441</v>
      </c>
      <c r="J1452" s="197" t="str">
        <f t="shared" si="69"/>
        <v>ok</v>
      </c>
      <c r="K1452" s="419"/>
      <c r="L1452" s="419"/>
      <c r="M1452" s="419"/>
      <c r="N1452" s="419"/>
      <c r="O1452" s="419"/>
      <c r="P1452" s="419"/>
      <c r="Q1452" s="419"/>
      <c r="R1452" s="419"/>
      <c r="S1452" s="419"/>
      <c r="T1452" s="419"/>
      <c r="U1452" s="419"/>
      <c r="V1452" s="419"/>
      <c r="W1452" s="419">
        <f t="shared" si="67"/>
        <v>0</v>
      </c>
      <c r="X1452" s="412"/>
      <c r="Y1452" s="412"/>
      <c r="Z1452" s="412"/>
      <c r="AA1452" s="412"/>
      <c r="AB1452" s="412">
        <v>300</v>
      </c>
      <c r="AC1452" s="412">
        <v>300</v>
      </c>
      <c r="AD1452" s="412"/>
      <c r="AE1452" s="412"/>
      <c r="AF1452" s="412"/>
      <c r="AG1452" s="412"/>
      <c r="AH1452" s="412"/>
      <c r="AI1452" s="412"/>
      <c r="AJ1452" s="412">
        <f t="shared" si="68"/>
        <v>600</v>
      </c>
      <c r="AK1452" s="208"/>
      <c r="AL1452" s="250" t="s">
        <v>2067</v>
      </c>
    </row>
    <row r="1453" spans="1:38" x14ac:dyDescent="0.2">
      <c r="A1453" t="s">
        <v>890</v>
      </c>
      <c r="B1453" s="209">
        <v>5047</v>
      </c>
      <c r="C1453" s="210" t="s">
        <v>992</v>
      </c>
      <c r="D1453" s="229" t="s">
        <v>1624</v>
      </c>
      <c r="E1453" s="229" t="s">
        <v>727</v>
      </c>
      <c r="F1453" s="240">
        <v>300</v>
      </c>
      <c r="G1453" s="205">
        <v>1</v>
      </c>
      <c r="H1453" s="206">
        <v>300</v>
      </c>
      <c r="I1453" s="207">
        <v>41441</v>
      </c>
      <c r="J1453" s="197" t="str">
        <f t="shared" si="69"/>
        <v>ok</v>
      </c>
      <c r="K1453" s="419"/>
      <c r="L1453" s="419"/>
      <c r="M1453" s="419"/>
      <c r="N1453" s="419"/>
      <c r="O1453" s="419"/>
      <c r="P1453" s="419"/>
      <c r="Q1453" s="419"/>
      <c r="R1453" s="419"/>
      <c r="S1453" s="419"/>
      <c r="T1453" s="419"/>
      <c r="U1453" s="419"/>
      <c r="V1453" s="419"/>
      <c r="W1453" s="419">
        <f t="shared" si="67"/>
        <v>0</v>
      </c>
      <c r="X1453" s="412"/>
      <c r="Y1453" s="412"/>
      <c r="Z1453" s="412"/>
      <c r="AA1453" s="412"/>
      <c r="AB1453" s="412">
        <v>300</v>
      </c>
      <c r="AC1453" s="412"/>
      <c r="AD1453" s="412"/>
      <c r="AE1453" s="412"/>
      <c r="AF1453" s="412"/>
      <c r="AG1453" s="412"/>
      <c r="AH1453" s="412"/>
      <c r="AI1453" s="412"/>
      <c r="AJ1453" s="412">
        <f t="shared" si="68"/>
        <v>300</v>
      </c>
      <c r="AK1453" s="208"/>
      <c r="AL1453" s="250" t="s">
        <v>2067</v>
      </c>
    </row>
    <row r="1454" spans="1:38" x14ac:dyDescent="0.2">
      <c r="A1454" t="s">
        <v>893</v>
      </c>
      <c r="B1454" s="209">
        <v>5048</v>
      </c>
      <c r="C1454" s="210" t="s">
        <v>777</v>
      </c>
      <c r="D1454" s="229" t="s">
        <v>1387</v>
      </c>
      <c r="E1454" s="229" t="s">
        <v>714</v>
      </c>
      <c r="F1454" s="240">
        <v>300</v>
      </c>
      <c r="G1454" s="205">
        <v>1</v>
      </c>
      <c r="H1454" s="206">
        <v>300</v>
      </c>
      <c r="I1454" s="207">
        <v>41441</v>
      </c>
      <c r="J1454" s="197" t="str">
        <f t="shared" si="69"/>
        <v>ok</v>
      </c>
      <c r="K1454" s="419"/>
      <c r="L1454" s="419"/>
      <c r="M1454" s="419"/>
      <c r="N1454" s="419"/>
      <c r="O1454" s="419"/>
      <c r="P1454" s="419"/>
      <c r="Q1454" s="419"/>
      <c r="R1454" s="419"/>
      <c r="S1454" s="419"/>
      <c r="T1454" s="419"/>
      <c r="U1454" s="419"/>
      <c r="V1454" s="419"/>
      <c r="W1454" s="419">
        <f t="shared" si="67"/>
        <v>0</v>
      </c>
      <c r="X1454" s="412"/>
      <c r="Y1454" s="412"/>
      <c r="Z1454" s="412"/>
      <c r="AA1454" s="412"/>
      <c r="AB1454" s="412"/>
      <c r="AC1454" s="412">
        <v>300</v>
      </c>
      <c r="AD1454" s="412"/>
      <c r="AE1454" s="412"/>
      <c r="AF1454" s="412"/>
      <c r="AG1454" s="412"/>
      <c r="AH1454" s="412"/>
      <c r="AI1454" s="412"/>
      <c r="AJ1454" s="412">
        <f t="shared" si="68"/>
        <v>300</v>
      </c>
      <c r="AK1454" s="208"/>
      <c r="AL1454" s="250" t="s">
        <v>2067</v>
      </c>
    </row>
    <row r="1455" spans="1:38" x14ac:dyDescent="0.2">
      <c r="A1455" t="s">
        <v>890</v>
      </c>
      <c r="B1455" s="209">
        <v>5049</v>
      </c>
      <c r="C1455" s="210" t="s">
        <v>981</v>
      </c>
      <c r="D1455" s="229" t="s">
        <v>1655</v>
      </c>
      <c r="E1455" s="229" t="s">
        <v>468</v>
      </c>
      <c r="F1455" s="240">
        <v>300</v>
      </c>
      <c r="G1455" s="205">
        <v>1</v>
      </c>
      <c r="H1455" s="206">
        <v>600</v>
      </c>
      <c r="I1455" s="207">
        <v>41441</v>
      </c>
      <c r="J1455" s="197" t="str">
        <f t="shared" si="69"/>
        <v>ok</v>
      </c>
      <c r="K1455" s="419"/>
      <c r="L1455" s="419"/>
      <c r="M1455" s="419"/>
      <c r="N1455" s="419"/>
      <c r="O1455" s="419"/>
      <c r="P1455" s="419"/>
      <c r="Q1455" s="419"/>
      <c r="R1455" s="419"/>
      <c r="S1455" s="419"/>
      <c r="T1455" s="419"/>
      <c r="U1455" s="419"/>
      <c r="V1455" s="419"/>
      <c r="W1455" s="419">
        <f t="shared" si="67"/>
        <v>0</v>
      </c>
      <c r="X1455" s="412"/>
      <c r="Y1455" s="412"/>
      <c r="Z1455" s="412"/>
      <c r="AA1455" s="412"/>
      <c r="AB1455" s="412">
        <v>300</v>
      </c>
      <c r="AC1455" s="412">
        <v>300</v>
      </c>
      <c r="AD1455" s="412"/>
      <c r="AE1455" s="412"/>
      <c r="AF1455" s="412"/>
      <c r="AG1455" s="412"/>
      <c r="AH1455" s="412"/>
      <c r="AI1455" s="412"/>
      <c r="AJ1455" s="412">
        <f t="shared" si="68"/>
        <v>600</v>
      </c>
      <c r="AK1455" s="208"/>
      <c r="AL1455" s="250" t="s">
        <v>2067</v>
      </c>
    </row>
    <row r="1456" spans="1:38" x14ac:dyDescent="0.2">
      <c r="A1456" t="s">
        <v>890</v>
      </c>
      <c r="B1456" s="209">
        <v>5050</v>
      </c>
      <c r="C1456" s="210" t="s">
        <v>986</v>
      </c>
      <c r="D1456" s="229" t="s">
        <v>1483</v>
      </c>
      <c r="E1456" s="229" t="s">
        <v>473</v>
      </c>
      <c r="F1456" s="240">
        <v>250</v>
      </c>
      <c r="G1456" s="205">
        <v>1</v>
      </c>
      <c r="H1456" s="206">
        <v>250</v>
      </c>
      <c r="I1456" s="207">
        <v>41441</v>
      </c>
      <c r="J1456" s="197" t="str">
        <f t="shared" si="69"/>
        <v>ok</v>
      </c>
      <c r="K1456" s="419"/>
      <c r="L1456" s="419"/>
      <c r="M1456" s="419"/>
      <c r="N1456" s="419"/>
      <c r="O1456" s="419"/>
      <c r="P1456" s="419"/>
      <c r="Q1456" s="419"/>
      <c r="R1456" s="419"/>
      <c r="S1456" s="419"/>
      <c r="T1456" s="419"/>
      <c r="U1456" s="419"/>
      <c r="V1456" s="419"/>
      <c r="W1456" s="419">
        <f t="shared" si="67"/>
        <v>0</v>
      </c>
      <c r="X1456" s="412"/>
      <c r="Y1456" s="412"/>
      <c r="Z1456" s="412"/>
      <c r="AA1456" s="412"/>
      <c r="AB1456" s="412"/>
      <c r="AC1456" s="412">
        <v>250</v>
      </c>
      <c r="AD1456" s="412"/>
      <c r="AE1456" s="412"/>
      <c r="AF1456" s="412"/>
      <c r="AG1456" s="412"/>
      <c r="AH1456" s="412"/>
      <c r="AI1456" s="412"/>
      <c r="AJ1456" s="412">
        <f t="shared" si="68"/>
        <v>250</v>
      </c>
      <c r="AK1456" s="208"/>
      <c r="AL1456" s="250" t="s">
        <v>2067</v>
      </c>
    </row>
    <row r="1457" spans="1:38" x14ac:dyDescent="0.2">
      <c r="A1457" t="s">
        <v>890</v>
      </c>
      <c r="B1457" s="209">
        <v>5050</v>
      </c>
      <c r="C1457" s="210" t="s">
        <v>986</v>
      </c>
      <c r="D1457" s="229" t="s">
        <v>1483</v>
      </c>
      <c r="E1457" s="229" t="s">
        <v>473</v>
      </c>
      <c r="F1457" s="240">
        <v>250</v>
      </c>
      <c r="G1457" s="205">
        <v>4</v>
      </c>
      <c r="H1457" s="206">
        <v>160</v>
      </c>
      <c r="I1457" s="207">
        <v>41441</v>
      </c>
      <c r="J1457" s="197" t="str">
        <f t="shared" si="69"/>
        <v>ok</v>
      </c>
      <c r="K1457" s="419"/>
      <c r="L1457" s="419"/>
      <c r="M1457" s="419"/>
      <c r="N1457" s="419"/>
      <c r="O1457" s="419"/>
      <c r="P1457" s="419"/>
      <c r="Q1457" s="419"/>
      <c r="R1457" s="419"/>
      <c r="S1457" s="419"/>
      <c r="T1457" s="419"/>
      <c r="U1457" s="419"/>
      <c r="V1457" s="419"/>
      <c r="W1457" s="419">
        <f t="shared" si="67"/>
        <v>0</v>
      </c>
      <c r="X1457" s="412"/>
      <c r="Y1457" s="412"/>
      <c r="Z1457" s="412"/>
      <c r="AA1457" s="412"/>
      <c r="AB1457" s="412"/>
      <c r="AC1457" s="412"/>
      <c r="AD1457" s="412"/>
      <c r="AE1457" s="412"/>
      <c r="AF1457" s="412"/>
      <c r="AG1457" s="412"/>
      <c r="AH1457" s="412"/>
      <c r="AI1457" s="412"/>
      <c r="AJ1457" s="412">
        <f t="shared" si="68"/>
        <v>0</v>
      </c>
      <c r="AK1457" s="208"/>
      <c r="AL1457" s="250" t="s">
        <v>2068</v>
      </c>
    </row>
    <row r="1458" spans="1:38" x14ac:dyDescent="0.2">
      <c r="A1458" t="s">
        <v>892</v>
      </c>
      <c r="B1458" s="209">
        <v>5051</v>
      </c>
      <c r="C1458" s="210" t="s">
        <v>1055</v>
      </c>
      <c r="D1458" s="229" t="s">
        <v>1467</v>
      </c>
      <c r="E1458" s="229" t="s">
        <v>371</v>
      </c>
      <c r="F1458" s="240">
        <v>300</v>
      </c>
      <c r="G1458" s="205">
        <v>1</v>
      </c>
      <c r="H1458" s="206">
        <v>300</v>
      </c>
      <c r="I1458" s="207">
        <v>41441</v>
      </c>
      <c r="J1458" s="197" t="str">
        <f t="shared" si="69"/>
        <v>ok</v>
      </c>
      <c r="K1458" s="419"/>
      <c r="L1458" s="419"/>
      <c r="M1458" s="419"/>
      <c r="N1458" s="419"/>
      <c r="O1458" s="419"/>
      <c r="P1458" s="419"/>
      <c r="Q1458" s="419"/>
      <c r="R1458" s="419"/>
      <c r="S1458" s="419"/>
      <c r="T1458" s="419"/>
      <c r="U1458" s="419"/>
      <c r="V1458" s="419"/>
      <c r="W1458" s="419">
        <f t="shared" si="67"/>
        <v>0</v>
      </c>
      <c r="X1458" s="412"/>
      <c r="Y1458" s="412"/>
      <c r="Z1458" s="412"/>
      <c r="AA1458" s="412"/>
      <c r="AB1458" s="412"/>
      <c r="AC1458" s="412">
        <v>300</v>
      </c>
      <c r="AD1458" s="412"/>
      <c r="AE1458" s="412"/>
      <c r="AF1458" s="412"/>
      <c r="AG1458" s="412"/>
      <c r="AH1458" s="412"/>
      <c r="AI1458" s="412"/>
      <c r="AJ1458" s="412">
        <f t="shared" si="68"/>
        <v>300</v>
      </c>
      <c r="AK1458" s="208"/>
      <c r="AL1458" s="250" t="s">
        <v>2067</v>
      </c>
    </row>
    <row r="1459" spans="1:38" x14ac:dyDescent="0.2">
      <c r="A1459" t="s">
        <v>892</v>
      </c>
      <c r="B1459" s="209">
        <v>5052</v>
      </c>
      <c r="C1459" s="210" t="s">
        <v>1181</v>
      </c>
      <c r="D1459" s="229" t="s">
        <v>1425</v>
      </c>
      <c r="E1459" s="229" t="s">
        <v>557</v>
      </c>
      <c r="F1459" s="240">
        <v>300</v>
      </c>
      <c r="G1459" s="205">
        <v>1</v>
      </c>
      <c r="H1459" s="206">
        <v>300</v>
      </c>
      <c r="I1459" s="207">
        <v>41441</v>
      </c>
      <c r="J1459" s="197" t="str">
        <f t="shared" si="69"/>
        <v>ok</v>
      </c>
      <c r="K1459" s="419"/>
      <c r="L1459" s="419"/>
      <c r="M1459" s="419"/>
      <c r="N1459" s="419"/>
      <c r="O1459" s="419"/>
      <c r="P1459" s="419"/>
      <c r="Q1459" s="419"/>
      <c r="R1459" s="419"/>
      <c r="S1459" s="419"/>
      <c r="T1459" s="419"/>
      <c r="U1459" s="419"/>
      <c r="V1459" s="419"/>
      <c r="W1459" s="419">
        <f t="shared" si="67"/>
        <v>0</v>
      </c>
      <c r="X1459" s="412"/>
      <c r="Y1459" s="412"/>
      <c r="Z1459" s="412"/>
      <c r="AA1459" s="412"/>
      <c r="AB1459" s="412"/>
      <c r="AC1459" s="412">
        <v>300</v>
      </c>
      <c r="AD1459" s="412"/>
      <c r="AE1459" s="412"/>
      <c r="AF1459" s="412"/>
      <c r="AG1459" s="412"/>
      <c r="AH1459" s="412"/>
      <c r="AI1459" s="412"/>
      <c r="AJ1459" s="412">
        <f t="shared" si="68"/>
        <v>300</v>
      </c>
      <c r="AK1459" s="208"/>
      <c r="AL1459" s="250" t="s">
        <v>2067</v>
      </c>
    </row>
    <row r="1460" spans="1:38" x14ac:dyDescent="0.2">
      <c r="B1460" s="209">
        <v>5053</v>
      </c>
      <c r="C1460" s="210"/>
      <c r="D1460" s="229" t="s">
        <v>1362</v>
      </c>
      <c r="E1460" s="229" t="s">
        <v>1362</v>
      </c>
      <c r="F1460" s="240" t="s">
        <v>1362</v>
      </c>
      <c r="G1460" s="205">
        <v>8</v>
      </c>
      <c r="H1460" s="206"/>
      <c r="I1460" s="207"/>
      <c r="J1460" s="197" t="str">
        <f t="shared" si="69"/>
        <v>ok</v>
      </c>
      <c r="K1460" s="419"/>
      <c r="L1460" s="419"/>
      <c r="M1460" s="419"/>
      <c r="N1460" s="419"/>
      <c r="O1460" s="419"/>
      <c r="P1460" s="419"/>
      <c r="Q1460" s="419"/>
      <c r="R1460" s="419"/>
      <c r="S1460" s="419"/>
      <c r="T1460" s="419"/>
      <c r="U1460" s="419"/>
      <c r="V1460" s="419"/>
      <c r="W1460" s="419">
        <f t="shared" si="67"/>
        <v>0</v>
      </c>
      <c r="X1460" s="412"/>
      <c r="Y1460" s="412"/>
      <c r="Z1460" s="412"/>
      <c r="AA1460" s="412"/>
      <c r="AB1460" s="412"/>
      <c r="AC1460" s="412"/>
      <c r="AD1460" s="412"/>
      <c r="AE1460" s="412"/>
      <c r="AF1460" s="412"/>
      <c r="AG1460" s="412"/>
      <c r="AH1460" s="412"/>
      <c r="AI1460" s="412"/>
      <c r="AJ1460" s="412">
        <f t="shared" si="68"/>
        <v>0</v>
      </c>
      <c r="AK1460" s="208" t="s">
        <v>755</v>
      </c>
      <c r="AL1460" s="250" t="s">
        <v>2067</v>
      </c>
    </row>
    <row r="1461" spans="1:38" x14ac:dyDescent="0.2">
      <c r="A1461" t="s">
        <v>890</v>
      </c>
      <c r="B1461" s="209">
        <v>5054</v>
      </c>
      <c r="C1461" s="210" t="s">
        <v>1025</v>
      </c>
      <c r="D1461" s="229" t="s">
        <v>1378</v>
      </c>
      <c r="E1461" s="229" t="s">
        <v>525</v>
      </c>
      <c r="F1461" s="240">
        <v>300</v>
      </c>
      <c r="G1461" s="205">
        <v>1</v>
      </c>
      <c r="H1461" s="206">
        <v>300</v>
      </c>
      <c r="I1461" s="207">
        <v>41441</v>
      </c>
      <c r="J1461" s="197" t="str">
        <f t="shared" si="69"/>
        <v>ok</v>
      </c>
      <c r="K1461" s="419"/>
      <c r="L1461" s="419"/>
      <c r="M1461" s="419"/>
      <c r="N1461" s="419"/>
      <c r="O1461" s="419"/>
      <c r="P1461" s="419"/>
      <c r="Q1461" s="419"/>
      <c r="R1461" s="419"/>
      <c r="S1461" s="419"/>
      <c r="T1461" s="419"/>
      <c r="U1461" s="419"/>
      <c r="V1461" s="419"/>
      <c r="W1461" s="419">
        <f t="shared" si="67"/>
        <v>0</v>
      </c>
      <c r="X1461" s="412"/>
      <c r="Y1461" s="412"/>
      <c r="Z1461" s="412"/>
      <c r="AA1461" s="412"/>
      <c r="AB1461" s="412"/>
      <c r="AC1461" s="412">
        <v>300</v>
      </c>
      <c r="AD1461" s="412"/>
      <c r="AE1461" s="412"/>
      <c r="AF1461" s="412"/>
      <c r="AG1461" s="412"/>
      <c r="AH1461" s="412"/>
      <c r="AI1461" s="412"/>
      <c r="AJ1461" s="412">
        <f t="shared" si="68"/>
        <v>300</v>
      </c>
      <c r="AK1461" s="208"/>
      <c r="AL1461" s="250" t="s">
        <v>2067</v>
      </c>
    </row>
    <row r="1462" spans="1:38" x14ac:dyDescent="0.2">
      <c r="A1462" t="s">
        <v>888</v>
      </c>
      <c r="B1462" s="209">
        <v>5055</v>
      </c>
      <c r="C1462" s="210" t="s">
        <v>928</v>
      </c>
      <c r="D1462" s="229" t="s">
        <v>1393</v>
      </c>
      <c r="E1462" s="229" t="s">
        <v>719</v>
      </c>
      <c r="F1462" s="240">
        <v>300</v>
      </c>
      <c r="G1462" s="205">
        <v>1</v>
      </c>
      <c r="H1462" s="206">
        <v>300</v>
      </c>
      <c r="I1462" s="207">
        <v>41441</v>
      </c>
      <c r="J1462" s="197" t="str">
        <f t="shared" si="69"/>
        <v>ok</v>
      </c>
      <c r="K1462" s="419"/>
      <c r="L1462" s="419"/>
      <c r="M1462" s="419"/>
      <c r="N1462" s="419"/>
      <c r="O1462" s="419"/>
      <c r="P1462" s="419"/>
      <c r="Q1462" s="419"/>
      <c r="R1462" s="419"/>
      <c r="S1462" s="419"/>
      <c r="T1462" s="419"/>
      <c r="U1462" s="419"/>
      <c r="V1462" s="419"/>
      <c r="W1462" s="419">
        <f t="shared" si="67"/>
        <v>0</v>
      </c>
      <c r="X1462" s="412"/>
      <c r="Y1462" s="412"/>
      <c r="Z1462" s="412"/>
      <c r="AA1462" s="412"/>
      <c r="AB1462" s="412"/>
      <c r="AC1462" s="412">
        <v>300</v>
      </c>
      <c r="AD1462" s="412"/>
      <c r="AE1462" s="412"/>
      <c r="AF1462" s="412"/>
      <c r="AG1462" s="412"/>
      <c r="AH1462" s="412"/>
      <c r="AI1462" s="412"/>
      <c r="AJ1462" s="412">
        <f t="shared" si="68"/>
        <v>300</v>
      </c>
      <c r="AK1462" s="208"/>
      <c r="AL1462" s="250" t="s">
        <v>2067</v>
      </c>
    </row>
    <row r="1463" spans="1:38" x14ac:dyDescent="0.2">
      <c r="A1463" t="s">
        <v>888</v>
      </c>
      <c r="B1463" s="209">
        <v>5056</v>
      </c>
      <c r="C1463" s="210" t="s">
        <v>947</v>
      </c>
      <c r="D1463" s="229" t="s">
        <v>1523</v>
      </c>
      <c r="E1463" s="229" t="s">
        <v>411</v>
      </c>
      <c r="F1463" s="240">
        <v>300</v>
      </c>
      <c r="G1463" s="205">
        <v>4</v>
      </c>
      <c r="H1463" s="206">
        <v>160</v>
      </c>
      <c r="I1463" s="207">
        <v>41441</v>
      </c>
      <c r="J1463" s="197" t="str">
        <f t="shared" si="69"/>
        <v>ok</v>
      </c>
      <c r="K1463" s="419"/>
      <c r="L1463" s="419"/>
      <c r="M1463" s="419"/>
      <c r="N1463" s="419"/>
      <c r="O1463" s="419"/>
      <c r="P1463" s="419"/>
      <c r="Q1463" s="419"/>
      <c r="R1463" s="419"/>
      <c r="S1463" s="419"/>
      <c r="T1463" s="419"/>
      <c r="U1463" s="419"/>
      <c r="V1463" s="419"/>
      <c r="W1463" s="419">
        <f t="shared" si="67"/>
        <v>0</v>
      </c>
      <c r="X1463" s="412"/>
      <c r="Y1463" s="412"/>
      <c r="Z1463" s="412"/>
      <c r="AA1463" s="412"/>
      <c r="AB1463" s="412"/>
      <c r="AC1463" s="412"/>
      <c r="AD1463" s="412"/>
      <c r="AE1463" s="412"/>
      <c r="AF1463" s="412"/>
      <c r="AG1463" s="412"/>
      <c r="AH1463" s="412"/>
      <c r="AI1463" s="412"/>
      <c r="AJ1463" s="412">
        <f t="shared" si="68"/>
        <v>0</v>
      </c>
      <c r="AK1463" s="208"/>
      <c r="AL1463" s="250" t="s">
        <v>2068</v>
      </c>
    </row>
    <row r="1464" spans="1:38" x14ac:dyDescent="0.2">
      <c r="A1464" t="s">
        <v>889</v>
      </c>
      <c r="B1464" s="209">
        <v>5057</v>
      </c>
      <c r="C1464" s="210" t="s">
        <v>970</v>
      </c>
      <c r="D1464" s="229" t="s">
        <v>1444</v>
      </c>
      <c r="E1464" s="229" t="s">
        <v>1247</v>
      </c>
      <c r="F1464" s="240">
        <v>300</v>
      </c>
      <c r="G1464" s="205">
        <v>3</v>
      </c>
      <c r="H1464" s="206">
        <v>150</v>
      </c>
      <c r="I1464" s="207">
        <v>41441</v>
      </c>
      <c r="J1464" s="197" t="str">
        <f t="shared" si="69"/>
        <v>ok</v>
      </c>
      <c r="K1464" s="419"/>
      <c r="L1464" s="419"/>
      <c r="M1464" s="419"/>
      <c r="N1464" s="419"/>
      <c r="O1464" s="419"/>
      <c r="P1464" s="419"/>
      <c r="Q1464" s="419"/>
      <c r="R1464" s="419"/>
      <c r="S1464" s="419"/>
      <c r="T1464" s="419"/>
      <c r="U1464" s="419"/>
      <c r="V1464" s="419"/>
      <c r="W1464" s="419">
        <f t="shared" si="67"/>
        <v>0</v>
      </c>
      <c r="X1464" s="412"/>
      <c r="Y1464" s="412"/>
      <c r="Z1464" s="412"/>
      <c r="AA1464" s="412"/>
      <c r="AB1464" s="412"/>
      <c r="AC1464" s="412"/>
      <c r="AD1464" s="412"/>
      <c r="AE1464" s="412"/>
      <c r="AF1464" s="412"/>
      <c r="AG1464" s="412"/>
      <c r="AH1464" s="412"/>
      <c r="AI1464" s="412"/>
      <c r="AJ1464" s="412">
        <f t="shared" si="68"/>
        <v>0</v>
      </c>
      <c r="AK1464" s="208"/>
      <c r="AL1464" s="250" t="s">
        <v>2068</v>
      </c>
    </row>
    <row r="1465" spans="1:38" x14ac:dyDescent="0.2">
      <c r="A1465" t="s">
        <v>893</v>
      </c>
      <c r="B1465" s="209">
        <v>5058</v>
      </c>
      <c r="C1465" s="210" t="s">
        <v>1070</v>
      </c>
      <c r="D1465" s="229" t="s">
        <v>1720</v>
      </c>
      <c r="E1465" s="229" t="s">
        <v>183</v>
      </c>
      <c r="F1465" s="240">
        <v>300</v>
      </c>
      <c r="G1465" s="205">
        <v>3</v>
      </c>
      <c r="H1465" s="206">
        <v>150</v>
      </c>
      <c r="I1465" s="207">
        <v>41441</v>
      </c>
      <c r="J1465" s="197" t="str">
        <f t="shared" si="69"/>
        <v>ok</v>
      </c>
      <c r="K1465" s="419"/>
      <c r="L1465" s="419"/>
      <c r="M1465" s="419"/>
      <c r="N1465" s="419"/>
      <c r="O1465" s="419"/>
      <c r="P1465" s="419"/>
      <c r="Q1465" s="419"/>
      <c r="R1465" s="419"/>
      <c r="S1465" s="419"/>
      <c r="T1465" s="419"/>
      <c r="U1465" s="419"/>
      <c r="V1465" s="419"/>
      <c r="W1465" s="419">
        <f t="shared" si="67"/>
        <v>0</v>
      </c>
      <c r="X1465" s="412"/>
      <c r="Y1465" s="412"/>
      <c r="Z1465" s="412"/>
      <c r="AA1465" s="412"/>
      <c r="AB1465" s="412"/>
      <c r="AC1465" s="412"/>
      <c r="AD1465" s="412"/>
      <c r="AE1465" s="412"/>
      <c r="AF1465" s="412"/>
      <c r="AG1465" s="412"/>
      <c r="AH1465" s="412"/>
      <c r="AI1465" s="412"/>
      <c r="AJ1465" s="412">
        <f t="shared" si="68"/>
        <v>0</v>
      </c>
      <c r="AK1465" s="208"/>
      <c r="AL1465" s="250" t="s">
        <v>2068</v>
      </c>
    </row>
    <row r="1466" spans="1:38" x14ac:dyDescent="0.2">
      <c r="A1466" t="s">
        <v>893</v>
      </c>
      <c r="B1466" s="209">
        <v>5058</v>
      </c>
      <c r="C1466" s="210" t="s">
        <v>1070</v>
      </c>
      <c r="D1466" s="229" t="s">
        <v>1720</v>
      </c>
      <c r="E1466" s="229" t="s">
        <v>183</v>
      </c>
      <c r="F1466" s="240">
        <v>300</v>
      </c>
      <c r="G1466" s="205">
        <v>4</v>
      </c>
      <c r="H1466" s="206">
        <v>160</v>
      </c>
      <c r="I1466" s="207">
        <v>41441</v>
      </c>
      <c r="J1466" s="197" t="str">
        <f t="shared" si="69"/>
        <v>ok</v>
      </c>
      <c r="K1466" s="419"/>
      <c r="L1466" s="419"/>
      <c r="M1466" s="419"/>
      <c r="N1466" s="419"/>
      <c r="O1466" s="419"/>
      <c r="P1466" s="419"/>
      <c r="Q1466" s="419"/>
      <c r="R1466" s="419"/>
      <c r="S1466" s="419"/>
      <c r="T1466" s="419"/>
      <c r="U1466" s="419"/>
      <c r="V1466" s="419"/>
      <c r="W1466" s="419">
        <f t="shared" si="67"/>
        <v>0</v>
      </c>
      <c r="X1466" s="412"/>
      <c r="Y1466" s="412"/>
      <c r="Z1466" s="412"/>
      <c r="AA1466" s="412"/>
      <c r="AB1466" s="412"/>
      <c r="AC1466" s="412"/>
      <c r="AD1466" s="412"/>
      <c r="AE1466" s="412"/>
      <c r="AF1466" s="412"/>
      <c r="AG1466" s="412"/>
      <c r="AH1466" s="412"/>
      <c r="AI1466" s="412"/>
      <c r="AJ1466" s="412">
        <f t="shared" si="68"/>
        <v>0</v>
      </c>
      <c r="AK1466" s="208"/>
      <c r="AL1466" s="250" t="s">
        <v>2068</v>
      </c>
    </row>
    <row r="1467" spans="1:38" x14ac:dyDescent="0.2">
      <c r="A1467" t="s">
        <v>891</v>
      </c>
      <c r="B1467" s="209">
        <v>5059</v>
      </c>
      <c r="C1467" s="210" t="s">
        <v>1049</v>
      </c>
      <c r="D1467" s="229" t="s">
        <v>1550</v>
      </c>
      <c r="E1467" s="229" t="s">
        <v>649</v>
      </c>
      <c r="F1467" s="240">
        <v>100</v>
      </c>
      <c r="G1467" s="205">
        <v>1</v>
      </c>
      <c r="H1467" s="206">
        <v>100</v>
      </c>
      <c r="I1467" s="207">
        <v>41441</v>
      </c>
      <c r="J1467" s="197" t="str">
        <f t="shared" si="69"/>
        <v>ok</v>
      </c>
      <c r="K1467" s="419"/>
      <c r="L1467" s="419"/>
      <c r="M1467" s="419"/>
      <c r="N1467" s="419"/>
      <c r="O1467" s="419"/>
      <c r="P1467" s="419"/>
      <c r="Q1467" s="419"/>
      <c r="R1467" s="419"/>
      <c r="S1467" s="419"/>
      <c r="T1467" s="419"/>
      <c r="U1467" s="419"/>
      <c r="V1467" s="419"/>
      <c r="W1467" s="419">
        <f t="shared" si="67"/>
        <v>0</v>
      </c>
      <c r="X1467" s="412"/>
      <c r="Y1467" s="412"/>
      <c r="Z1467" s="412"/>
      <c r="AA1467" s="412"/>
      <c r="AB1467" s="412"/>
      <c r="AC1467" s="412">
        <v>100</v>
      </c>
      <c r="AD1467" s="412"/>
      <c r="AE1467" s="412"/>
      <c r="AF1467" s="412"/>
      <c r="AG1467" s="412"/>
      <c r="AH1467" s="412"/>
      <c r="AI1467" s="412"/>
      <c r="AJ1467" s="412">
        <f t="shared" si="68"/>
        <v>100</v>
      </c>
      <c r="AK1467" s="208"/>
      <c r="AL1467" s="250" t="s">
        <v>2067</v>
      </c>
    </row>
    <row r="1468" spans="1:38" x14ac:dyDescent="0.2">
      <c r="A1468" t="s">
        <v>884</v>
      </c>
      <c r="B1468" s="209">
        <v>5060</v>
      </c>
      <c r="C1468" s="210" t="s">
        <v>819</v>
      </c>
      <c r="D1468" s="229" t="s">
        <v>1530</v>
      </c>
      <c r="E1468" s="229" t="s">
        <v>1183</v>
      </c>
      <c r="F1468" s="240">
        <v>200</v>
      </c>
      <c r="G1468" s="205">
        <v>1</v>
      </c>
      <c r="H1468" s="206">
        <v>200</v>
      </c>
      <c r="I1468" s="207">
        <v>41441</v>
      </c>
      <c r="J1468" s="197" t="str">
        <f t="shared" si="69"/>
        <v>ok</v>
      </c>
      <c r="K1468" s="419"/>
      <c r="L1468" s="419"/>
      <c r="M1468" s="419"/>
      <c r="N1468" s="419"/>
      <c r="O1468" s="419"/>
      <c r="P1468" s="419"/>
      <c r="Q1468" s="419"/>
      <c r="R1468" s="419"/>
      <c r="S1468" s="419"/>
      <c r="T1468" s="419"/>
      <c r="U1468" s="419"/>
      <c r="V1468" s="419"/>
      <c r="W1468" s="419">
        <f t="shared" si="67"/>
        <v>0</v>
      </c>
      <c r="X1468" s="412"/>
      <c r="Y1468" s="412"/>
      <c r="Z1468" s="412"/>
      <c r="AA1468" s="412"/>
      <c r="AB1468" s="412"/>
      <c r="AC1468" s="412">
        <v>200</v>
      </c>
      <c r="AD1468" s="412"/>
      <c r="AE1468" s="412"/>
      <c r="AF1468" s="412"/>
      <c r="AG1468" s="412"/>
      <c r="AH1468" s="412"/>
      <c r="AI1468" s="412"/>
      <c r="AJ1468" s="412">
        <f t="shared" si="68"/>
        <v>200</v>
      </c>
      <c r="AK1468" s="208"/>
      <c r="AL1468" s="250" t="s">
        <v>2067</v>
      </c>
    </row>
    <row r="1469" spans="1:38" x14ac:dyDescent="0.2">
      <c r="A1469" t="s">
        <v>884</v>
      </c>
      <c r="B1469" s="209">
        <v>5060</v>
      </c>
      <c r="C1469" s="210" t="s">
        <v>819</v>
      </c>
      <c r="D1469" s="229" t="s">
        <v>1530</v>
      </c>
      <c r="E1469" s="229" t="s">
        <v>1183</v>
      </c>
      <c r="F1469" s="240">
        <v>200</v>
      </c>
      <c r="G1469" s="205">
        <v>4</v>
      </c>
      <c r="H1469" s="206">
        <v>160</v>
      </c>
      <c r="I1469" s="207">
        <v>41441</v>
      </c>
      <c r="J1469" s="197" t="str">
        <f t="shared" si="69"/>
        <v>ok</v>
      </c>
      <c r="K1469" s="419"/>
      <c r="L1469" s="419"/>
      <c r="M1469" s="419"/>
      <c r="N1469" s="419"/>
      <c r="O1469" s="419"/>
      <c r="P1469" s="419"/>
      <c r="Q1469" s="419"/>
      <c r="R1469" s="419"/>
      <c r="S1469" s="419"/>
      <c r="T1469" s="419"/>
      <c r="U1469" s="419"/>
      <c r="V1469" s="419"/>
      <c r="W1469" s="419">
        <f t="shared" si="67"/>
        <v>0</v>
      </c>
      <c r="X1469" s="412"/>
      <c r="Y1469" s="412"/>
      <c r="Z1469" s="412"/>
      <c r="AA1469" s="412"/>
      <c r="AB1469" s="412"/>
      <c r="AC1469" s="412"/>
      <c r="AD1469" s="412"/>
      <c r="AE1469" s="412"/>
      <c r="AF1469" s="412"/>
      <c r="AG1469" s="412"/>
      <c r="AH1469" s="412"/>
      <c r="AI1469" s="412"/>
      <c r="AJ1469" s="412">
        <f t="shared" si="68"/>
        <v>0</v>
      </c>
      <c r="AK1469" s="208"/>
      <c r="AL1469" s="250" t="s">
        <v>2068</v>
      </c>
    </row>
    <row r="1470" spans="1:38" x14ac:dyDescent="0.2">
      <c r="A1470" t="s">
        <v>893</v>
      </c>
      <c r="B1470" s="209">
        <v>5061</v>
      </c>
      <c r="C1470" s="210" t="s">
        <v>1112</v>
      </c>
      <c r="D1470" s="229" t="s">
        <v>1566</v>
      </c>
      <c r="E1470" s="229" t="s">
        <v>263</v>
      </c>
      <c r="F1470" s="240">
        <v>300</v>
      </c>
      <c r="G1470" s="205">
        <v>1</v>
      </c>
      <c r="H1470" s="206">
        <v>300</v>
      </c>
      <c r="I1470" s="207">
        <v>41441</v>
      </c>
      <c r="J1470" s="197" t="str">
        <f t="shared" si="69"/>
        <v>ok</v>
      </c>
      <c r="K1470" s="419"/>
      <c r="L1470" s="419"/>
      <c r="M1470" s="419"/>
      <c r="N1470" s="419"/>
      <c r="O1470" s="419"/>
      <c r="P1470" s="419"/>
      <c r="Q1470" s="419"/>
      <c r="R1470" s="419"/>
      <c r="S1470" s="419"/>
      <c r="T1470" s="419"/>
      <c r="U1470" s="419"/>
      <c r="V1470" s="419"/>
      <c r="W1470" s="419">
        <f t="shared" si="67"/>
        <v>0</v>
      </c>
      <c r="X1470" s="412"/>
      <c r="Y1470" s="412"/>
      <c r="Z1470" s="412"/>
      <c r="AA1470" s="412"/>
      <c r="AB1470" s="412">
        <v>300</v>
      </c>
      <c r="AC1470" s="412"/>
      <c r="AD1470" s="412"/>
      <c r="AE1470" s="412"/>
      <c r="AF1470" s="412"/>
      <c r="AG1470" s="412"/>
      <c r="AH1470" s="412"/>
      <c r="AI1470" s="412"/>
      <c r="AJ1470" s="412">
        <f t="shared" si="68"/>
        <v>300</v>
      </c>
      <c r="AK1470" s="208"/>
      <c r="AL1470" s="250" t="s">
        <v>2067</v>
      </c>
    </row>
    <row r="1471" spans="1:38" x14ac:dyDescent="0.2">
      <c r="A1471" t="s">
        <v>887</v>
      </c>
      <c r="B1471" s="209">
        <v>5062</v>
      </c>
      <c r="C1471" s="210" t="s">
        <v>905</v>
      </c>
      <c r="D1471" s="229" t="s">
        <v>1524</v>
      </c>
      <c r="E1471" s="229" t="s">
        <v>669</v>
      </c>
      <c r="F1471" s="240">
        <v>150</v>
      </c>
      <c r="G1471" s="205">
        <v>1</v>
      </c>
      <c r="H1471" s="206">
        <v>150</v>
      </c>
      <c r="I1471" s="207">
        <v>41441</v>
      </c>
      <c r="J1471" s="197" t="str">
        <f t="shared" si="69"/>
        <v>ok</v>
      </c>
      <c r="K1471" s="419"/>
      <c r="L1471" s="419"/>
      <c r="M1471" s="419"/>
      <c r="N1471" s="419"/>
      <c r="O1471" s="419"/>
      <c r="P1471" s="419"/>
      <c r="Q1471" s="419"/>
      <c r="R1471" s="419"/>
      <c r="S1471" s="419"/>
      <c r="T1471" s="419"/>
      <c r="U1471" s="419"/>
      <c r="V1471" s="419"/>
      <c r="W1471" s="419">
        <f t="shared" si="67"/>
        <v>0</v>
      </c>
      <c r="X1471" s="412"/>
      <c r="Y1471" s="412"/>
      <c r="Z1471" s="412"/>
      <c r="AA1471" s="412"/>
      <c r="AB1471" s="412"/>
      <c r="AC1471" s="412">
        <v>150</v>
      </c>
      <c r="AD1471" s="412"/>
      <c r="AE1471" s="412"/>
      <c r="AF1471" s="412"/>
      <c r="AG1471" s="412"/>
      <c r="AH1471" s="412"/>
      <c r="AI1471" s="412"/>
      <c r="AJ1471" s="412">
        <f t="shared" si="68"/>
        <v>150</v>
      </c>
      <c r="AK1471" s="208"/>
      <c r="AL1471" s="250" t="s">
        <v>2067</v>
      </c>
    </row>
    <row r="1472" spans="1:38" x14ac:dyDescent="0.2">
      <c r="A1472" t="s">
        <v>894</v>
      </c>
      <c r="B1472" s="209">
        <v>5063</v>
      </c>
      <c r="C1472" s="210" t="s">
        <v>767</v>
      </c>
      <c r="D1472" s="229" t="s">
        <v>1411</v>
      </c>
      <c r="E1472" s="229" t="s">
        <v>607</v>
      </c>
      <c r="F1472" s="240">
        <v>300</v>
      </c>
      <c r="G1472" s="205">
        <v>1</v>
      </c>
      <c r="H1472" s="206">
        <v>300</v>
      </c>
      <c r="I1472" s="207">
        <v>41441</v>
      </c>
      <c r="J1472" s="197" t="str">
        <f t="shared" si="69"/>
        <v>ok</v>
      </c>
      <c r="K1472" s="419"/>
      <c r="L1472" s="419"/>
      <c r="M1472" s="419"/>
      <c r="N1472" s="419"/>
      <c r="O1472" s="419"/>
      <c r="P1472" s="419"/>
      <c r="Q1472" s="419"/>
      <c r="R1472" s="419"/>
      <c r="S1472" s="419"/>
      <c r="T1472" s="419"/>
      <c r="U1472" s="419"/>
      <c r="V1472" s="419"/>
      <c r="W1472" s="419">
        <f t="shared" si="67"/>
        <v>0</v>
      </c>
      <c r="X1472" s="412"/>
      <c r="Y1472" s="412"/>
      <c r="Z1472" s="412"/>
      <c r="AA1472" s="412"/>
      <c r="AB1472" s="412"/>
      <c r="AC1472" s="412">
        <v>300</v>
      </c>
      <c r="AD1472" s="412"/>
      <c r="AE1472" s="412"/>
      <c r="AF1472" s="412"/>
      <c r="AG1472" s="412"/>
      <c r="AH1472" s="412"/>
      <c r="AI1472" s="412"/>
      <c r="AJ1472" s="412">
        <f t="shared" si="68"/>
        <v>300</v>
      </c>
      <c r="AK1472" s="208"/>
      <c r="AL1472" s="250" t="s">
        <v>2067</v>
      </c>
    </row>
    <row r="1473" spans="1:38" x14ac:dyDescent="0.2">
      <c r="A1473" t="s">
        <v>894</v>
      </c>
      <c r="B1473" s="209">
        <v>5064</v>
      </c>
      <c r="C1473" s="210" t="s">
        <v>1157</v>
      </c>
      <c r="D1473" s="229" t="s">
        <v>1487</v>
      </c>
      <c r="E1473" s="229" t="s">
        <v>1224</v>
      </c>
      <c r="F1473" s="240">
        <v>300</v>
      </c>
      <c r="G1473" s="205">
        <v>1</v>
      </c>
      <c r="H1473" s="206">
        <v>300</v>
      </c>
      <c r="I1473" s="207">
        <v>41441</v>
      </c>
      <c r="J1473" s="197" t="str">
        <f t="shared" si="69"/>
        <v>ok</v>
      </c>
      <c r="K1473" s="419"/>
      <c r="L1473" s="419"/>
      <c r="M1473" s="419"/>
      <c r="N1473" s="419"/>
      <c r="O1473" s="419"/>
      <c r="P1473" s="419"/>
      <c r="Q1473" s="419"/>
      <c r="R1473" s="419"/>
      <c r="S1473" s="419"/>
      <c r="T1473" s="419"/>
      <c r="U1473" s="419"/>
      <c r="V1473" s="419"/>
      <c r="W1473" s="419">
        <f t="shared" si="67"/>
        <v>0</v>
      </c>
      <c r="X1473" s="412"/>
      <c r="Y1473" s="412"/>
      <c r="Z1473" s="412"/>
      <c r="AA1473" s="412"/>
      <c r="AB1473" s="412"/>
      <c r="AC1473" s="412">
        <v>300</v>
      </c>
      <c r="AD1473" s="412"/>
      <c r="AE1473" s="412"/>
      <c r="AF1473" s="412"/>
      <c r="AG1473" s="412"/>
      <c r="AH1473" s="412"/>
      <c r="AI1473" s="412"/>
      <c r="AJ1473" s="412">
        <f t="shared" si="68"/>
        <v>300</v>
      </c>
      <c r="AK1473" s="208"/>
      <c r="AL1473" s="250" t="s">
        <v>2067</v>
      </c>
    </row>
    <row r="1474" spans="1:38" x14ac:dyDescent="0.2">
      <c r="A1474" t="s">
        <v>893</v>
      </c>
      <c r="B1474" s="209">
        <v>5065</v>
      </c>
      <c r="C1474" s="210" t="s">
        <v>1082</v>
      </c>
      <c r="D1474" s="229" t="s">
        <v>1544</v>
      </c>
      <c r="E1474" s="229" t="s">
        <v>204</v>
      </c>
      <c r="F1474" s="240">
        <v>300</v>
      </c>
      <c r="G1474" s="205">
        <v>1</v>
      </c>
      <c r="H1474" s="206">
        <v>300</v>
      </c>
      <c r="I1474" s="207">
        <v>41441</v>
      </c>
      <c r="J1474" s="197" t="str">
        <f t="shared" si="69"/>
        <v>ok</v>
      </c>
      <c r="K1474" s="419"/>
      <c r="L1474" s="419"/>
      <c r="M1474" s="419"/>
      <c r="N1474" s="419"/>
      <c r="O1474" s="419"/>
      <c r="P1474" s="419"/>
      <c r="Q1474" s="419"/>
      <c r="R1474" s="419"/>
      <c r="S1474" s="419"/>
      <c r="T1474" s="419"/>
      <c r="U1474" s="419"/>
      <c r="V1474" s="419"/>
      <c r="W1474" s="419">
        <f t="shared" si="67"/>
        <v>0</v>
      </c>
      <c r="X1474" s="412"/>
      <c r="Y1474" s="412"/>
      <c r="Z1474" s="412"/>
      <c r="AA1474" s="412"/>
      <c r="AB1474" s="412"/>
      <c r="AC1474" s="412">
        <v>300</v>
      </c>
      <c r="AD1474" s="412"/>
      <c r="AE1474" s="412"/>
      <c r="AF1474" s="412"/>
      <c r="AG1474" s="412"/>
      <c r="AH1474" s="412"/>
      <c r="AI1474" s="412"/>
      <c r="AJ1474" s="412">
        <f t="shared" si="68"/>
        <v>300</v>
      </c>
      <c r="AK1474" s="208"/>
      <c r="AL1474" s="250" t="s">
        <v>2067</v>
      </c>
    </row>
    <row r="1475" spans="1:38" x14ac:dyDescent="0.2">
      <c r="A1475" t="s">
        <v>892</v>
      </c>
      <c r="B1475" s="209">
        <v>5066</v>
      </c>
      <c r="C1475" s="210" t="s">
        <v>782</v>
      </c>
      <c r="D1475" s="229" t="s">
        <v>1418</v>
      </c>
      <c r="E1475" s="229" t="s">
        <v>662</v>
      </c>
      <c r="F1475" s="240">
        <v>300</v>
      </c>
      <c r="G1475" s="205">
        <v>1</v>
      </c>
      <c r="H1475" s="206">
        <v>300</v>
      </c>
      <c r="I1475" s="207">
        <v>41441</v>
      </c>
      <c r="J1475" s="197" t="str">
        <f t="shared" si="69"/>
        <v>ok</v>
      </c>
      <c r="K1475" s="419"/>
      <c r="L1475" s="419"/>
      <c r="M1475" s="419"/>
      <c r="N1475" s="419"/>
      <c r="O1475" s="419"/>
      <c r="P1475" s="419"/>
      <c r="Q1475" s="419"/>
      <c r="R1475" s="419"/>
      <c r="S1475" s="419"/>
      <c r="T1475" s="419"/>
      <c r="U1475" s="419"/>
      <c r="V1475" s="419"/>
      <c r="W1475" s="419">
        <f t="shared" si="67"/>
        <v>0</v>
      </c>
      <c r="X1475" s="412"/>
      <c r="Y1475" s="412"/>
      <c r="Z1475" s="412"/>
      <c r="AA1475" s="412"/>
      <c r="AB1475" s="412"/>
      <c r="AC1475" s="412">
        <v>300</v>
      </c>
      <c r="AD1475" s="412"/>
      <c r="AE1475" s="412"/>
      <c r="AF1475" s="412"/>
      <c r="AG1475" s="412"/>
      <c r="AH1475" s="412"/>
      <c r="AI1475" s="412"/>
      <c r="AJ1475" s="412">
        <f t="shared" si="68"/>
        <v>300</v>
      </c>
      <c r="AK1475" s="208"/>
      <c r="AL1475" s="250" t="s">
        <v>2067</v>
      </c>
    </row>
    <row r="1476" spans="1:38" x14ac:dyDescent="0.2">
      <c r="A1476" t="s">
        <v>893</v>
      </c>
      <c r="B1476" s="209">
        <v>5067</v>
      </c>
      <c r="C1476" s="210" t="s">
        <v>1091</v>
      </c>
      <c r="D1476" s="229" t="s">
        <v>1372</v>
      </c>
      <c r="E1476" s="229" t="s">
        <v>221</v>
      </c>
      <c r="F1476" s="240">
        <v>300</v>
      </c>
      <c r="G1476" s="205">
        <v>1</v>
      </c>
      <c r="H1476" s="206">
        <v>300</v>
      </c>
      <c r="I1476" s="207">
        <v>41441</v>
      </c>
      <c r="J1476" s="197" t="str">
        <f t="shared" si="69"/>
        <v>ok</v>
      </c>
      <c r="K1476" s="419"/>
      <c r="L1476" s="419"/>
      <c r="M1476" s="419"/>
      <c r="N1476" s="419"/>
      <c r="O1476" s="419"/>
      <c r="P1476" s="419"/>
      <c r="Q1476" s="419"/>
      <c r="R1476" s="419"/>
      <c r="S1476" s="419"/>
      <c r="T1476" s="419"/>
      <c r="U1476" s="419"/>
      <c r="V1476" s="419"/>
      <c r="W1476" s="419">
        <f t="shared" si="67"/>
        <v>0</v>
      </c>
      <c r="X1476" s="412"/>
      <c r="Y1476" s="412"/>
      <c r="Z1476" s="412"/>
      <c r="AA1476" s="412"/>
      <c r="AB1476" s="412"/>
      <c r="AC1476" s="412">
        <v>300</v>
      </c>
      <c r="AD1476" s="412"/>
      <c r="AE1476" s="412"/>
      <c r="AF1476" s="412"/>
      <c r="AG1476" s="412"/>
      <c r="AH1476" s="412"/>
      <c r="AI1476" s="412"/>
      <c r="AJ1476" s="412">
        <f t="shared" si="68"/>
        <v>300</v>
      </c>
      <c r="AK1476" s="208"/>
      <c r="AL1476" s="250" t="s">
        <v>2067</v>
      </c>
    </row>
    <row r="1477" spans="1:38" x14ac:dyDescent="0.2">
      <c r="A1477" t="s">
        <v>890</v>
      </c>
      <c r="B1477" s="209">
        <v>5068</v>
      </c>
      <c r="C1477" s="210" t="s">
        <v>1037</v>
      </c>
      <c r="D1477" s="229" t="s">
        <v>1612</v>
      </c>
      <c r="E1477" s="229" t="s">
        <v>543</v>
      </c>
      <c r="F1477" s="240">
        <v>300</v>
      </c>
      <c r="G1477" s="205">
        <v>1</v>
      </c>
      <c r="H1477" s="206">
        <v>300</v>
      </c>
      <c r="I1477" s="207">
        <v>41441</v>
      </c>
      <c r="J1477" s="197" t="str">
        <f t="shared" si="69"/>
        <v>ok</v>
      </c>
      <c r="K1477" s="419"/>
      <c r="L1477" s="419"/>
      <c r="M1477" s="419"/>
      <c r="N1477" s="419"/>
      <c r="O1477" s="419"/>
      <c r="P1477" s="419"/>
      <c r="Q1477" s="419"/>
      <c r="R1477" s="419"/>
      <c r="S1477" s="419"/>
      <c r="T1477" s="419"/>
      <c r="U1477" s="419"/>
      <c r="V1477" s="419"/>
      <c r="W1477" s="419">
        <f t="shared" si="67"/>
        <v>0</v>
      </c>
      <c r="X1477" s="412"/>
      <c r="Y1477" s="412"/>
      <c r="Z1477" s="412"/>
      <c r="AA1477" s="412"/>
      <c r="AB1477" s="412"/>
      <c r="AC1477" s="412">
        <v>300</v>
      </c>
      <c r="AD1477" s="412"/>
      <c r="AE1477" s="412"/>
      <c r="AF1477" s="412"/>
      <c r="AG1477" s="412"/>
      <c r="AH1477" s="412"/>
      <c r="AI1477" s="412"/>
      <c r="AJ1477" s="412">
        <f t="shared" si="68"/>
        <v>300</v>
      </c>
      <c r="AK1477" s="208"/>
      <c r="AL1477" s="250" t="s">
        <v>2067</v>
      </c>
    </row>
    <row r="1478" spans="1:38" x14ac:dyDescent="0.2">
      <c r="A1478" t="s">
        <v>893</v>
      </c>
      <c r="B1478" s="209">
        <v>5069</v>
      </c>
      <c r="C1478" s="210" t="s">
        <v>1080</v>
      </c>
      <c r="D1478" s="229" t="s">
        <v>1598</v>
      </c>
      <c r="E1478" s="229" t="s">
        <v>200</v>
      </c>
      <c r="F1478" s="240">
        <v>300</v>
      </c>
      <c r="G1478" s="205">
        <v>1</v>
      </c>
      <c r="H1478" s="206">
        <v>600</v>
      </c>
      <c r="I1478" s="207">
        <v>41441</v>
      </c>
      <c r="J1478" s="197" t="str">
        <f t="shared" si="69"/>
        <v>ok</v>
      </c>
      <c r="K1478" s="419"/>
      <c r="L1478" s="419"/>
      <c r="M1478" s="419"/>
      <c r="N1478" s="419"/>
      <c r="O1478" s="419"/>
      <c r="P1478" s="419"/>
      <c r="Q1478" s="419"/>
      <c r="R1478" s="419"/>
      <c r="S1478" s="419"/>
      <c r="T1478" s="419"/>
      <c r="U1478" s="419"/>
      <c r="V1478" s="419"/>
      <c r="W1478" s="419">
        <f t="shared" si="67"/>
        <v>0</v>
      </c>
      <c r="X1478" s="412"/>
      <c r="Y1478" s="412"/>
      <c r="Z1478" s="412"/>
      <c r="AA1478" s="412"/>
      <c r="AB1478" s="412"/>
      <c r="AC1478" s="412"/>
      <c r="AD1478" s="412">
        <v>300</v>
      </c>
      <c r="AE1478" s="412">
        <v>300</v>
      </c>
      <c r="AF1478" s="412"/>
      <c r="AG1478" s="412"/>
      <c r="AH1478" s="412"/>
      <c r="AI1478" s="412"/>
      <c r="AJ1478" s="412">
        <f t="shared" si="68"/>
        <v>600</v>
      </c>
      <c r="AK1478" s="208"/>
      <c r="AL1478" s="250" t="s">
        <v>2067</v>
      </c>
    </row>
    <row r="1479" spans="1:38" x14ac:dyDescent="0.2">
      <c r="A1479" t="s">
        <v>893</v>
      </c>
      <c r="B1479" s="209">
        <v>5070</v>
      </c>
      <c r="C1479" s="210" t="s">
        <v>1080</v>
      </c>
      <c r="D1479" s="229" t="s">
        <v>1598</v>
      </c>
      <c r="E1479" s="229" t="s">
        <v>200</v>
      </c>
      <c r="F1479" s="240">
        <v>300</v>
      </c>
      <c r="G1479" s="205">
        <v>5</v>
      </c>
      <c r="H1479" s="206">
        <v>20</v>
      </c>
      <c r="I1479" s="207">
        <v>41441</v>
      </c>
      <c r="J1479" s="197" t="str">
        <f t="shared" si="69"/>
        <v>ok</v>
      </c>
      <c r="K1479" s="419"/>
      <c r="L1479" s="419"/>
      <c r="M1479" s="419"/>
      <c r="N1479" s="419"/>
      <c r="O1479" s="419"/>
      <c r="P1479" s="419"/>
      <c r="Q1479" s="419"/>
      <c r="R1479" s="419"/>
      <c r="S1479" s="419"/>
      <c r="T1479" s="419"/>
      <c r="U1479" s="419"/>
      <c r="V1479" s="419"/>
      <c r="W1479" s="419">
        <f t="shared" ref="W1479:W1542" si="70">SUM(K1479:V1479)</f>
        <v>0</v>
      </c>
      <c r="X1479" s="412"/>
      <c r="Y1479" s="412"/>
      <c r="Z1479" s="412"/>
      <c r="AA1479" s="412"/>
      <c r="AB1479" s="412"/>
      <c r="AC1479" s="412"/>
      <c r="AD1479" s="412"/>
      <c r="AE1479" s="412"/>
      <c r="AF1479" s="412"/>
      <c r="AG1479" s="412"/>
      <c r="AH1479" s="412"/>
      <c r="AI1479" s="412"/>
      <c r="AJ1479" s="412">
        <f t="shared" ref="AJ1479:AJ1542" si="71">SUM(X1479:AI1479)</f>
        <v>0</v>
      </c>
      <c r="AK1479" s="208"/>
      <c r="AL1479" s="250" t="s">
        <v>2068</v>
      </c>
    </row>
    <row r="1480" spans="1:38" x14ac:dyDescent="0.2">
      <c r="A1480" t="s">
        <v>893</v>
      </c>
      <c r="B1480" s="209">
        <v>5071</v>
      </c>
      <c r="C1480" s="210" t="s">
        <v>1114</v>
      </c>
      <c r="D1480" s="229" t="s">
        <v>1714</v>
      </c>
      <c r="E1480" s="229" t="s">
        <v>15</v>
      </c>
      <c r="F1480" s="240">
        <v>200</v>
      </c>
      <c r="G1480" s="205">
        <v>1</v>
      </c>
      <c r="H1480" s="206">
        <v>1200</v>
      </c>
      <c r="I1480" s="207">
        <v>41441</v>
      </c>
      <c r="J1480" s="197" t="str">
        <f t="shared" si="69"/>
        <v>ok</v>
      </c>
      <c r="K1480" s="419"/>
      <c r="L1480" s="419"/>
      <c r="M1480" s="419"/>
      <c r="N1480" s="419"/>
      <c r="O1480" s="419"/>
      <c r="P1480" s="419"/>
      <c r="Q1480" s="419"/>
      <c r="R1480" s="419"/>
      <c r="S1480" s="419"/>
      <c r="T1480" s="419"/>
      <c r="U1480" s="419"/>
      <c r="V1480" s="419"/>
      <c r="W1480" s="419">
        <f t="shared" si="70"/>
        <v>0</v>
      </c>
      <c r="X1480" s="412">
        <v>200</v>
      </c>
      <c r="Y1480" s="412">
        <v>200</v>
      </c>
      <c r="Z1480" s="412">
        <v>200</v>
      </c>
      <c r="AA1480" s="412">
        <v>200</v>
      </c>
      <c r="AB1480" s="412">
        <v>200</v>
      </c>
      <c r="AC1480" s="412">
        <v>200</v>
      </c>
      <c r="AD1480" s="412"/>
      <c r="AE1480" s="412"/>
      <c r="AF1480" s="412"/>
      <c r="AG1480" s="412"/>
      <c r="AH1480" s="412"/>
      <c r="AI1480" s="412"/>
      <c r="AJ1480" s="412">
        <f t="shared" si="71"/>
        <v>1200</v>
      </c>
      <c r="AK1480" s="208"/>
      <c r="AL1480" s="250" t="s">
        <v>2067</v>
      </c>
    </row>
    <row r="1481" spans="1:38" x14ac:dyDescent="0.2">
      <c r="A1481" t="s">
        <v>892</v>
      </c>
      <c r="B1481" s="209">
        <v>5072</v>
      </c>
      <c r="C1481" s="210" t="s">
        <v>1059</v>
      </c>
      <c r="D1481" s="229" t="s">
        <v>1426</v>
      </c>
      <c r="E1481" s="229" t="s">
        <v>660</v>
      </c>
      <c r="F1481" s="240">
        <v>150</v>
      </c>
      <c r="G1481" s="205">
        <v>1</v>
      </c>
      <c r="H1481" s="206">
        <v>150</v>
      </c>
      <c r="I1481" s="207">
        <v>41441</v>
      </c>
      <c r="J1481" s="197" t="str">
        <f t="shared" si="69"/>
        <v>ok</v>
      </c>
      <c r="K1481" s="419"/>
      <c r="L1481" s="419"/>
      <c r="M1481" s="419"/>
      <c r="N1481" s="419"/>
      <c r="O1481" s="419"/>
      <c r="P1481" s="419"/>
      <c r="Q1481" s="419"/>
      <c r="R1481" s="419"/>
      <c r="S1481" s="419"/>
      <c r="T1481" s="419"/>
      <c r="U1481" s="419"/>
      <c r="V1481" s="419"/>
      <c r="W1481" s="419">
        <f t="shared" si="70"/>
        <v>0</v>
      </c>
      <c r="X1481" s="412"/>
      <c r="Y1481" s="412"/>
      <c r="Z1481" s="412"/>
      <c r="AA1481" s="412"/>
      <c r="AB1481" s="412"/>
      <c r="AC1481" s="412">
        <v>150</v>
      </c>
      <c r="AD1481" s="412"/>
      <c r="AE1481" s="412"/>
      <c r="AF1481" s="412"/>
      <c r="AG1481" s="412"/>
      <c r="AH1481" s="412"/>
      <c r="AI1481" s="412"/>
      <c r="AJ1481" s="412">
        <f t="shared" si="71"/>
        <v>150</v>
      </c>
      <c r="AK1481" s="208"/>
      <c r="AL1481" s="250" t="s">
        <v>2067</v>
      </c>
    </row>
    <row r="1482" spans="1:38" x14ac:dyDescent="0.2">
      <c r="A1482" t="s">
        <v>892</v>
      </c>
      <c r="B1482" s="209">
        <v>5072</v>
      </c>
      <c r="C1482" s="210" t="s">
        <v>1059</v>
      </c>
      <c r="D1482" s="229" t="s">
        <v>1426</v>
      </c>
      <c r="E1482" s="229" t="s">
        <v>660</v>
      </c>
      <c r="F1482" s="240">
        <v>150</v>
      </c>
      <c r="G1482" s="205">
        <v>5</v>
      </c>
      <c r="H1482" s="206">
        <v>20</v>
      </c>
      <c r="I1482" s="207">
        <v>41441</v>
      </c>
      <c r="J1482" s="197" t="str">
        <f t="shared" si="69"/>
        <v>ok</v>
      </c>
      <c r="K1482" s="419"/>
      <c r="L1482" s="419"/>
      <c r="M1482" s="419"/>
      <c r="N1482" s="419"/>
      <c r="O1482" s="419"/>
      <c r="P1482" s="419"/>
      <c r="Q1482" s="419"/>
      <c r="R1482" s="419"/>
      <c r="S1482" s="419"/>
      <c r="T1482" s="419"/>
      <c r="U1482" s="419"/>
      <c r="V1482" s="419"/>
      <c r="W1482" s="419">
        <f t="shared" si="70"/>
        <v>0</v>
      </c>
      <c r="X1482" s="412"/>
      <c r="Y1482" s="412"/>
      <c r="Z1482" s="412"/>
      <c r="AA1482" s="412"/>
      <c r="AB1482" s="412"/>
      <c r="AC1482" s="412"/>
      <c r="AD1482" s="412"/>
      <c r="AE1482" s="412"/>
      <c r="AF1482" s="412"/>
      <c r="AG1482" s="412"/>
      <c r="AH1482" s="412"/>
      <c r="AI1482" s="412"/>
      <c r="AJ1482" s="412">
        <f t="shared" si="71"/>
        <v>0</v>
      </c>
      <c r="AK1482" s="208"/>
      <c r="AL1482" s="250" t="s">
        <v>2068</v>
      </c>
    </row>
    <row r="1483" spans="1:38" x14ac:dyDescent="0.2">
      <c r="A1483" t="s">
        <v>893</v>
      </c>
      <c r="B1483" s="209">
        <v>5073</v>
      </c>
      <c r="C1483" s="210" t="s">
        <v>1111</v>
      </c>
      <c r="D1483" s="229" t="s">
        <v>1600</v>
      </c>
      <c r="E1483" s="229" t="s">
        <v>261</v>
      </c>
      <c r="F1483" s="240">
        <v>300</v>
      </c>
      <c r="G1483" s="205">
        <v>1</v>
      </c>
      <c r="H1483" s="206">
        <v>300</v>
      </c>
      <c r="I1483" s="207">
        <v>41441</v>
      </c>
      <c r="J1483" s="197" t="str">
        <f t="shared" si="69"/>
        <v>ok</v>
      </c>
      <c r="K1483" s="419"/>
      <c r="L1483" s="419"/>
      <c r="M1483" s="419"/>
      <c r="N1483" s="419"/>
      <c r="O1483" s="419"/>
      <c r="P1483" s="419"/>
      <c r="Q1483" s="419"/>
      <c r="R1483" s="419"/>
      <c r="S1483" s="419"/>
      <c r="T1483" s="419"/>
      <c r="U1483" s="419"/>
      <c r="V1483" s="419"/>
      <c r="W1483" s="419">
        <f t="shared" si="70"/>
        <v>0</v>
      </c>
      <c r="X1483" s="412"/>
      <c r="Y1483" s="412"/>
      <c r="Z1483" s="412"/>
      <c r="AA1483" s="412"/>
      <c r="AB1483" s="412"/>
      <c r="AC1483" s="412"/>
      <c r="AD1483" s="412"/>
      <c r="AE1483" s="412"/>
      <c r="AF1483" s="412"/>
      <c r="AG1483" s="412"/>
      <c r="AH1483" s="412">
        <v>300</v>
      </c>
      <c r="AI1483" s="412"/>
      <c r="AJ1483" s="412">
        <f t="shared" si="71"/>
        <v>300</v>
      </c>
      <c r="AK1483" s="208"/>
      <c r="AL1483" s="250" t="s">
        <v>2067</v>
      </c>
    </row>
    <row r="1484" spans="1:38" x14ac:dyDescent="0.2">
      <c r="A1484" t="s">
        <v>893</v>
      </c>
      <c r="B1484" s="209">
        <v>5073</v>
      </c>
      <c r="C1484" s="210" t="s">
        <v>1111</v>
      </c>
      <c r="D1484" s="229" t="s">
        <v>1600</v>
      </c>
      <c r="E1484" s="229" t="s">
        <v>261</v>
      </c>
      <c r="F1484" s="240">
        <v>300</v>
      </c>
      <c r="G1484" s="205">
        <v>3</v>
      </c>
      <c r="H1484" s="206">
        <v>150</v>
      </c>
      <c r="I1484" s="207">
        <v>41441</v>
      </c>
      <c r="J1484" s="197" t="str">
        <f t="shared" si="69"/>
        <v>ok</v>
      </c>
      <c r="K1484" s="419"/>
      <c r="L1484" s="419"/>
      <c r="M1484" s="419"/>
      <c r="N1484" s="419"/>
      <c r="O1484" s="419"/>
      <c r="P1484" s="419"/>
      <c r="Q1484" s="419"/>
      <c r="R1484" s="419"/>
      <c r="S1484" s="419"/>
      <c r="T1484" s="419"/>
      <c r="U1484" s="419"/>
      <c r="V1484" s="419"/>
      <c r="W1484" s="419">
        <f t="shared" si="70"/>
        <v>0</v>
      </c>
      <c r="X1484" s="412"/>
      <c r="Y1484" s="412"/>
      <c r="Z1484" s="412"/>
      <c r="AA1484" s="412"/>
      <c r="AB1484" s="412"/>
      <c r="AC1484" s="412"/>
      <c r="AD1484" s="412"/>
      <c r="AE1484" s="412"/>
      <c r="AF1484" s="412"/>
      <c r="AG1484" s="412"/>
      <c r="AH1484" s="412"/>
      <c r="AI1484" s="412"/>
      <c r="AJ1484" s="412">
        <f t="shared" si="71"/>
        <v>0</v>
      </c>
      <c r="AK1484" s="208"/>
      <c r="AL1484" s="250" t="s">
        <v>2068</v>
      </c>
    </row>
    <row r="1485" spans="1:38" x14ac:dyDescent="0.2">
      <c r="A1485" t="s">
        <v>890</v>
      </c>
      <c r="B1485" s="209">
        <v>5074</v>
      </c>
      <c r="C1485" s="210" t="s">
        <v>1037</v>
      </c>
      <c r="D1485" s="229" t="s">
        <v>1612</v>
      </c>
      <c r="E1485" s="229" t="s">
        <v>543</v>
      </c>
      <c r="F1485" s="240">
        <v>300</v>
      </c>
      <c r="G1485" s="205">
        <v>4</v>
      </c>
      <c r="H1485" s="206">
        <v>160</v>
      </c>
      <c r="I1485" s="207">
        <v>41443</v>
      </c>
      <c r="J1485" s="197" t="str">
        <f t="shared" si="69"/>
        <v>ok</v>
      </c>
      <c r="K1485" s="419"/>
      <c r="L1485" s="419"/>
      <c r="M1485" s="419"/>
      <c r="N1485" s="419"/>
      <c r="O1485" s="419"/>
      <c r="P1485" s="419"/>
      <c r="Q1485" s="419"/>
      <c r="R1485" s="419"/>
      <c r="S1485" s="419"/>
      <c r="T1485" s="419"/>
      <c r="U1485" s="419"/>
      <c r="V1485" s="419"/>
      <c r="W1485" s="419">
        <f t="shared" si="70"/>
        <v>0</v>
      </c>
      <c r="X1485" s="412"/>
      <c r="Y1485" s="412"/>
      <c r="Z1485" s="412"/>
      <c r="AA1485" s="412"/>
      <c r="AB1485" s="412"/>
      <c r="AC1485" s="412"/>
      <c r="AD1485" s="412"/>
      <c r="AE1485" s="412"/>
      <c r="AF1485" s="412"/>
      <c r="AG1485" s="412"/>
      <c r="AH1485" s="412"/>
      <c r="AI1485" s="412"/>
      <c r="AJ1485" s="412">
        <f t="shared" si="71"/>
        <v>0</v>
      </c>
      <c r="AK1485" s="208"/>
      <c r="AL1485" s="250" t="s">
        <v>2068</v>
      </c>
    </row>
    <row r="1486" spans="1:38" x14ac:dyDescent="0.2">
      <c r="A1486" t="s">
        <v>893</v>
      </c>
      <c r="B1486" s="209">
        <v>5075</v>
      </c>
      <c r="C1486" s="210" t="s">
        <v>1070</v>
      </c>
      <c r="D1486" s="229" t="s">
        <v>1720</v>
      </c>
      <c r="E1486" s="229" t="s">
        <v>183</v>
      </c>
      <c r="F1486" s="240">
        <v>300</v>
      </c>
      <c r="G1486" s="205">
        <v>4</v>
      </c>
      <c r="H1486" s="206">
        <v>160</v>
      </c>
      <c r="I1486" s="207">
        <v>41443</v>
      </c>
      <c r="J1486" s="197" t="str">
        <f t="shared" ref="J1486:J1549" si="72">IF(OR(G1486&lt;&gt;1,SUM(W1486,AJ1486)=H1486),"ok","error")</f>
        <v>ok</v>
      </c>
      <c r="K1486" s="419"/>
      <c r="L1486" s="419"/>
      <c r="M1486" s="419"/>
      <c r="N1486" s="419"/>
      <c r="O1486" s="419"/>
      <c r="P1486" s="419"/>
      <c r="Q1486" s="419"/>
      <c r="R1486" s="419"/>
      <c r="S1486" s="419"/>
      <c r="T1486" s="419"/>
      <c r="U1486" s="419"/>
      <c r="V1486" s="419"/>
      <c r="W1486" s="419">
        <f t="shared" si="70"/>
        <v>0</v>
      </c>
      <c r="X1486" s="412"/>
      <c r="Y1486" s="412"/>
      <c r="Z1486" s="412"/>
      <c r="AA1486" s="412"/>
      <c r="AB1486" s="412"/>
      <c r="AC1486" s="412"/>
      <c r="AD1486" s="412"/>
      <c r="AE1486" s="412"/>
      <c r="AF1486" s="412"/>
      <c r="AG1486" s="412"/>
      <c r="AH1486" s="412"/>
      <c r="AI1486" s="412"/>
      <c r="AJ1486" s="412">
        <f t="shared" si="71"/>
        <v>0</v>
      </c>
      <c r="AK1486" s="208"/>
      <c r="AL1486" s="250" t="s">
        <v>2068</v>
      </c>
    </row>
    <row r="1487" spans="1:38" x14ac:dyDescent="0.2">
      <c r="A1487" t="s">
        <v>893</v>
      </c>
      <c r="B1487" s="209">
        <v>5076</v>
      </c>
      <c r="C1487" s="210" t="s">
        <v>1089</v>
      </c>
      <c r="D1487" s="229" t="s">
        <v>1559</v>
      </c>
      <c r="E1487" s="229" t="s">
        <v>218</v>
      </c>
      <c r="F1487" s="240">
        <v>300</v>
      </c>
      <c r="G1487" s="205">
        <v>4</v>
      </c>
      <c r="H1487" s="206">
        <v>160</v>
      </c>
      <c r="I1487" s="207">
        <v>41443</v>
      </c>
      <c r="J1487" s="197" t="str">
        <f t="shared" si="72"/>
        <v>ok</v>
      </c>
      <c r="K1487" s="419"/>
      <c r="L1487" s="419"/>
      <c r="M1487" s="419"/>
      <c r="N1487" s="419"/>
      <c r="O1487" s="419"/>
      <c r="P1487" s="419"/>
      <c r="Q1487" s="419"/>
      <c r="R1487" s="419"/>
      <c r="S1487" s="419"/>
      <c r="T1487" s="419"/>
      <c r="U1487" s="419"/>
      <c r="V1487" s="419"/>
      <c r="W1487" s="419">
        <f t="shared" si="70"/>
        <v>0</v>
      </c>
      <c r="X1487" s="412"/>
      <c r="Y1487" s="412"/>
      <c r="Z1487" s="412"/>
      <c r="AA1487" s="412"/>
      <c r="AB1487" s="412"/>
      <c r="AC1487" s="412"/>
      <c r="AD1487" s="412"/>
      <c r="AE1487" s="412"/>
      <c r="AF1487" s="412"/>
      <c r="AG1487" s="412"/>
      <c r="AH1487" s="412"/>
      <c r="AI1487" s="412"/>
      <c r="AJ1487" s="412">
        <f t="shared" si="71"/>
        <v>0</v>
      </c>
      <c r="AK1487" s="208"/>
      <c r="AL1487" s="250" t="s">
        <v>2068</v>
      </c>
    </row>
    <row r="1488" spans="1:38" x14ac:dyDescent="0.2">
      <c r="A1488" t="s">
        <v>894</v>
      </c>
      <c r="B1488" s="209">
        <v>5077</v>
      </c>
      <c r="C1488" s="210" t="s">
        <v>1153</v>
      </c>
      <c r="D1488" s="229" t="s">
        <v>1436</v>
      </c>
      <c r="E1488" s="229" t="s">
        <v>191</v>
      </c>
      <c r="F1488" s="240">
        <v>400</v>
      </c>
      <c r="G1488" s="205">
        <v>1</v>
      </c>
      <c r="H1488" s="206">
        <v>400</v>
      </c>
      <c r="I1488" s="207">
        <v>41443</v>
      </c>
      <c r="J1488" s="197" t="str">
        <f t="shared" si="72"/>
        <v>ok</v>
      </c>
      <c r="K1488" s="419"/>
      <c r="L1488" s="419"/>
      <c r="M1488" s="419"/>
      <c r="N1488" s="419"/>
      <c r="O1488" s="419"/>
      <c r="P1488" s="419"/>
      <c r="Q1488" s="419"/>
      <c r="R1488" s="419"/>
      <c r="S1488" s="419"/>
      <c r="T1488" s="419"/>
      <c r="U1488" s="419"/>
      <c r="V1488" s="419"/>
      <c r="W1488" s="419">
        <f t="shared" si="70"/>
        <v>0</v>
      </c>
      <c r="X1488" s="412"/>
      <c r="Y1488" s="412"/>
      <c r="Z1488" s="412"/>
      <c r="AA1488" s="412"/>
      <c r="AB1488" s="412"/>
      <c r="AC1488" s="412">
        <v>400</v>
      </c>
      <c r="AD1488" s="412"/>
      <c r="AE1488" s="412"/>
      <c r="AF1488" s="412"/>
      <c r="AG1488" s="412"/>
      <c r="AH1488" s="412"/>
      <c r="AI1488" s="412"/>
      <c r="AJ1488" s="412">
        <f t="shared" si="71"/>
        <v>400</v>
      </c>
      <c r="AK1488" s="208"/>
      <c r="AL1488" s="250" t="s">
        <v>2067</v>
      </c>
    </row>
    <row r="1489" spans="1:38" x14ac:dyDescent="0.2">
      <c r="A1489" t="s">
        <v>889</v>
      </c>
      <c r="B1489" s="336">
        <v>46</v>
      </c>
      <c r="C1489" s="210" t="s">
        <v>973</v>
      </c>
      <c r="D1489" s="230" t="s">
        <v>1855</v>
      </c>
      <c r="E1489" s="230" t="s">
        <v>645</v>
      </c>
      <c r="F1489" s="242">
        <v>1000</v>
      </c>
      <c r="G1489" s="205">
        <v>1</v>
      </c>
      <c r="H1489" s="206">
        <v>1000</v>
      </c>
      <c r="I1489" s="207">
        <v>41445</v>
      </c>
      <c r="J1489" s="197" t="str">
        <f t="shared" si="72"/>
        <v>ok</v>
      </c>
      <c r="K1489" s="419"/>
      <c r="L1489" s="419"/>
      <c r="M1489" s="419"/>
      <c r="N1489" s="419"/>
      <c r="O1489" s="419"/>
      <c r="P1489" s="419"/>
      <c r="Q1489" s="419"/>
      <c r="R1489" s="419"/>
      <c r="S1489" s="419"/>
      <c r="T1489" s="419"/>
      <c r="U1489" s="419"/>
      <c r="V1489" s="419"/>
      <c r="W1489" s="419">
        <f t="shared" si="70"/>
        <v>0</v>
      </c>
      <c r="X1489" s="412"/>
      <c r="Y1489" s="412"/>
      <c r="Z1489" s="412"/>
      <c r="AA1489" s="412"/>
      <c r="AB1489" s="412"/>
      <c r="AC1489" s="412">
        <v>1000</v>
      </c>
      <c r="AD1489" s="412"/>
      <c r="AE1489" s="412"/>
      <c r="AF1489" s="412"/>
      <c r="AG1489" s="412"/>
      <c r="AH1489" s="412"/>
      <c r="AI1489" s="412"/>
      <c r="AJ1489" s="412">
        <f t="shared" si="71"/>
        <v>1000</v>
      </c>
      <c r="AK1489" s="208"/>
      <c r="AL1489" s="250" t="s">
        <v>2067</v>
      </c>
    </row>
    <row r="1490" spans="1:38" x14ac:dyDescent="0.2">
      <c r="A1490" t="s">
        <v>893</v>
      </c>
      <c r="B1490" s="209">
        <v>5078</v>
      </c>
      <c r="C1490" s="210" t="s">
        <v>1140</v>
      </c>
      <c r="D1490" s="229" t="s">
        <v>1574</v>
      </c>
      <c r="E1490" s="229" t="s">
        <v>315</v>
      </c>
      <c r="F1490" s="240">
        <v>300</v>
      </c>
      <c r="G1490" s="205">
        <v>1</v>
      </c>
      <c r="H1490" s="206">
        <v>600</v>
      </c>
      <c r="I1490" s="207">
        <v>41446</v>
      </c>
      <c r="J1490" s="197" t="str">
        <f t="shared" si="72"/>
        <v>ok</v>
      </c>
      <c r="K1490" s="419"/>
      <c r="L1490" s="419"/>
      <c r="M1490" s="419"/>
      <c r="N1490" s="419"/>
      <c r="O1490" s="419"/>
      <c r="P1490" s="419"/>
      <c r="Q1490" s="419"/>
      <c r="R1490" s="419"/>
      <c r="S1490" s="419"/>
      <c r="T1490" s="419"/>
      <c r="U1490" s="419"/>
      <c r="V1490" s="419"/>
      <c r="W1490" s="419">
        <f t="shared" si="70"/>
        <v>0</v>
      </c>
      <c r="X1490" s="412"/>
      <c r="Y1490" s="412"/>
      <c r="Z1490" s="412"/>
      <c r="AA1490" s="412"/>
      <c r="AB1490" s="412"/>
      <c r="AC1490" s="412">
        <v>300</v>
      </c>
      <c r="AD1490" s="412">
        <v>300</v>
      </c>
      <c r="AE1490" s="412"/>
      <c r="AF1490" s="412"/>
      <c r="AG1490" s="412"/>
      <c r="AH1490" s="412"/>
      <c r="AI1490" s="412"/>
      <c r="AJ1490" s="412">
        <f t="shared" si="71"/>
        <v>600</v>
      </c>
      <c r="AK1490" s="208"/>
      <c r="AL1490" s="250" t="s">
        <v>2067</v>
      </c>
    </row>
    <row r="1491" spans="1:38" x14ac:dyDescent="0.2">
      <c r="A1491" t="s">
        <v>884</v>
      </c>
      <c r="B1491" s="209">
        <v>5079</v>
      </c>
      <c r="C1491" s="210" t="s">
        <v>800</v>
      </c>
      <c r="D1491" s="229" t="s">
        <v>1417</v>
      </c>
      <c r="E1491" s="229" t="s">
        <v>17</v>
      </c>
      <c r="F1491" s="240">
        <v>300</v>
      </c>
      <c r="G1491" s="205">
        <v>1</v>
      </c>
      <c r="H1491" s="206">
        <v>300</v>
      </c>
      <c r="I1491" s="207">
        <v>41448</v>
      </c>
      <c r="J1491" s="197" t="str">
        <f t="shared" si="72"/>
        <v>ok</v>
      </c>
      <c r="K1491" s="419"/>
      <c r="L1491" s="419"/>
      <c r="M1491" s="419"/>
      <c r="N1491" s="419"/>
      <c r="O1491" s="419"/>
      <c r="P1491" s="419"/>
      <c r="Q1491" s="419"/>
      <c r="R1491" s="419"/>
      <c r="S1491" s="419"/>
      <c r="T1491" s="419"/>
      <c r="U1491" s="419"/>
      <c r="V1491" s="419"/>
      <c r="W1491" s="419">
        <f t="shared" si="70"/>
        <v>0</v>
      </c>
      <c r="X1491" s="412"/>
      <c r="Y1491" s="412"/>
      <c r="Z1491" s="412"/>
      <c r="AA1491" s="412">
        <v>300</v>
      </c>
      <c r="AB1491" s="412"/>
      <c r="AC1491" s="412"/>
      <c r="AD1491" s="412"/>
      <c r="AE1491" s="412"/>
      <c r="AF1491" s="412"/>
      <c r="AG1491" s="412"/>
      <c r="AH1491" s="412"/>
      <c r="AI1491" s="412"/>
      <c r="AJ1491" s="412">
        <f t="shared" si="71"/>
        <v>300</v>
      </c>
      <c r="AK1491" s="208"/>
      <c r="AL1491" s="250" t="s">
        <v>2067</v>
      </c>
    </row>
    <row r="1492" spans="1:38" x14ac:dyDescent="0.2">
      <c r="A1492" t="s">
        <v>884</v>
      </c>
      <c r="B1492" s="209">
        <v>5080</v>
      </c>
      <c r="C1492" s="210" t="s">
        <v>811</v>
      </c>
      <c r="D1492" s="229" t="s">
        <v>1650</v>
      </c>
      <c r="E1492" s="229" t="s">
        <v>32</v>
      </c>
      <c r="F1492" s="240">
        <v>300</v>
      </c>
      <c r="G1492" s="205">
        <v>1</v>
      </c>
      <c r="H1492" s="206">
        <v>300</v>
      </c>
      <c r="I1492" s="207">
        <v>41448</v>
      </c>
      <c r="J1492" s="197" t="str">
        <f t="shared" si="72"/>
        <v>ok</v>
      </c>
      <c r="K1492" s="419"/>
      <c r="L1492" s="419"/>
      <c r="M1492" s="419"/>
      <c r="N1492" s="419"/>
      <c r="O1492" s="419"/>
      <c r="P1492" s="419"/>
      <c r="Q1492" s="419"/>
      <c r="R1492" s="419"/>
      <c r="S1492" s="419"/>
      <c r="T1492" s="419"/>
      <c r="U1492" s="419"/>
      <c r="V1492" s="419"/>
      <c r="W1492" s="419">
        <f t="shared" si="70"/>
        <v>0</v>
      </c>
      <c r="X1492" s="412"/>
      <c r="Y1492" s="412"/>
      <c r="Z1492" s="412"/>
      <c r="AA1492" s="412"/>
      <c r="AB1492" s="412"/>
      <c r="AC1492" s="412">
        <v>300</v>
      </c>
      <c r="AD1492" s="412"/>
      <c r="AE1492" s="412"/>
      <c r="AF1492" s="412"/>
      <c r="AG1492" s="412"/>
      <c r="AH1492" s="412"/>
      <c r="AI1492" s="412"/>
      <c r="AJ1492" s="412">
        <f t="shared" si="71"/>
        <v>300</v>
      </c>
      <c r="AK1492" s="208"/>
      <c r="AL1492" s="250" t="s">
        <v>2067</v>
      </c>
    </row>
    <row r="1493" spans="1:38" x14ac:dyDescent="0.2">
      <c r="A1493" t="s">
        <v>893</v>
      </c>
      <c r="B1493" s="209">
        <v>5081</v>
      </c>
      <c r="C1493" s="210" t="s">
        <v>1110</v>
      </c>
      <c r="D1493" s="229" t="s">
        <v>1583</v>
      </c>
      <c r="E1493" s="229" t="s">
        <v>113</v>
      </c>
      <c r="F1493" s="240">
        <v>300</v>
      </c>
      <c r="G1493" s="205">
        <v>1</v>
      </c>
      <c r="H1493" s="206">
        <v>300</v>
      </c>
      <c r="I1493" s="207">
        <v>41448</v>
      </c>
      <c r="J1493" s="197" t="str">
        <f t="shared" si="72"/>
        <v>ok</v>
      </c>
      <c r="K1493" s="419"/>
      <c r="L1493" s="419"/>
      <c r="M1493" s="419"/>
      <c r="N1493" s="419"/>
      <c r="O1493" s="419"/>
      <c r="P1493" s="419"/>
      <c r="Q1493" s="419"/>
      <c r="R1493" s="419"/>
      <c r="S1493" s="419"/>
      <c r="T1493" s="419"/>
      <c r="U1493" s="419"/>
      <c r="V1493" s="419"/>
      <c r="W1493" s="419">
        <f t="shared" si="70"/>
        <v>0</v>
      </c>
      <c r="X1493" s="412"/>
      <c r="Y1493" s="412"/>
      <c r="Z1493" s="412"/>
      <c r="AA1493" s="412"/>
      <c r="AB1493" s="412">
        <v>300</v>
      </c>
      <c r="AC1493" s="412"/>
      <c r="AD1493" s="412"/>
      <c r="AE1493" s="412"/>
      <c r="AF1493" s="412"/>
      <c r="AG1493" s="412"/>
      <c r="AH1493" s="412"/>
      <c r="AI1493" s="412"/>
      <c r="AJ1493" s="412">
        <f t="shared" si="71"/>
        <v>300</v>
      </c>
      <c r="AK1493" s="208"/>
      <c r="AL1493" s="250" t="s">
        <v>2067</v>
      </c>
    </row>
    <row r="1494" spans="1:38" x14ac:dyDescent="0.2">
      <c r="A1494" t="s">
        <v>893</v>
      </c>
      <c r="B1494" s="209">
        <v>5082</v>
      </c>
      <c r="C1494" s="210" t="s">
        <v>1149</v>
      </c>
      <c r="D1494" s="229" t="s">
        <v>1440</v>
      </c>
      <c r="E1494" s="229" t="s">
        <v>335</v>
      </c>
      <c r="F1494" s="240">
        <v>300</v>
      </c>
      <c r="G1494" s="205">
        <v>1</v>
      </c>
      <c r="H1494" s="206">
        <v>300</v>
      </c>
      <c r="I1494" s="207">
        <v>41448</v>
      </c>
      <c r="J1494" s="197" t="str">
        <f t="shared" si="72"/>
        <v>ok</v>
      </c>
      <c r="K1494" s="419"/>
      <c r="L1494" s="419"/>
      <c r="M1494" s="419"/>
      <c r="N1494" s="419"/>
      <c r="O1494" s="419"/>
      <c r="P1494" s="419"/>
      <c r="Q1494" s="419"/>
      <c r="R1494" s="419"/>
      <c r="S1494" s="419"/>
      <c r="T1494" s="419"/>
      <c r="U1494" s="419"/>
      <c r="V1494" s="419"/>
      <c r="W1494" s="419">
        <f t="shared" si="70"/>
        <v>0</v>
      </c>
      <c r="X1494" s="412"/>
      <c r="Y1494" s="412"/>
      <c r="Z1494" s="412"/>
      <c r="AA1494" s="412"/>
      <c r="AB1494" s="412">
        <v>300</v>
      </c>
      <c r="AC1494" s="412"/>
      <c r="AD1494" s="412"/>
      <c r="AE1494" s="412"/>
      <c r="AF1494" s="412"/>
      <c r="AG1494" s="412"/>
      <c r="AH1494" s="412"/>
      <c r="AI1494" s="412"/>
      <c r="AJ1494" s="412">
        <f t="shared" si="71"/>
        <v>300</v>
      </c>
      <c r="AK1494" s="208"/>
      <c r="AL1494" s="250" t="s">
        <v>2067</v>
      </c>
    </row>
    <row r="1495" spans="1:38" x14ac:dyDescent="0.2">
      <c r="A1495" t="s">
        <v>890</v>
      </c>
      <c r="B1495" s="209">
        <v>5083</v>
      </c>
      <c r="C1495" s="210" t="s">
        <v>1022</v>
      </c>
      <c r="D1495" s="229" t="s">
        <v>1611</v>
      </c>
      <c r="E1495" s="229" t="s">
        <v>521</v>
      </c>
      <c r="F1495" s="240">
        <v>300</v>
      </c>
      <c r="G1495" s="205">
        <v>1</v>
      </c>
      <c r="H1495" s="206">
        <v>600</v>
      </c>
      <c r="I1495" s="207">
        <v>41448</v>
      </c>
      <c r="J1495" s="197" t="str">
        <f t="shared" si="72"/>
        <v>ok</v>
      </c>
      <c r="K1495" s="419"/>
      <c r="L1495" s="419"/>
      <c r="M1495" s="419"/>
      <c r="N1495" s="419"/>
      <c r="O1495" s="419"/>
      <c r="P1495" s="419"/>
      <c r="Q1495" s="419"/>
      <c r="R1495" s="419"/>
      <c r="S1495" s="419"/>
      <c r="T1495" s="419"/>
      <c r="U1495" s="419"/>
      <c r="V1495" s="419"/>
      <c r="W1495" s="419">
        <f t="shared" si="70"/>
        <v>0</v>
      </c>
      <c r="X1495" s="412"/>
      <c r="Y1495" s="412"/>
      <c r="Z1495" s="412"/>
      <c r="AA1495" s="412"/>
      <c r="AB1495" s="412">
        <v>300</v>
      </c>
      <c r="AC1495" s="412">
        <v>300</v>
      </c>
      <c r="AD1495" s="412"/>
      <c r="AE1495" s="412"/>
      <c r="AF1495" s="412"/>
      <c r="AG1495" s="412"/>
      <c r="AH1495" s="412"/>
      <c r="AI1495" s="412"/>
      <c r="AJ1495" s="412">
        <f t="shared" si="71"/>
        <v>600</v>
      </c>
      <c r="AK1495" s="208"/>
      <c r="AL1495" s="250" t="s">
        <v>2067</v>
      </c>
    </row>
    <row r="1496" spans="1:38" x14ac:dyDescent="0.2">
      <c r="A1496" t="s">
        <v>891</v>
      </c>
      <c r="B1496" s="209">
        <v>5084</v>
      </c>
      <c r="C1496" s="210" t="s">
        <v>1048</v>
      </c>
      <c r="D1496" s="229" t="s">
        <v>1622</v>
      </c>
      <c r="E1496" s="229" t="s">
        <v>735</v>
      </c>
      <c r="F1496" s="240">
        <v>300</v>
      </c>
      <c r="G1496" s="205">
        <v>1</v>
      </c>
      <c r="H1496" s="206">
        <v>900</v>
      </c>
      <c r="I1496" s="207">
        <v>41448</v>
      </c>
      <c r="J1496" s="197" t="str">
        <f t="shared" si="72"/>
        <v>ok</v>
      </c>
      <c r="K1496" s="419"/>
      <c r="L1496" s="419"/>
      <c r="M1496" s="419"/>
      <c r="N1496" s="419"/>
      <c r="O1496" s="419"/>
      <c r="P1496" s="419"/>
      <c r="Q1496" s="419"/>
      <c r="R1496" s="419"/>
      <c r="S1496" s="419"/>
      <c r="T1496" s="419"/>
      <c r="U1496" s="419"/>
      <c r="V1496" s="419"/>
      <c r="W1496" s="419">
        <f t="shared" si="70"/>
        <v>0</v>
      </c>
      <c r="X1496" s="412"/>
      <c r="Y1496" s="412"/>
      <c r="Z1496" s="412"/>
      <c r="AA1496" s="412"/>
      <c r="AB1496" s="412">
        <v>300</v>
      </c>
      <c r="AC1496" s="412">
        <v>300</v>
      </c>
      <c r="AD1496" s="412">
        <v>300</v>
      </c>
      <c r="AE1496" s="412"/>
      <c r="AF1496" s="412"/>
      <c r="AG1496" s="412"/>
      <c r="AH1496" s="412"/>
      <c r="AI1496" s="412"/>
      <c r="AJ1496" s="412">
        <f t="shared" si="71"/>
        <v>900</v>
      </c>
      <c r="AK1496" s="208"/>
      <c r="AL1496" s="250" t="s">
        <v>2067</v>
      </c>
    </row>
    <row r="1497" spans="1:38" x14ac:dyDescent="0.2">
      <c r="A1497" t="s">
        <v>884</v>
      </c>
      <c r="B1497" s="209">
        <v>5085</v>
      </c>
      <c r="C1497" s="210" t="s">
        <v>825</v>
      </c>
      <c r="D1497" s="229" t="s">
        <v>1580</v>
      </c>
      <c r="E1497" s="229" t="s">
        <v>53</v>
      </c>
      <c r="F1497" s="240">
        <v>300</v>
      </c>
      <c r="G1497" s="205">
        <v>1</v>
      </c>
      <c r="H1497" s="206">
        <v>300</v>
      </c>
      <c r="I1497" s="207">
        <v>41448</v>
      </c>
      <c r="J1497" s="197" t="str">
        <f t="shared" si="72"/>
        <v>ok</v>
      </c>
      <c r="K1497" s="419"/>
      <c r="L1497" s="419"/>
      <c r="M1497" s="419"/>
      <c r="N1497" s="419"/>
      <c r="O1497" s="419"/>
      <c r="P1497" s="419"/>
      <c r="Q1497" s="419"/>
      <c r="R1497" s="419"/>
      <c r="S1497" s="419"/>
      <c r="T1497" s="419"/>
      <c r="U1497" s="419"/>
      <c r="V1497" s="419"/>
      <c r="W1497" s="419">
        <f t="shared" si="70"/>
        <v>0</v>
      </c>
      <c r="X1497" s="412"/>
      <c r="Y1497" s="412"/>
      <c r="Z1497" s="412"/>
      <c r="AA1497" s="412"/>
      <c r="AB1497" s="412"/>
      <c r="AC1497" s="412">
        <v>300</v>
      </c>
      <c r="AD1497" s="412"/>
      <c r="AE1497" s="412"/>
      <c r="AF1497" s="412"/>
      <c r="AG1497" s="412"/>
      <c r="AH1497" s="412"/>
      <c r="AI1497" s="412"/>
      <c r="AJ1497" s="412">
        <f t="shared" si="71"/>
        <v>300</v>
      </c>
      <c r="AK1497" s="208"/>
      <c r="AL1497" s="250" t="s">
        <v>2067</v>
      </c>
    </row>
    <row r="1498" spans="1:38" x14ac:dyDescent="0.2">
      <c r="A1498" t="s">
        <v>888</v>
      </c>
      <c r="B1498" s="209">
        <v>5086</v>
      </c>
      <c r="C1498" s="210" t="s">
        <v>935</v>
      </c>
      <c r="D1498" s="229" t="s">
        <v>1613</v>
      </c>
      <c r="E1498" s="229" t="s">
        <v>721</v>
      </c>
      <c r="F1498" s="240">
        <v>300</v>
      </c>
      <c r="G1498" s="205">
        <v>1</v>
      </c>
      <c r="H1498" s="206">
        <v>600</v>
      </c>
      <c r="I1498" s="207">
        <v>41448</v>
      </c>
      <c r="J1498" s="197" t="str">
        <f t="shared" si="72"/>
        <v>ok</v>
      </c>
      <c r="K1498" s="419"/>
      <c r="L1498" s="419"/>
      <c r="M1498" s="419"/>
      <c r="N1498" s="419"/>
      <c r="O1498" s="419"/>
      <c r="P1498" s="419"/>
      <c r="Q1498" s="419"/>
      <c r="R1498" s="419"/>
      <c r="S1498" s="419"/>
      <c r="T1498" s="419"/>
      <c r="U1498" s="419"/>
      <c r="V1498" s="419"/>
      <c r="W1498" s="419">
        <f t="shared" si="70"/>
        <v>0</v>
      </c>
      <c r="X1498" s="412"/>
      <c r="Y1498" s="412"/>
      <c r="Z1498" s="412"/>
      <c r="AA1498" s="412"/>
      <c r="AB1498" s="412"/>
      <c r="AC1498" s="412">
        <v>300</v>
      </c>
      <c r="AD1498" s="412">
        <v>300</v>
      </c>
      <c r="AE1498" s="412"/>
      <c r="AF1498" s="412"/>
      <c r="AG1498" s="412"/>
      <c r="AH1498" s="412"/>
      <c r="AI1498" s="412"/>
      <c r="AJ1498" s="412">
        <f t="shared" si="71"/>
        <v>600</v>
      </c>
      <c r="AK1498" s="208"/>
      <c r="AL1498" s="250" t="s">
        <v>2067</v>
      </c>
    </row>
    <row r="1499" spans="1:38" x14ac:dyDescent="0.2">
      <c r="A1499" t="s">
        <v>884</v>
      </c>
      <c r="B1499" s="209">
        <v>5087</v>
      </c>
      <c r="C1499" s="210" t="s">
        <v>858</v>
      </c>
      <c r="D1499" s="229" t="s">
        <v>1527</v>
      </c>
      <c r="E1499" s="229" t="s">
        <v>103</v>
      </c>
      <c r="F1499" s="240">
        <v>300</v>
      </c>
      <c r="G1499" s="205">
        <v>1</v>
      </c>
      <c r="H1499" s="206">
        <v>300</v>
      </c>
      <c r="I1499" s="207">
        <v>41448</v>
      </c>
      <c r="J1499" s="197" t="str">
        <f t="shared" si="72"/>
        <v>ok</v>
      </c>
      <c r="K1499" s="419"/>
      <c r="L1499" s="419"/>
      <c r="M1499" s="419"/>
      <c r="N1499" s="419"/>
      <c r="O1499" s="419"/>
      <c r="P1499" s="419"/>
      <c r="Q1499" s="419"/>
      <c r="R1499" s="419"/>
      <c r="S1499" s="419"/>
      <c r="T1499" s="419"/>
      <c r="U1499" s="419"/>
      <c r="V1499" s="419"/>
      <c r="W1499" s="419">
        <f t="shared" si="70"/>
        <v>0</v>
      </c>
      <c r="X1499" s="412"/>
      <c r="Y1499" s="412"/>
      <c r="Z1499" s="412"/>
      <c r="AA1499" s="412"/>
      <c r="AB1499" s="412"/>
      <c r="AC1499" s="412">
        <v>300</v>
      </c>
      <c r="AD1499" s="412"/>
      <c r="AE1499" s="412"/>
      <c r="AF1499" s="412"/>
      <c r="AG1499" s="412"/>
      <c r="AH1499" s="412"/>
      <c r="AI1499" s="412"/>
      <c r="AJ1499" s="412">
        <f t="shared" si="71"/>
        <v>300</v>
      </c>
      <c r="AK1499" s="208"/>
      <c r="AL1499" s="250" t="s">
        <v>2067</v>
      </c>
    </row>
    <row r="1500" spans="1:38" x14ac:dyDescent="0.2">
      <c r="A1500" t="s">
        <v>884</v>
      </c>
      <c r="B1500" s="209">
        <v>5088</v>
      </c>
      <c r="C1500" s="210" t="s">
        <v>852</v>
      </c>
      <c r="D1500" s="229" t="s">
        <v>1477</v>
      </c>
      <c r="E1500" s="229" t="s">
        <v>92</v>
      </c>
      <c r="F1500" s="240">
        <v>300</v>
      </c>
      <c r="G1500" s="205">
        <v>1</v>
      </c>
      <c r="H1500" s="206">
        <v>300</v>
      </c>
      <c r="I1500" s="207">
        <v>41448</v>
      </c>
      <c r="J1500" s="197" t="str">
        <f t="shared" si="72"/>
        <v>ok</v>
      </c>
      <c r="K1500" s="419"/>
      <c r="L1500" s="419"/>
      <c r="M1500" s="419"/>
      <c r="N1500" s="419"/>
      <c r="O1500" s="419"/>
      <c r="P1500" s="419"/>
      <c r="Q1500" s="419"/>
      <c r="R1500" s="419"/>
      <c r="S1500" s="419"/>
      <c r="T1500" s="419"/>
      <c r="U1500" s="419"/>
      <c r="V1500" s="419"/>
      <c r="W1500" s="419">
        <f t="shared" si="70"/>
        <v>0</v>
      </c>
      <c r="X1500" s="412"/>
      <c r="Y1500" s="412"/>
      <c r="Z1500" s="412"/>
      <c r="AA1500" s="412"/>
      <c r="AB1500" s="412"/>
      <c r="AC1500" s="412">
        <v>300</v>
      </c>
      <c r="AD1500" s="412"/>
      <c r="AE1500" s="412"/>
      <c r="AF1500" s="412"/>
      <c r="AG1500" s="412"/>
      <c r="AH1500" s="412"/>
      <c r="AI1500" s="412"/>
      <c r="AJ1500" s="412">
        <f t="shared" si="71"/>
        <v>300</v>
      </c>
      <c r="AK1500" s="208"/>
      <c r="AL1500" s="250" t="s">
        <v>2067</v>
      </c>
    </row>
    <row r="1501" spans="1:38" x14ac:dyDescent="0.2">
      <c r="B1501" s="209">
        <v>5089</v>
      </c>
      <c r="C1501" s="210"/>
      <c r="D1501" s="229" t="s">
        <v>1362</v>
      </c>
      <c r="E1501" s="229" t="s">
        <v>1362</v>
      </c>
      <c r="F1501" s="240" t="s">
        <v>1362</v>
      </c>
      <c r="G1501" s="205">
        <v>8</v>
      </c>
      <c r="H1501" s="206"/>
      <c r="I1501" s="207"/>
      <c r="J1501" s="197" t="str">
        <f t="shared" si="72"/>
        <v>ok</v>
      </c>
      <c r="K1501" s="419"/>
      <c r="L1501" s="419"/>
      <c r="M1501" s="419"/>
      <c r="N1501" s="419"/>
      <c r="O1501" s="419"/>
      <c r="P1501" s="419"/>
      <c r="Q1501" s="419"/>
      <c r="R1501" s="419"/>
      <c r="S1501" s="419"/>
      <c r="T1501" s="419"/>
      <c r="U1501" s="419"/>
      <c r="V1501" s="419"/>
      <c r="W1501" s="419">
        <f t="shared" si="70"/>
        <v>0</v>
      </c>
      <c r="X1501" s="412"/>
      <c r="Y1501" s="412"/>
      <c r="Z1501" s="412"/>
      <c r="AA1501" s="412"/>
      <c r="AB1501" s="412"/>
      <c r="AC1501" s="412"/>
      <c r="AD1501" s="412"/>
      <c r="AE1501" s="412"/>
      <c r="AF1501" s="412"/>
      <c r="AG1501" s="412"/>
      <c r="AH1501" s="412"/>
      <c r="AI1501" s="412"/>
      <c r="AJ1501" s="412">
        <f t="shared" si="71"/>
        <v>0</v>
      </c>
      <c r="AK1501" s="208" t="s">
        <v>755</v>
      </c>
      <c r="AL1501" s="250" t="s">
        <v>2067</v>
      </c>
    </row>
    <row r="1502" spans="1:38" x14ac:dyDescent="0.2">
      <c r="A1502" t="s">
        <v>890</v>
      </c>
      <c r="B1502" s="209">
        <v>5090</v>
      </c>
      <c r="C1502" s="210" t="s">
        <v>1029</v>
      </c>
      <c r="D1502" s="229" t="s">
        <v>1482</v>
      </c>
      <c r="E1502" s="229" t="s">
        <v>529</v>
      </c>
      <c r="F1502" s="240">
        <v>300</v>
      </c>
      <c r="G1502" s="205">
        <v>1</v>
      </c>
      <c r="H1502" s="206">
        <v>300</v>
      </c>
      <c r="I1502" s="207">
        <v>41448</v>
      </c>
      <c r="J1502" s="197" t="str">
        <f t="shared" si="72"/>
        <v>ok</v>
      </c>
      <c r="K1502" s="419"/>
      <c r="L1502" s="419"/>
      <c r="M1502" s="419"/>
      <c r="N1502" s="419"/>
      <c r="O1502" s="419"/>
      <c r="P1502" s="419"/>
      <c r="Q1502" s="419"/>
      <c r="R1502" s="419"/>
      <c r="S1502" s="419"/>
      <c r="T1502" s="419"/>
      <c r="U1502" s="419"/>
      <c r="V1502" s="419"/>
      <c r="W1502" s="419">
        <f t="shared" si="70"/>
        <v>0</v>
      </c>
      <c r="X1502" s="412"/>
      <c r="Y1502" s="412"/>
      <c r="Z1502" s="412"/>
      <c r="AA1502" s="412"/>
      <c r="AB1502" s="412"/>
      <c r="AC1502" s="412">
        <v>300</v>
      </c>
      <c r="AD1502" s="412"/>
      <c r="AE1502" s="412"/>
      <c r="AF1502" s="412"/>
      <c r="AG1502" s="412"/>
      <c r="AH1502" s="412"/>
      <c r="AI1502" s="412"/>
      <c r="AJ1502" s="412">
        <f t="shared" si="71"/>
        <v>300</v>
      </c>
      <c r="AK1502" s="208"/>
      <c r="AL1502" s="250" t="s">
        <v>2067</v>
      </c>
    </row>
    <row r="1503" spans="1:38" x14ac:dyDescent="0.2">
      <c r="A1503" t="s">
        <v>884</v>
      </c>
      <c r="B1503" s="209">
        <v>5091</v>
      </c>
      <c r="C1503" s="210" t="s">
        <v>839</v>
      </c>
      <c r="D1503" s="229" t="s">
        <v>1365</v>
      </c>
      <c r="E1503" s="229" t="s">
        <v>1204</v>
      </c>
      <c r="F1503" s="240">
        <v>300</v>
      </c>
      <c r="G1503" s="205">
        <v>1</v>
      </c>
      <c r="H1503" s="206">
        <v>600</v>
      </c>
      <c r="I1503" s="207">
        <v>41448</v>
      </c>
      <c r="J1503" s="197" t="str">
        <f t="shared" si="72"/>
        <v>ok</v>
      </c>
      <c r="K1503" s="419"/>
      <c r="L1503" s="419"/>
      <c r="M1503" s="419"/>
      <c r="N1503" s="419"/>
      <c r="O1503" s="419"/>
      <c r="P1503" s="419"/>
      <c r="Q1503" s="419"/>
      <c r="R1503" s="419"/>
      <c r="S1503" s="419"/>
      <c r="T1503" s="419"/>
      <c r="U1503" s="419"/>
      <c r="V1503" s="419"/>
      <c r="W1503" s="419">
        <f t="shared" si="70"/>
        <v>0</v>
      </c>
      <c r="X1503" s="412"/>
      <c r="Y1503" s="412"/>
      <c r="Z1503" s="412"/>
      <c r="AA1503" s="412"/>
      <c r="AB1503" s="412">
        <v>300</v>
      </c>
      <c r="AC1503" s="412">
        <v>300</v>
      </c>
      <c r="AD1503" s="412"/>
      <c r="AE1503" s="412"/>
      <c r="AF1503" s="412"/>
      <c r="AG1503" s="412"/>
      <c r="AH1503" s="412"/>
      <c r="AI1503" s="412"/>
      <c r="AJ1503" s="412">
        <f t="shared" si="71"/>
        <v>600</v>
      </c>
      <c r="AK1503" s="208"/>
      <c r="AL1503" s="250" t="s">
        <v>2067</v>
      </c>
    </row>
    <row r="1504" spans="1:38" x14ac:dyDescent="0.2">
      <c r="A1504" t="s">
        <v>888</v>
      </c>
      <c r="B1504" s="209">
        <v>5092</v>
      </c>
      <c r="C1504" s="210" t="s">
        <v>937</v>
      </c>
      <c r="D1504" s="229" t="s">
        <v>1535</v>
      </c>
      <c r="E1504" s="229" t="s">
        <v>392</v>
      </c>
      <c r="F1504" s="240">
        <v>300</v>
      </c>
      <c r="G1504" s="205">
        <v>1</v>
      </c>
      <c r="H1504" s="206">
        <v>600</v>
      </c>
      <c r="I1504" s="207">
        <v>41448</v>
      </c>
      <c r="J1504" s="197" t="str">
        <f t="shared" si="72"/>
        <v>ok</v>
      </c>
      <c r="K1504" s="419"/>
      <c r="L1504" s="419"/>
      <c r="M1504" s="419"/>
      <c r="N1504" s="419"/>
      <c r="O1504" s="419"/>
      <c r="P1504" s="419"/>
      <c r="Q1504" s="419"/>
      <c r="R1504" s="419"/>
      <c r="S1504" s="419"/>
      <c r="T1504" s="419"/>
      <c r="U1504" s="419"/>
      <c r="V1504" s="419"/>
      <c r="W1504" s="419">
        <f t="shared" si="70"/>
        <v>0</v>
      </c>
      <c r="X1504" s="412"/>
      <c r="Y1504" s="412"/>
      <c r="Z1504" s="412">
        <v>300</v>
      </c>
      <c r="AA1504" s="412">
        <v>300</v>
      </c>
      <c r="AB1504" s="412"/>
      <c r="AC1504" s="412"/>
      <c r="AD1504" s="412"/>
      <c r="AE1504" s="412"/>
      <c r="AF1504" s="412"/>
      <c r="AG1504" s="412"/>
      <c r="AH1504" s="412"/>
      <c r="AI1504" s="412"/>
      <c r="AJ1504" s="412">
        <f t="shared" si="71"/>
        <v>600</v>
      </c>
      <c r="AK1504" s="208"/>
      <c r="AL1504" s="250" t="s">
        <v>2067</v>
      </c>
    </row>
    <row r="1505" spans="1:38" x14ac:dyDescent="0.2">
      <c r="A1505" t="s">
        <v>893</v>
      </c>
      <c r="B1505" s="209">
        <v>5093</v>
      </c>
      <c r="C1505" s="210" t="s">
        <v>1077</v>
      </c>
      <c r="D1505" s="229" t="s">
        <v>1429</v>
      </c>
      <c r="E1505" s="229" t="s">
        <v>195</v>
      </c>
      <c r="F1505" s="240">
        <v>200</v>
      </c>
      <c r="G1505" s="205">
        <v>1</v>
      </c>
      <c r="H1505" s="206">
        <v>200</v>
      </c>
      <c r="I1505" s="207">
        <v>41448</v>
      </c>
      <c r="J1505" s="197" t="str">
        <f t="shared" si="72"/>
        <v>ok</v>
      </c>
      <c r="K1505" s="419"/>
      <c r="L1505" s="419"/>
      <c r="M1505" s="419"/>
      <c r="N1505" s="419"/>
      <c r="O1505" s="419"/>
      <c r="P1505" s="419"/>
      <c r="Q1505" s="419"/>
      <c r="R1505" s="419"/>
      <c r="S1505" s="419"/>
      <c r="T1505" s="419"/>
      <c r="U1505" s="419"/>
      <c r="V1505" s="419"/>
      <c r="W1505" s="419">
        <f t="shared" si="70"/>
        <v>0</v>
      </c>
      <c r="X1505" s="412"/>
      <c r="Y1505" s="412"/>
      <c r="Z1505" s="412"/>
      <c r="AA1505" s="412"/>
      <c r="AB1505" s="412"/>
      <c r="AC1505" s="412">
        <v>200</v>
      </c>
      <c r="AD1505" s="412"/>
      <c r="AE1505" s="412"/>
      <c r="AF1505" s="412"/>
      <c r="AG1505" s="412"/>
      <c r="AH1505" s="412"/>
      <c r="AI1505" s="412"/>
      <c r="AJ1505" s="412">
        <f t="shared" si="71"/>
        <v>200</v>
      </c>
      <c r="AK1505" s="208"/>
      <c r="AL1505" s="250" t="s">
        <v>2067</v>
      </c>
    </row>
    <row r="1506" spans="1:38" x14ac:dyDescent="0.2">
      <c r="A1506" t="s">
        <v>888</v>
      </c>
      <c r="B1506" s="209">
        <v>5094</v>
      </c>
      <c r="C1506" s="210" t="s">
        <v>914</v>
      </c>
      <c r="D1506" s="229" t="s">
        <v>1567</v>
      </c>
      <c r="E1506" s="229" t="s">
        <v>350</v>
      </c>
      <c r="F1506" s="240">
        <v>300</v>
      </c>
      <c r="G1506" s="205">
        <v>1</v>
      </c>
      <c r="H1506" s="206">
        <v>300</v>
      </c>
      <c r="I1506" s="207">
        <v>41448</v>
      </c>
      <c r="J1506" s="197" t="str">
        <f t="shared" si="72"/>
        <v>ok</v>
      </c>
      <c r="K1506" s="419"/>
      <c r="L1506" s="419"/>
      <c r="M1506" s="419"/>
      <c r="N1506" s="419"/>
      <c r="O1506" s="419"/>
      <c r="P1506" s="419"/>
      <c r="Q1506" s="419"/>
      <c r="R1506" s="419"/>
      <c r="S1506" s="419"/>
      <c r="T1506" s="419"/>
      <c r="U1506" s="419"/>
      <c r="V1506" s="419"/>
      <c r="W1506" s="419">
        <f t="shared" si="70"/>
        <v>0</v>
      </c>
      <c r="X1506" s="412"/>
      <c r="Y1506" s="412"/>
      <c r="Z1506" s="412"/>
      <c r="AA1506" s="412"/>
      <c r="AB1506" s="412"/>
      <c r="AC1506" s="412">
        <v>300</v>
      </c>
      <c r="AD1506" s="412"/>
      <c r="AE1506" s="412"/>
      <c r="AF1506" s="412"/>
      <c r="AG1506" s="412"/>
      <c r="AH1506" s="412"/>
      <c r="AI1506" s="412"/>
      <c r="AJ1506" s="412">
        <f t="shared" si="71"/>
        <v>300</v>
      </c>
      <c r="AK1506" s="208"/>
      <c r="AL1506" s="250" t="s">
        <v>2067</v>
      </c>
    </row>
    <row r="1507" spans="1:38" x14ac:dyDescent="0.2">
      <c r="A1507" t="s">
        <v>884</v>
      </c>
      <c r="B1507" s="209">
        <v>5095</v>
      </c>
      <c r="C1507" s="210" t="s">
        <v>835</v>
      </c>
      <c r="D1507" s="229" t="s">
        <v>1597</v>
      </c>
      <c r="E1507" s="229" t="s">
        <v>72</v>
      </c>
      <c r="F1507" s="240">
        <v>300</v>
      </c>
      <c r="G1507" s="205">
        <v>1</v>
      </c>
      <c r="H1507" s="206">
        <v>300</v>
      </c>
      <c r="I1507" s="207">
        <v>41448</v>
      </c>
      <c r="J1507" s="197" t="str">
        <f t="shared" si="72"/>
        <v>ok</v>
      </c>
      <c r="K1507" s="419"/>
      <c r="L1507" s="419"/>
      <c r="M1507" s="419"/>
      <c r="N1507" s="419"/>
      <c r="O1507" s="419"/>
      <c r="P1507" s="419"/>
      <c r="Q1507" s="419"/>
      <c r="R1507" s="419"/>
      <c r="S1507" s="419"/>
      <c r="T1507" s="419"/>
      <c r="U1507" s="419"/>
      <c r="V1507" s="419"/>
      <c r="W1507" s="419">
        <f t="shared" si="70"/>
        <v>0</v>
      </c>
      <c r="X1507" s="412"/>
      <c r="Y1507" s="412"/>
      <c r="Z1507" s="412"/>
      <c r="AA1507" s="412"/>
      <c r="AB1507" s="412"/>
      <c r="AC1507" s="412">
        <v>300</v>
      </c>
      <c r="AD1507" s="412"/>
      <c r="AE1507" s="412"/>
      <c r="AF1507" s="412"/>
      <c r="AG1507" s="412"/>
      <c r="AH1507" s="412"/>
      <c r="AI1507" s="412"/>
      <c r="AJ1507" s="412">
        <f t="shared" si="71"/>
        <v>300</v>
      </c>
      <c r="AK1507" s="208"/>
      <c r="AL1507" s="250" t="s">
        <v>2067</v>
      </c>
    </row>
    <row r="1508" spans="1:38" x14ac:dyDescent="0.2">
      <c r="A1508" t="s">
        <v>893</v>
      </c>
      <c r="B1508" s="209">
        <v>5096</v>
      </c>
      <c r="C1508" s="210" t="s">
        <v>1121</v>
      </c>
      <c r="D1508" s="229" t="s">
        <v>1584</v>
      </c>
      <c r="E1508" s="229" t="s">
        <v>278</v>
      </c>
      <c r="F1508" s="240">
        <v>300</v>
      </c>
      <c r="G1508" s="205">
        <v>1</v>
      </c>
      <c r="H1508" s="206">
        <v>300</v>
      </c>
      <c r="I1508" s="207">
        <v>41448</v>
      </c>
      <c r="J1508" s="197" t="str">
        <f t="shared" si="72"/>
        <v>ok</v>
      </c>
      <c r="K1508" s="419"/>
      <c r="L1508" s="419"/>
      <c r="M1508" s="419"/>
      <c r="N1508" s="419"/>
      <c r="O1508" s="419"/>
      <c r="P1508" s="419"/>
      <c r="Q1508" s="419"/>
      <c r="R1508" s="419"/>
      <c r="S1508" s="419"/>
      <c r="T1508" s="419"/>
      <c r="U1508" s="419"/>
      <c r="V1508" s="419"/>
      <c r="W1508" s="419">
        <f t="shared" si="70"/>
        <v>0</v>
      </c>
      <c r="X1508" s="412"/>
      <c r="Y1508" s="412"/>
      <c r="Z1508" s="412"/>
      <c r="AA1508" s="412"/>
      <c r="AB1508" s="412"/>
      <c r="AC1508" s="412">
        <v>300</v>
      </c>
      <c r="AD1508" s="412"/>
      <c r="AE1508" s="412"/>
      <c r="AF1508" s="412"/>
      <c r="AG1508" s="412"/>
      <c r="AH1508" s="412"/>
      <c r="AI1508" s="412"/>
      <c r="AJ1508" s="412">
        <f t="shared" si="71"/>
        <v>300</v>
      </c>
      <c r="AK1508" s="208"/>
      <c r="AL1508" s="250" t="s">
        <v>2067</v>
      </c>
    </row>
    <row r="1509" spans="1:38" x14ac:dyDescent="0.2">
      <c r="A1509" t="s">
        <v>893</v>
      </c>
      <c r="B1509" s="209">
        <v>5096</v>
      </c>
      <c r="C1509" s="210" t="s">
        <v>1121</v>
      </c>
      <c r="D1509" s="229" t="s">
        <v>1584</v>
      </c>
      <c r="E1509" s="229" t="s">
        <v>278</v>
      </c>
      <c r="F1509" s="240"/>
      <c r="G1509" s="205">
        <v>3</v>
      </c>
      <c r="H1509" s="206">
        <v>150</v>
      </c>
      <c r="I1509" s="207">
        <v>41448</v>
      </c>
      <c r="J1509" s="197" t="str">
        <f t="shared" si="72"/>
        <v>ok</v>
      </c>
      <c r="K1509" s="419"/>
      <c r="L1509" s="419"/>
      <c r="M1509" s="419"/>
      <c r="N1509" s="419"/>
      <c r="O1509" s="419"/>
      <c r="P1509" s="419"/>
      <c r="Q1509" s="419"/>
      <c r="R1509" s="419"/>
      <c r="S1509" s="419"/>
      <c r="T1509" s="419"/>
      <c r="U1509" s="419"/>
      <c r="V1509" s="419"/>
      <c r="W1509" s="419">
        <f t="shared" si="70"/>
        <v>0</v>
      </c>
      <c r="X1509" s="412"/>
      <c r="Y1509" s="412"/>
      <c r="Z1509" s="412"/>
      <c r="AA1509" s="412"/>
      <c r="AB1509" s="412"/>
      <c r="AC1509" s="412"/>
      <c r="AD1509" s="412"/>
      <c r="AE1509" s="412"/>
      <c r="AF1509" s="412"/>
      <c r="AG1509" s="412"/>
      <c r="AH1509" s="412"/>
      <c r="AI1509" s="412"/>
      <c r="AJ1509" s="412">
        <f t="shared" si="71"/>
        <v>0</v>
      </c>
      <c r="AK1509" s="208"/>
      <c r="AL1509" s="250" t="s">
        <v>2068</v>
      </c>
    </row>
    <row r="1510" spans="1:38" x14ac:dyDescent="0.2">
      <c r="A1510" t="s">
        <v>888</v>
      </c>
      <c r="B1510" s="209">
        <v>5097</v>
      </c>
      <c r="C1510" s="210" t="s">
        <v>915</v>
      </c>
      <c r="D1510" s="229" t="s">
        <v>1592</v>
      </c>
      <c r="E1510" s="229" t="s">
        <v>717</v>
      </c>
      <c r="F1510" s="240">
        <v>200</v>
      </c>
      <c r="G1510" s="205">
        <v>1</v>
      </c>
      <c r="H1510" s="206">
        <v>400</v>
      </c>
      <c r="I1510" s="207">
        <v>41448</v>
      </c>
      <c r="J1510" s="197" t="str">
        <f t="shared" si="72"/>
        <v>ok</v>
      </c>
      <c r="K1510" s="419"/>
      <c r="L1510" s="419"/>
      <c r="M1510" s="419"/>
      <c r="N1510" s="419"/>
      <c r="O1510" s="419"/>
      <c r="P1510" s="419"/>
      <c r="Q1510" s="419"/>
      <c r="R1510" s="419"/>
      <c r="S1510" s="419"/>
      <c r="T1510" s="419"/>
      <c r="U1510" s="419"/>
      <c r="V1510" s="419"/>
      <c r="W1510" s="419">
        <f t="shared" si="70"/>
        <v>0</v>
      </c>
      <c r="X1510" s="412"/>
      <c r="Y1510" s="412"/>
      <c r="Z1510" s="412"/>
      <c r="AA1510" s="412"/>
      <c r="AB1510" s="412"/>
      <c r="AC1510" s="412">
        <v>200</v>
      </c>
      <c r="AD1510" s="412">
        <v>200</v>
      </c>
      <c r="AE1510" s="412"/>
      <c r="AF1510" s="412"/>
      <c r="AG1510" s="412"/>
      <c r="AH1510" s="412"/>
      <c r="AI1510" s="412"/>
      <c r="AJ1510" s="412">
        <f t="shared" si="71"/>
        <v>400</v>
      </c>
      <c r="AK1510" s="208"/>
      <c r="AL1510" s="250" t="s">
        <v>2067</v>
      </c>
    </row>
    <row r="1511" spans="1:38" x14ac:dyDescent="0.2">
      <c r="A1511" t="s">
        <v>888</v>
      </c>
      <c r="B1511" s="209">
        <v>5098</v>
      </c>
      <c r="C1511" s="210" t="s">
        <v>919</v>
      </c>
      <c r="D1511" s="229" t="s">
        <v>1510</v>
      </c>
      <c r="E1511" s="229" t="s">
        <v>359</v>
      </c>
      <c r="F1511" s="240">
        <v>300</v>
      </c>
      <c r="G1511" s="205">
        <v>1</v>
      </c>
      <c r="H1511" s="206">
        <v>600</v>
      </c>
      <c r="I1511" s="207">
        <v>41448</v>
      </c>
      <c r="J1511" s="197" t="str">
        <f t="shared" si="72"/>
        <v>ok</v>
      </c>
      <c r="K1511" s="419"/>
      <c r="L1511" s="419"/>
      <c r="M1511" s="419"/>
      <c r="N1511" s="419"/>
      <c r="O1511" s="419"/>
      <c r="P1511" s="419"/>
      <c r="Q1511" s="419"/>
      <c r="R1511" s="419"/>
      <c r="S1511" s="419"/>
      <c r="T1511" s="419"/>
      <c r="U1511" s="419"/>
      <c r="V1511" s="419"/>
      <c r="W1511" s="419">
        <f t="shared" si="70"/>
        <v>0</v>
      </c>
      <c r="X1511" s="412"/>
      <c r="Y1511" s="412"/>
      <c r="Z1511" s="412"/>
      <c r="AA1511" s="412"/>
      <c r="AB1511" s="412">
        <v>300</v>
      </c>
      <c r="AC1511" s="412">
        <v>300</v>
      </c>
      <c r="AD1511" s="412"/>
      <c r="AE1511" s="412"/>
      <c r="AF1511" s="412"/>
      <c r="AG1511" s="412"/>
      <c r="AH1511" s="412"/>
      <c r="AI1511" s="412"/>
      <c r="AJ1511" s="412">
        <f t="shared" si="71"/>
        <v>600</v>
      </c>
      <c r="AK1511" s="208"/>
      <c r="AL1511" s="250" t="s">
        <v>2067</v>
      </c>
    </row>
    <row r="1512" spans="1:38" x14ac:dyDescent="0.2">
      <c r="A1512" t="s">
        <v>884</v>
      </c>
      <c r="B1512" s="209">
        <v>5099</v>
      </c>
      <c r="C1512" s="210" t="s">
        <v>874</v>
      </c>
      <c r="D1512" s="229" t="s">
        <v>1459</v>
      </c>
      <c r="E1512" s="229" t="s">
        <v>127</v>
      </c>
      <c r="F1512" s="240">
        <v>300</v>
      </c>
      <c r="G1512" s="205">
        <v>1</v>
      </c>
      <c r="H1512" s="206">
        <v>300</v>
      </c>
      <c r="I1512" s="207">
        <v>41448</v>
      </c>
      <c r="J1512" s="197" t="str">
        <f t="shared" si="72"/>
        <v>ok</v>
      </c>
      <c r="K1512" s="419"/>
      <c r="L1512" s="419"/>
      <c r="M1512" s="419"/>
      <c r="N1512" s="419"/>
      <c r="O1512" s="419"/>
      <c r="P1512" s="419"/>
      <c r="Q1512" s="419"/>
      <c r="R1512" s="419"/>
      <c r="S1512" s="419"/>
      <c r="T1512" s="419"/>
      <c r="U1512" s="419"/>
      <c r="V1512" s="419"/>
      <c r="W1512" s="419">
        <f t="shared" si="70"/>
        <v>0</v>
      </c>
      <c r="X1512" s="412"/>
      <c r="Y1512" s="412"/>
      <c r="Z1512" s="412"/>
      <c r="AA1512" s="412"/>
      <c r="AB1512" s="412"/>
      <c r="AC1512" s="412">
        <v>300</v>
      </c>
      <c r="AD1512" s="412"/>
      <c r="AE1512" s="412"/>
      <c r="AF1512" s="412"/>
      <c r="AG1512" s="412"/>
      <c r="AH1512" s="412"/>
      <c r="AI1512" s="412"/>
      <c r="AJ1512" s="412">
        <f t="shared" si="71"/>
        <v>300</v>
      </c>
      <c r="AK1512" s="208"/>
      <c r="AL1512" s="250" t="s">
        <v>2067</v>
      </c>
    </row>
    <row r="1513" spans="1:38" x14ac:dyDescent="0.2">
      <c r="A1513" t="s">
        <v>884</v>
      </c>
      <c r="B1513" s="209">
        <v>5099</v>
      </c>
      <c r="C1513" s="210" t="s">
        <v>874</v>
      </c>
      <c r="D1513" s="229" t="s">
        <v>1459</v>
      </c>
      <c r="E1513" s="229" t="s">
        <v>127</v>
      </c>
      <c r="F1513" s="240"/>
      <c r="G1513" s="205">
        <v>4</v>
      </c>
      <c r="H1513" s="206">
        <v>160</v>
      </c>
      <c r="I1513" s="207">
        <v>41448</v>
      </c>
      <c r="J1513" s="197" t="str">
        <f t="shared" si="72"/>
        <v>ok</v>
      </c>
      <c r="K1513" s="419"/>
      <c r="L1513" s="419"/>
      <c r="M1513" s="419"/>
      <c r="N1513" s="419"/>
      <c r="O1513" s="419"/>
      <c r="P1513" s="419"/>
      <c r="Q1513" s="419"/>
      <c r="R1513" s="419"/>
      <c r="S1513" s="419"/>
      <c r="T1513" s="419"/>
      <c r="U1513" s="419"/>
      <c r="V1513" s="419"/>
      <c r="W1513" s="419">
        <f t="shared" si="70"/>
        <v>0</v>
      </c>
      <c r="X1513" s="412"/>
      <c r="Y1513" s="412"/>
      <c r="Z1513" s="412"/>
      <c r="AA1513" s="412"/>
      <c r="AB1513" s="412"/>
      <c r="AC1513" s="412"/>
      <c r="AD1513" s="412"/>
      <c r="AE1513" s="412"/>
      <c r="AF1513" s="412"/>
      <c r="AG1513" s="412"/>
      <c r="AH1513" s="412"/>
      <c r="AI1513" s="412"/>
      <c r="AJ1513" s="412">
        <f t="shared" si="71"/>
        <v>0</v>
      </c>
      <c r="AK1513" s="208"/>
      <c r="AL1513" s="250" t="s">
        <v>2068</v>
      </c>
    </row>
    <row r="1514" spans="1:38" x14ac:dyDescent="0.2">
      <c r="A1514" t="s">
        <v>884</v>
      </c>
      <c r="B1514" s="209">
        <v>5100</v>
      </c>
      <c r="C1514" s="210" t="s">
        <v>814</v>
      </c>
      <c r="D1514" s="229" t="s">
        <v>1505</v>
      </c>
      <c r="E1514" s="229" t="s">
        <v>1201</v>
      </c>
      <c r="F1514" s="240">
        <v>300</v>
      </c>
      <c r="G1514" s="205">
        <v>1</v>
      </c>
      <c r="H1514" s="206">
        <v>300</v>
      </c>
      <c r="I1514" s="207">
        <v>41448</v>
      </c>
      <c r="J1514" s="197" t="str">
        <f t="shared" si="72"/>
        <v>ok</v>
      </c>
      <c r="K1514" s="419"/>
      <c r="L1514" s="419"/>
      <c r="M1514" s="419"/>
      <c r="N1514" s="419"/>
      <c r="O1514" s="419"/>
      <c r="P1514" s="419"/>
      <c r="Q1514" s="419"/>
      <c r="R1514" s="419"/>
      <c r="S1514" s="419"/>
      <c r="T1514" s="419"/>
      <c r="U1514" s="419"/>
      <c r="V1514" s="419"/>
      <c r="W1514" s="419">
        <f t="shared" si="70"/>
        <v>0</v>
      </c>
      <c r="X1514" s="412"/>
      <c r="Y1514" s="412"/>
      <c r="Z1514" s="412"/>
      <c r="AA1514" s="412"/>
      <c r="AB1514" s="412"/>
      <c r="AC1514" s="412">
        <v>300</v>
      </c>
      <c r="AD1514" s="412"/>
      <c r="AE1514" s="412"/>
      <c r="AF1514" s="412"/>
      <c r="AG1514" s="412"/>
      <c r="AH1514" s="412"/>
      <c r="AI1514" s="412"/>
      <c r="AJ1514" s="412">
        <f t="shared" si="71"/>
        <v>300</v>
      </c>
      <c r="AK1514" s="208"/>
      <c r="AL1514" s="250" t="s">
        <v>2067</v>
      </c>
    </row>
    <row r="1515" spans="1:38" x14ac:dyDescent="0.2">
      <c r="A1515" t="s">
        <v>890</v>
      </c>
      <c r="B1515" s="209">
        <v>5101</v>
      </c>
      <c r="C1515" s="210" t="s">
        <v>1000</v>
      </c>
      <c r="D1515" s="229" t="s">
        <v>1384</v>
      </c>
      <c r="E1515" s="229" t="s">
        <v>79</v>
      </c>
      <c r="F1515" s="240">
        <v>300</v>
      </c>
      <c r="G1515" s="205">
        <v>5</v>
      </c>
      <c r="H1515" s="206">
        <v>20</v>
      </c>
      <c r="I1515" s="207">
        <v>41448</v>
      </c>
      <c r="J1515" s="197" t="str">
        <f t="shared" si="72"/>
        <v>ok</v>
      </c>
      <c r="K1515" s="419"/>
      <c r="L1515" s="419"/>
      <c r="M1515" s="419"/>
      <c r="N1515" s="419"/>
      <c r="O1515" s="419"/>
      <c r="P1515" s="419"/>
      <c r="Q1515" s="419"/>
      <c r="R1515" s="419"/>
      <c r="S1515" s="419"/>
      <c r="T1515" s="419"/>
      <c r="U1515" s="419"/>
      <c r="V1515" s="419"/>
      <c r="W1515" s="419">
        <f t="shared" si="70"/>
        <v>0</v>
      </c>
      <c r="X1515" s="412"/>
      <c r="Y1515" s="412"/>
      <c r="Z1515" s="412"/>
      <c r="AA1515" s="412"/>
      <c r="AB1515" s="412"/>
      <c r="AC1515" s="412"/>
      <c r="AD1515" s="412"/>
      <c r="AE1515" s="412"/>
      <c r="AF1515" s="412"/>
      <c r="AG1515" s="412"/>
      <c r="AH1515" s="412"/>
      <c r="AI1515" s="412"/>
      <c r="AJ1515" s="412">
        <f t="shared" si="71"/>
        <v>0</v>
      </c>
      <c r="AK1515" s="208"/>
      <c r="AL1515" s="250" t="s">
        <v>2068</v>
      </c>
    </row>
    <row r="1516" spans="1:38" x14ac:dyDescent="0.2">
      <c r="A1516" t="s">
        <v>884</v>
      </c>
      <c r="B1516" s="209">
        <v>5102</v>
      </c>
      <c r="C1516" s="210" t="s">
        <v>792</v>
      </c>
      <c r="D1516" s="229" t="s">
        <v>1517</v>
      </c>
      <c r="E1516" s="229" t="s">
        <v>3</v>
      </c>
      <c r="F1516" s="240">
        <v>100</v>
      </c>
      <c r="G1516" s="205">
        <v>1</v>
      </c>
      <c r="H1516" s="206">
        <v>100</v>
      </c>
      <c r="I1516" s="207">
        <v>41448</v>
      </c>
      <c r="J1516" s="197" t="str">
        <f t="shared" si="72"/>
        <v>ok</v>
      </c>
      <c r="K1516" s="419"/>
      <c r="L1516" s="419"/>
      <c r="M1516" s="419"/>
      <c r="N1516" s="419"/>
      <c r="O1516" s="419"/>
      <c r="P1516" s="419"/>
      <c r="Q1516" s="419"/>
      <c r="R1516" s="419"/>
      <c r="S1516" s="419"/>
      <c r="T1516" s="419"/>
      <c r="U1516" s="419"/>
      <c r="V1516" s="419"/>
      <c r="W1516" s="419">
        <f t="shared" si="70"/>
        <v>0</v>
      </c>
      <c r="X1516" s="412"/>
      <c r="Y1516" s="412"/>
      <c r="Z1516" s="412"/>
      <c r="AA1516" s="412"/>
      <c r="AB1516" s="412"/>
      <c r="AC1516" s="412">
        <v>100</v>
      </c>
      <c r="AD1516" s="412"/>
      <c r="AE1516" s="412"/>
      <c r="AF1516" s="412"/>
      <c r="AG1516" s="412"/>
      <c r="AH1516" s="412"/>
      <c r="AI1516" s="412"/>
      <c r="AJ1516" s="412">
        <f t="shared" si="71"/>
        <v>100</v>
      </c>
      <c r="AK1516" s="208"/>
      <c r="AL1516" s="250" t="s">
        <v>2067</v>
      </c>
    </row>
    <row r="1517" spans="1:38" x14ac:dyDescent="0.2">
      <c r="A1517" t="s">
        <v>894</v>
      </c>
      <c r="B1517" s="209">
        <v>5103</v>
      </c>
      <c r="C1517" s="210" t="s">
        <v>1175</v>
      </c>
      <c r="D1517" s="229" t="s">
        <v>1623</v>
      </c>
      <c r="E1517" s="229" t="s">
        <v>632</v>
      </c>
      <c r="F1517" s="240">
        <v>300</v>
      </c>
      <c r="G1517" s="205">
        <v>1</v>
      </c>
      <c r="H1517" s="206">
        <v>1200</v>
      </c>
      <c r="I1517" s="207">
        <v>41448</v>
      </c>
      <c r="J1517" s="197" t="str">
        <f t="shared" si="72"/>
        <v>ok</v>
      </c>
      <c r="K1517" s="419"/>
      <c r="L1517" s="419"/>
      <c r="M1517" s="419"/>
      <c r="N1517" s="419"/>
      <c r="O1517" s="419"/>
      <c r="P1517" s="419"/>
      <c r="Q1517" s="419"/>
      <c r="R1517" s="419"/>
      <c r="S1517" s="419"/>
      <c r="T1517" s="419"/>
      <c r="U1517" s="419"/>
      <c r="V1517" s="419"/>
      <c r="W1517" s="419">
        <f t="shared" si="70"/>
        <v>0</v>
      </c>
      <c r="X1517" s="412"/>
      <c r="Y1517" s="412"/>
      <c r="Z1517" s="412">
        <v>300</v>
      </c>
      <c r="AA1517" s="412">
        <v>300</v>
      </c>
      <c r="AB1517" s="412">
        <v>300</v>
      </c>
      <c r="AC1517" s="412">
        <v>300</v>
      </c>
      <c r="AD1517" s="412"/>
      <c r="AE1517" s="412"/>
      <c r="AF1517" s="412"/>
      <c r="AG1517" s="412"/>
      <c r="AH1517" s="412"/>
      <c r="AI1517" s="412"/>
      <c r="AJ1517" s="412">
        <f t="shared" si="71"/>
        <v>1200</v>
      </c>
      <c r="AK1517" s="208"/>
      <c r="AL1517" s="250" t="s">
        <v>2067</v>
      </c>
    </row>
    <row r="1518" spans="1:38" x14ac:dyDescent="0.2">
      <c r="A1518" t="s">
        <v>894</v>
      </c>
      <c r="B1518" s="209">
        <v>5103</v>
      </c>
      <c r="C1518" s="210" t="s">
        <v>1175</v>
      </c>
      <c r="D1518" s="229" t="s">
        <v>1623</v>
      </c>
      <c r="E1518" s="229" t="s">
        <v>632</v>
      </c>
      <c r="F1518" s="240"/>
      <c r="G1518" s="205">
        <v>4</v>
      </c>
      <c r="H1518" s="206">
        <v>160</v>
      </c>
      <c r="I1518" s="207">
        <v>41448</v>
      </c>
      <c r="J1518" s="197" t="str">
        <f t="shared" si="72"/>
        <v>ok</v>
      </c>
      <c r="K1518" s="419"/>
      <c r="L1518" s="419"/>
      <c r="M1518" s="419"/>
      <c r="N1518" s="419"/>
      <c r="O1518" s="419"/>
      <c r="P1518" s="419"/>
      <c r="Q1518" s="419"/>
      <c r="R1518" s="419"/>
      <c r="S1518" s="419"/>
      <c r="T1518" s="419"/>
      <c r="U1518" s="419"/>
      <c r="V1518" s="419"/>
      <c r="W1518" s="419">
        <f t="shared" si="70"/>
        <v>0</v>
      </c>
      <c r="X1518" s="412"/>
      <c r="Y1518" s="412"/>
      <c r="Z1518" s="412"/>
      <c r="AA1518" s="412"/>
      <c r="AB1518" s="412"/>
      <c r="AC1518" s="412"/>
      <c r="AD1518" s="412"/>
      <c r="AE1518" s="412"/>
      <c r="AF1518" s="412"/>
      <c r="AG1518" s="412"/>
      <c r="AH1518" s="412"/>
      <c r="AI1518" s="412"/>
      <c r="AJ1518" s="412">
        <f t="shared" si="71"/>
        <v>0</v>
      </c>
      <c r="AK1518" s="208"/>
      <c r="AL1518" s="250" t="s">
        <v>2068</v>
      </c>
    </row>
    <row r="1519" spans="1:38" x14ac:dyDescent="0.2">
      <c r="A1519" t="s">
        <v>888</v>
      </c>
      <c r="B1519" s="209">
        <v>5104</v>
      </c>
      <c r="C1519" s="210" t="s">
        <v>910</v>
      </c>
      <c r="D1519" s="229" t="s">
        <v>1514</v>
      </c>
      <c r="E1519" s="229" t="s">
        <v>1262</v>
      </c>
      <c r="F1519" s="240">
        <v>150</v>
      </c>
      <c r="G1519" s="205">
        <v>1</v>
      </c>
      <c r="H1519" s="206">
        <v>150</v>
      </c>
      <c r="I1519" s="207">
        <v>41448</v>
      </c>
      <c r="J1519" s="197" t="str">
        <f t="shared" si="72"/>
        <v>ok</v>
      </c>
      <c r="K1519" s="419"/>
      <c r="L1519" s="419"/>
      <c r="M1519" s="419"/>
      <c r="N1519" s="419"/>
      <c r="O1519" s="419"/>
      <c r="P1519" s="419"/>
      <c r="Q1519" s="419"/>
      <c r="R1519" s="419"/>
      <c r="S1519" s="419"/>
      <c r="T1519" s="419"/>
      <c r="U1519" s="419"/>
      <c r="V1519" s="419"/>
      <c r="W1519" s="419">
        <f t="shared" si="70"/>
        <v>0</v>
      </c>
      <c r="X1519" s="412"/>
      <c r="Y1519" s="412"/>
      <c r="Z1519" s="412"/>
      <c r="AA1519" s="412"/>
      <c r="AB1519" s="412"/>
      <c r="AC1519" s="412">
        <v>150</v>
      </c>
      <c r="AD1519" s="412"/>
      <c r="AE1519" s="412"/>
      <c r="AF1519" s="412"/>
      <c r="AG1519" s="412"/>
      <c r="AH1519" s="412"/>
      <c r="AI1519" s="412"/>
      <c r="AJ1519" s="412">
        <f t="shared" si="71"/>
        <v>150</v>
      </c>
      <c r="AK1519" s="208"/>
      <c r="AL1519" s="250" t="s">
        <v>2067</v>
      </c>
    </row>
    <row r="1520" spans="1:38" x14ac:dyDescent="0.2">
      <c r="A1520" t="s">
        <v>888</v>
      </c>
      <c r="B1520" s="209">
        <v>5105</v>
      </c>
      <c r="C1520" s="210" t="s">
        <v>921</v>
      </c>
      <c r="D1520" s="229" t="s">
        <v>1546</v>
      </c>
      <c r="E1520" s="229" t="s">
        <v>363</v>
      </c>
      <c r="F1520" s="240">
        <v>300</v>
      </c>
      <c r="G1520" s="205">
        <v>4</v>
      </c>
      <c r="H1520" s="206">
        <v>160</v>
      </c>
      <c r="I1520" s="207">
        <v>41448</v>
      </c>
      <c r="J1520" s="197" t="str">
        <f t="shared" si="72"/>
        <v>ok</v>
      </c>
      <c r="K1520" s="419"/>
      <c r="L1520" s="419"/>
      <c r="M1520" s="419"/>
      <c r="N1520" s="419"/>
      <c r="O1520" s="419"/>
      <c r="P1520" s="419"/>
      <c r="Q1520" s="419"/>
      <c r="R1520" s="419"/>
      <c r="S1520" s="419"/>
      <c r="T1520" s="419"/>
      <c r="U1520" s="419"/>
      <c r="V1520" s="419"/>
      <c r="W1520" s="419">
        <f t="shared" si="70"/>
        <v>0</v>
      </c>
      <c r="X1520" s="412"/>
      <c r="Y1520" s="412"/>
      <c r="Z1520" s="412"/>
      <c r="AA1520" s="412"/>
      <c r="AB1520" s="412"/>
      <c r="AC1520" s="412"/>
      <c r="AD1520" s="412"/>
      <c r="AE1520" s="412"/>
      <c r="AF1520" s="412"/>
      <c r="AG1520" s="412"/>
      <c r="AH1520" s="412"/>
      <c r="AI1520" s="412"/>
      <c r="AJ1520" s="412">
        <f t="shared" si="71"/>
        <v>0</v>
      </c>
      <c r="AK1520" s="208"/>
      <c r="AL1520" s="250" t="s">
        <v>2068</v>
      </c>
    </row>
    <row r="1521" spans="1:38" x14ac:dyDescent="0.2">
      <c r="A1521" t="s">
        <v>890</v>
      </c>
      <c r="B1521" s="209">
        <v>5106</v>
      </c>
      <c r="C1521" s="210" t="s">
        <v>1024</v>
      </c>
      <c r="D1521" s="229" t="s">
        <v>1599</v>
      </c>
      <c r="E1521" s="229" t="s">
        <v>257</v>
      </c>
      <c r="F1521" s="240">
        <v>100</v>
      </c>
      <c r="G1521" s="205">
        <v>3</v>
      </c>
      <c r="H1521" s="206">
        <v>150</v>
      </c>
      <c r="I1521" s="207">
        <v>41451</v>
      </c>
      <c r="J1521" s="197" t="str">
        <f t="shared" si="72"/>
        <v>ok</v>
      </c>
      <c r="K1521" s="419"/>
      <c r="L1521" s="419"/>
      <c r="M1521" s="419"/>
      <c r="N1521" s="419"/>
      <c r="O1521" s="419"/>
      <c r="P1521" s="419"/>
      <c r="Q1521" s="419"/>
      <c r="R1521" s="419"/>
      <c r="S1521" s="419"/>
      <c r="T1521" s="419"/>
      <c r="U1521" s="419"/>
      <c r="V1521" s="419"/>
      <c r="W1521" s="419">
        <f t="shared" si="70"/>
        <v>0</v>
      </c>
      <c r="X1521" s="412"/>
      <c r="Y1521" s="412"/>
      <c r="Z1521" s="412"/>
      <c r="AA1521" s="412"/>
      <c r="AB1521" s="412"/>
      <c r="AC1521" s="412"/>
      <c r="AD1521" s="412"/>
      <c r="AE1521" s="412"/>
      <c r="AF1521" s="412"/>
      <c r="AG1521" s="412"/>
      <c r="AH1521" s="412"/>
      <c r="AI1521" s="412"/>
      <c r="AJ1521" s="412">
        <f t="shared" si="71"/>
        <v>0</v>
      </c>
      <c r="AK1521" s="208"/>
      <c r="AL1521" s="250" t="s">
        <v>2068</v>
      </c>
    </row>
    <row r="1522" spans="1:38" x14ac:dyDescent="0.2">
      <c r="A1522" t="s">
        <v>892</v>
      </c>
      <c r="B1522" s="209">
        <v>5107</v>
      </c>
      <c r="C1522" s="210" t="s">
        <v>1057</v>
      </c>
      <c r="D1522" s="229" t="s">
        <v>1548</v>
      </c>
      <c r="E1522" s="229" t="s">
        <v>46</v>
      </c>
      <c r="F1522" s="240">
        <v>300</v>
      </c>
      <c r="G1522" s="205">
        <v>1</v>
      </c>
      <c r="H1522" s="206">
        <v>300</v>
      </c>
      <c r="I1522" s="207">
        <v>41451</v>
      </c>
      <c r="J1522" s="197" t="str">
        <f t="shared" si="72"/>
        <v>ok</v>
      </c>
      <c r="K1522" s="419"/>
      <c r="L1522" s="419"/>
      <c r="M1522" s="419"/>
      <c r="N1522" s="419"/>
      <c r="O1522" s="419"/>
      <c r="P1522" s="419"/>
      <c r="Q1522" s="419"/>
      <c r="R1522" s="419"/>
      <c r="S1522" s="419"/>
      <c r="T1522" s="419"/>
      <c r="U1522" s="419"/>
      <c r="V1522" s="419"/>
      <c r="W1522" s="419">
        <f t="shared" si="70"/>
        <v>0</v>
      </c>
      <c r="X1522" s="412"/>
      <c r="Y1522" s="412"/>
      <c r="Z1522" s="412"/>
      <c r="AA1522" s="412"/>
      <c r="AB1522" s="412"/>
      <c r="AC1522" s="412">
        <v>300</v>
      </c>
      <c r="AD1522" s="412"/>
      <c r="AE1522" s="412"/>
      <c r="AF1522" s="412"/>
      <c r="AG1522" s="412"/>
      <c r="AH1522" s="412"/>
      <c r="AI1522" s="412"/>
      <c r="AJ1522" s="412">
        <f t="shared" si="71"/>
        <v>300</v>
      </c>
      <c r="AK1522" s="208"/>
      <c r="AL1522" s="250" t="s">
        <v>2067</v>
      </c>
    </row>
    <row r="1523" spans="1:38" x14ac:dyDescent="0.2">
      <c r="A1523" t="s">
        <v>893</v>
      </c>
      <c r="B1523" s="209">
        <v>5108</v>
      </c>
      <c r="C1523" s="210" t="s">
        <v>1086</v>
      </c>
      <c r="D1523" s="229" t="s">
        <v>1376</v>
      </c>
      <c r="E1523" s="229" t="s">
        <v>1704</v>
      </c>
      <c r="F1523" s="240">
        <v>300</v>
      </c>
      <c r="G1523" s="205">
        <v>1</v>
      </c>
      <c r="H1523" s="206">
        <v>600</v>
      </c>
      <c r="I1523" s="207">
        <v>41453</v>
      </c>
      <c r="J1523" s="197" t="str">
        <f t="shared" si="72"/>
        <v>ok</v>
      </c>
      <c r="K1523" s="419"/>
      <c r="L1523" s="419"/>
      <c r="M1523" s="419"/>
      <c r="N1523" s="419"/>
      <c r="O1523" s="419"/>
      <c r="P1523" s="419"/>
      <c r="Q1523" s="419"/>
      <c r="R1523" s="419"/>
      <c r="S1523" s="419"/>
      <c r="T1523" s="419"/>
      <c r="U1523" s="419"/>
      <c r="V1523" s="419"/>
      <c r="W1523" s="419">
        <f t="shared" si="70"/>
        <v>0</v>
      </c>
      <c r="X1523" s="412"/>
      <c r="Y1523" s="412"/>
      <c r="Z1523" s="412"/>
      <c r="AA1523" s="412"/>
      <c r="AB1523" s="412"/>
      <c r="AC1523" s="412">
        <v>300</v>
      </c>
      <c r="AD1523" s="412">
        <v>300</v>
      </c>
      <c r="AE1523" s="412"/>
      <c r="AF1523" s="412"/>
      <c r="AG1523" s="412"/>
      <c r="AH1523" s="412"/>
      <c r="AI1523" s="412"/>
      <c r="AJ1523" s="412">
        <f t="shared" si="71"/>
        <v>600</v>
      </c>
      <c r="AK1523" s="208"/>
      <c r="AL1523" s="250" t="s">
        <v>2067</v>
      </c>
    </row>
    <row r="1524" spans="1:38" x14ac:dyDescent="0.2">
      <c r="A1524" t="s">
        <v>893</v>
      </c>
      <c r="B1524" s="209">
        <v>5109</v>
      </c>
      <c r="C1524" s="210" t="s">
        <v>1105</v>
      </c>
      <c r="D1524" s="229" t="s">
        <v>1659</v>
      </c>
      <c r="E1524" s="229" t="s">
        <v>252</v>
      </c>
      <c r="F1524" s="240">
        <v>300</v>
      </c>
      <c r="G1524" s="205">
        <v>1</v>
      </c>
      <c r="H1524" s="206">
        <v>300</v>
      </c>
      <c r="I1524" s="207">
        <v>41454</v>
      </c>
      <c r="J1524" s="197" t="str">
        <f t="shared" si="72"/>
        <v>ok</v>
      </c>
      <c r="K1524" s="419"/>
      <c r="L1524" s="419"/>
      <c r="M1524" s="419"/>
      <c r="N1524" s="419"/>
      <c r="O1524" s="419"/>
      <c r="P1524" s="419"/>
      <c r="Q1524" s="419"/>
      <c r="R1524" s="419"/>
      <c r="S1524" s="419"/>
      <c r="T1524" s="419"/>
      <c r="U1524" s="419"/>
      <c r="V1524" s="419"/>
      <c r="W1524" s="419">
        <f t="shared" si="70"/>
        <v>0</v>
      </c>
      <c r="X1524" s="412"/>
      <c r="Y1524" s="412"/>
      <c r="Z1524" s="412"/>
      <c r="AA1524" s="412"/>
      <c r="AB1524" s="412"/>
      <c r="AC1524" s="412">
        <v>300</v>
      </c>
      <c r="AD1524" s="412"/>
      <c r="AE1524" s="412"/>
      <c r="AF1524" s="412"/>
      <c r="AG1524" s="412"/>
      <c r="AH1524" s="412"/>
      <c r="AI1524" s="412"/>
      <c r="AJ1524" s="412">
        <f t="shared" si="71"/>
        <v>300</v>
      </c>
      <c r="AK1524" s="208"/>
      <c r="AL1524" s="250" t="s">
        <v>2067</v>
      </c>
    </row>
    <row r="1525" spans="1:38" x14ac:dyDescent="0.2">
      <c r="A1525" t="s">
        <v>893</v>
      </c>
      <c r="B1525" s="209">
        <v>5110</v>
      </c>
      <c r="C1525" s="210" t="s">
        <v>779</v>
      </c>
      <c r="D1525" s="229" t="s">
        <v>1391</v>
      </c>
      <c r="E1525" s="229" t="s">
        <v>713</v>
      </c>
      <c r="F1525" s="240">
        <v>300</v>
      </c>
      <c r="G1525" s="205">
        <v>1</v>
      </c>
      <c r="H1525" s="206">
        <v>300</v>
      </c>
      <c r="I1525" s="207">
        <v>41455</v>
      </c>
      <c r="J1525" s="197" t="str">
        <f t="shared" si="72"/>
        <v>ok</v>
      </c>
      <c r="K1525" s="419"/>
      <c r="L1525" s="419"/>
      <c r="M1525" s="419"/>
      <c r="N1525" s="419"/>
      <c r="O1525" s="419"/>
      <c r="P1525" s="419"/>
      <c r="Q1525" s="419"/>
      <c r="R1525" s="419"/>
      <c r="S1525" s="419"/>
      <c r="T1525" s="419"/>
      <c r="U1525" s="419"/>
      <c r="V1525" s="419"/>
      <c r="W1525" s="419">
        <f t="shared" si="70"/>
        <v>0</v>
      </c>
      <c r="X1525" s="412"/>
      <c r="Y1525" s="412"/>
      <c r="Z1525" s="412"/>
      <c r="AA1525" s="412"/>
      <c r="AB1525" s="412"/>
      <c r="AC1525" s="412"/>
      <c r="AD1525" s="412">
        <v>300</v>
      </c>
      <c r="AE1525" s="412"/>
      <c r="AF1525" s="412"/>
      <c r="AG1525" s="412"/>
      <c r="AH1525" s="412"/>
      <c r="AI1525" s="412"/>
      <c r="AJ1525" s="412">
        <f t="shared" si="71"/>
        <v>300</v>
      </c>
      <c r="AK1525" s="208"/>
      <c r="AL1525" s="250" t="s">
        <v>2067</v>
      </c>
    </row>
    <row r="1526" spans="1:38" x14ac:dyDescent="0.2">
      <c r="A1526" t="s">
        <v>894</v>
      </c>
      <c r="B1526" s="209">
        <v>5111</v>
      </c>
      <c r="C1526" s="210" t="s">
        <v>1176</v>
      </c>
      <c r="D1526" s="229" t="s">
        <v>1414</v>
      </c>
      <c r="E1526" s="229" t="s">
        <v>634</v>
      </c>
      <c r="F1526" s="240">
        <v>250</v>
      </c>
      <c r="G1526" s="205">
        <v>1</v>
      </c>
      <c r="H1526" s="206">
        <v>500</v>
      </c>
      <c r="I1526" s="207">
        <v>41455</v>
      </c>
      <c r="J1526" s="197" t="str">
        <f t="shared" si="72"/>
        <v>ok</v>
      </c>
      <c r="K1526" s="419"/>
      <c r="L1526" s="419"/>
      <c r="M1526" s="419"/>
      <c r="N1526" s="419"/>
      <c r="O1526" s="419"/>
      <c r="P1526" s="419"/>
      <c r="Q1526" s="419"/>
      <c r="R1526" s="419"/>
      <c r="S1526" s="419"/>
      <c r="T1526" s="419"/>
      <c r="U1526" s="419"/>
      <c r="V1526" s="419"/>
      <c r="W1526" s="419">
        <f t="shared" si="70"/>
        <v>0</v>
      </c>
      <c r="X1526" s="412"/>
      <c r="Y1526" s="412"/>
      <c r="Z1526" s="412"/>
      <c r="AA1526" s="412"/>
      <c r="AB1526" s="412">
        <v>250</v>
      </c>
      <c r="AC1526" s="412">
        <v>250</v>
      </c>
      <c r="AD1526" s="412"/>
      <c r="AE1526" s="412"/>
      <c r="AF1526" s="412"/>
      <c r="AG1526" s="412"/>
      <c r="AH1526" s="412"/>
      <c r="AI1526" s="412"/>
      <c r="AJ1526" s="412">
        <f t="shared" si="71"/>
        <v>500</v>
      </c>
      <c r="AK1526" s="208"/>
      <c r="AL1526" s="250" t="s">
        <v>2067</v>
      </c>
    </row>
    <row r="1527" spans="1:38" x14ac:dyDescent="0.2">
      <c r="A1527" t="s">
        <v>892</v>
      </c>
      <c r="B1527" s="209">
        <v>5112</v>
      </c>
      <c r="C1527" s="210" t="s">
        <v>1061</v>
      </c>
      <c r="D1527" s="229" t="s">
        <v>1721</v>
      </c>
      <c r="E1527" s="229" t="s">
        <v>738</v>
      </c>
      <c r="F1527" s="240">
        <v>300</v>
      </c>
      <c r="G1527" s="205">
        <v>1</v>
      </c>
      <c r="H1527" s="206">
        <v>300</v>
      </c>
      <c r="I1527" s="207">
        <v>41455</v>
      </c>
      <c r="J1527" s="197" t="str">
        <f t="shared" si="72"/>
        <v>ok</v>
      </c>
      <c r="K1527" s="419"/>
      <c r="L1527" s="419"/>
      <c r="M1527" s="419"/>
      <c r="N1527" s="419"/>
      <c r="O1527" s="419"/>
      <c r="P1527" s="419"/>
      <c r="Q1527" s="419"/>
      <c r="R1527" s="419"/>
      <c r="S1527" s="419"/>
      <c r="T1527" s="419"/>
      <c r="U1527" s="419"/>
      <c r="V1527" s="419"/>
      <c r="W1527" s="419">
        <f t="shared" si="70"/>
        <v>0</v>
      </c>
      <c r="X1527" s="412"/>
      <c r="Y1527" s="412"/>
      <c r="Z1527" s="412"/>
      <c r="AA1527" s="412"/>
      <c r="AB1527" s="412"/>
      <c r="AC1527" s="412"/>
      <c r="AD1527" s="412">
        <v>300</v>
      </c>
      <c r="AE1527" s="412"/>
      <c r="AF1527" s="412"/>
      <c r="AG1527" s="412"/>
      <c r="AH1527" s="412"/>
      <c r="AI1527" s="412"/>
      <c r="AJ1527" s="412">
        <f t="shared" si="71"/>
        <v>300</v>
      </c>
      <c r="AK1527" s="208"/>
      <c r="AL1527" s="250" t="s">
        <v>2067</v>
      </c>
    </row>
    <row r="1528" spans="1:38" x14ac:dyDescent="0.2">
      <c r="A1528" t="s">
        <v>892</v>
      </c>
      <c r="B1528" s="209">
        <v>5112</v>
      </c>
      <c r="C1528" s="210" t="s">
        <v>1061</v>
      </c>
      <c r="D1528" s="229" t="s">
        <v>1721</v>
      </c>
      <c r="E1528" s="229" t="s">
        <v>738</v>
      </c>
      <c r="F1528" s="240">
        <v>300</v>
      </c>
      <c r="G1528" s="205">
        <v>4</v>
      </c>
      <c r="H1528" s="206">
        <v>320</v>
      </c>
      <c r="I1528" s="207">
        <v>41455</v>
      </c>
      <c r="J1528" s="197" t="str">
        <f t="shared" si="72"/>
        <v>ok</v>
      </c>
      <c r="K1528" s="419"/>
      <c r="L1528" s="419"/>
      <c r="M1528" s="419"/>
      <c r="N1528" s="419"/>
      <c r="O1528" s="419"/>
      <c r="P1528" s="419"/>
      <c r="Q1528" s="419"/>
      <c r="R1528" s="419"/>
      <c r="S1528" s="419"/>
      <c r="T1528" s="419"/>
      <c r="U1528" s="419"/>
      <c r="V1528" s="419"/>
      <c r="W1528" s="419">
        <f t="shared" si="70"/>
        <v>0</v>
      </c>
      <c r="X1528" s="412"/>
      <c r="Y1528" s="412"/>
      <c r="Z1528" s="412"/>
      <c r="AA1528" s="412"/>
      <c r="AB1528" s="412"/>
      <c r="AC1528" s="412"/>
      <c r="AD1528" s="412"/>
      <c r="AE1528" s="412"/>
      <c r="AF1528" s="412"/>
      <c r="AG1528" s="412"/>
      <c r="AH1528" s="412"/>
      <c r="AI1528" s="412"/>
      <c r="AJ1528" s="412">
        <f t="shared" si="71"/>
        <v>0</v>
      </c>
      <c r="AK1528" s="208"/>
      <c r="AL1528" s="250" t="s">
        <v>2068</v>
      </c>
    </row>
    <row r="1529" spans="1:38" x14ac:dyDescent="0.2">
      <c r="A1529" t="s">
        <v>892</v>
      </c>
      <c r="B1529" s="209">
        <v>5113</v>
      </c>
      <c r="C1529" s="210" t="s">
        <v>1061</v>
      </c>
      <c r="D1529" s="229" t="s">
        <v>1721</v>
      </c>
      <c r="E1529" s="229" t="s">
        <v>738</v>
      </c>
      <c r="F1529" s="240">
        <v>300</v>
      </c>
      <c r="G1529" s="205">
        <v>3</v>
      </c>
      <c r="H1529" s="206">
        <v>150</v>
      </c>
      <c r="I1529" s="207">
        <v>41455</v>
      </c>
      <c r="J1529" s="197" t="str">
        <f t="shared" si="72"/>
        <v>ok</v>
      </c>
      <c r="K1529" s="419"/>
      <c r="L1529" s="419"/>
      <c r="M1529" s="419"/>
      <c r="N1529" s="419"/>
      <c r="O1529" s="419"/>
      <c r="P1529" s="419"/>
      <c r="Q1529" s="419"/>
      <c r="R1529" s="419"/>
      <c r="S1529" s="419"/>
      <c r="T1529" s="419"/>
      <c r="U1529" s="419"/>
      <c r="V1529" s="419"/>
      <c r="W1529" s="419">
        <f t="shared" si="70"/>
        <v>0</v>
      </c>
      <c r="X1529" s="412"/>
      <c r="Y1529" s="412"/>
      <c r="Z1529" s="412"/>
      <c r="AA1529" s="412"/>
      <c r="AB1529" s="412"/>
      <c r="AC1529" s="412"/>
      <c r="AD1529" s="412"/>
      <c r="AE1529" s="412"/>
      <c r="AF1529" s="412"/>
      <c r="AG1529" s="412"/>
      <c r="AH1529" s="412"/>
      <c r="AI1529" s="412"/>
      <c r="AJ1529" s="412">
        <f t="shared" si="71"/>
        <v>0</v>
      </c>
      <c r="AK1529" s="208"/>
      <c r="AL1529" s="250" t="s">
        <v>2068</v>
      </c>
    </row>
    <row r="1530" spans="1:38" x14ac:dyDescent="0.2">
      <c r="A1530" t="s">
        <v>887</v>
      </c>
      <c r="B1530" s="209">
        <v>5114</v>
      </c>
      <c r="C1530" s="210" t="s">
        <v>904</v>
      </c>
      <c r="D1530" s="229" t="s">
        <v>1361</v>
      </c>
      <c r="E1530" s="229" t="s">
        <v>667</v>
      </c>
      <c r="F1530" s="240">
        <v>300</v>
      </c>
      <c r="G1530" s="205">
        <v>1</v>
      </c>
      <c r="H1530" s="206">
        <v>300</v>
      </c>
      <c r="I1530" s="207">
        <v>41455</v>
      </c>
      <c r="J1530" s="197" t="str">
        <f t="shared" si="72"/>
        <v>ok</v>
      </c>
      <c r="K1530" s="419"/>
      <c r="L1530" s="419"/>
      <c r="M1530" s="419"/>
      <c r="N1530" s="419"/>
      <c r="O1530" s="419"/>
      <c r="P1530" s="419"/>
      <c r="Q1530" s="419"/>
      <c r="R1530" s="419"/>
      <c r="S1530" s="419"/>
      <c r="T1530" s="419"/>
      <c r="U1530" s="419"/>
      <c r="V1530" s="419"/>
      <c r="W1530" s="419">
        <f t="shared" si="70"/>
        <v>0</v>
      </c>
      <c r="X1530" s="412"/>
      <c r="Y1530" s="412"/>
      <c r="Z1530" s="412"/>
      <c r="AA1530" s="412"/>
      <c r="AB1530" s="412"/>
      <c r="AC1530" s="412"/>
      <c r="AD1530" s="412">
        <v>300</v>
      </c>
      <c r="AE1530" s="412"/>
      <c r="AF1530" s="412"/>
      <c r="AG1530" s="412"/>
      <c r="AH1530" s="412"/>
      <c r="AI1530" s="412"/>
      <c r="AJ1530" s="412">
        <f t="shared" si="71"/>
        <v>300</v>
      </c>
      <c r="AK1530" s="208"/>
      <c r="AL1530" s="250" t="s">
        <v>2067</v>
      </c>
    </row>
    <row r="1531" spans="1:38" x14ac:dyDescent="0.2">
      <c r="A1531" t="s">
        <v>890</v>
      </c>
      <c r="B1531" s="209">
        <v>5115</v>
      </c>
      <c r="C1531" s="210" t="s">
        <v>1019</v>
      </c>
      <c r="D1531" s="229" t="s">
        <v>1512</v>
      </c>
      <c r="E1531" s="229" t="s">
        <v>731</v>
      </c>
      <c r="F1531" s="240">
        <v>300</v>
      </c>
      <c r="G1531" s="205">
        <v>1</v>
      </c>
      <c r="H1531" s="206">
        <v>600</v>
      </c>
      <c r="I1531" s="207">
        <v>41455</v>
      </c>
      <c r="J1531" s="197" t="str">
        <f t="shared" si="72"/>
        <v>ok</v>
      </c>
      <c r="K1531" s="419"/>
      <c r="L1531" s="419"/>
      <c r="M1531" s="419"/>
      <c r="N1531" s="419"/>
      <c r="O1531" s="419"/>
      <c r="P1531" s="419"/>
      <c r="Q1531" s="419"/>
      <c r="R1531" s="419"/>
      <c r="S1531" s="419"/>
      <c r="T1531" s="419"/>
      <c r="U1531" s="419"/>
      <c r="V1531" s="419"/>
      <c r="W1531" s="419">
        <f t="shared" si="70"/>
        <v>0</v>
      </c>
      <c r="X1531" s="412"/>
      <c r="Y1531" s="412"/>
      <c r="Z1531" s="412"/>
      <c r="AA1531" s="412"/>
      <c r="AB1531" s="412"/>
      <c r="AC1531" s="412">
        <v>300</v>
      </c>
      <c r="AD1531" s="412">
        <v>300</v>
      </c>
      <c r="AE1531" s="412"/>
      <c r="AF1531" s="412"/>
      <c r="AG1531" s="412"/>
      <c r="AH1531" s="412"/>
      <c r="AI1531" s="412"/>
      <c r="AJ1531" s="412">
        <f t="shared" si="71"/>
        <v>600</v>
      </c>
      <c r="AK1531" s="208"/>
      <c r="AL1531" s="250" t="s">
        <v>2067</v>
      </c>
    </row>
    <row r="1532" spans="1:38" x14ac:dyDescent="0.2">
      <c r="A1532" t="s">
        <v>884</v>
      </c>
      <c r="B1532" s="209">
        <v>5116</v>
      </c>
      <c r="C1532" s="210" t="s">
        <v>859</v>
      </c>
      <c r="D1532" s="229" t="s">
        <v>1404</v>
      </c>
      <c r="E1532" s="229" t="s">
        <v>105</v>
      </c>
      <c r="F1532" s="240">
        <v>150</v>
      </c>
      <c r="G1532" s="205">
        <v>1</v>
      </c>
      <c r="H1532" s="206">
        <v>300</v>
      </c>
      <c r="I1532" s="207">
        <v>41455</v>
      </c>
      <c r="J1532" s="197" t="str">
        <f t="shared" si="72"/>
        <v>ok</v>
      </c>
      <c r="K1532" s="419"/>
      <c r="L1532" s="419"/>
      <c r="M1532" s="419"/>
      <c r="N1532" s="419"/>
      <c r="O1532" s="419"/>
      <c r="P1532" s="419"/>
      <c r="Q1532" s="419"/>
      <c r="R1532" s="419"/>
      <c r="S1532" s="419"/>
      <c r="T1532" s="419"/>
      <c r="U1532" s="419"/>
      <c r="V1532" s="419"/>
      <c r="W1532" s="419">
        <f t="shared" si="70"/>
        <v>0</v>
      </c>
      <c r="X1532" s="412"/>
      <c r="Y1532" s="412"/>
      <c r="Z1532" s="412"/>
      <c r="AA1532" s="412"/>
      <c r="AB1532" s="412"/>
      <c r="AC1532" s="412">
        <v>150</v>
      </c>
      <c r="AD1532" s="412">
        <v>150</v>
      </c>
      <c r="AE1532" s="412"/>
      <c r="AF1532" s="412"/>
      <c r="AG1532" s="412"/>
      <c r="AH1532" s="412"/>
      <c r="AI1532" s="412"/>
      <c r="AJ1532" s="412">
        <f t="shared" si="71"/>
        <v>300</v>
      </c>
      <c r="AK1532" s="208"/>
      <c r="AL1532" s="250" t="s">
        <v>2067</v>
      </c>
    </row>
    <row r="1533" spans="1:38" x14ac:dyDescent="0.2">
      <c r="A1533" t="s">
        <v>893</v>
      </c>
      <c r="B1533" s="209">
        <v>5117</v>
      </c>
      <c r="C1533" s="210" t="s">
        <v>1108</v>
      </c>
      <c r="D1533" s="229" t="s">
        <v>1466</v>
      </c>
      <c r="E1533" s="229" t="s">
        <v>257</v>
      </c>
      <c r="F1533" s="240">
        <v>300</v>
      </c>
      <c r="G1533" s="205">
        <v>1</v>
      </c>
      <c r="H1533" s="206">
        <v>300</v>
      </c>
      <c r="I1533" s="207">
        <v>41455</v>
      </c>
      <c r="J1533" s="197" t="str">
        <f t="shared" si="72"/>
        <v>ok</v>
      </c>
      <c r="K1533" s="419"/>
      <c r="L1533" s="419"/>
      <c r="M1533" s="419"/>
      <c r="N1533" s="419"/>
      <c r="O1533" s="419"/>
      <c r="P1533" s="419"/>
      <c r="Q1533" s="419"/>
      <c r="R1533" s="419"/>
      <c r="S1533" s="419"/>
      <c r="T1533" s="419"/>
      <c r="U1533" s="419"/>
      <c r="V1533" s="419"/>
      <c r="W1533" s="419">
        <f t="shared" si="70"/>
        <v>0</v>
      </c>
      <c r="X1533" s="412"/>
      <c r="Y1533" s="412"/>
      <c r="Z1533" s="412"/>
      <c r="AA1533" s="412"/>
      <c r="AB1533" s="412"/>
      <c r="AC1533" s="412">
        <v>300</v>
      </c>
      <c r="AD1533" s="412"/>
      <c r="AE1533" s="412"/>
      <c r="AF1533" s="412"/>
      <c r="AG1533" s="412"/>
      <c r="AH1533" s="412"/>
      <c r="AI1533" s="412"/>
      <c r="AJ1533" s="412">
        <f t="shared" si="71"/>
        <v>300</v>
      </c>
      <c r="AK1533" s="208"/>
      <c r="AL1533" s="250" t="s">
        <v>2067</v>
      </c>
    </row>
    <row r="1534" spans="1:38" x14ac:dyDescent="0.2">
      <c r="A1534" t="s">
        <v>890</v>
      </c>
      <c r="B1534" s="209">
        <v>5118</v>
      </c>
      <c r="C1534" s="210" t="s">
        <v>765</v>
      </c>
      <c r="D1534" s="229" t="s">
        <v>1495</v>
      </c>
      <c r="E1534" s="229" t="s">
        <v>552</v>
      </c>
      <c r="F1534" s="240">
        <v>300</v>
      </c>
      <c r="G1534" s="205">
        <v>1</v>
      </c>
      <c r="H1534" s="206">
        <v>900</v>
      </c>
      <c r="I1534" s="207">
        <v>41455</v>
      </c>
      <c r="J1534" s="197" t="str">
        <f t="shared" si="72"/>
        <v>ok</v>
      </c>
      <c r="K1534" s="419"/>
      <c r="L1534" s="419"/>
      <c r="M1534" s="419"/>
      <c r="N1534" s="419"/>
      <c r="O1534" s="419"/>
      <c r="P1534" s="419"/>
      <c r="Q1534" s="419"/>
      <c r="R1534" s="419"/>
      <c r="S1534" s="419"/>
      <c r="T1534" s="419"/>
      <c r="U1534" s="419"/>
      <c r="V1534" s="419"/>
      <c r="W1534" s="419">
        <f t="shared" si="70"/>
        <v>0</v>
      </c>
      <c r="X1534" s="412"/>
      <c r="Y1534" s="412"/>
      <c r="Z1534" s="412"/>
      <c r="AA1534" s="412"/>
      <c r="AB1534" s="412">
        <v>300</v>
      </c>
      <c r="AC1534" s="412">
        <v>300</v>
      </c>
      <c r="AD1534" s="412">
        <v>300</v>
      </c>
      <c r="AE1534" s="412"/>
      <c r="AF1534" s="412"/>
      <c r="AG1534" s="412"/>
      <c r="AH1534" s="412"/>
      <c r="AI1534" s="412"/>
      <c r="AJ1534" s="412">
        <f t="shared" si="71"/>
        <v>900</v>
      </c>
      <c r="AK1534" s="208"/>
      <c r="AL1534" s="250" t="s">
        <v>2067</v>
      </c>
    </row>
    <row r="1535" spans="1:38" x14ac:dyDescent="0.2">
      <c r="A1535" t="s">
        <v>893</v>
      </c>
      <c r="B1535" s="209">
        <v>5119</v>
      </c>
      <c r="C1535" s="210" t="s">
        <v>773</v>
      </c>
      <c r="D1535" s="229" t="s">
        <v>1537</v>
      </c>
      <c r="E1535" s="229" t="s">
        <v>317</v>
      </c>
      <c r="F1535" s="240">
        <v>300</v>
      </c>
      <c r="G1535" s="205">
        <v>1</v>
      </c>
      <c r="H1535" s="206">
        <v>300</v>
      </c>
      <c r="I1535" s="207">
        <v>41455</v>
      </c>
      <c r="J1535" s="197" t="str">
        <f t="shared" si="72"/>
        <v>ok</v>
      </c>
      <c r="K1535" s="419"/>
      <c r="L1535" s="419"/>
      <c r="M1535" s="419"/>
      <c r="N1535" s="419"/>
      <c r="O1535" s="419"/>
      <c r="P1535" s="419"/>
      <c r="Q1535" s="419"/>
      <c r="R1535" s="419"/>
      <c r="S1535" s="419"/>
      <c r="T1535" s="419"/>
      <c r="U1535" s="419"/>
      <c r="V1535" s="419"/>
      <c r="W1535" s="419">
        <f t="shared" si="70"/>
        <v>0</v>
      </c>
      <c r="X1535" s="412"/>
      <c r="Y1535" s="412"/>
      <c r="Z1535" s="412"/>
      <c r="AA1535" s="412"/>
      <c r="AB1535" s="412"/>
      <c r="AC1535" s="412"/>
      <c r="AD1535" s="412">
        <v>300</v>
      </c>
      <c r="AE1535" s="412"/>
      <c r="AF1535" s="412"/>
      <c r="AG1535" s="412"/>
      <c r="AH1535" s="412"/>
      <c r="AI1535" s="412"/>
      <c r="AJ1535" s="412">
        <f t="shared" si="71"/>
        <v>300</v>
      </c>
      <c r="AK1535" s="208"/>
      <c r="AL1535" s="250" t="s">
        <v>2067</v>
      </c>
    </row>
    <row r="1536" spans="1:38" x14ac:dyDescent="0.2">
      <c r="A1536" t="s">
        <v>890</v>
      </c>
      <c r="B1536" s="209">
        <v>5120</v>
      </c>
      <c r="C1536" s="210" t="s">
        <v>1029</v>
      </c>
      <c r="D1536" s="229" t="s">
        <v>1482</v>
      </c>
      <c r="E1536" s="229" t="s">
        <v>529</v>
      </c>
      <c r="F1536" s="240">
        <v>300</v>
      </c>
      <c r="G1536" s="205">
        <v>1</v>
      </c>
      <c r="H1536" s="206">
        <v>300</v>
      </c>
      <c r="I1536" s="207">
        <v>41455</v>
      </c>
      <c r="J1536" s="197" t="str">
        <f t="shared" si="72"/>
        <v>ok</v>
      </c>
      <c r="K1536" s="419"/>
      <c r="L1536" s="419"/>
      <c r="M1536" s="419"/>
      <c r="N1536" s="419"/>
      <c r="O1536" s="419"/>
      <c r="P1536" s="419"/>
      <c r="Q1536" s="419"/>
      <c r="R1536" s="419"/>
      <c r="S1536" s="419"/>
      <c r="T1536" s="419"/>
      <c r="U1536" s="419"/>
      <c r="V1536" s="419"/>
      <c r="W1536" s="419">
        <f t="shared" si="70"/>
        <v>0</v>
      </c>
      <c r="X1536" s="412"/>
      <c r="Y1536" s="412"/>
      <c r="Z1536" s="412"/>
      <c r="AA1536" s="412"/>
      <c r="AB1536" s="412"/>
      <c r="AC1536" s="412"/>
      <c r="AD1536" s="412">
        <v>300</v>
      </c>
      <c r="AE1536" s="412"/>
      <c r="AF1536" s="412"/>
      <c r="AG1536" s="412"/>
      <c r="AH1536" s="412"/>
      <c r="AI1536" s="412"/>
      <c r="AJ1536" s="412">
        <f t="shared" si="71"/>
        <v>300</v>
      </c>
      <c r="AK1536" s="208"/>
      <c r="AL1536" s="250" t="s">
        <v>2067</v>
      </c>
    </row>
    <row r="1537" spans="1:38" x14ac:dyDescent="0.2">
      <c r="A1537" t="s">
        <v>892</v>
      </c>
      <c r="B1537" s="209">
        <v>5121</v>
      </c>
      <c r="C1537" s="210" t="s">
        <v>1066</v>
      </c>
      <c r="D1537" s="229" t="s">
        <v>1591</v>
      </c>
      <c r="E1537" s="229" t="s">
        <v>663</v>
      </c>
      <c r="F1537" s="240">
        <v>300</v>
      </c>
      <c r="G1537" s="205">
        <v>1</v>
      </c>
      <c r="H1537" s="206">
        <v>300</v>
      </c>
      <c r="I1537" s="207">
        <v>41455</v>
      </c>
      <c r="J1537" s="197" t="str">
        <f t="shared" si="72"/>
        <v>ok</v>
      </c>
      <c r="K1537" s="419"/>
      <c r="L1537" s="419"/>
      <c r="M1537" s="419"/>
      <c r="N1537" s="419"/>
      <c r="O1537" s="419"/>
      <c r="P1537" s="419"/>
      <c r="Q1537" s="419"/>
      <c r="R1537" s="419"/>
      <c r="S1537" s="419"/>
      <c r="T1537" s="419"/>
      <c r="U1537" s="419"/>
      <c r="V1537" s="419"/>
      <c r="W1537" s="419">
        <f t="shared" si="70"/>
        <v>0</v>
      </c>
      <c r="X1537" s="412"/>
      <c r="Y1537" s="412"/>
      <c r="Z1537" s="412"/>
      <c r="AA1537" s="412"/>
      <c r="AB1537" s="412"/>
      <c r="AC1537" s="412">
        <v>300</v>
      </c>
      <c r="AD1537" s="412"/>
      <c r="AE1537" s="412"/>
      <c r="AF1537" s="412"/>
      <c r="AG1537" s="412"/>
      <c r="AH1537" s="412"/>
      <c r="AI1537" s="412"/>
      <c r="AJ1537" s="412">
        <f t="shared" si="71"/>
        <v>300</v>
      </c>
      <c r="AK1537" s="208"/>
      <c r="AL1537" s="250" t="s">
        <v>2067</v>
      </c>
    </row>
    <row r="1538" spans="1:38" x14ac:dyDescent="0.2">
      <c r="A1538" t="s">
        <v>893</v>
      </c>
      <c r="B1538" s="209">
        <v>5122</v>
      </c>
      <c r="C1538" s="210" t="s">
        <v>1145</v>
      </c>
      <c r="D1538" s="229" t="s">
        <v>1489</v>
      </c>
      <c r="E1538" s="229" t="s">
        <v>325</v>
      </c>
      <c r="F1538" s="240">
        <v>300</v>
      </c>
      <c r="G1538" s="205">
        <v>1</v>
      </c>
      <c r="H1538" s="206">
        <v>300</v>
      </c>
      <c r="I1538" s="207">
        <v>41455</v>
      </c>
      <c r="J1538" s="197" t="str">
        <f t="shared" si="72"/>
        <v>ok</v>
      </c>
      <c r="K1538" s="419"/>
      <c r="L1538" s="419"/>
      <c r="M1538" s="419"/>
      <c r="N1538" s="419"/>
      <c r="O1538" s="419"/>
      <c r="P1538" s="419"/>
      <c r="Q1538" s="419"/>
      <c r="R1538" s="419"/>
      <c r="S1538" s="419"/>
      <c r="T1538" s="419"/>
      <c r="U1538" s="419"/>
      <c r="V1538" s="419"/>
      <c r="W1538" s="419">
        <f t="shared" si="70"/>
        <v>0</v>
      </c>
      <c r="X1538" s="412"/>
      <c r="Y1538" s="412"/>
      <c r="Z1538" s="412"/>
      <c r="AA1538" s="412"/>
      <c r="AB1538" s="412"/>
      <c r="AC1538" s="412">
        <v>300</v>
      </c>
      <c r="AD1538" s="412"/>
      <c r="AE1538" s="412"/>
      <c r="AF1538" s="412"/>
      <c r="AG1538" s="412"/>
      <c r="AH1538" s="412"/>
      <c r="AI1538" s="412"/>
      <c r="AJ1538" s="412">
        <f t="shared" si="71"/>
        <v>300</v>
      </c>
      <c r="AK1538" s="208"/>
      <c r="AL1538" s="250" t="s">
        <v>2067</v>
      </c>
    </row>
    <row r="1539" spans="1:38" x14ac:dyDescent="0.2">
      <c r="A1539" t="s">
        <v>890</v>
      </c>
      <c r="B1539" s="209">
        <v>5123</v>
      </c>
      <c r="C1539" s="210" t="s">
        <v>996</v>
      </c>
      <c r="D1539" s="229" t="s">
        <v>1595</v>
      </c>
      <c r="E1539" s="229" t="s">
        <v>1216</v>
      </c>
      <c r="F1539" s="240">
        <v>300</v>
      </c>
      <c r="G1539" s="205">
        <v>1</v>
      </c>
      <c r="H1539" s="206">
        <v>900</v>
      </c>
      <c r="I1539" s="207">
        <v>41455</v>
      </c>
      <c r="J1539" s="197" t="str">
        <f t="shared" si="72"/>
        <v>ok</v>
      </c>
      <c r="K1539" s="419"/>
      <c r="L1539" s="419"/>
      <c r="M1539" s="419"/>
      <c r="N1539" s="419"/>
      <c r="O1539" s="419"/>
      <c r="P1539" s="419"/>
      <c r="Q1539" s="419"/>
      <c r="R1539" s="419"/>
      <c r="S1539" s="419"/>
      <c r="T1539" s="419"/>
      <c r="U1539" s="419"/>
      <c r="V1539" s="419"/>
      <c r="W1539" s="419">
        <f t="shared" si="70"/>
        <v>0</v>
      </c>
      <c r="X1539" s="412"/>
      <c r="Y1539" s="412"/>
      <c r="Z1539" s="412"/>
      <c r="AA1539" s="412"/>
      <c r="AB1539" s="412"/>
      <c r="AC1539" s="412">
        <v>300</v>
      </c>
      <c r="AD1539" s="412">
        <v>300</v>
      </c>
      <c r="AE1539" s="412">
        <v>300</v>
      </c>
      <c r="AF1539" s="412"/>
      <c r="AG1539" s="412"/>
      <c r="AH1539" s="412"/>
      <c r="AI1539" s="412"/>
      <c r="AJ1539" s="412">
        <f t="shared" si="71"/>
        <v>900</v>
      </c>
      <c r="AK1539" s="208"/>
      <c r="AL1539" s="250" t="s">
        <v>2067</v>
      </c>
    </row>
    <row r="1540" spans="1:38" x14ac:dyDescent="0.2">
      <c r="A1540" t="s">
        <v>893</v>
      </c>
      <c r="B1540" s="209">
        <v>5124</v>
      </c>
      <c r="C1540" s="210" t="s">
        <v>778</v>
      </c>
      <c r="D1540" s="229" t="s">
        <v>1573</v>
      </c>
      <c r="E1540" s="229" t="s">
        <v>715</v>
      </c>
      <c r="F1540" s="240">
        <v>300</v>
      </c>
      <c r="G1540" s="205">
        <v>1</v>
      </c>
      <c r="H1540" s="206">
        <v>300</v>
      </c>
      <c r="I1540" s="207">
        <v>41455</v>
      </c>
      <c r="J1540" s="197" t="str">
        <f t="shared" si="72"/>
        <v>ok</v>
      </c>
      <c r="K1540" s="419"/>
      <c r="L1540" s="419"/>
      <c r="M1540" s="419"/>
      <c r="N1540" s="419"/>
      <c r="O1540" s="419"/>
      <c r="P1540" s="419"/>
      <c r="Q1540" s="419"/>
      <c r="R1540" s="419"/>
      <c r="S1540" s="419"/>
      <c r="T1540" s="419"/>
      <c r="U1540" s="419"/>
      <c r="V1540" s="419"/>
      <c r="W1540" s="419">
        <f t="shared" si="70"/>
        <v>0</v>
      </c>
      <c r="X1540" s="412"/>
      <c r="Y1540" s="412"/>
      <c r="Z1540" s="412"/>
      <c r="AA1540" s="412"/>
      <c r="AB1540" s="412"/>
      <c r="AC1540" s="412"/>
      <c r="AD1540" s="412">
        <v>300</v>
      </c>
      <c r="AE1540" s="412"/>
      <c r="AF1540" s="412"/>
      <c r="AG1540" s="412"/>
      <c r="AH1540" s="412"/>
      <c r="AI1540" s="412"/>
      <c r="AJ1540" s="412">
        <f t="shared" si="71"/>
        <v>300</v>
      </c>
      <c r="AK1540" s="208"/>
      <c r="AL1540" s="250" t="s">
        <v>2067</v>
      </c>
    </row>
    <row r="1541" spans="1:38" x14ac:dyDescent="0.2">
      <c r="A1541" t="s">
        <v>884</v>
      </c>
      <c r="B1541" s="209">
        <v>5125</v>
      </c>
      <c r="C1541" s="210" t="s">
        <v>797</v>
      </c>
      <c r="D1541" s="229" t="s">
        <v>1405</v>
      </c>
      <c r="E1541" s="229" t="s">
        <v>11</v>
      </c>
      <c r="F1541" s="240">
        <v>300</v>
      </c>
      <c r="G1541" s="205">
        <v>1</v>
      </c>
      <c r="H1541" s="206">
        <v>600</v>
      </c>
      <c r="I1541" s="207">
        <v>41455</v>
      </c>
      <c r="J1541" s="197" t="str">
        <f t="shared" si="72"/>
        <v>ok</v>
      </c>
      <c r="K1541" s="419"/>
      <c r="L1541" s="419"/>
      <c r="M1541" s="419"/>
      <c r="N1541" s="419"/>
      <c r="O1541" s="419"/>
      <c r="P1541" s="419"/>
      <c r="Q1541" s="419"/>
      <c r="R1541" s="419"/>
      <c r="S1541" s="419"/>
      <c r="T1541" s="419"/>
      <c r="U1541" s="419"/>
      <c r="V1541" s="419"/>
      <c r="W1541" s="419">
        <f t="shared" si="70"/>
        <v>0</v>
      </c>
      <c r="X1541" s="412"/>
      <c r="Y1541" s="412"/>
      <c r="Z1541" s="412"/>
      <c r="AA1541" s="412"/>
      <c r="AB1541" s="412">
        <v>300</v>
      </c>
      <c r="AC1541" s="412"/>
      <c r="AD1541" s="412">
        <v>300</v>
      </c>
      <c r="AE1541" s="412"/>
      <c r="AF1541" s="412"/>
      <c r="AG1541" s="412"/>
      <c r="AH1541" s="412"/>
      <c r="AI1541" s="412"/>
      <c r="AJ1541" s="412">
        <f t="shared" si="71"/>
        <v>600</v>
      </c>
      <c r="AK1541" s="208"/>
      <c r="AL1541" s="250" t="s">
        <v>2067</v>
      </c>
    </row>
    <row r="1542" spans="1:38" x14ac:dyDescent="0.2">
      <c r="A1542" t="s">
        <v>884</v>
      </c>
      <c r="B1542" s="209">
        <v>5126</v>
      </c>
      <c r="C1542" s="210" t="s">
        <v>803</v>
      </c>
      <c r="D1542" s="229" t="s">
        <v>1403</v>
      </c>
      <c r="E1542" s="229" t="s">
        <v>20</v>
      </c>
      <c r="F1542" s="240">
        <v>300</v>
      </c>
      <c r="G1542" s="205">
        <v>1</v>
      </c>
      <c r="H1542" s="206">
        <v>300</v>
      </c>
      <c r="I1542" s="207">
        <v>41455</v>
      </c>
      <c r="J1542" s="197" t="str">
        <f t="shared" si="72"/>
        <v>ok</v>
      </c>
      <c r="K1542" s="419"/>
      <c r="L1542" s="419"/>
      <c r="M1542" s="419"/>
      <c r="N1542" s="419"/>
      <c r="O1542" s="419"/>
      <c r="P1542" s="419"/>
      <c r="Q1542" s="419"/>
      <c r="R1542" s="419"/>
      <c r="S1542" s="419"/>
      <c r="T1542" s="419"/>
      <c r="U1542" s="419"/>
      <c r="V1542" s="419"/>
      <c r="W1542" s="419">
        <f t="shared" si="70"/>
        <v>0</v>
      </c>
      <c r="X1542" s="412"/>
      <c r="Y1542" s="412"/>
      <c r="Z1542" s="412"/>
      <c r="AA1542" s="412"/>
      <c r="AB1542" s="412"/>
      <c r="AC1542" s="412"/>
      <c r="AD1542" s="412">
        <v>300</v>
      </c>
      <c r="AE1542" s="412"/>
      <c r="AF1542" s="412"/>
      <c r="AG1542" s="412"/>
      <c r="AH1542" s="412"/>
      <c r="AI1542" s="412"/>
      <c r="AJ1542" s="412">
        <f t="shared" si="71"/>
        <v>300</v>
      </c>
      <c r="AK1542" s="208"/>
      <c r="AL1542" s="250" t="s">
        <v>2067</v>
      </c>
    </row>
    <row r="1543" spans="1:38" x14ac:dyDescent="0.2">
      <c r="A1543" t="s">
        <v>888</v>
      </c>
      <c r="B1543" s="209">
        <v>5127</v>
      </c>
      <c r="C1543" s="210" t="s">
        <v>930</v>
      </c>
      <c r="D1543" s="229" t="s">
        <v>1539</v>
      </c>
      <c r="E1543" s="229" t="s">
        <v>1273</v>
      </c>
      <c r="F1543" s="240">
        <v>300</v>
      </c>
      <c r="G1543" s="205">
        <v>1</v>
      </c>
      <c r="H1543" s="206">
        <v>600</v>
      </c>
      <c r="I1543" s="207">
        <v>41455</v>
      </c>
      <c r="J1543" s="197" t="str">
        <f t="shared" si="72"/>
        <v>ok</v>
      </c>
      <c r="K1543" s="419"/>
      <c r="L1543" s="419"/>
      <c r="M1543" s="419"/>
      <c r="N1543" s="419"/>
      <c r="O1543" s="419"/>
      <c r="P1543" s="419"/>
      <c r="Q1543" s="419"/>
      <c r="R1543" s="419"/>
      <c r="S1543" s="419"/>
      <c r="T1543" s="419"/>
      <c r="U1543" s="419"/>
      <c r="V1543" s="419"/>
      <c r="W1543" s="419">
        <f t="shared" ref="W1543:W1606" si="73">SUM(K1543:V1543)</f>
        <v>0</v>
      </c>
      <c r="X1543" s="412"/>
      <c r="Y1543" s="412"/>
      <c r="Z1543" s="412"/>
      <c r="AA1543" s="412"/>
      <c r="AB1543" s="412"/>
      <c r="AC1543" s="412">
        <v>300</v>
      </c>
      <c r="AD1543" s="412">
        <v>300</v>
      </c>
      <c r="AE1543" s="412"/>
      <c r="AF1543" s="412"/>
      <c r="AG1543" s="412"/>
      <c r="AH1543" s="412"/>
      <c r="AI1543" s="412"/>
      <c r="AJ1543" s="412">
        <f t="shared" ref="AJ1543:AJ1606" si="74">SUM(X1543:AI1543)</f>
        <v>600</v>
      </c>
      <c r="AK1543" s="208"/>
      <c r="AL1543" s="250" t="s">
        <v>2067</v>
      </c>
    </row>
    <row r="1544" spans="1:38" x14ac:dyDescent="0.2">
      <c r="A1544" t="s">
        <v>888</v>
      </c>
      <c r="B1544" s="209">
        <v>5128</v>
      </c>
      <c r="C1544" s="210" t="s">
        <v>934</v>
      </c>
      <c r="D1544" s="229" t="s">
        <v>1554</v>
      </c>
      <c r="E1544" s="229" t="s">
        <v>1213</v>
      </c>
      <c r="F1544" s="240">
        <v>300</v>
      </c>
      <c r="G1544" s="205">
        <v>3</v>
      </c>
      <c r="H1544" s="206">
        <v>150</v>
      </c>
      <c r="I1544" s="207">
        <v>41455</v>
      </c>
      <c r="J1544" s="197" t="str">
        <f t="shared" si="72"/>
        <v>ok</v>
      </c>
      <c r="K1544" s="419"/>
      <c r="L1544" s="419"/>
      <c r="M1544" s="419"/>
      <c r="N1544" s="419"/>
      <c r="O1544" s="419"/>
      <c r="P1544" s="419"/>
      <c r="Q1544" s="419"/>
      <c r="R1544" s="419"/>
      <c r="S1544" s="419"/>
      <c r="T1544" s="419"/>
      <c r="U1544" s="419"/>
      <c r="V1544" s="419"/>
      <c r="W1544" s="419">
        <f t="shared" si="73"/>
        <v>0</v>
      </c>
      <c r="X1544" s="412"/>
      <c r="Y1544" s="412"/>
      <c r="Z1544" s="412"/>
      <c r="AA1544" s="412"/>
      <c r="AB1544" s="412"/>
      <c r="AC1544" s="412"/>
      <c r="AD1544" s="412"/>
      <c r="AE1544" s="412"/>
      <c r="AF1544" s="412"/>
      <c r="AG1544" s="412"/>
      <c r="AH1544" s="412"/>
      <c r="AI1544" s="412"/>
      <c r="AJ1544" s="412">
        <f t="shared" si="74"/>
        <v>0</v>
      </c>
      <c r="AK1544" s="208"/>
      <c r="AL1544" s="250" t="s">
        <v>2068</v>
      </c>
    </row>
    <row r="1545" spans="1:38" x14ac:dyDescent="0.2">
      <c r="A1545" t="s">
        <v>888</v>
      </c>
      <c r="B1545" s="209">
        <v>5129</v>
      </c>
      <c r="C1545" s="210" t="s">
        <v>939</v>
      </c>
      <c r="D1545" s="229" t="s">
        <v>1507</v>
      </c>
      <c r="E1545" s="229" t="s">
        <v>395</v>
      </c>
      <c r="F1545" s="240">
        <v>300</v>
      </c>
      <c r="G1545" s="205">
        <v>1</v>
      </c>
      <c r="H1545" s="206">
        <v>600</v>
      </c>
      <c r="I1545" s="207">
        <v>41455</v>
      </c>
      <c r="J1545" s="197" t="str">
        <f t="shared" si="72"/>
        <v>ok</v>
      </c>
      <c r="K1545" s="419"/>
      <c r="L1545" s="419"/>
      <c r="M1545" s="419"/>
      <c r="N1545" s="419"/>
      <c r="O1545" s="419"/>
      <c r="P1545" s="419"/>
      <c r="Q1545" s="419"/>
      <c r="R1545" s="419"/>
      <c r="S1545" s="419"/>
      <c r="T1545" s="419"/>
      <c r="U1545" s="419"/>
      <c r="V1545" s="419"/>
      <c r="W1545" s="419">
        <f t="shared" si="73"/>
        <v>0</v>
      </c>
      <c r="X1545" s="412"/>
      <c r="Y1545" s="412"/>
      <c r="Z1545" s="412"/>
      <c r="AA1545" s="412"/>
      <c r="AB1545" s="412"/>
      <c r="AC1545" s="412">
        <v>300</v>
      </c>
      <c r="AD1545" s="412">
        <v>300</v>
      </c>
      <c r="AE1545" s="412"/>
      <c r="AF1545" s="412"/>
      <c r="AG1545" s="412"/>
      <c r="AH1545" s="412"/>
      <c r="AI1545" s="412"/>
      <c r="AJ1545" s="412">
        <f t="shared" si="74"/>
        <v>600</v>
      </c>
      <c r="AK1545" s="208"/>
      <c r="AL1545" s="250" t="s">
        <v>2067</v>
      </c>
    </row>
    <row r="1546" spans="1:38" x14ac:dyDescent="0.2">
      <c r="A1546" t="s">
        <v>894</v>
      </c>
      <c r="B1546" s="209">
        <v>5130</v>
      </c>
      <c r="C1546" s="210" t="s">
        <v>1164</v>
      </c>
      <c r="D1546" s="229" t="s">
        <v>1406</v>
      </c>
      <c r="E1546" s="229" t="s">
        <v>612</v>
      </c>
      <c r="F1546" s="240">
        <v>300</v>
      </c>
      <c r="G1546" s="205">
        <v>1</v>
      </c>
      <c r="H1546" s="206">
        <v>300</v>
      </c>
      <c r="I1546" s="207">
        <v>41455</v>
      </c>
      <c r="J1546" s="197" t="str">
        <f t="shared" si="72"/>
        <v>ok</v>
      </c>
      <c r="K1546" s="419"/>
      <c r="L1546" s="419"/>
      <c r="M1546" s="419"/>
      <c r="N1546" s="419"/>
      <c r="O1546" s="419"/>
      <c r="P1546" s="419"/>
      <c r="Q1546" s="419"/>
      <c r="R1546" s="419"/>
      <c r="S1546" s="419"/>
      <c r="T1546" s="419"/>
      <c r="U1546" s="419"/>
      <c r="V1546" s="419"/>
      <c r="W1546" s="419">
        <f t="shared" si="73"/>
        <v>0</v>
      </c>
      <c r="X1546" s="412"/>
      <c r="Y1546" s="412"/>
      <c r="Z1546" s="412"/>
      <c r="AA1546" s="412"/>
      <c r="AB1546" s="412"/>
      <c r="AC1546" s="412">
        <v>300</v>
      </c>
      <c r="AD1546" s="412"/>
      <c r="AE1546" s="412"/>
      <c r="AF1546" s="412"/>
      <c r="AG1546" s="412"/>
      <c r="AH1546" s="412"/>
      <c r="AI1546" s="412"/>
      <c r="AJ1546" s="412">
        <f t="shared" si="74"/>
        <v>300</v>
      </c>
      <c r="AK1546" s="208"/>
      <c r="AL1546" s="250" t="s">
        <v>2067</v>
      </c>
    </row>
    <row r="1547" spans="1:38" x14ac:dyDescent="0.2">
      <c r="A1547" t="s">
        <v>888</v>
      </c>
      <c r="B1547" s="209">
        <v>5131</v>
      </c>
      <c r="C1547" s="210" t="s">
        <v>920</v>
      </c>
      <c r="D1547" s="229" t="s">
        <v>1424</v>
      </c>
      <c r="E1547" s="229" t="s">
        <v>361</v>
      </c>
      <c r="F1547" s="240">
        <v>300</v>
      </c>
      <c r="G1547" s="205">
        <v>1</v>
      </c>
      <c r="H1547" s="206">
        <v>300</v>
      </c>
      <c r="I1547" s="207">
        <v>41455</v>
      </c>
      <c r="J1547" s="197" t="str">
        <f t="shared" si="72"/>
        <v>ok</v>
      </c>
      <c r="K1547" s="419"/>
      <c r="L1547" s="419"/>
      <c r="M1547" s="419"/>
      <c r="N1547" s="419"/>
      <c r="O1547" s="419"/>
      <c r="P1547" s="419"/>
      <c r="Q1547" s="419"/>
      <c r="R1547" s="419"/>
      <c r="S1547" s="419"/>
      <c r="T1547" s="419"/>
      <c r="U1547" s="419"/>
      <c r="V1547" s="419"/>
      <c r="W1547" s="419">
        <f t="shared" si="73"/>
        <v>0</v>
      </c>
      <c r="X1547" s="412"/>
      <c r="Y1547" s="412"/>
      <c r="Z1547" s="412"/>
      <c r="AA1547" s="412"/>
      <c r="AB1547" s="412"/>
      <c r="AC1547" s="412">
        <v>300</v>
      </c>
      <c r="AD1547" s="412"/>
      <c r="AE1547" s="412"/>
      <c r="AF1547" s="412"/>
      <c r="AG1547" s="412"/>
      <c r="AH1547" s="412"/>
      <c r="AI1547" s="412"/>
      <c r="AJ1547" s="412">
        <f t="shared" si="74"/>
        <v>300</v>
      </c>
      <c r="AK1547" s="208"/>
      <c r="AL1547" s="250" t="s">
        <v>2067</v>
      </c>
    </row>
    <row r="1548" spans="1:38" x14ac:dyDescent="0.2">
      <c r="A1548" t="s">
        <v>890</v>
      </c>
      <c r="B1548" s="209">
        <v>5132</v>
      </c>
      <c r="C1548" s="210" t="s">
        <v>1028</v>
      </c>
      <c r="D1548" s="229" t="s">
        <v>1617</v>
      </c>
      <c r="E1548" s="229" t="s">
        <v>732</v>
      </c>
      <c r="F1548" s="240">
        <v>300</v>
      </c>
      <c r="G1548" s="205">
        <v>1</v>
      </c>
      <c r="H1548" s="206">
        <v>900</v>
      </c>
      <c r="I1548" s="207">
        <v>41455</v>
      </c>
      <c r="J1548" s="197" t="str">
        <f t="shared" si="72"/>
        <v>ok</v>
      </c>
      <c r="K1548" s="419"/>
      <c r="L1548" s="419"/>
      <c r="M1548" s="419"/>
      <c r="N1548" s="419"/>
      <c r="O1548" s="419"/>
      <c r="P1548" s="419"/>
      <c r="Q1548" s="419"/>
      <c r="R1548" s="419"/>
      <c r="S1548" s="419"/>
      <c r="T1548" s="419"/>
      <c r="U1548" s="419"/>
      <c r="V1548" s="419"/>
      <c r="W1548" s="419">
        <f t="shared" si="73"/>
        <v>0</v>
      </c>
      <c r="X1548" s="412"/>
      <c r="Y1548" s="412"/>
      <c r="Z1548" s="412"/>
      <c r="AA1548" s="412"/>
      <c r="AB1548" s="412">
        <v>300</v>
      </c>
      <c r="AC1548" s="412">
        <v>300</v>
      </c>
      <c r="AD1548" s="412">
        <v>300</v>
      </c>
      <c r="AE1548" s="412"/>
      <c r="AF1548" s="412"/>
      <c r="AG1548" s="412"/>
      <c r="AH1548" s="412"/>
      <c r="AI1548" s="412"/>
      <c r="AJ1548" s="412">
        <f t="shared" si="74"/>
        <v>900</v>
      </c>
      <c r="AK1548" s="208"/>
      <c r="AL1548" s="250" t="s">
        <v>2067</v>
      </c>
    </row>
    <row r="1549" spans="1:38" x14ac:dyDescent="0.2">
      <c r="A1549" t="s">
        <v>894</v>
      </c>
      <c r="B1549" s="209">
        <v>5133</v>
      </c>
      <c r="C1549" s="210" t="s">
        <v>1172</v>
      </c>
      <c r="D1549" s="229" t="s">
        <v>1390</v>
      </c>
      <c r="E1549" s="229" t="s">
        <v>626</v>
      </c>
      <c r="F1549" s="240">
        <v>300</v>
      </c>
      <c r="G1549" s="205">
        <v>1</v>
      </c>
      <c r="H1549" s="206">
        <v>300</v>
      </c>
      <c r="I1549" s="207">
        <v>41455</v>
      </c>
      <c r="J1549" s="197" t="str">
        <f t="shared" si="72"/>
        <v>ok</v>
      </c>
      <c r="K1549" s="419"/>
      <c r="L1549" s="419"/>
      <c r="M1549" s="419"/>
      <c r="N1549" s="419"/>
      <c r="O1549" s="419"/>
      <c r="P1549" s="419"/>
      <c r="Q1549" s="419"/>
      <c r="R1549" s="419"/>
      <c r="S1549" s="419"/>
      <c r="T1549" s="419"/>
      <c r="U1549" s="419"/>
      <c r="V1549" s="419"/>
      <c r="W1549" s="419">
        <f t="shared" si="73"/>
        <v>0</v>
      </c>
      <c r="X1549" s="412"/>
      <c r="Y1549" s="412"/>
      <c r="Z1549" s="412"/>
      <c r="AA1549" s="412"/>
      <c r="AB1549" s="412"/>
      <c r="AC1549" s="412"/>
      <c r="AD1549" s="412">
        <v>300</v>
      </c>
      <c r="AE1549" s="412"/>
      <c r="AF1549" s="412"/>
      <c r="AG1549" s="412"/>
      <c r="AH1549" s="412"/>
      <c r="AI1549" s="412"/>
      <c r="AJ1549" s="412">
        <f t="shared" si="74"/>
        <v>300</v>
      </c>
      <c r="AK1549" s="208"/>
      <c r="AL1549" s="250" t="s">
        <v>2067</v>
      </c>
    </row>
    <row r="1550" spans="1:38" x14ac:dyDescent="0.2">
      <c r="A1550" t="s">
        <v>894</v>
      </c>
      <c r="B1550" s="209">
        <v>5134</v>
      </c>
      <c r="C1550" s="210" t="s">
        <v>1166</v>
      </c>
      <c r="D1550" s="229" t="s">
        <v>1498</v>
      </c>
      <c r="E1550" s="229" t="s">
        <v>615</v>
      </c>
      <c r="F1550" s="240">
        <v>300</v>
      </c>
      <c r="G1550" s="205">
        <v>1</v>
      </c>
      <c r="H1550" s="206">
        <v>300</v>
      </c>
      <c r="I1550" s="207">
        <v>41455</v>
      </c>
      <c r="J1550" s="197" t="str">
        <f t="shared" ref="J1550:J1613" si="75">IF(OR(G1550&lt;&gt;1,SUM(W1550,AJ1550)=H1550),"ok","error")</f>
        <v>ok</v>
      </c>
      <c r="K1550" s="419"/>
      <c r="L1550" s="419"/>
      <c r="M1550" s="419"/>
      <c r="N1550" s="419"/>
      <c r="O1550" s="419"/>
      <c r="P1550" s="419"/>
      <c r="Q1550" s="419"/>
      <c r="R1550" s="419"/>
      <c r="S1550" s="419"/>
      <c r="T1550" s="419"/>
      <c r="U1550" s="419"/>
      <c r="V1550" s="419"/>
      <c r="W1550" s="419">
        <f t="shared" si="73"/>
        <v>0</v>
      </c>
      <c r="X1550" s="412"/>
      <c r="Y1550" s="412"/>
      <c r="Z1550" s="412"/>
      <c r="AA1550" s="412"/>
      <c r="AB1550" s="412"/>
      <c r="AC1550" s="412">
        <v>300</v>
      </c>
      <c r="AD1550" s="412"/>
      <c r="AE1550" s="412"/>
      <c r="AF1550" s="412"/>
      <c r="AG1550" s="412"/>
      <c r="AH1550" s="412"/>
      <c r="AI1550" s="412"/>
      <c r="AJ1550" s="412">
        <f t="shared" si="74"/>
        <v>300</v>
      </c>
      <c r="AK1550" s="208"/>
      <c r="AL1550" s="250" t="s">
        <v>2067</v>
      </c>
    </row>
    <row r="1551" spans="1:38" x14ac:dyDescent="0.2">
      <c r="A1551" t="s">
        <v>893</v>
      </c>
      <c r="B1551" s="209">
        <v>5135</v>
      </c>
      <c r="C1551" s="210" t="s">
        <v>781</v>
      </c>
      <c r="D1551" s="229" t="s">
        <v>1401</v>
      </c>
      <c r="E1551" s="229" t="s">
        <v>331</v>
      </c>
      <c r="F1551" s="240">
        <v>300</v>
      </c>
      <c r="G1551" s="205">
        <v>1</v>
      </c>
      <c r="H1551" s="206">
        <v>300</v>
      </c>
      <c r="I1551" s="207">
        <v>41455</v>
      </c>
      <c r="J1551" s="197" t="str">
        <f t="shared" si="75"/>
        <v>ok</v>
      </c>
      <c r="K1551" s="419"/>
      <c r="L1551" s="419"/>
      <c r="M1551" s="419"/>
      <c r="N1551" s="419"/>
      <c r="O1551" s="419"/>
      <c r="P1551" s="419"/>
      <c r="Q1551" s="419"/>
      <c r="R1551" s="419"/>
      <c r="S1551" s="419"/>
      <c r="T1551" s="419"/>
      <c r="U1551" s="419"/>
      <c r="V1551" s="419"/>
      <c r="W1551" s="419">
        <f t="shared" si="73"/>
        <v>0</v>
      </c>
      <c r="X1551" s="412"/>
      <c r="Y1551" s="412"/>
      <c r="Z1551" s="412"/>
      <c r="AA1551" s="412"/>
      <c r="AB1551" s="412"/>
      <c r="AC1551" s="412"/>
      <c r="AD1551" s="412">
        <v>300</v>
      </c>
      <c r="AE1551" s="412"/>
      <c r="AF1551" s="412"/>
      <c r="AG1551" s="412"/>
      <c r="AH1551" s="412"/>
      <c r="AI1551" s="412"/>
      <c r="AJ1551" s="412">
        <f t="shared" si="74"/>
        <v>300</v>
      </c>
      <c r="AK1551" s="208"/>
      <c r="AL1551" s="250" t="s">
        <v>2067</v>
      </c>
    </row>
    <row r="1552" spans="1:38" x14ac:dyDescent="0.2">
      <c r="A1552" t="s">
        <v>884</v>
      </c>
      <c r="B1552" s="209">
        <v>5136</v>
      </c>
      <c r="C1552" s="210" t="s">
        <v>831</v>
      </c>
      <c r="D1552" s="229" t="s">
        <v>1534</v>
      </c>
      <c r="E1552" s="229" t="s">
        <v>64</v>
      </c>
      <c r="F1552" s="240">
        <v>300</v>
      </c>
      <c r="G1552" s="205">
        <v>1</v>
      </c>
      <c r="H1552" s="206">
        <v>300</v>
      </c>
      <c r="I1552" s="207">
        <v>41455</v>
      </c>
      <c r="J1552" s="197" t="str">
        <f t="shared" si="75"/>
        <v>ok</v>
      </c>
      <c r="K1552" s="419"/>
      <c r="L1552" s="419"/>
      <c r="M1552" s="419"/>
      <c r="N1552" s="419"/>
      <c r="O1552" s="419"/>
      <c r="P1552" s="419"/>
      <c r="Q1552" s="419"/>
      <c r="R1552" s="419"/>
      <c r="S1552" s="419"/>
      <c r="T1552" s="419"/>
      <c r="U1552" s="419"/>
      <c r="V1552" s="419"/>
      <c r="W1552" s="419">
        <f t="shared" si="73"/>
        <v>0</v>
      </c>
      <c r="X1552" s="412"/>
      <c r="Y1552" s="412"/>
      <c r="Z1552" s="412"/>
      <c r="AA1552" s="412"/>
      <c r="AB1552" s="412"/>
      <c r="AC1552" s="412">
        <v>300</v>
      </c>
      <c r="AD1552" s="412"/>
      <c r="AE1552" s="412"/>
      <c r="AF1552" s="412"/>
      <c r="AG1552" s="412"/>
      <c r="AH1552" s="412"/>
      <c r="AI1552" s="412"/>
      <c r="AJ1552" s="412">
        <f t="shared" si="74"/>
        <v>300</v>
      </c>
      <c r="AK1552" s="208"/>
      <c r="AL1552" s="250" t="s">
        <v>2067</v>
      </c>
    </row>
    <row r="1553" spans="1:38" x14ac:dyDescent="0.2">
      <c r="A1553" t="s">
        <v>884</v>
      </c>
      <c r="B1553" s="209">
        <v>5137</v>
      </c>
      <c r="C1553" s="210" t="s">
        <v>801</v>
      </c>
      <c r="D1553" s="229" t="s">
        <v>1529</v>
      </c>
      <c r="E1553" s="229" t="s">
        <v>704</v>
      </c>
      <c r="F1553" s="240">
        <v>300</v>
      </c>
      <c r="G1553" s="205">
        <v>1</v>
      </c>
      <c r="H1553" s="206">
        <v>600</v>
      </c>
      <c r="I1553" s="207">
        <v>41455</v>
      </c>
      <c r="J1553" s="197" t="str">
        <f t="shared" si="75"/>
        <v>ok</v>
      </c>
      <c r="K1553" s="419"/>
      <c r="L1553" s="419"/>
      <c r="M1553" s="419"/>
      <c r="N1553" s="419"/>
      <c r="O1553" s="419"/>
      <c r="P1553" s="419"/>
      <c r="Q1553" s="419"/>
      <c r="R1553" s="419"/>
      <c r="S1553" s="419"/>
      <c r="T1553" s="419"/>
      <c r="U1553" s="419"/>
      <c r="V1553" s="419"/>
      <c r="W1553" s="419">
        <f t="shared" si="73"/>
        <v>0</v>
      </c>
      <c r="X1553" s="412"/>
      <c r="Y1553" s="412"/>
      <c r="Z1553" s="412"/>
      <c r="AA1553" s="412"/>
      <c r="AB1553" s="412"/>
      <c r="AC1553" s="412">
        <v>300</v>
      </c>
      <c r="AD1553" s="412">
        <v>300</v>
      </c>
      <c r="AE1553" s="412"/>
      <c r="AF1553" s="412"/>
      <c r="AG1553" s="412"/>
      <c r="AH1553" s="412"/>
      <c r="AI1553" s="412"/>
      <c r="AJ1553" s="412">
        <f t="shared" si="74"/>
        <v>600</v>
      </c>
      <c r="AK1553" s="208"/>
      <c r="AL1553" s="250" t="s">
        <v>2067</v>
      </c>
    </row>
    <row r="1554" spans="1:38" x14ac:dyDescent="0.2">
      <c r="A1554" t="s">
        <v>884</v>
      </c>
      <c r="B1554" s="209">
        <v>5138</v>
      </c>
      <c r="C1554" s="210" t="s">
        <v>871</v>
      </c>
      <c r="D1554" s="229" t="s">
        <v>1479</v>
      </c>
      <c r="E1554" s="229" t="s">
        <v>1252</v>
      </c>
      <c r="F1554" s="240">
        <v>200</v>
      </c>
      <c r="G1554" s="205">
        <v>1</v>
      </c>
      <c r="H1554" s="206">
        <v>400</v>
      </c>
      <c r="I1554" s="207">
        <v>41455</v>
      </c>
      <c r="J1554" s="197" t="str">
        <f t="shared" si="75"/>
        <v>ok</v>
      </c>
      <c r="K1554" s="419"/>
      <c r="L1554" s="419"/>
      <c r="M1554" s="419"/>
      <c r="N1554" s="419"/>
      <c r="O1554" s="419"/>
      <c r="P1554" s="419"/>
      <c r="Q1554" s="419"/>
      <c r="R1554" s="419"/>
      <c r="S1554" s="419"/>
      <c r="T1554" s="419"/>
      <c r="U1554" s="419"/>
      <c r="V1554" s="419"/>
      <c r="W1554" s="419">
        <f t="shared" si="73"/>
        <v>0</v>
      </c>
      <c r="X1554" s="412"/>
      <c r="Y1554" s="412"/>
      <c r="Z1554" s="412"/>
      <c r="AA1554" s="412"/>
      <c r="AB1554" s="412"/>
      <c r="AC1554" s="412">
        <v>200</v>
      </c>
      <c r="AD1554" s="412">
        <v>200</v>
      </c>
      <c r="AE1554" s="412"/>
      <c r="AF1554" s="412"/>
      <c r="AG1554" s="412"/>
      <c r="AH1554" s="412"/>
      <c r="AI1554" s="412"/>
      <c r="AJ1554" s="412">
        <f t="shared" si="74"/>
        <v>400</v>
      </c>
      <c r="AK1554" s="208"/>
      <c r="AL1554" s="250" t="s">
        <v>2067</v>
      </c>
    </row>
    <row r="1555" spans="1:38" x14ac:dyDescent="0.2">
      <c r="A1555" t="s">
        <v>884</v>
      </c>
      <c r="B1555" s="209">
        <v>5139</v>
      </c>
      <c r="C1555" s="210" t="s">
        <v>831</v>
      </c>
      <c r="D1555" s="229" t="s">
        <v>1534</v>
      </c>
      <c r="E1555" s="229" t="s">
        <v>64</v>
      </c>
      <c r="F1555" s="240">
        <v>300</v>
      </c>
      <c r="G1555" s="205">
        <v>5</v>
      </c>
      <c r="H1555" s="206">
        <v>20</v>
      </c>
      <c r="I1555" s="207">
        <v>41455</v>
      </c>
      <c r="J1555" s="197" t="str">
        <f t="shared" si="75"/>
        <v>ok</v>
      </c>
      <c r="K1555" s="419"/>
      <c r="L1555" s="419"/>
      <c r="M1555" s="419"/>
      <c r="N1555" s="419"/>
      <c r="O1555" s="419"/>
      <c r="P1555" s="419"/>
      <c r="Q1555" s="419"/>
      <c r="R1555" s="419"/>
      <c r="S1555" s="419"/>
      <c r="T1555" s="419"/>
      <c r="U1555" s="419"/>
      <c r="V1555" s="419"/>
      <c r="W1555" s="419">
        <f t="shared" si="73"/>
        <v>0</v>
      </c>
      <c r="X1555" s="412"/>
      <c r="Y1555" s="412"/>
      <c r="Z1555" s="412"/>
      <c r="AA1555" s="412"/>
      <c r="AB1555" s="412"/>
      <c r="AC1555" s="412"/>
      <c r="AD1555" s="412"/>
      <c r="AE1555" s="412"/>
      <c r="AF1555" s="412"/>
      <c r="AG1555" s="412"/>
      <c r="AH1555" s="412"/>
      <c r="AI1555" s="412"/>
      <c r="AJ1555" s="412">
        <f t="shared" si="74"/>
        <v>0</v>
      </c>
      <c r="AK1555" s="208"/>
      <c r="AL1555" s="250" t="s">
        <v>2068</v>
      </c>
    </row>
    <row r="1556" spans="1:38" x14ac:dyDescent="0.2">
      <c r="A1556" t="s">
        <v>884</v>
      </c>
      <c r="B1556" s="209">
        <v>5140</v>
      </c>
      <c r="C1556" s="210" t="s">
        <v>856</v>
      </c>
      <c r="D1556" s="229" t="s">
        <v>1515</v>
      </c>
      <c r="E1556" s="229" t="s">
        <v>99</v>
      </c>
      <c r="F1556" s="240">
        <v>300</v>
      </c>
      <c r="G1556" s="205">
        <v>1</v>
      </c>
      <c r="H1556" s="206">
        <v>300</v>
      </c>
      <c r="I1556" s="207">
        <v>41455</v>
      </c>
      <c r="J1556" s="197" t="str">
        <f t="shared" si="75"/>
        <v>ok</v>
      </c>
      <c r="K1556" s="419"/>
      <c r="L1556" s="419"/>
      <c r="M1556" s="419"/>
      <c r="N1556" s="419"/>
      <c r="O1556" s="419"/>
      <c r="P1556" s="419"/>
      <c r="Q1556" s="419"/>
      <c r="R1556" s="419"/>
      <c r="S1556" s="419"/>
      <c r="T1556" s="419"/>
      <c r="U1556" s="419"/>
      <c r="V1556" s="419"/>
      <c r="W1556" s="419">
        <f t="shared" si="73"/>
        <v>0</v>
      </c>
      <c r="X1556" s="412"/>
      <c r="Y1556" s="412"/>
      <c r="Z1556" s="412"/>
      <c r="AA1556" s="412"/>
      <c r="AB1556" s="412"/>
      <c r="AC1556" s="412">
        <v>300</v>
      </c>
      <c r="AD1556" s="412"/>
      <c r="AE1556" s="412"/>
      <c r="AF1556" s="412"/>
      <c r="AG1556" s="412"/>
      <c r="AH1556" s="412"/>
      <c r="AI1556" s="412"/>
      <c r="AJ1556" s="412">
        <f t="shared" si="74"/>
        <v>300</v>
      </c>
      <c r="AK1556" s="208"/>
      <c r="AL1556" s="250" t="s">
        <v>2067</v>
      </c>
    </row>
    <row r="1557" spans="1:38" x14ac:dyDescent="0.2">
      <c r="A1557" t="s">
        <v>884</v>
      </c>
      <c r="B1557" s="209">
        <v>5141</v>
      </c>
      <c r="C1557" s="210" t="s">
        <v>851</v>
      </c>
      <c r="D1557" s="229" t="s">
        <v>1465</v>
      </c>
      <c r="E1557" s="229" t="s">
        <v>91</v>
      </c>
      <c r="F1557" s="240">
        <v>300</v>
      </c>
      <c r="G1557" s="205">
        <v>1</v>
      </c>
      <c r="H1557" s="206">
        <v>300</v>
      </c>
      <c r="I1557" s="207">
        <v>41455</v>
      </c>
      <c r="J1557" s="197" t="str">
        <f t="shared" si="75"/>
        <v>ok</v>
      </c>
      <c r="K1557" s="419"/>
      <c r="L1557" s="419"/>
      <c r="M1557" s="419"/>
      <c r="N1557" s="419"/>
      <c r="O1557" s="419"/>
      <c r="P1557" s="419"/>
      <c r="Q1557" s="419"/>
      <c r="R1557" s="419"/>
      <c r="S1557" s="419"/>
      <c r="T1557" s="419"/>
      <c r="U1557" s="419"/>
      <c r="V1557" s="419"/>
      <c r="W1557" s="419">
        <f t="shared" si="73"/>
        <v>0</v>
      </c>
      <c r="X1557" s="412"/>
      <c r="Y1557" s="412"/>
      <c r="Z1557" s="412"/>
      <c r="AA1557" s="412"/>
      <c r="AB1557" s="412"/>
      <c r="AC1557" s="412"/>
      <c r="AD1557" s="412">
        <v>300</v>
      </c>
      <c r="AE1557" s="412"/>
      <c r="AF1557" s="412"/>
      <c r="AG1557" s="412"/>
      <c r="AH1557" s="412"/>
      <c r="AI1557" s="412"/>
      <c r="AJ1557" s="412">
        <f t="shared" si="74"/>
        <v>300</v>
      </c>
      <c r="AK1557" s="208"/>
      <c r="AL1557" s="250" t="s">
        <v>2067</v>
      </c>
    </row>
    <row r="1558" spans="1:38" x14ac:dyDescent="0.2">
      <c r="A1558" t="s">
        <v>890</v>
      </c>
      <c r="B1558" s="209">
        <v>5142</v>
      </c>
      <c r="C1558" s="210" t="s">
        <v>1027</v>
      </c>
      <c r="D1558" s="229" t="s">
        <v>1565</v>
      </c>
      <c r="E1558" s="229" t="s">
        <v>527</v>
      </c>
      <c r="F1558" s="240">
        <v>300</v>
      </c>
      <c r="G1558" s="205">
        <v>1</v>
      </c>
      <c r="H1558" s="206">
        <v>600</v>
      </c>
      <c r="I1558" s="207">
        <v>41455</v>
      </c>
      <c r="J1558" s="197" t="str">
        <f t="shared" si="75"/>
        <v>ok</v>
      </c>
      <c r="K1558" s="419"/>
      <c r="L1558" s="419"/>
      <c r="M1558" s="419"/>
      <c r="N1558" s="419"/>
      <c r="O1558" s="419"/>
      <c r="P1558" s="419"/>
      <c r="Q1558" s="419"/>
      <c r="R1558" s="419"/>
      <c r="S1558" s="419"/>
      <c r="T1558" s="419"/>
      <c r="U1558" s="419"/>
      <c r="V1558" s="419"/>
      <c r="W1558" s="419">
        <f t="shared" si="73"/>
        <v>0</v>
      </c>
      <c r="X1558" s="412"/>
      <c r="Y1558" s="412"/>
      <c r="Z1558" s="412"/>
      <c r="AA1558" s="412"/>
      <c r="AB1558" s="412">
        <v>300</v>
      </c>
      <c r="AC1558" s="412">
        <v>300</v>
      </c>
      <c r="AD1558" s="412"/>
      <c r="AE1558" s="412"/>
      <c r="AF1558" s="412"/>
      <c r="AG1558" s="412"/>
      <c r="AH1558" s="412"/>
      <c r="AI1558" s="412"/>
      <c r="AJ1558" s="412">
        <f t="shared" si="74"/>
        <v>600</v>
      </c>
      <c r="AK1558" s="208"/>
      <c r="AL1558" s="250" t="s">
        <v>2067</v>
      </c>
    </row>
    <row r="1559" spans="1:38" x14ac:dyDescent="0.2">
      <c r="A1559" t="s">
        <v>893</v>
      </c>
      <c r="B1559" s="209">
        <v>5143</v>
      </c>
      <c r="C1559" s="210" t="s">
        <v>1125</v>
      </c>
      <c r="D1559" s="229" t="s">
        <v>1543</v>
      </c>
      <c r="E1559" s="229" t="s">
        <v>286</v>
      </c>
      <c r="F1559" s="240">
        <v>300</v>
      </c>
      <c r="G1559" s="205">
        <v>1</v>
      </c>
      <c r="H1559" s="206">
        <v>600</v>
      </c>
      <c r="I1559" s="207">
        <v>41455</v>
      </c>
      <c r="J1559" s="197" t="str">
        <f t="shared" si="75"/>
        <v>ok</v>
      </c>
      <c r="K1559" s="419"/>
      <c r="L1559" s="419"/>
      <c r="M1559" s="419"/>
      <c r="N1559" s="419"/>
      <c r="O1559" s="419"/>
      <c r="P1559" s="419"/>
      <c r="Q1559" s="419"/>
      <c r="R1559" s="419"/>
      <c r="S1559" s="419"/>
      <c r="T1559" s="419"/>
      <c r="U1559" s="419"/>
      <c r="V1559" s="419"/>
      <c r="W1559" s="419">
        <f t="shared" si="73"/>
        <v>0</v>
      </c>
      <c r="X1559" s="412"/>
      <c r="Y1559" s="412"/>
      <c r="Z1559" s="412"/>
      <c r="AA1559" s="412"/>
      <c r="AB1559" s="412"/>
      <c r="AC1559" s="412">
        <v>300</v>
      </c>
      <c r="AD1559" s="412">
        <v>300</v>
      </c>
      <c r="AE1559" s="412"/>
      <c r="AF1559" s="412"/>
      <c r="AG1559" s="412"/>
      <c r="AH1559" s="412"/>
      <c r="AI1559" s="412"/>
      <c r="AJ1559" s="412">
        <f t="shared" si="74"/>
        <v>600</v>
      </c>
      <c r="AK1559" s="208"/>
      <c r="AL1559" s="250" t="s">
        <v>2067</v>
      </c>
    </row>
    <row r="1560" spans="1:38" x14ac:dyDescent="0.2">
      <c r="A1560" t="s">
        <v>884</v>
      </c>
      <c r="B1560" s="209">
        <v>5144</v>
      </c>
      <c r="C1560" s="210" t="s">
        <v>764</v>
      </c>
      <c r="D1560" s="229" t="s">
        <v>1386</v>
      </c>
      <c r="E1560" s="229" t="s">
        <v>133</v>
      </c>
      <c r="F1560" s="240">
        <v>200</v>
      </c>
      <c r="G1560" s="205">
        <v>1</v>
      </c>
      <c r="H1560" s="206">
        <v>200</v>
      </c>
      <c r="I1560" s="207">
        <v>41455</v>
      </c>
      <c r="J1560" s="197" t="str">
        <f t="shared" si="75"/>
        <v>ok</v>
      </c>
      <c r="K1560" s="419"/>
      <c r="L1560" s="419"/>
      <c r="M1560" s="419"/>
      <c r="N1560" s="419"/>
      <c r="O1560" s="419"/>
      <c r="P1560" s="419"/>
      <c r="Q1560" s="419"/>
      <c r="R1560" s="419"/>
      <c r="S1560" s="419"/>
      <c r="T1560" s="419"/>
      <c r="U1560" s="419"/>
      <c r="V1560" s="419"/>
      <c r="W1560" s="419">
        <f t="shared" si="73"/>
        <v>0</v>
      </c>
      <c r="X1560" s="412"/>
      <c r="Y1560" s="412"/>
      <c r="Z1560" s="412"/>
      <c r="AA1560" s="412"/>
      <c r="AB1560" s="412"/>
      <c r="AC1560" s="412"/>
      <c r="AD1560" s="412">
        <v>200</v>
      </c>
      <c r="AE1560" s="412"/>
      <c r="AF1560" s="412"/>
      <c r="AG1560" s="412"/>
      <c r="AH1560" s="412"/>
      <c r="AI1560" s="412"/>
      <c r="AJ1560" s="412">
        <f t="shared" si="74"/>
        <v>200</v>
      </c>
      <c r="AK1560" s="208"/>
      <c r="AL1560" s="250" t="s">
        <v>2067</v>
      </c>
    </row>
    <row r="1561" spans="1:38" x14ac:dyDescent="0.2">
      <c r="A1561" t="s">
        <v>884</v>
      </c>
      <c r="B1561" s="209">
        <v>5145</v>
      </c>
      <c r="C1561" s="210" t="s">
        <v>792</v>
      </c>
      <c r="D1561" s="229" t="s">
        <v>1517</v>
      </c>
      <c r="E1561" s="229" t="s">
        <v>3</v>
      </c>
      <c r="F1561" s="240">
        <v>100</v>
      </c>
      <c r="G1561" s="205">
        <v>1</v>
      </c>
      <c r="H1561" s="206">
        <v>100</v>
      </c>
      <c r="I1561" s="207">
        <v>41455</v>
      </c>
      <c r="J1561" s="197" t="str">
        <f t="shared" si="75"/>
        <v>ok</v>
      </c>
      <c r="K1561" s="419"/>
      <c r="L1561" s="419"/>
      <c r="M1561" s="419"/>
      <c r="N1561" s="419"/>
      <c r="O1561" s="419"/>
      <c r="P1561" s="419"/>
      <c r="Q1561" s="419"/>
      <c r="R1561" s="419"/>
      <c r="S1561" s="419"/>
      <c r="T1561" s="419"/>
      <c r="U1561" s="419"/>
      <c r="V1561" s="419"/>
      <c r="W1561" s="419">
        <f t="shared" si="73"/>
        <v>0</v>
      </c>
      <c r="X1561" s="412"/>
      <c r="Y1561" s="412"/>
      <c r="Z1561" s="412"/>
      <c r="AA1561" s="412"/>
      <c r="AB1561" s="412"/>
      <c r="AC1561" s="412"/>
      <c r="AD1561" s="412">
        <v>100</v>
      </c>
      <c r="AE1561" s="412"/>
      <c r="AF1561" s="412"/>
      <c r="AG1561" s="412"/>
      <c r="AH1561" s="412"/>
      <c r="AI1561" s="412"/>
      <c r="AJ1561" s="412">
        <f t="shared" si="74"/>
        <v>100</v>
      </c>
      <c r="AK1561" s="208"/>
      <c r="AL1561" s="250" t="s">
        <v>2067</v>
      </c>
    </row>
    <row r="1562" spans="1:38" x14ac:dyDescent="0.2">
      <c r="A1562" t="s">
        <v>884</v>
      </c>
      <c r="B1562" s="209">
        <v>5146</v>
      </c>
      <c r="C1562" s="210" t="s">
        <v>794</v>
      </c>
      <c r="D1562" s="229" t="s">
        <v>1518</v>
      </c>
      <c r="E1562" s="229" t="s">
        <v>6</v>
      </c>
      <c r="F1562" s="240">
        <v>100</v>
      </c>
      <c r="G1562" s="205">
        <v>1</v>
      </c>
      <c r="H1562" s="206">
        <v>100</v>
      </c>
      <c r="I1562" s="207">
        <v>41455</v>
      </c>
      <c r="J1562" s="197" t="str">
        <f t="shared" si="75"/>
        <v>ok</v>
      </c>
      <c r="K1562" s="419"/>
      <c r="L1562" s="419"/>
      <c r="M1562" s="419"/>
      <c r="N1562" s="419"/>
      <c r="O1562" s="419"/>
      <c r="P1562" s="419"/>
      <c r="Q1562" s="419"/>
      <c r="R1562" s="419"/>
      <c r="S1562" s="419"/>
      <c r="T1562" s="419"/>
      <c r="U1562" s="419"/>
      <c r="V1562" s="419"/>
      <c r="W1562" s="419">
        <f t="shared" si="73"/>
        <v>0</v>
      </c>
      <c r="X1562" s="412"/>
      <c r="Y1562" s="412"/>
      <c r="Z1562" s="412"/>
      <c r="AA1562" s="412"/>
      <c r="AB1562" s="412"/>
      <c r="AC1562" s="412">
        <v>100</v>
      </c>
      <c r="AD1562" s="412"/>
      <c r="AE1562" s="412"/>
      <c r="AF1562" s="412"/>
      <c r="AG1562" s="412"/>
      <c r="AH1562" s="412"/>
      <c r="AI1562" s="412"/>
      <c r="AJ1562" s="412">
        <f t="shared" si="74"/>
        <v>100</v>
      </c>
      <c r="AK1562" s="208"/>
      <c r="AL1562" s="250" t="s">
        <v>2067</v>
      </c>
    </row>
    <row r="1563" spans="1:38" x14ac:dyDescent="0.2">
      <c r="A1563" t="s">
        <v>884</v>
      </c>
      <c r="B1563" s="209">
        <v>5147</v>
      </c>
      <c r="C1563" s="210" t="s">
        <v>797</v>
      </c>
      <c r="D1563" s="229" t="s">
        <v>1405</v>
      </c>
      <c r="E1563" s="229" t="s">
        <v>11</v>
      </c>
      <c r="F1563" s="240">
        <v>300</v>
      </c>
      <c r="G1563" s="205">
        <v>1</v>
      </c>
      <c r="H1563" s="206">
        <v>300</v>
      </c>
      <c r="I1563" s="207">
        <v>41455</v>
      </c>
      <c r="J1563" s="197" t="str">
        <f t="shared" si="75"/>
        <v>ok</v>
      </c>
      <c r="K1563" s="419"/>
      <c r="L1563" s="419"/>
      <c r="M1563" s="419"/>
      <c r="N1563" s="419"/>
      <c r="O1563" s="419"/>
      <c r="P1563" s="419"/>
      <c r="Q1563" s="419"/>
      <c r="R1563" s="419"/>
      <c r="S1563" s="419"/>
      <c r="T1563" s="419"/>
      <c r="U1563" s="419"/>
      <c r="V1563" s="419"/>
      <c r="W1563" s="419">
        <f t="shared" si="73"/>
        <v>0</v>
      </c>
      <c r="X1563" s="412"/>
      <c r="Y1563" s="412"/>
      <c r="Z1563" s="412"/>
      <c r="AA1563" s="412"/>
      <c r="AB1563" s="412"/>
      <c r="AC1563" s="412">
        <v>300</v>
      </c>
      <c r="AD1563" s="412"/>
      <c r="AE1563" s="412"/>
      <c r="AF1563" s="412"/>
      <c r="AG1563" s="412"/>
      <c r="AH1563" s="412"/>
      <c r="AI1563" s="412"/>
      <c r="AJ1563" s="412">
        <f t="shared" si="74"/>
        <v>300</v>
      </c>
      <c r="AK1563" s="208"/>
      <c r="AL1563" s="250" t="s">
        <v>2067</v>
      </c>
    </row>
    <row r="1564" spans="1:38" x14ac:dyDescent="0.2">
      <c r="A1564" t="s">
        <v>890</v>
      </c>
      <c r="B1564" s="209">
        <v>5148</v>
      </c>
      <c r="C1564" s="210" t="s">
        <v>1035</v>
      </c>
      <c r="D1564" s="229" t="s">
        <v>1521</v>
      </c>
      <c r="E1564" s="229" t="s">
        <v>540</v>
      </c>
      <c r="F1564" s="240">
        <v>300</v>
      </c>
      <c r="G1564" s="205">
        <v>1</v>
      </c>
      <c r="H1564" s="206">
        <v>300</v>
      </c>
      <c r="I1564" s="207">
        <v>41455</v>
      </c>
      <c r="J1564" s="197" t="str">
        <f t="shared" si="75"/>
        <v>ok</v>
      </c>
      <c r="K1564" s="419"/>
      <c r="L1564" s="419"/>
      <c r="M1564" s="419"/>
      <c r="N1564" s="419"/>
      <c r="O1564" s="419"/>
      <c r="P1564" s="419"/>
      <c r="Q1564" s="419"/>
      <c r="R1564" s="419"/>
      <c r="S1564" s="419"/>
      <c r="T1564" s="419"/>
      <c r="U1564" s="419"/>
      <c r="V1564" s="419"/>
      <c r="W1564" s="419">
        <f t="shared" si="73"/>
        <v>0</v>
      </c>
      <c r="X1564" s="412"/>
      <c r="Y1564" s="412"/>
      <c r="Z1564" s="412"/>
      <c r="AA1564" s="412"/>
      <c r="AB1564" s="412"/>
      <c r="AC1564" s="412">
        <v>300</v>
      </c>
      <c r="AD1564" s="412"/>
      <c r="AE1564" s="412"/>
      <c r="AF1564" s="412"/>
      <c r="AG1564" s="412"/>
      <c r="AH1564" s="412"/>
      <c r="AI1564" s="412"/>
      <c r="AJ1564" s="412">
        <f t="shared" si="74"/>
        <v>300</v>
      </c>
      <c r="AK1564" s="208"/>
      <c r="AL1564" s="250" t="s">
        <v>2067</v>
      </c>
    </row>
    <row r="1565" spans="1:38" x14ac:dyDescent="0.2">
      <c r="A1565" t="s">
        <v>890</v>
      </c>
      <c r="B1565" s="209">
        <v>5149</v>
      </c>
      <c r="C1565" s="210" t="s">
        <v>1035</v>
      </c>
      <c r="D1565" s="229" t="s">
        <v>1521</v>
      </c>
      <c r="E1565" s="229" t="s">
        <v>540</v>
      </c>
      <c r="F1565" s="240">
        <v>300</v>
      </c>
      <c r="G1565" s="205">
        <v>4</v>
      </c>
      <c r="H1565" s="206">
        <v>160</v>
      </c>
      <c r="I1565" s="207">
        <v>41455</v>
      </c>
      <c r="J1565" s="197" t="str">
        <f t="shared" si="75"/>
        <v>ok</v>
      </c>
      <c r="K1565" s="419"/>
      <c r="L1565" s="419"/>
      <c r="M1565" s="419"/>
      <c r="N1565" s="419"/>
      <c r="O1565" s="419"/>
      <c r="P1565" s="419"/>
      <c r="Q1565" s="419"/>
      <c r="R1565" s="419"/>
      <c r="S1565" s="419"/>
      <c r="T1565" s="419"/>
      <c r="U1565" s="419"/>
      <c r="V1565" s="419"/>
      <c r="W1565" s="419">
        <f t="shared" si="73"/>
        <v>0</v>
      </c>
      <c r="X1565" s="412"/>
      <c r="Y1565" s="412"/>
      <c r="Z1565" s="412"/>
      <c r="AA1565" s="412"/>
      <c r="AB1565" s="412"/>
      <c r="AC1565" s="412"/>
      <c r="AD1565" s="412"/>
      <c r="AE1565" s="412"/>
      <c r="AF1565" s="412"/>
      <c r="AG1565" s="412"/>
      <c r="AH1565" s="412"/>
      <c r="AI1565" s="412"/>
      <c r="AJ1565" s="412">
        <f t="shared" si="74"/>
        <v>0</v>
      </c>
      <c r="AK1565" s="208"/>
      <c r="AL1565" s="250" t="s">
        <v>2068</v>
      </c>
    </row>
    <row r="1566" spans="1:38" x14ac:dyDescent="0.2">
      <c r="A1566" t="s">
        <v>888</v>
      </c>
      <c r="B1566" s="209">
        <v>5150</v>
      </c>
      <c r="C1566" s="210" t="s">
        <v>942</v>
      </c>
      <c r="D1566" s="229" t="s">
        <v>1473</v>
      </c>
      <c r="E1566" s="229" t="s">
        <v>401</v>
      </c>
      <c r="F1566" s="240">
        <v>300</v>
      </c>
      <c r="G1566" s="205">
        <v>1</v>
      </c>
      <c r="H1566" s="206">
        <v>1200</v>
      </c>
      <c r="I1566" s="207">
        <v>41455</v>
      </c>
      <c r="J1566" s="197" t="str">
        <f t="shared" si="75"/>
        <v>ok</v>
      </c>
      <c r="K1566" s="419"/>
      <c r="L1566" s="419"/>
      <c r="M1566" s="419"/>
      <c r="N1566" s="419"/>
      <c r="O1566" s="419"/>
      <c r="P1566" s="419"/>
      <c r="Q1566" s="419"/>
      <c r="R1566" s="419"/>
      <c r="S1566" s="419"/>
      <c r="T1566" s="419"/>
      <c r="U1566" s="419"/>
      <c r="V1566" s="419"/>
      <c r="W1566" s="419">
        <f t="shared" si="73"/>
        <v>0</v>
      </c>
      <c r="X1566" s="412"/>
      <c r="Y1566" s="412"/>
      <c r="Z1566" s="412"/>
      <c r="AA1566" s="412"/>
      <c r="AB1566" s="412"/>
      <c r="AC1566" s="412">
        <v>300</v>
      </c>
      <c r="AD1566" s="412">
        <v>300</v>
      </c>
      <c r="AE1566" s="412">
        <v>300</v>
      </c>
      <c r="AF1566" s="412">
        <v>300</v>
      </c>
      <c r="AG1566" s="412"/>
      <c r="AH1566" s="412"/>
      <c r="AI1566" s="412"/>
      <c r="AJ1566" s="412">
        <f t="shared" si="74"/>
        <v>1200</v>
      </c>
      <c r="AK1566" s="208"/>
      <c r="AL1566" s="250" t="s">
        <v>2067</v>
      </c>
    </row>
    <row r="1567" spans="1:38" x14ac:dyDescent="0.2">
      <c r="A1567" t="s">
        <v>884</v>
      </c>
      <c r="B1567" s="209">
        <v>5151</v>
      </c>
      <c r="C1567" s="210" t="s">
        <v>876</v>
      </c>
      <c r="D1567" s="229" t="s">
        <v>1499</v>
      </c>
      <c r="E1567" s="229" t="s">
        <v>129</v>
      </c>
      <c r="F1567" s="240">
        <v>300</v>
      </c>
      <c r="G1567" s="205">
        <v>1</v>
      </c>
      <c r="H1567" s="206">
        <v>1500</v>
      </c>
      <c r="I1567" s="207">
        <v>41455</v>
      </c>
      <c r="J1567" s="197" t="str">
        <f t="shared" si="75"/>
        <v>ok</v>
      </c>
      <c r="K1567" s="419"/>
      <c r="L1567" s="419"/>
      <c r="M1567" s="419"/>
      <c r="N1567" s="419"/>
      <c r="O1567" s="419"/>
      <c r="P1567" s="419"/>
      <c r="Q1567" s="419"/>
      <c r="R1567" s="419"/>
      <c r="S1567" s="419"/>
      <c r="T1567" s="419"/>
      <c r="U1567" s="419"/>
      <c r="V1567" s="419"/>
      <c r="W1567" s="419">
        <f t="shared" si="73"/>
        <v>0</v>
      </c>
      <c r="X1567" s="412"/>
      <c r="Y1567" s="412">
        <v>300</v>
      </c>
      <c r="Z1567" s="412">
        <v>300</v>
      </c>
      <c r="AA1567" s="412">
        <v>300</v>
      </c>
      <c r="AB1567" s="412">
        <v>300</v>
      </c>
      <c r="AC1567" s="412">
        <v>300</v>
      </c>
      <c r="AD1567" s="412"/>
      <c r="AE1567" s="412"/>
      <c r="AF1567" s="412"/>
      <c r="AG1567" s="412"/>
      <c r="AH1567" s="412"/>
      <c r="AI1567" s="412"/>
      <c r="AJ1567" s="412">
        <f t="shared" si="74"/>
        <v>1500</v>
      </c>
      <c r="AK1567" s="208"/>
      <c r="AL1567" s="250" t="s">
        <v>2067</v>
      </c>
    </row>
    <row r="1568" spans="1:38" x14ac:dyDescent="0.2">
      <c r="A1568" t="s">
        <v>890</v>
      </c>
      <c r="B1568" s="209">
        <v>5152</v>
      </c>
      <c r="C1568" s="210" t="s">
        <v>990</v>
      </c>
      <c r="D1568" s="229" t="s">
        <v>1542</v>
      </c>
      <c r="E1568" s="229" t="s">
        <v>449</v>
      </c>
      <c r="F1568" s="240">
        <v>150</v>
      </c>
      <c r="G1568" s="205">
        <v>1</v>
      </c>
      <c r="H1568" s="206">
        <v>150</v>
      </c>
      <c r="I1568" s="207">
        <v>41455</v>
      </c>
      <c r="J1568" s="197" t="str">
        <f t="shared" si="75"/>
        <v>ok</v>
      </c>
      <c r="K1568" s="419"/>
      <c r="L1568" s="419"/>
      <c r="M1568" s="419"/>
      <c r="N1568" s="419"/>
      <c r="O1568" s="419"/>
      <c r="P1568" s="419"/>
      <c r="Q1568" s="419"/>
      <c r="R1568" s="419"/>
      <c r="S1568" s="419"/>
      <c r="T1568" s="419"/>
      <c r="U1568" s="419"/>
      <c r="V1568" s="419"/>
      <c r="W1568" s="419">
        <f t="shared" si="73"/>
        <v>0</v>
      </c>
      <c r="X1568" s="412"/>
      <c r="Y1568" s="412"/>
      <c r="Z1568" s="412"/>
      <c r="AA1568" s="412"/>
      <c r="AB1568" s="412"/>
      <c r="AC1568" s="412">
        <v>150</v>
      </c>
      <c r="AD1568" s="412"/>
      <c r="AE1568" s="412"/>
      <c r="AF1568" s="412"/>
      <c r="AG1568" s="412"/>
      <c r="AH1568" s="412"/>
      <c r="AI1568" s="412"/>
      <c r="AJ1568" s="412">
        <f t="shared" si="74"/>
        <v>150</v>
      </c>
      <c r="AK1568" s="208"/>
      <c r="AL1568" s="250" t="s">
        <v>2067</v>
      </c>
    </row>
    <row r="1569" spans="1:38" x14ac:dyDescent="0.2">
      <c r="A1569" t="s">
        <v>888</v>
      </c>
      <c r="B1569" s="209">
        <v>5153</v>
      </c>
      <c r="C1569" s="210" t="s">
        <v>933</v>
      </c>
      <c r="D1569" s="229" t="s">
        <v>1427</v>
      </c>
      <c r="E1569" s="229" t="s">
        <v>1212</v>
      </c>
      <c r="F1569" s="240">
        <v>300</v>
      </c>
      <c r="G1569" s="205">
        <v>1</v>
      </c>
      <c r="H1569" s="206">
        <v>300</v>
      </c>
      <c r="I1569" s="207">
        <v>41455</v>
      </c>
      <c r="J1569" s="197" t="str">
        <f t="shared" si="75"/>
        <v>ok</v>
      </c>
      <c r="K1569" s="419"/>
      <c r="L1569" s="419"/>
      <c r="M1569" s="419"/>
      <c r="N1569" s="419"/>
      <c r="O1569" s="419"/>
      <c r="P1569" s="419"/>
      <c r="Q1569" s="419"/>
      <c r="R1569" s="419"/>
      <c r="S1569" s="419"/>
      <c r="T1569" s="419"/>
      <c r="U1569" s="419"/>
      <c r="V1569" s="419"/>
      <c r="W1569" s="419">
        <f t="shared" si="73"/>
        <v>0</v>
      </c>
      <c r="X1569" s="412"/>
      <c r="Y1569" s="412"/>
      <c r="Z1569" s="412"/>
      <c r="AA1569" s="412"/>
      <c r="AB1569" s="412"/>
      <c r="AC1569" s="412"/>
      <c r="AD1569" s="412">
        <v>300</v>
      </c>
      <c r="AE1569" s="412"/>
      <c r="AF1569" s="412"/>
      <c r="AG1569" s="412"/>
      <c r="AH1569" s="412"/>
      <c r="AI1569" s="412"/>
      <c r="AJ1569" s="412">
        <f t="shared" si="74"/>
        <v>300</v>
      </c>
      <c r="AK1569" s="208"/>
      <c r="AL1569" s="250" t="s">
        <v>2067</v>
      </c>
    </row>
    <row r="1570" spans="1:38" x14ac:dyDescent="0.2">
      <c r="A1570" t="s">
        <v>894</v>
      </c>
      <c r="B1570" s="209">
        <v>5154</v>
      </c>
      <c r="C1570" s="210" t="s">
        <v>1151</v>
      </c>
      <c r="D1570" s="229" t="s">
        <v>1560</v>
      </c>
      <c r="E1570" s="229" t="s">
        <v>588</v>
      </c>
      <c r="F1570" s="240">
        <v>300</v>
      </c>
      <c r="G1570" s="205">
        <v>1</v>
      </c>
      <c r="H1570" s="206">
        <v>300</v>
      </c>
      <c r="I1570" s="207">
        <v>41455</v>
      </c>
      <c r="J1570" s="197" t="str">
        <f t="shared" si="75"/>
        <v>ok</v>
      </c>
      <c r="K1570" s="419"/>
      <c r="L1570" s="419"/>
      <c r="M1570" s="419"/>
      <c r="N1570" s="419"/>
      <c r="O1570" s="419"/>
      <c r="P1570" s="419"/>
      <c r="Q1570" s="419"/>
      <c r="R1570" s="419"/>
      <c r="S1570" s="419"/>
      <c r="T1570" s="419"/>
      <c r="U1570" s="419"/>
      <c r="V1570" s="419"/>
      <c r="W1570" s="419">
        <f t="shared" si="73"/>
        <v>0</v>
      </c>
      <c r="X1570" s="412"/>
      <c r="Y1570" s="412"/>
      <c r="Z1570" s="412"/>
      <c r="AA1570" s="412"/>
      <c r="AB1570" s="412"/>
      <c r="AC1570" s="412">
        <v>300</v>
      </c>
      <c r="AD1570" s="412"/>
      <c r="AE1570" s="412"/>
      <c r="AF1570" s="412"/>
      <c r="AG1570" s="412"/>
      <c r="AH1570" s="412"/>
      <c r="AI1570" s="412"/>
      <c r="AJ1570" s="412">
        <f t="shared" si="74"/>
        <v>300</v>
      </c>
      <c r="AK1570" s="208"/>
      <c r="AL1570" s="250" t="s">
        <v>2067</v>
      </c>
    </row>
    <row r="1571" spans="1:38" x14ac:dyDescent="0.2">
      <c r="A1571" t="s">
        <v>890</v>
      </c>
      <c r="B1571" s="211">
        <v>5155</v>
      </c>
      <c r="C1571" s="212" t="s">
        <v>1040</v>
      </c>
      <c r="D1571" s="231" t="s">
        <v>1511</v>
      </c>
      <c r="E1571" s="231" t="s">
        <v>548</v>
      </c>
      <c r="F1571" s="241">
        <v>300</v>
      </c>
      <c r="G1571" s="213">
        <v>1</v>
      </c>
      <c r="H1571" s="214">
        <v>900</v>
      </c>
      <c r="I1571" s="215">
        <v>41455</v>
      </c>
      <c r="J1571" s="197" t="str">
        <f t="shared" si="75"/>
        <v>ok</v>
      </c>
      <c r="K1571" s="421"/>
      <c r="L1571" s="421"/>
      <c r="M1571" s="421"/>
      <c r="N1571" s="421"/>
      <c r="O1571" s="421"/>
      <c r="P1571" s="421"/>
      <c r="Q1571" s="421"/>
      <c r="R1571" s="421"/>
      <c r="S1571" s="421"/>
      <c r="T1571" s="421"/>
      <c r="U1571" s="421"/>
      <c r="V1571" s="421"/>
      <c r="W1571" s="419">
        <f t="shared" si="73"/>
        <v>0</v>
      </c>
      <c r="X1571" s="422"/>
      <c r="Y1571" s="422"/>
      <c r="Z1571" s="422"/>
      <c r="AA1571" s="422">
        <v>300</v>
      </c>
      <c r="AB1571" s="422">
        <v>300</v>
      </c>
      <c r="AC1571" s="422">
        <v>300</v>
      </c>
      <c r="AD1571" s="422"/>
      <c r="AE1571" s="422"/>
      <c r="AF1571" s="422"/>
      <c r="AG1571" s="422"/>
      <c r="AH1571" s="422"/>
      <c r="AI1571" s="422"/>
      <c r="AJ1571" s="422">
        <f t="shared" si="74"/>
        <v>900</v>
      </c>
      <c r="AK1571" s="216"/>
      <c r="AL1571" s="250" t="s">
        <v>2067</v>
      </c>
    </row>
    <row r="1572" spans="1:38" ht="21.95" customHeight="1" x14ac:dyDescent="0.2">
      <c r="B1572" s="126" t="s">
        <v>756</v>
      </c>
      <c r="C1572" s="126" t="s">
        <v>903</v>
      </c>
      <c r="D1572" s="126" t="s">
        <v>885</v>
      </c>
      <c r="E1572" s="126" t="s">
        <v>689</v>
      </c>
      <c r="F1572" s="235" t="s">
        <v>702</v>
      </c>
      <c r="G1572" s="126" t="s">
        <v>1182</v>
      </c>
      <c r="H1572" s="126" t="s">
        <v>757</v>
      </c>
      <c r="I1572" s="126" t="s">
        <v>758</v>
      </c>
      <c r="J1572" s="126" t="s">
        <v>2069</v>
      </c>
      <c r="K1572" s="126" t="s">
        <v>690</v>
      </c>
      <c r="L1572" s="126" t="s">
        <v>691</v>
      </c>
      <c r="M1572" s="126" t="s">
        <v>692</v>
      </c>
      <c r="N1572" s="126" t="s">
        <v>693</v>
      </c>
      <c r="O1572" s="126" t="s">
        <v>694</v>
      </c>
      <c r="P1572" s="126" t="s">
        <v>695</v>
      </c>
      <c r="Q1572" s="126" t="s">
        <v>696</v>
      </c>
      <c r="R1572" s="126" t="s">
        <v>697</v>
      </c>
      <c r="S1572" s="126" t="s">
        <v>698</v>
      </c>
      <c r="T1572" s="126" t="s">
        <v>699</v>
      </c>
      <c r="U1572" s="126" t="s">
        <v>700</v>
      </c>
      <c r="V1572" s="126" t="s">
        <v>701</v>
      </c>
      <c r="W1572" s="248" t="s">
        <v>1715</v>
      </c>
      <c r="X1572" s="126" t="s">
        <v>690</v>
      </c>
      <c r="Y1572" s="126" t="s">
        <v>691</v>
      </c>
      <c r="Z1572" s="126" t="s">
        <v>692</v>
      </c>
      <c r="AA1572" s="126" t="s">
        <v>693</v>
      </c>
      <c r="AB1572" s="126" t="s">
        <v>694</v>
      </c>
      <c r="AC1572" s="126" t="s">
        <v>695</v>
      </c>
      <c r="AD1572" s="126" t="s">
        <v>696</v>
      </c>
      <c r="AE1572" s="126" t="s">
        <v>697</v>
      </c>
      <c r="AF1572" s="126" t="s">
        <v>698</v>
      </c>
      <c r="AG1572" s="126" t="s">
        <v>699</v>
      </c>
      <c r="AH1572" s="126" t="s">
        <v>700</v>
      </c>
      <c r="AI1572" s="126" t="s">
        <v>701</v>
      </c>
      <c r="AJ1572" s="248" t="s">
        <v>1834</v>
      </c>
      <c r="AK1572" s="126" t="s">
        <v>759</v>
      </c>
      <c r="AL1572" s="250" t="e">
        <v>#VALUE!</v>
      </c>
    </row>
    <row r="1573" spans="1:38" x14ac:dyDescent="0.2">
      <c r="A1573" t="s">
        <v>889</v>
      </c>
      <c r="B1573" s="233">
        <v>5156</v>
      </c>
      <c r="C1573" s="234" t="s">
        <v>970</v>
      </c>
      <c r="D1573" s="230" t="s">
        <v>1444</v>
      </c>
      <c r="E1573" s="230" t="s">
        <v>1247</v>
      </c>
      <c r="F1573" s="242">
        <v>300</v>
      </c>
      <c r="G1573" s="266">
        <v>1</v>
      </c>
      <c r="H1573" s="267">
        <v>600</v>
      </c>
      <c r="I1573" s="268">
        <v>41457</v>
      </c>
      <c r="J1573" s="197" t="str">
        <f t="shared" si="75"/>
        <v>ok</v>
      </c>
      <c r="K1573" s="425"/>
      <c r="L1573" s="425"/>
      <c r="M1573" s="425"/>
      <c r="N1573" s="425"/>
      <c r="O1573" s="425"/>
      <c r="P1573" s="425"/>
      <c r="Q1573" s="425"/>
      <c r="R1573" s="425"/>
      <c r="S1573" s="425"/>
      <c r="T1573" s="425"/>
      <c r="U1573" s="425"/>
      <c r="V1573" s="425"/>
      <c r="W1573" s="419">
        <f t="shared" si="73"/>
        <v>0</v>
      </c>
      <c r="X1573" s="426"/>
      <c r="Y1573" s="426"/>
      <c r="Z1573" s="426"/>
      <c r="AA1573" s="426"/>
      <c r="AB1573" s="426"/>
      <c r="AC1573" s="426">
        <v>300</v>
      </c>
      <c r="AD1573" s="426">
        <v>300</v>
      </c>
      <c r="AE1573" s="426"/>
      <c r="AF1573" s="426"/>
      <c r="AG1573" s="426"/>
      <c r="AH1573" s="426"/>
      <c r="AI1573" s="426"/>
      <c r="AJ1573" s="426">
        <f t="shared" si="74"/>
        <v>600</v>
      </c>
      <c r="AK1573" s="222"/>
      <c r="AL1573" s="250" t="s">
        <v>2067</v>
      </c>
    </row>
    <row r="1574" spans="1:38" x14ac:dyDescent="0.2">
      <c r="A1574" t="s">
        <v>884</v>
      </c>
      <c r="B1574" s="209">
        <v>5157</v>
      </c>
      <c r="C1574" s="210" t="s">
        <v>799</v>
      </c>
      <c r="D1574" s="230" t="s">
        <v>1661</v>
      </c>
      <c r="E1574" s="230" t="s">
        <v>1722</v>
      </c>
      <c r="F1574" s="242">
        <v>300</v>
      </c>
      <c r="G1574" s="205">
        <v>1</v>
      </c>
      <c r="H1574" s="206">
        <v>600</v>
      </c>
      <c r="I1574" s="207">
        <v>41457</v>
      </c>
      <c r="J1574" s="197" t="str">
        <f t="shared" si="75"/>
        <v>ok</v>
      </c>
      <c r="K1574" s="419"/>
      <c r="L1574" s="419"/>
      <c r="M1574" s="419"/>
      <c r="N1574" s="419"/>
      <c r="O1574" s="419"/>
      <c r="P1574" s="419"/>
      <c r="Q1574" s="419"/>
      <c r="R1574" s="419"/>
      <c r="S1574" s="419"/>
      <c r="T1574" s="419"/>
      <c r="U1574" s="419"/>
      <c r="V1574" s="419"/>
      <c r="W1574" s="419">
        <f t="shared" si="73"/>
        <v>0</v>
      </c>
      <c r="X1574" s="412"/>
      <c r="Y1574" s="412"/>
      <c r="Z1574" s="412"/>
      <c r="AA1574" s="412"/>
      <c r="AB1574" s="412"/>
      <c r="AC1574" s="412">
        <v>300</v>
      </c>
      <c r="AD1574" s="412">
        <v>300</v>
      </c>
      <c r="AE1574" s="412"/>
      <c r="AF1574" s="412"/>
      <c r="AG1574" s="412"/>
      <c r="AH1574" s="412"/>
      <c r="AI1574" s="412"/>
      <c r="AJ1574" s="412">
        <f t="shared" si="74"/>
        <v>600</v>
      </c>
      <c r="AK1574" s="208"/>
      <c r="AL1574" s="250" t="s">
        <v>2067</v>
      </c>
    </row>
    <row r="1575" spans="1:38" x14ac:dyDescent="0.2">
      <c r="A1575" t="s">
        <v>893</v>
      </c>
      <c r="B1575" s="209">
        <v>5158</v>
      </c>
      <c r="C1575" s="210" t="s">
        <v>1081</v>
      </c>
      <c r="D1575" s="230" t="s">
        <v>1652</v>
      </c>
      <c r="E1575" s="230" t="s">
        <v>202</v>
      </c>
      <c r="F1575" s="242">
        <v>300</v>
      </c>
      <c r="G1575" s="205">
        <v>1</v>
      </c>
      <c r="H1575" s="206">
        <v>600</v>
      </c>
      <c r="I1575" s="207">
        <v>41457</v>
      </c>
      <c r="J1575" s="197" t="str">
        <f t="shared" si="75"/>
        <v>ok</v>
      </c>
      <c r="K1575" s="419"/>
      <c r="L1575" s="419"/>
      <c r="M1575" s="419"/>
      <c r="N1575" s="419"/>
      <c r="O1575" s="419"/>
      <c r="P1575" s="419"/>
      <c r="Q1575" s="419"/>
      <c r="R1575" s="419"/>
      <c r="S1575" s="419"/>
      <c r="T1575" s="419"/>
      <c r="U1575" s="419"/>
      <c r="V1575" s="419"/>
      <c r="W1575" s="419">
        <f t="shared" si="73"/>
        <v>0</v>
      </c>
      <c r="X1575" s="412"/>
      <c r="Y1575" s="412"/>
      <c r="Z1575" s="412"/>
      <c r="AA1575" s="412">
        <v>300</v>
      </c>
      <c r="AB1575" s="412">
        <v>300</v>
      </c>
      <c r="AC1575" s="412"/>
      <c r="AD1575" s="412"/>
      <c r="AE1575" s="412"/>
      <c r="AF1575" s="412"/>
      <c r="AG1575" s="412"/>
      <c r="AH1575" s="412"/>
      <c r="AI1575" s="412"/>
      <c r="AJ1575" s="412">
        <f t="shared" si="74"/>
        <v>600</v>
      </c>
      <c r="AK1575" s="208"/>
      <c r="AL1575" s="250" t="s">
        <v>2067</v>
      </c>
    </row>
    <row r="1576" spans="1:38" x14ac:dyDescent="0.2">
      <c r="A1576" t="s">
        <v>890</v>
      </c>
      <c r="B1576" s="209">
        <v>5159</v>
      </c>
      <c r="C1576" s="210" t="s">
        <v>787</v>
      </c>
      <c r="D1576" s="230" t="s">
        <v>1618</v>
      </c>
      <c r="E1576" s="230" t="s">
        <v>1723</v>
      </c>
      <c r="F1576" s="242">
        <v>300</v>
      </c>
      <c r="G1576" s="205">
        <v>1</v>
      </c>
      <c r="H1576" s="206">
        <v>300</v>
      </c>
      <c r="I1576" s="207">
        <v>41462</v>
      </c>
      <c r="J1576" s="197" t="str">
        <f t="shared" si="75"/>
        <v>ok</v>
      </c>
      <c r="K1576" s="419"/>
      <c r="L1576" s="419"/>
      <c r="M1576" s="419"/>
      <c r="N1576" s="419"/>
      <c r="O1576" s="419"/>
      <c r="P1576" s="419"/>
      <c r="Q1576" s="419"/>
      <c r="R1576" s="419"/>
      <c r="S1576" s="419"/>
      <c r="T1576" s="419"/>
      <c r="U1576" s="419"/>
      <c r="V1576" s="419"/>
      <c r="W1576" s="419">
        <f t="shared" si="73"/>
        <v>0</v>
      </c>
      <c r="X1576" s="412"/>
      <c r="Y1576" s="412"/>
      <c r="Z1576" s="412"/>
      <c r="AA1576" s="412"/>
      <c r="AB1576" s="412"/>
      <c r="AC1576" s="412">
        <v>300</v>
      </c>
      <c r="AD1576" s="412"/>
      <c r="AE1576" s="412"/>
      <c r="AF1576" s="412"/>
      <c r="AG1576" s="412"/>
      <c r="AH1576" s="412"/>
      <c r="AI1576" s="412"/>
      <c r="AJ1576" s="412">
        <f t="shared" si="74"/>
        <v>300</v>
      </c>
      <c r="AK1576" s="208"/>
      <c r="AL1576" s="250" t="s">
        <v>2067</v>
      </c>
    </row>
    <row r="1577" spans="1:38" x14ac:dyDescent="0.2">
      <c r="A1577" t="s">
        <v>890</v>
      </c>
      <c r="B1577" s="209">
        <v>5160</v>
      </c>
      <c r="C1577" s="210" t="s">
        <v>787</v>
      </c>
      <c r="D1577" s="230" t="s">
        <v>1618</v>
      </c>
      <c r="E1577" s="230" t="s">
        <v>1723</v>
      </c>
      <c r="F1577" s="242">
        <v>300</v>
      </c>
      <c r="G1577" s="205">
        <v>3</v>
      </c>
      <c r="H1577" s="206">
        <v>150</v>
      </c>
      <c r="I1577" s="207">
        <v>41462</v>
      </c>
      <c r="J1577" s="197" t="str">
        <f t="shared" si="75"/>
        <v>ok</v>
      </c>
      <c r="K1577" s="419"/>
      <c r="L1577" s="419"/>
      <c r="M1577" s="419"/>
      <c r="N1577" s="419"/>
      <c r="O1577" s="419"/>
      <c r="P1577" s="419"/>
      <c r="Q1577" s="419"/>
      <c r="R1577" s="419"/>
      <c r="S1577" s="419"/>
      <c r="T1577" s="419"/>
      <c r="U1577" s="419"/>
      <c r="V1577" s="419"/>
      <c r="W1577" s="419">
        <f t="shared" si="73"/>
        <v>0</v>
      </c>
      <c r="X1577" s="412"/>
      <c r="Y1577" s="412"/>
      <c r="Z1577" s="412"/>
      <c r="AA1577" s="412">
        <v>150</v>
      </c>
      <c r="AB1577" s="412">
        <v>150</v>
      </c>
      <c r="AC1577" s="412">
        <v>150</v>
      </c>
      <c r="AD1577" s="412"/>
      <c r="AE1577" s="412"/>
      <c r="AF1577" s="412"/>
      <c r="AG1577" s="412"/>
      <c r="AH1577" s="412"/>
      <c r="AI1577" s="412"/>
      <c r="AJ1577" s="412">
        <f t="shared" si="74"/>
        <v>450</v>
      </c>
      <c r="AK1577" s="208"/>
      <c r="AL1577" s="250" t="s">
        <v>2068</v>
      </c>
    </row>
    <row r="1578" spans="1:38" x14ac:dyDescent="0.2">
      <c r="A1578" t="s">
        <v>894</v>
      </c>
      <c r="B1578" s="209">
        <v>5161</v>
      </c>
      <c r="C1578" s="210" t="s">
        <v>1177</v>
      </c>
      <c r="D1578" s="230" t="s">
        <v>1519</v>
      </c>
      <c r="E1578" s="230" t="s">
        <v>1227</v>
      </c>
      <c r="F1578" s="242">
        <v>150</v>
      </c>
      <c r="G1578" s="205">
        <v>1</v>
      </c>
      <c r="H1578" s="206">
        <v>450</v>
      </c>
      <c r="I1578" s="207">
        <v>41462</v>
      </c>
      <c r="J1578" s="197" t="str">
        <f t="shared" si="75"/>
        <v>ok</v>
      </c>
      <c r="K1578" s="419"/>
      <c r="L1578" s="419"/>
      <c r="M1578" s="419"/>
      <c r="N1578" s="419"/>
      <c r="O1578" s="419"/>
      <c r="P1578" s="419"/>
      <c r="Q1578" s="419"/>
      <c r="R1578" s="419"/>
      <c r="S1578" s="419"/>
      <c r="T1578" s="419"/>
      <c r="U1578" s="419"/>
      <c r="V1578" s="419"/>
      <c r="W1578" s="419">
        <f t="shared" si="73"/>
        <v>0</v>
      </c>
      <c r="X1578" s="412"/>
      <c r="Y1578" s="412"/>
      <c r="Z1578" s="412"/>
      <c r="AA1578" s="412">
        <v>150</v>
      </c>
      <c r="AB1578" s="412">
        <v>150</v>
      </c>
      <c r="AC1578" s="412">
        <v>150</v>
      </c>
      <c r="AD1578" s="412"/>
      <c r="AE1578" s="412"/>
      <c r="AF1578" s="412"/>
      <c r="AG1578" s="412"/>
      <c r="AH1578" s="412"/>
      <c r="AI1578" s="412"/>
      <c r="AJ1578" s="412">
        <f t="shared" si="74"/>
        <v>450</v>
      </c>
      <c r="AK1578" s="208"/>
      <c r="AL1578" s="250" t="s">
        <v>2067</v>
      </c>
    </row>
    <row r="1579" spans="1:38" x14ac:dyDescent="0.2">
      <c r="A1579" t="s">
        <v>891</v>
      </c>
      <c r="B1579" s="209">
        <v>5162</v>
      </c>
      <c r="C1579" s="210" t="s">
        <v>1049</v>
      </c>
      <c r="D1579" s="230" t="s">
        <v>1550</v>
      </c>
      <c r="E1579" s="230" t="s">
        <v>649</v>
      </c>
      <c r="F1579" s="242">
        <v>100</v>
      </c>
      <c r="G1579" s="205">
        <v>1</v>
      </c>
      <c r="H1579" s="206">
        <v>100</v>
      </c>
      <c r="I1579" s="207">
        <v>41462</v>
      </c>
      <c r="J1579" s="197" t="str">
        <f t="shared" si="75"/>
        <v>ok</v>
      </c>
      <c r="K1579" s="419"/>
      <c r="L1579" s="419"/>
      <c r="M1579" s="419"/>
      <c r="N1579" s="419"/>
      <c r="O1579" s="419"/>
      <c r="P1579" s="419"/>
      <c r="Q1579" s="419"/>
      <c r="R1579" s="419"/>
      <c r="S1579" s="419"/>
      <c r="T1579" s="419"/>
      <c r="U1579" s="419"/>
      <c r="V1579" s="419"/>
      <c r="W1579" s="419">
        <f t="shared" si="73"/>
        <v>0</v>
      </c>
      <c r="X1579" s="412"/>
      <c r="Y1579" s="412"/>
      <c r="Z1579" s="412"/>
      <c r="AA1579" s="412"/>
      <c r="AB1579" s="412"/>
      <c r="AC1579" s="412"/>
      <c r="AD1579" s="412">
        <v>100</v>
      </c>
      <c r="AE1579" s="412"/>
      <c r="AF1579" s="412"/>
      <c r="AG1579" s="412"/>
      <c r="AH1579" s="412"/>
      <c r="AI1579" s="412"/>
      <c r="AJ1579" s="412">
        <f t="shared" si="74"/>
        <v>100</v>
      </c>
      <c r="AK1579" s="208"/>
      <c r="AL1579" s="250" t="s">
        <v>2067</v>
      </c>
    </row>
    <row r="1580" spans="1:38" x14ac:dyDescent="0.2">
      <c r="A1580" t="s">
        <v>892</v>
      </c>
      <c r="B1580" s="209">
        <v>5163</v>
      </c>
      <c r="C1580" s="210" t="s">
        <v>1060</v>
      </c>
      <c r="D1580" s="230" t="s">
        <v>1460</v>
      </c>
      <c r="E1580" s="230" t="s">
        <v>737</v>
      </c>
      <c r="F1580" s="242">
        <v>300</v>
      </c>
      <c r="G1580" s="205">
        <v>1</v>
      </c>
      <c r="H1580" s="206">
        <v>300</v>
      </c>
      <c r="I1580" s="207">
        <v>41462</v>
      </c>
      <c r="J1580" s="197" t="str">
        <f t="shared" si="75"/>
        <v>ok</v>
      </c>
      <c r="K1580" s="419"/>
      <c r="L1580" s="419"/>
      <c r="M1580" s="419"/>
      <c r="N1580" s="419"/>
      <c r="O1580" s="419"/>
      <c r="P1580" s="419"/>
      <c r="Q1580" s="419"/>
      <c r="R1580" s="419"/>
      <c r="S1580" s="419"/>
      <c r="T1580" s="419"/>
      <c r="U1580" s="419"/>
      <c r="V1580" s="419"/>
      <c r="W1580" s="419">
        <f t="shared" si="73"/>
        <v>0</v>
      </c>
      <c r="X1580" s="412"/>
      <c r="Y1580" s="412"/>
      <c r="Z1580" s="412"/>
      <c r="AA1580" s="412"/>
      <c r="AB1580" s="412"/>
      <c r="AC1580" s="412"/>
      <c r="AD1580" s="412">
        <v>300</v>
      </c>
      <c r="AE1580" s="412"/>
      <c r="AF1580" s="412"/>
      <c r="AG1580" s="412"/>
      <c r="AH1580" s="412"/>
      <c r="AI1580" s="412"/>
      <c r="AJ1580" s="412">
        <f t="shared" si="74"/>
        <v>300</v>
      </c>
      <c r="AK1580" s="208"/>
      <c r="AL1580" s="250" t="s">
        <v>2067</v>
      </c>
    </row>
    <row r="1581" spans="1:38" x14ac:dyDescent="0.2">
      <c r="A1581" t="s">
        <v>890</v>
      </c>
      <c r="B1581" s="209">
        <v>5164</v>
      </c>
      <c r="C1581" s="210" t="s">
        <v>992</v>
      </c>
      <c r="D1581" s="230" t="s">
        <v>1624</v>
      </c>
      <c r="E1581" s="230" t="s">
        <v>727</v>
      </c>
      <c r="F1581" s="242">
        <v>300</v>
      </c>
      <c r="G1581" s="205">
        <v>1</v>
      </c>
      <c r="H1581" s="206">
        <v>300</v>
      </c>
      <c r="I1581" s="207">
        <v>41462</v>
      </c>
      <c r="J1581" s="197" t="str">
        <f t="shared" si="75"/>
        <v>ok</v>
      </c>
      <c r="K1581" s="419"/>
      <c r="L1581" s="419"/>
      <c r="M1581" s="419"/>
      <c r="N1581" s="419"/>
      <c r="O1581" s="419"/>
      <c r="P1581" s="419"/>
      <c r="Q1581" s="419"/>
      <c r="R1581" s="419"/>
      <c r="S1581" s="419"/>
      <c r="T1581" s="419"/>
      <c r="U1581" s="419"/>
      <c r="V1581" s="419"/>
      <c r="W1581" s="419">
        <f t="shared" si="73"/>
        <v>0</v>
      </c>
      <c r="X1581" s="412"/>
      <c r="Y1581" s="412"/>
      <c r="Z1581" s="412"/>
      <c r="AA1581" s="412"/>
      <c r="AB1581" s="412"/>
      <c r="AC1581" s="412">
        <v>300</v>
      </c>
      <c r="AD1581" s="412"/>
      <c r="AE1581" s="412"/>
      <c r="AF1581" s="412"/>
      <c r="AG1581" s="412"/>
      <c r="AH1581" s="412"/>
      <c r="AI1581" s="412"/>
      <c r="AJ1581" s="412">
        <f t="shared" si="74"/>
        <v>300</v>
      </c>
      <c r="AK1581" s="208"/>
      <c r="AL1581" s="250" t="s">
        <v>2067</v>
      </c>
    </row>
    <row r="1582" spans="1:38" x14ac:dyDescent="0.2">
      <c r="A1582" t="s">
        <v>893</v>
      </c>
      <c r="B1582" s="209">
        <v>5165</v>
      </c>
      <c r="C1582" s="210" t="s">
        <v>1117</v>
      </c>
      <c r="D1582" s="230" t="s">
        <v>1430</v>
      </c>
      <c r="E1582" s="230" t="s">
        <v>271</v>
      </c>
      <c r="F1582" s="242">
        <v>300</v>
      </c>
      <c r="G1582" s="205">
        <v>1</v>
      </c>
      <c r="H1582" s="206">
        <v>300</v>
      </c>
      <c r="I1582" s="207">
        <v>41462</v>
      </c>
      <c r="J1582" s="197" t="str">
        <f t="shared" si="75"/>
        <v>ok</v>
      </c>
      <c r="K1582" s="419"/>
      <c r="L1582" s="419"/>
      <c r="M1582" s="419"/>
      <c r="N1582" s="419"/>
      <c r="O1582" s="419"/>
      <c r="P1582" s="419"/>
      <c r="Q1582" s="419"/>
      <c r="R1582" s="419"/>
      <c r="S1582" s="419"/>
      <c r="T1582" s="419"/>
      <c r="U1582" s="419"/>
      <c r="V1582" s="419"/>
      <c r="W1582" s="419">
        <f t="shared" si="73"/>
        <v>0</v>
      </c>
      <c r="X1582" s="412"/>
      <c r="Y1582" s="412"/>
      <c r="Z1582" s="412"/>
      <c r="AA1582" s="412"/>
      <c r="AB1582" s="412"/>
      <c r="AC1582" s="412"/>
      <c r="AD1582" s="412">
        <v>300</v>
      </c>
      <c r="AE1582" s="412"/>
      <c r="AF1582" s="412"/>
      <c r="AG1582" s="412"/>
      <c r="AH1582" s="412"/>
      <c r="AI1582" s="412"/>
      <c r="AJ1582" s="412">
        <f t="shared" si="74"/>
        <v>300</v>
      </c>
      <c r="AK1582" s="208"/>
      <c r="AL1582" s="250" t="s">
        <v>2067</v>
      </c>
    </row>
    <row r="1583" spans="1:38" x14ac:dyDescent="0.2">
      <c r="A1583" t="s">
        <v>884</v>
      </c>
      <c r="B1583" s="209">
        <v>5166</v>
      </c>
      <c r="C1583" s="210" t="s">
        <v>783</v>
      </c>
      <c r="D1583" s="230" t="s">
        <v>1572</v>
      </c>
      <c r="E1583" s="230" t="s">
        <v>1202</v>
      </c>
      <c r="F1583" s="242">
        <v>300</v>
      </c>
      <c r="G1583" s="205">
        <v>1</v>
      </c>
      <c r="H1583" s="206">
        <v>300</v>
      </c>
      <c r="I1583" s="207">
        <v>41462</v>
      </c>
      <c r="J1583" s="197" t="str">
        <f t="shared" si="75"/>
        <v>ok</v>
      </c>
      <c r="K1583" s="419"/>
      <c r="L1583" s="419"/>
      <c r="M1583" s="419"/>
      <c r="N1583" s="419"/>
      <c r="O1583" s="419"/>
      <c r="P1583" s="419"/>
      <c r="Q1583" s="419"/>
      <c r="R1583" s="419"/>
      <c r="S1583" s="419"/>
      <c r="T1583" s="419"/>
      <c r="U1583" s="419"/>
      <c r="V1583" s="419"/>
      <c r="W1583" s="419">
        <f t="shared" si="73"/>
        <v>0</v>
      </c>
      <c r="X1583" s="412"/>
      <c r="Y1583" s="412"/>
      <c r="Z1583" s="412"/>
      <c r="AA1583" s="412"/>
      <c r="AB1583" s="412"/>
      <c r="AC1583" s="412"/>
      <c r="AD1583" s="412">
        <v>300</v>
      </c>
      <c r="AE1583" s="412"/>
      <c r="AF1583" s="412"/>
      <c r="AG1583" s="412"/>
      <c r="AH1583" s="412"/>
      <c r="AI1583" s="412"/>
      <c r="AJ1583" s="412">
        <f t="shared" si="74"/>
        <v>300</v>
      </c>
      <c r="AK1583" s="208"/>
      <c r="AL1583" s="250" t="s">
        <v>2067</v>
      </c>
    </row>
    <row r="1584" spans="1:38" x14ac:dyDescent="0.2">
      <c r="A1584" t="s">
        <v>893</v>
      </c>
      <c r="B1584" s="209">
        <v>5167</v>
      </c>
      <c r="C1584" s="210" t="s">
        <v>1076</v>
      </c>
      <c r="D1584" s="230" t="s">
        <v>1395</v>
      </c>
      <c r="E1584" s="230" t="s">
        <v>193</v>
      </c>
      <c r="F1584" s="242">
        <v>300</v>
      </c>
      <c r="G1584" s="205">
        <v>1</v>
      </c>
      <c r="H1584" s="206">
        <v>300</v>
      </c>
      <c r="I1584" s="207">
        <v>41462</v>
      </c>
      <c r="J1584" s="197" t="str">
        <f t="shared" si="75"/>
        <v>ok</v>
      </c>
      <c r="K1584" s="419"/>
      <c r="L1584" s="419"/>
      <c r="M1584" s="419"/>
      <c r="N1584" s="419"/>
      <c r="O1584" s="419"/>
      <c r="P1584" s="419"/>
      <c r="Q1584" s="419"/>
      <c r="R1584" s="419"/>
      <c r="S1584" s="419"/>
      <c r="T1584" s="419"/>
      <c r="U1584" s="419"/>
      <c r="V1584" s="419"/>
      <c r="W1584" s="419">
        <f t="shared" si="73"/>
        <v>0</v>
      </c>
      <c r="X1584" s="412"/>
      <c r="Y1584" s="412"/>
      <c r="Z1584" s="412"/>
      <c r="AA1584" s="412"/>
      <c r="AB1584" s="412"/>
      <c r="AC1584" s="412"/>
      <c r="AD1584" s="412">
        <v>300</v>
      </c>
      <c r="AE1584" s="412"/>
      <c r="AF1584" s="412"/>
      <c r="AG1584" s="412"/>
      <c r="AH1584" s="412"/>
      <c r="AI1584" s="412"/>
      <c r="AJ1584" s="412">
        <f t="shared" si="74"/>
        <v>300</v>
      </c>
      <c r="AK1584" s="208"/>
      <c r="AL1584" s="250" t="s">
        <v>2067</v>
      </c>
    </row>
    <row r="1585" spans="1:38" x14ac:dyDescent="0.2">
      <c r="A1585" t="s">
        <v>893</v>
      </c>
      <c r="B1585" s="209">
        <v>5168</v>
      </c>
      <c r="C1585" s="210" t="s">
        <v>1132</v>
      </c>
      <c r="D1585" s="230" t="s">
        <v>1363</v>
      </c>
      <c r="E1585" s="230" t="s">
        <v>1270</v>
      </c>
      <c r="F1585" s="242">
        <v>300</v>
      </c>
      <c r="G1585" s="205">
        <v>1</v>
      </c>
      <c r="H1585" s="206">
        <v>600</v>
      </c>
      <c r="I1585" s="207">
        <v>41462</v>
      </c>
      <c r="J1585" s="197" t="str">
        <f t="shared" si="75"/>
        <v>ok</v>
      </c>
      <c r="K1585" s="419"/>
      <c r="L1585" s="419"/>
      <c r="M1585" s="419"/>
      <c r="N1585" s="419"/>
      <c r="O1585" s="419"/>
      <c r="P1585" s="419"/>
      <c r="Q1585" s="419"/>
      <c r="R1585" s="419"/>
      <c r="S1585" s="419"/>
      <c r="T1585" s="419"/>
      <c r="U1585" s="419"/>
      <c r="V1585" s="419"/>
      <c r="W1585" s="419">
        <f t="shared" si="73"/>
        <v>0</v>
      </c>
      <c r="X1585" s="412"/>
      <c r="Y1585" s="412"/>
      <c r="Z1585" s="412"/>
      <c r="AA1585" s="412"/>
      <c r="AB1585" s="412"/>
      <c r="AC1585" s="412"/>
      <c r="AD1585" s="412">
        <v>300</v>
      </c>
      <c r="AE1585" s="412">
        <v>300</v>
      </c>
      <c r="AF1585" s="412"/>
      <c r="AG1585" s="412"/>
      <c r="AH1585" s="412"/>
      <c r="AI1585" s="412"/>
      <c r="AJ1585" s="412">
        <f t="shared" si="74"/>
        <v>600</v>
      </c>
      <c r="AK1585" s="208"/>
      <c r="AL1585" s="250" t="s">
        <v>2067</v>
      </c>
    </row>
    <row r="1586" spans="1:38" x14ac:dyDescent="0.2">
      <c r="A1586" t="s">
        <v>893</v>
      </c>
      <c r="B1586" s="209">
        <v>5168</v>
      </c>
      <c r="C1586" s="210" t="s">
        <v>1132</v>
      </c>
      <c r="D1586" s="230" t="s">
        <v>1363</v>
      </c>
      <c r="E1586" s="230" t="s">
        <v>1270</v>
      </c>
      <c r="F1586" s="242">
        <v>300</v>
      </c>
      <c r="G1586" s="205">
        <v>3</v>
      </c>
      <c r="H1586" s="206">
        <v>150</v>
      </c>
      <c r="I1586" s="207">
        <v>41462</v>
      </c>
      <c r="J1586" s="197" t="str">
        <f t="shared" si="75"/>
        <v>ok</v>
      </c>
      <c r="K1586" s="419"/>
      <c r="L1586" s="419"/>
      <c r="M1586" s="419"/>
      <c r="N1586" s="419"/>
      <c r="O1586" s="419"/>
      <c r="P1586" s="419"/>
      <c r="Q1586" s="419"/>
      <c r="R1586" s="419"/>
      <c r="S1586" s="419"/>
      <c r="T1586" s="419"/>
      <c r="U1586" s="419"/>
      <c r="V1586" s="419"/>
      <c r="W1586" s="419">
        <f t="shared" si="73"/>
        <v>0</v>
      </c>
      <c r="X1586" s="412"/>
      <c r="Y1586" s="412"/>
      <c r="Z1586" s="412"/>
      <c r="AA1586" s="412"/>
      <c r="AB1586" s="412"/>
      <c r="AC1586" s="412"/>
      <c r="AD1586" s="412"/>
      <c r="AE1586" s="412"/>
      <c r="AF1586" s="412"/>
      <c r="AG1586" s="412"/>
      <c r="AH1586" s="412"/>
      <c r="AI1586" s="412"/>
      <c r="AJ1586" s="412">
        <f t="shared" si="74"/>
        <v>0</v>
      </c>
      <c r="AK1586" s="208"/>
      <c r="AL1586" s="250" t="s">
        <v>2068</v>
      </c>
    </row>
    <row r="1587" spans="1:38" x14ac:dyDescent="0.2">
      <c r="A1587" t="s">
        <v>884</v>
      </c>
      <c r="B1587" s="209">
        <v>5169</v>
      </c>
      <c r="C1587" s="210" t="s">
        <v>873</v>
      </c>
      <c r="D1587" s="230" t="s">
        <v>1385</v>
      </c>
      <c r="E1587" s="230" t="s">
        <v>1724</v>
      </c>
      <c r="F1587" s="242">
        <v>300</v>
      </c>
      <c r="G1587" s="205">
        <v>1</v>
      </c>
      <c r="H1587" s="206">
        <v>600</v>
      </c>
      <c r="I1587" s="207">
        <v>41462</v>
      </c>
      <c r="J1587" s="197" t="str">
        <f t="shared" si="75"/>
        <v>ok</v>
      </c>
      <c r="K1587" s="419"/>
      <c r="L1587" s="419"/>
      <c r="M1587" s="419"/>
      <c r="N1587" s="419"/>
      <c r="O1587" s="419"/>
      <c r="P1587" s="419"/>
      <c r="Q1587" s="419"/>
      <c r="R1587" s="419"/>
      <c r="S1587" s="419"/>
      <c r="T1587" s="419"/>
      <c r="U1587" s="419"/>
      <c r="V1587" s="419"/>
      <c r="W1587" s="419">
        <f t="shared" si="73"/>
        <v>0</v>
      </c>
      <c r="X1587" s="412"/>
      <c r="Y1587" s="412"/>
      <c r="Z1587" s="412"/>
      <c r="AA1587" s="412"/>
      <c r="AB1587" s="412"/>
      <c r="AC1587" s="412"/>
      <c r="AD1587" s="412">
        <v>300</v>
      </c>
      <c r="AE1587" s="412">
        <v>300</v>
      </c>
      <c r="AF1587" s="412"/>
      <c r="AG1587" s="412"/>
      <c r="AH1587" s="412"/>
      <c r="AI1587" s="412"/>
      <c r="AJ1587" s="412">
        <f t="shared" si="74"/>
        <v>600</v>
      </c>
      <c r="AK1587" s="208"/>
      <c r="AL1587" s="250" t="s">
        <v>2067</v>
      </c>
    </row>
    <row r="1588" spans="1:38" x14ac:dyDescent="0.2">
      <c r="A1588" t="s">
        <v>893</v>
      </c>
      <c r="B1588" s="209">
        <v>5170</v>
      </c>
      <c r="C1588" s="210" t="s">
        <v>1136</v>
      </c>
      <c r="D1588" s="230" t="s">
        <v>1502</v>
      </c>
      <c r="E1588" s="230" t="s">
        <v>308</v>
      </c>
      <c r="F1588" s="242">
        <v>300</v>
      </c>
      <c r="G1588" s="205">
        <v>1</v>
      </c>
      <c r="H1588" s="206">
        <v>300</v>
      </c>
      <c r="I1588" s="207">
        <v>41462</v>
      </c>
      <c r="J1588" s="197" t="str">
        <f t="shared" si="75"/>
        <v>ok</v>
      </c>
      <c r="K1588" s="419"/>
      <c r="L1588" s="419"/>
      <c r="M1588" s="419"/>
      <c r="N1588" s="419"/>
      <c r="O1588" s="419"/>
      <c r="P1588" s="419"/>
      <c r="Q1588" s="419"/>
      <c r="R1588" s="419"/>
      <c r="S1588" s="419"/>
      <c r="T1588" s="419"/>
      <c r="U1588" s="419"/>
      <c r="V1588" s="419"/>
      <c r="W1588" s="419">
        <f t="shared" si="73"/>
        <v>0</v>
      </c>
      <c r="X1588" s="412"/>
      <c r="Y1588" s="412"/>
      <c r="Z1588" s="412"/>
      <c r="AA1588" s="412"/>
      <c r="AB1588" s="412"/>
      <c r="AC1588" s="412"/>
      <c r="AD1588" s="412">
        <v>300</v>
      </c>
      <c r="AE1588" s="412"/>
      <c r="AF1588" s="412"/>
      <c r="AG1588" s="412"/>
      <c r="AH1588" s="412"/>
      <c r="AI1588" s="412"/>
      <c r="AJ1588" s="412">
        <f t="shared" si="74"/>
        <v>300</v>
      </c>
      <c r="AK1588" s="208"/>
      <c r="AL1588" s="250" t="s">
        <v>2067</v>
      </c>
    </row>
    <row r="1589" spans="1:38" x14ac:dyDescent="0.2">
      <c r="A1589" t="s">
        <v>884</v>
      </c>
      <c r="B1589" s="209">
        <v>5171</v>
      </c>
      <c r="C1589" s="210" t="s">
        <v>843</v>
      </c>
      <c r="D1589" s="230" t="s">
        <v>1434</v>
      </c>
      <c r="E1589" s="230" t="s">
        <v>1189</v>
      </c>
      <c r="F1589" s="242">
        <v>300</v>
      </c>
      <c r="G1589" s="205">
        <v>1</v>
      </c>
      <c r="H1589" s="206">
        <v>300</v>
      </c>
      <c r="I1589" s="207">
        <v>41462</v>
      </c>
      <c r="J1589" s="197" t="str">
        <f t="shared" si="75"/>
        <v>ok</v>
      </c>
      <c r="K1589" s="419"/>
      <c r="L1589" s="419"/>
      <c r="M1589" s="419"/>
      <c r="N1589" s="419"/>
      <c r="O1589" s="419"/>
      <c r="P1589" s="419"/>
      <c r="Q1589" s="419"/>
      <c r="R1589" s="419"/>
      <c r="S1589" s="419"/>
      <c r="T1589" s="419"/>
      <c r="U1589" s="419"/>
      <c r="V1589" s="419"/>
      <c r="W1589" s="419">
        <f t="shared" si="73"/>
        <v>0</v>
      </c>
      <c r="X1589" s="412"/>
      <c r="Y1589" s="412"/>
      <c r="Z1589" s="412"/>
      <c r="AA1589" s="412"/>
      <c r="AB1589" s="412"/>
      <c r="AC1589" s="412"/>
      <c r="AD1589" s="412">
        <v>300</v>
      </c>
      <c r="AE1589" s="412"/>
      <c r="AF1589" s="412"/>
      <c r="AG1589" s="412"/>
      <c r="AH1589" s="412"/>
      <c r="AI1589" s="412"/>
      <c r="AJ1589" s="412">
        <f t="shared" si="74"/>
        <v>300</v>
      </c>
      <c r="AK1589" s="208"/>
      <c r="AL1589" s="250" t="s">
        <v>2067</v>
      </c>
    </row>
    <row r="1590" spans="1:38" x14ac:dyDescent="0.2">
      <c r="A1590" t="s">
        <v>892</v>
      </c>
      <c r="B1590" s="209">
        <v>5172</v>
      </c>
      <c r="C1590" s="210" t="s">
        <v>776</v>
      </c>
      <c r="D1590" s="230" t="s">
        <v>1413</v>
      </c>
      <c r="E1590" s="230" t="s">
        <v>736</v>
      </c>
      <c r="F1590" s="242">
        <v>300</v>
      </c>
      <c r="G1590" s="205">
        <v>1</v>
      </c>
      <c r="H1590" s="206">
        <v>300</v>
      </c>
      <c r="I1590" s="207">
        <v>41462</v>
      </c>
      <c r="J1590" s="197" t="str">
        <f t="shared" si="75"/>
        <v>ok</v>
      </c>
      <c r="K1590" s="419"/>
      <c r="L1590" s="419"/>
      <c r="M1590" s="419"/>
      <c r="N1590" s="419"/>
      <c r="O1590" s="419"/>
      <c r="P1590" s="419"/>
      <c r="Q1590" s="419"/>
      <c r="R1590" s="419"/>
      <c r="S1590" s="419"/>
      <c r="T1590" s="419"/>
      <c r="U1590" s="419"/>
      <c r="V1590" s="419"/>
      <c r="W1590" s="419">
        <f t="shared" si="73"/>
        <v>0</v>
      </c>
      <c r="X1590" s="412"/>
      <c r="Y1590" s="412"/>
      <c r="Z1590" s="412"/>
      <c r="AA1590" s="412"/>
      <c r="AB1590" s="412"/>
      <c r="AC1590" s="412"/>
      <c r="AD1590" s="412">
        <v>300</v>
      </c>
      <c r="AE1590" s="412"/>
      <c r="AF1590" s="412"/>
      <c r="AG1590" s="412"/>
      <c r="AH1590" s="412"/>
      <c r="AI1590" s="412"/>
      <c r="AJ1590" s="412">
        <f t="shared" si="74"/>
        <v>300</v>
      </c>
      <c r="AK1590" s="208"/>
      <c r="AL1590" s="250" t="s">
        <v>2067</v>
      </c>
    </row>
    <row r="1591" spans="1:38" x14ac:dyDescent="0.2">
      <c r="A1591" t="s">
        <v>884</v>
      </c>
      <c r="B1591" s="209">
        <v>5173</v>
      </c>
      <c r="C1591" s="210" t="s">
        <v>812</v>
      </c>
      <c r="D1591" s="230" t="s">
        <v>1420</v>
      </c>
      <c r="E1591" s="230" t="s">
        <v>33</v>
      </c>
      <c r="F1591" s="242">
        <v>300</v>
      </c>
      <c r="G1591" s="205">
        <v>1</v>
      </c>
      <c r="H1591" s="206">
        <v>300</v>
      </c>
      <c r="I1591" s="207">
        <v>41462</v>
      </c>
      <c r="J1591" s="197" t="str">
        <f t="shared" si="75"/>
        <v>ok</v>
      </c>
      <c r="K1591" s="419"/>
      <c r="L1591" s="419"/>
      <c r="M1591" s="419"/>
      <c r="N1591" s="419"/>
      <c r="O1591" s="419"/>
      <c r="P1591" s="419"/>
      <c r="Q1591" s="419"/>
      <c r="R1591" s="419"/>
      <c r="S1591" s="419"/>
      <c r="T1591" s="419"/>
      <c r="U1591" s="419"/>
      <c r="V1591" s="419"/>
      <c r="W1591" s="419">
        <f t="shared" si="73"/>
        <v>0</v>
      </c>
      <c r="X1591" s="412"/>
      <c r="Y1591" s="412"/>
      <c r="Z1591" s="412"/>
      <c r="AA1591" s="412"/>
      <c r="AB1591" s="412"/>
      <c r="AC1591" s="412"/>
      <c r="AD1591" s="412">
        <v>300</v>
      </c>
      <c r="AE1591" s="412"/>
      <c r="AF1591" s="412"/>
      <c r="AG1591" s="412"/>
      <c r="AH1591" s="412"/>
      <c r="AI1591" s="412"/>
      <c r="AJ1591" s="412">
        <f t="shared" si="74"/>
        <v>300</v>
      </c>
      <c r="AK1591" s="208"/>
      <c r="AL1591" s="250" t="s">
        <v>2067</v>
      </c>
    </row>
    <row r="1592" spans="1:38" x14ac:dyDescent="0.2">
      <c r="A1592" t="s">
        <v>894</v>
      </c>
      <c r="B1592" s="209">
        <v>5174</v>
      </c>
      <c r="C1592" s="210" t="s">
        <v>1179</v>
      </c>
      <c r="D1592" s="230" t="s">
        <v>1452</v>
      </c>
      <c r="E1592" s="230" t="s">
        <v>639</v>
      </c>
      <c r="F1592" s="242">
        <v>250</v>
      </c>
      <c r="G1592" s="205">
        <v>1</v>
      </c>
      <c r="H1592" s="206">
        <v>250</v>
      </c>
      <c r="I1592" s="207">
        <v>41462</v>
      </c>
      <c r="J1592" s="197" t="str">
        <f t="shared" si="75"/>
        <v>ok</v>
      </c>
      <c r="K1592" s="419"/>
      <c r="L1592" s="419"/>
      <c r="M1592" s="419"/>
      <c r="N1592" s="419"/>
      <c r="O1592" s="419"/>
      <c r="P1592" s="419"/>
      <c r="Q1592" s="419"/>
      <c r="R1592" s="419"/>
      <c r="S1592" s="419"/>
      <c r="T1592" s="419"/>
      <c r="U1592" s="419"/>
      <c r="V1592" s="419"/>
      <c r="W1592" s="419">
        <f t="shared" si="73"/>
        <v>0</v>
      </c>
      <c r="X1592" s="412"/>
      <c r="Y1592" s="412"/>
      <c r="Z1592" s="412"/>
      <c r="AA1592" s="412"/>
      <c r="AB1592" s="412"/>
      <c r="AC1592" s="412"/>
      <c r="AD1592" s="412">
        <v>250</v>
      </c>
      <c r="AE1592" s="412"/>
      <c r="AF1592" s="412"/>
      <c r="AG1592" s="412"/>
      <c r="AH1592" s="412"/>
      <c r="AI1592" s="412"/>
      <c r="AJ1592" s="412">
        <f t="shared" si="74"/>
        <v>250</v>
      </c>
      <c r="AK1592" s="208"/>
      <c r="AL1592" s="250" t="s">
        <v>2067</v>
      </c>
    </row>
    <row r="1593" spans="1:38" x14ac:dyDescent="0.2">
      <c r="A1593" t="s">
        <v>890</v>
      </c>
      <c r="B1593" s="209">
        <v>5175</v>
      </c>
      <c r="C1593" s="210" t="s">
        <v>1003</v>
      </c>
      <c r="D1593" s="230" t="s">
        <v>1394</v>
      </c>
      <c r="E1593" s="230" t="s">
        <v>493</v>
      </c>
      <c r="F1593" s="242">
        <v>300</v>
      </c>
      <c r="G1593" s="205">
        <v>1</v>
      </c>
      <c r="H1593" s="206">
        <v>600</v>
      </c>
      <c r="I1593" s="207">
        <v>41462</v>
      </c>
      <c r="J1593" s="197" t="str">
        <f t="shared" si="75"/>
        <v>ok</v>
      </c>
      <c r="K1593" s="419"/>
      <c r="L1593" s="419"/>
      <c r="M1593" s="419"/>
      <c r="N1593" s="419"/>
      <c r="O1593" s="419"/>
      <c r="P1593" s="419"/>
      <c r="Q1593" s="419"/>
      <c r="R1593" s="419"/>
      <c r="S1593" s="419"/>
      <c r="T1593" s="419"/>
      <c r="U1593" s="419"/>
      <c r="V1593" s="419"/>
      <c r="W1593" s="419">
        <f t="shared" si="73"/>
        <v>0</v>
      </c>
      <c r="X1593" s="412"/>
      <c r="Y1593" s="412"/>
      <c r="Z1593" s="412"/>
      <c r="AA1593" s="412"/>
      <c r="AB1593" s="412"/>
      <c r="AC1593" s="412"/>
      <c r="AD1593" s="412">
        <v>300</v>
      </c>
      <c r="AE1593" s="412">
        <v>300</v>
      </c>
      <c r="AF1593" s="412"/>
      <c r="AG1593" s="412"/>
      <c r="AH1593" s="412"/>
      <c r="AI1593" s="412"/>
      <c r="AJ1593" s="412">
        <f t="shared" si="74"/>
        <v>600</v>
      </c>
      <c r="AK1593" s="208"/>
      <c r="AL1593" s="250" t="s">
        <v>2067</v>
      </c>
    </row>
    <row r="1594" spans="1:38" x14ac:dyDescent="0.2">
      <c r="A1594" t="s">
        <v>887</v>
      </c>
      <c r="B1594" s="209">
        <v>5176</v>
      </c>
      <c r="C1594" s="210" t="s">
        <v>1326</v>
      </c>
      <c r="D1594" s="230" t="s">
        <v>1646</v>
      </c>
      <c r="E1594" s="230" t="s">
        <v>665</v>
      </c>
      <c r="F1594" s="242">
        <v>300</v>
      </c>
      <c r="G1594" s="205">
        <v>1</v>
      </c>
      <c r="H1594" s="206">
        <v>300</v>
      </c>
      <c r="I1594" s="207">
        <v>41462</v>
      </c>
      <c r="J1594" s="197" t="str">
        <f t="shared" si="75"/>
        <v>ok</v>
      </c>
      <c r="K1594" s="419"/>
      <c r="L1594" s="419"/>
      <c r="M1594" s="419"/>
      <c r="N1594" s="419"/>
      <c r="O1594" s="419"/>
      <c r="P1594" s="419"/>
      <c r="Q1594" s="419"/>
      <c r="R1594" s="419"/>
      <c r="S1594" s="419"/>
      <c r="T1594" s="419"/>
      <c r="U1594" s="419"/>
      <c r="V1594" s="419"/>
      <c r="W1594" s="419">
        <f t="shared" si="73"/>
        <v>0</v>
      </c>
      <c r="X1594" s="412"/>
      <c r="Y1594" s="412"/>
      <c r="Z1594" s="412"/>
      <c r="AA1594" s="412"/>
      <c r="AB1594" s="412"/>
      <c r="AC1594" s="412"/>
      <c r="AD1594" s="412">
        <v>300</v>
      </c>
      <c r="AE1594" s="412"/>
      <c r="AF1594" s="412"/>
      <c r="AG1594" s="412"/>
      <c r="AH1594" s="412"/>
      <c r="AI1594" s="412"/>
      <c r="AJ1594" s="412">
        <f t="shared" si="74"/>
        <v>300</v>
      </c>
      <c r="AK1594" s="208"/>
      <c r="AL1594" s="250" t="s">
        <v>2067</v>
      </c>
    </row>
    <row r="1595" spans="1:38" x14ac:dyDescent="0.2">
      <c r="A1595" t="s">
        <v>887</v>
      </c>
      <c r="B1595" s="209">
        <v>5176</v>
      </c>
      <c r="C1595" s="210" t="s">
        <v>1326</v>
      </c>
      <c r="D1595" s="230" t="s">
        <v>1646</v>
      </c>
      <c r="E1595" s="230" t="s">
        <v>665</v>
      </c>
      <c r="F1595" s="242">
        <v>300</v>
      </c>
      <c r="G1595" s="205">
        <v>5</v>
      </c>
      <c r="H1595" s="206">
        <v>320</v>
      </c>
      <c r="I1595" s="207">
        <v>41462</v>
      </c>
      <c r="J1595" s="197" t="str">
        <f t="shared" si="75"/>
        <v>ok</v>
      </c>
      <c r="K1595" s="419"/>
      <c r="L1595" s="419"/>
      <c r="M1595" s="419"/>
      <c r="N1595" s="419"/>
      <c r="O1595" s="419"/>
      <c r="P1595" s="419"/>
      <c r="Q1595" s="419"/>
      <c r="R1595" s="419"/>
      <c r="S1595" s="419"/>
      <c r="T1595" s="419"/>
      <c r="U1595" s="419"/>
      <c r="V1595" s="419"/>
      <c r="W1595" s="419">
        <f t="shared" si="73"/>
        <v>0</v>
      </c>
      <c r="X1595" s="412"/>
      <c r="Y1595" s="412"/>
      <c r="Z1595" s="412"/>
      <c r="AA1595" s="412"/>
      <c r="AB1595" s="412"/>
      <c r="AC1595" s="412"/>
      <c r="AD1595" s="412"/>
      <c r="AE1595" s="412"/>
      <c r="AF1595" s="412"/>
      <c r="AG1595" s="412"/>
      <c r="AH1595" s="412"/>
      <c r="AI1595" s="412"/>
      <c r="AJ1595" s="412">
        <f t="shared" si="74"/>
        <v>0</v>
      </c>
      <c r="AK1595" s="208"/>
      <c r="AL1595" s="250" t="s">
        <v>2068</v>
      </c>
    </row>
    <row r="1596" spans="1:38" x14ac:dyDescent="0.2">
      <c r="A1596" t="s">
        <v>893</v>
      </c>
      <c r="B1596" s="209">
        <v>5177</v>
      </c>
      <c r="C1596" s="210" t="s">
        <v>1124</v>
      </c>
      <c r="D1596" s="230" t="s">
        <v>1364</v>
      </c>
      <c r="E1596" s="230" t="s">
        <v>1630</v>
      </c>
      <c r="F1596" s="242">
        <v>300</v>
      </c>
      <c r="G1596" s="205">
        <v>1</v>
      </c>
      <c r="H1596" s="206">
        <v>300</v>
      </c>
      <c r="I1596" s="207">
        <v>41462</v>
      </c>
      <c r="J1596" s="197" t="str">
        <f t="shared" si="75"/>
        <v>ok</v>
      </c>
      <c r="K1596" s="419"/>
      <c r="L1596" s="419"/>
      <c r="M1596" s="419"/>
      <c r="N1596" s="419"/>
      <c r="O1596" s="419"/>
      <c r="P1596" s="419"/>
      <c r="Q1596" s="419"/>
      <c r="R1596" s="419"/>
      <c r="S1596" s="419"/>
      <c r="T1596" s="419"/>
      <c r="U1596" s="419"/>
      <c r="V1596" s="419"/>
      <c r="W1596" s="419">
        <f t="shared" si="73"/>
        <v>0</v>
      </c>
      <c r="X1596" s="412"/>
      <c r="Y1596" s="412"/>
      <c r="Z1596" s="412"/>
      <c r="AA1596" s="412"/>
      <c r="AB1596" s="412"/>
      <c r="AC1596" s="412"/>
      <c r="AD1596" s="412">
        <v>300</v>
      </c>
      <c r="AE1596" s="412"/>
      <c r="AF1596" s="412"/>
      <c r="AG1596" s="412"/>
      <c r="AH1596" s="412"/>
      <c r="AI1596" s="412"/>
      <c r="AJ1596" s="412">
        <f t="shared" si="74"/>
        <v>300</v>
      </c>
      <c r="AK1596" s="208"/>
      <c r="AL1596" s="250" t="s">
        <v>2067</v>
      </c>
    </row>
    <row r="1597" spans="1:38" x14ac:dyDescent="0.2">
      <c r="A1597" t="s">
        <v>884</v>
      </c>
      <c r="B1597" s="209">
        <v>5178</v>
      </c>
      <c r="C1597" s="210" t="s">
        <v>772</v>
      </c>
      <c r="D1597" s="230" t="s">
        <v>1409</v>
      </c>
      <c r="E1597" s="230" t="s">
        <v>705</v>
      </c>
      <c r="F1597" s="242">
        <v>125</v>
      </c>
      <c r="G1597" s="205">
        <v>1</v>
      </c>
      <c r="H1597" s="206">
        <v>125</v>
      </c>
      <c r="I1597" s="207">
        <v>41462</v>
      </c>
      <c r="J1597" s="197" t="str">
        <f t="shared" si="75"/>
        <v>ok</v>
      </c>
      <c r="K1597" s="419"/>
      <c r="L1597" s="419"/>
      <c r="M1597" s="419"/>
      <c r="N1597" s="419"/>
      <c r="O1597" s="419"/>
      <c r="P1597" s="419"/>
      <c r="Q1597" s="419"/>
      <c r="R1597" s="419"/>
      <c r="S1597" s="419"/>
      <c r="T1597" s="419"/>
      <c r="U1597" s="419"/>
      <c r="V1597" s="419"/>
      <c r="W1597" s="419">
        <f t="shared" si="73"/>
        <v>0</v>
      </c>
      <c r="X1597" s="412"/>
      <c r="Y1597" s="412"/>
      <c r="Z1597" s="412"/>
      <c r="AA1597" s="412"/>
      <c r="AB1597" s="412"/>
      <c r="AC1597" s="412"/>
      <c r="AD1597" s="412">
        <v>125</v>
      </c>
      <c r="AE1597" s="412"/>
      <c r="AF1597" s="412"/>
      <c r="AG1597" s="412"/>
      <c r="AH1597" s="412"/>
      <c r="AI1597" s="412"/>
      <c r="AJ1597" s="412">
        <f t="shared" si="74"/>
        <v>125</v>
      </c>
      <c r="AK1597" s="208"/>
      <c r="AL1597" s="250" t="s">
        <v>2067</v>
      </c>
    </row>
    <row r="1598" spans="1:38" x14ac:dyDescent="0.2">
      <c r="A1598" t="s">
        <v>893</v>
      </c>
      <c r="B1598" s="209">
        <v>5179</v>
      </c>
      <c r="C1598" s="210" t="s">
        <v>1073</v>
      </c>
      <c r="D1598" s="230" t="s">
        <v>1626</v>
      </c>
      <c r="E1598" s="230" t="s">
        <v>711</v>
      </c>
      <c r="F1598" s="242">
        <v>300</v>
      </c>
      <c r="G1598" s="205">
        <v>1</v>
      </c>
      <c r="H1598" s="206">
        <v>600</v>
      </c>
      <c r="I1598" s="207">
        <v>41462</v>
      </c>
      <c r="J1598" s="197" t="str">
        <f t="shared" si="75"/>
        <v>ok</v>
      </c>
      <c r="K1598" s="419"/>
      <c r="L1598" s="419"/>
      <c r="M1598" s="419"/>
      <c r="N1598" s="419"/>
      <c r="O1598" s="419"/>
      <c r="P1598" s="419"/>
      <c r="Q1598" s="419"/>
      <c r="R1598" s="419"/>
      <c r="S1598" s="419"/>
      <c r="T1598" s="419"/>
      <c r="U1598" s="419"/>
      <c r="V1598" s="419"/>
      <c r="W1598" s="419">
        <f t="shared" si="73"/>
        <v>0</v>
      </c>
      <c r="X1598" s="412"/>
      <c r="Y1598" s="412"/>
      <c r="Z1598" s="412"/>
      <c r="AA1598" s="412">
        <v>300</v>
      </c>
      <c r="AB1598" s="412">
        <v>300</v>
      </c>
      <c r="AC1598" s="412"/>
      <c r="AD1598" s="412"/>
      <c r="AE1598" s="412"/>
      <c r="AF1598" s="412"/>
      <c r="AG1598" s="412"/>
      <c r="AH1598" s="412"/>
      <c r="AI1598" s="412"/>
      <c r="AJ1598" s="412">
        <f t="shared" si="74"/>
        <v>600</v>
      </c>
      <c r="AK1598" s="208"/>
      <c r="AL1598" s="250" t="s">
        <v>2067</v>
      </c>
    </row>
    <row r="1599" spans="1:38" x14ac:dyDescent="0.2">
      <c r="A1599" t="s">
        <v>884</v>
      </c>
      <c r="B1599" s="209">
        <v>5180</v>
      </c>
      <c r="C1599" s="210" t="s">
        <v>867</v>
      </c>
      <c r="D1599" s="230" t="s">
        <v>1513</v>
      </c>
      <c r="E1599" s="230" t="s">
        <v>118</v>
      </c>
      <c r="F1599" s="242">
        <v>300</v>
      </c>
      <c r="G1599" s="205">
        <v>1</v>
      </c>
      <c r="H1599" s="206">
        <v>300</v>
      </c>
      <c r="I1599" s="207">
        <v>41462</v>
      </c>
      <c r="J1599" s="197" t="str">
        <f t="shared" si="75"/>
        <v>ok</v>
      </c>
      <c r="K1599" s="419"/>
      <c r="L1599" s="419"/>
      <c r="M1599" s="419"/>
      <c r="N1599" s="419"/>
      <c r="O1599" s="419"/>
      <c r="P1599" s="419"/>
      <c r="Q1599" s="419"/>
      <c r="R1599" s="419"/>
      <c r="S1599" s="419"/>
      <c r="T1599" s="419"/>
      <c r="U1599" s="419"/>
      <c r="V1599" s="419"/>
      <c r="W1599" s="419">
        <f t="shared" si="73"/>
        <v>0</v>
      </c>
      <c r="X1599" s="412"/>
      <c r="Y1599" s="412"/>
      <c r="Z1599" s="412"/>
      <c r="AA1599" s="412"/>
      <c r="AB1599" s="412"/>
      <c r="AC1599" s="412"/>
      <c r="AD1599" s="412">
        <v>300</v>
      </c>
      <c r="AE1599" s="412"/>
      <c r="AF1599" s="412"/>
      <c r="AG1599" s="412"/>
      <c r="AH1599" s="412"/>
      <c r="AI1599" s="412"/>
      <c r="AJ1599" s="412">
        <f t="shared" si="74"/>
        <v>300</v>
      </c>
      <c r="AK1599" s="208"/>
      <c r="AL1599" s="250" t="s">
        <v>2067</v>
      </c>
    </row>
    <row r="1600" spans="1:38" x14ac:dyDescent="0.2">
      <c r="A1600" t="s">
        <v>893</v>
      </c>
      <c r="B1600" s="209">
        <v>5181</v>
      </c>
      <c r="C1600" s="210" t="s">
        <v>1110</v>
      </c>
      <c r="D1600" s="230" t="s">
        <v>1583</v>
      </c>
      <c r="E1600" s="230" t="s">
        <v>113</v>
      </c>
      <c r="F1600" s="242">
        <v>300</v>
      </c>
      <c r="G1600" s="205">
        <v>1</v>
      </c>
      <c r="H1600" s="206">
        <v>300</v>
      </c>
      <c r="I1600" s="207">
        <v>41462</v>
      </c>
      <c r="J1600" s="197" t="str">
        <f t="shared" si="75"/>
        <v>ok</v>
      </c>
      <c r="K1600" s="419"/>
      <c r="L1600" s="419"/>
      <c r="M1600" s="419"/>
      <c r="N1600" s="419"/>
      <c r="O1600" s="419"/>
      <c r="P1600" s="419"/>
      <c r="Q1600" s="419"/>
      <c r="R1600" s="419"/>
      <c r="S1600" s="419"/>
      <c r="T1600" s="419"/>
      <c r="U1600" s="419"/>
      <c r="V1600" s="419"/>
      <c r="W1600" s="419">
        <f t="shared" si="73"/>
        <v>0</v>
      </c>
      <c r="X1600" s="412"/>
      <c r="Y1600" s="412"/>
      <c r="Z1600" s="412"/>
      <c r="AA1600" s="412"/>
      <c r="AB1600" s="412"/>
      <c r="AC1600" s="412"/>
      <c r="AD1600" s="412">
        <v>300</v>
      </c>
      <c r="AE1600" s="412"/>
      <c r="AF1600" s="412"/>
      <c r="AG1600" s="412"/>
      <c r="AH1600" s="412"/>
      <c r="AI1600" s="412"/>
      <c r="AJ1600" s="412">
        <f t="shared" si="74"/>
        <v>300</v>
      </c>
      <c r="AK1600" s="208"/>
      <c r="AL1600" s="250" t="s">
        <v>2067</v>
      </c>
    </row>
    <row r="1601" spans="1:38" x14ac:dyDescent="0.2">
      <c r="A1601" t="s">
        <v>884</v>
      </c>
      <c r="B1601" s="209">
        <v>5182</v>
      </c>
      <c r="C1601" s="210" t="s">
        <v>817</v>
      </c>
      <c r="D1601" s="230" t="s">
        <v>1382</v>
      </c>
      <c r="E1601" s="230" t="s">
        <v>40</v>
      </c>
      <c r="F1601" s="242">
        <v>300</v>
      </c>
      <c r="G1601" s="205">
        <v>1</v>
      </c>
      <c r="H1601" s="206">
        <v>300</v>
      </c>
      <c r="I1601" s="207">
        <v>41462</v>
      </c>
      <c r="J1601" s="197" t="str">
        <f t="shared" si="75"/>
        <v>ok</v>
      </c>
      <c r="K1601" s="419"/>
      <c r="L1601" s="419"/>
      <c r="M1601" s="419"/>
      <c r="N1601" s="419"/>
      <c r="O1601" s="419"/>
      <c r="P1601" s="419"/>
      <c r="Q1601" s="419"/>
      <c r="R1601" s="419"/>
      <c r="S1601" s="419"/>
      <c r="T1601" s="419"/>
      <c r="U1601" s="419"/>
      <c r="V1601" s="419"/>
      <c r="W1601" s="419">
        <f t="shared" si="73"/>
        <v>0</v>
      </c>
      <c r="X1601" s="412"/>
      <c r="Y1601" s="412"/>
      <c r="Z1601" s="412"/>
      <c r="AA1601" s="412"/>
      <c r="AB1601" s="412"/>
      <c r="AC1601" s="412"/>
      <c r="AD1601" s="412">
        <v>300</v>
      </c>
      <c r="AE1601" s="412"/>
      <c r="AF1601" s="412"/>
      <c r="AG1601" s="412"/>
      <c r="AH1601" s="412"/>
      <c r="AI1601" s="412"/>
      <c r="AJ1601" s="412">
        <f t="shared" si="74"/>
        <v>300</v>
      </c>
      <c r="AK1601" s="208"/>
      <c r="AL1601" s="250" t="s">
        <v>2067</v>
      </c>
    </row>
    <row r="1602" spans="1:38" x14ac:dyDescent="0.2">
      <c r="A1602" t="s">
        <v>890</v>
      </c>
      <c r="B1602" s="209">
        <v>5183</v>
      </c>
      <c r="C1602" s="210" t="s">
        <v>1037</v>
      </c>
      <c r="D1602" s="230" t="s">
        <v>1612</v>
      </c>
      <c r="E1602" s="230" t="s">
        <v>543</v>
      </c>
      <c r="F1602" s="242">
        <v>300</v>
      </c>
      <c r="G1602" s="205">
        <v>1</v>
      </c>
      <c r="H1602" s="206">
        <v>300</v>
      </c>
      <c r="I1602" s="207">
        <v>41462</v>
      </c>
      <c r="J1602" s="197" t="str">
        <f t="shared" si="75"/>
        <v>ok</v>
      </c>
      <c r="K1602" s="419"/>
      <c r="L1602" s="419"/>
      <c r="M1602" s="419"/>
      <c r="N1602" s="419"/>
      <c r="O1602" s="419"/>
      <c r="P1602" s="419"/>
      <c r="Q1602" s="419"/>
      <c r="R1602" s="419"/>
      <c r="S1602" s="419"/>
      <c r="T1602" s="419"/>
      <c r="U1602" s="419"/>
      <c r="V1602" s="419"/>
      <c r="W1602" s="419">
        <f t="shared" si="73"/>
        <v>0</v>
      </c>
      <c r="X1602" s="412"/>
      <c r="Y1602" s="412"/>
      <c r="Z1602" s="412"/>
      <c r="AA1602" s="412"/>
      <c r="AB1602" s="412"/>
      <c r="AC1602" s="412"/>
      <c r="AD1602" s="412">
        <v>300</v>
      </c>
      <c r="AE1602" s="412"/>
      <c r="AF1602" s="412"/>
      <c r="AG1602" s="412"/>
      <c r="AH1602" s="412"/>
      <c r="AI1602" s="412"/>
      <c r="AJ1602" s="412">
        <f t="shared" si="74"/>
        <v>300</v>
      </c>
      <c r="AK1602" s="208"/>
      <c r="AL1602" s="250" t="s">
        <v>2067</v>
      </c>
    </row>
    <row r="1603" spans="1:38" x14ac:dyDescent="0.2">
      <c r="A1603" t="s">
        <v>884</v>
      </c>
      <c r="B1603" s="209">
        <v>5184</v>
      </c>
      <c r="C1603" s="210" t="s">
        <v>878</v>
      </c>
      <c r="D1603" s="230" t="s">
        <v>1448</v>
      </c>
      <c r="E1603" s="230" t="s">
        <v>1725</v>
      </c>
      <c r="F1603" s="242">
        <v>300</v>
      </c>
      <c r="G1603" s="205">
        <v>3</v>
      </c>
      <c r="H1603" s="206">
        <v>150</v>
      </c>
      <c r="I1603" s="207">
        <v>41462</v>
      </c>
      <c r="J1603" s="197" t="str">
        <f t="shared" si="75"/>
        <v>ok</v>
      </c>
      <c r="K1603" s="419"/>
      <c r="L1603" s="419"/>
      <c r="M1603" s="419"/>
      <c r="N1603" s="419"/>
      <c r="O1603" s="419"/>
      <c r="P1603" s="419"/>
      <c r="Q1603" s="419"/>
      <c r="R1603" s="419"/>
      <c r="S1603" s="419"/>
      <c r="T1603" s="419"/>
      <c r="U1603" s="419"/>
      <c r="V1603" s="419"/>
      <c r="W1603" s="419">
        <f t="shared" si="73"/>
        <v>0</v>
      </c>
      <c r="X1603" s="412"/>
      <c r="Y1603" s="412"/>
      <c r="Z1603" s="412"/>
      <c r="AA1603" s="412"/>
      <c r="AB1603" s="412"/>
      <c r="AC1603" s="412"/>
      <c r="AD1603" s="412"/>
      <c r="AE1603" s="412"/>
      <c r="AF1603" s="412"/>
      <c r="AG1603" s="412"/>
      <c r="AH1603" s="412"/>
      <c r="AI1603" s="412"/>
      <c r="AJ1603" s="412">
        <f t="shared" si="74"/>
        <v>0</v>
      </c>
      <c r="AK1603" s="208"/>
      <c r="AL1603" s="250" t="s">
        <v>2068</v>
      </c>
    </row>
    <row r="1604" spans="1:38" x14ac:dyDescent="0.2">
      <c r="A1604" t="s">
        <v>890</v>
      </c>
      <c r="B1604" s="209">
        <v>5185</v>
      </c>
      <c r="C1604" s="210" t="s">
        <v>770</v>
      </c>
      <c r="D1604" s="230" t="s">
        <v>1438</v>
      </c>
      <c r="E1604" s="230" t="s">
        <v>536</v>
      </c>
      <c r="F1604" s="242">
        <v>300</v>
      </c>
      <c r="G1604" s="205">
        <v>1</v>
      </c>
      <c r="H1604" s="206">
        <v>300</v>
      </c>
      <c r="I1604" s="207">
        <v>41462</v>
      </c>
      <c r="J1604" s="197" t="str">
        <f t="shared" si="75"/>
        <v>ok</v>
      </c>
      <c r="K1604" s="419"/>
      <c r="L1604" s="419"/>
      <c r="M1604" s="419"/>
      <c r="N1604" s="419"/>
      <c r="O1604" s="419"/>
      <c r="P1604" s="419"/>
      <c r="Q1604" s="419"/>
      <c r="R1604" s="419"/>
      <c r="S1604" s="419"/>
      <c r="T1604" s="419"/>
      <c r="U1604" s="419"/>
      <c r="V1604" s="419"/>
      <c r="W1604" s="419">
        <f t="shared" si="73"/>
        <v>0</v>
      </c>
      <c r="X1604" s="412"/>
      <c r="Y1604" s="412"/>
      <c r="Z1604" s="412"/>
      <c r="AA1604" s="412"/>
      <c r="AB1604" s="412"/>
      <c r="AC1604" s="412"/>
      <c r="AD1604" s="412">
        <v>300</v>
      </c>
      <c r="AE1604" s="412"/>
      <c r="AF1604" s="412"/>
      <c r="AG1604" s="412"/>
      <c r="AH1604" s="412"/>
      <c r="AI1604" s="412"/>
      <c r="AJ1604" s="412">
        <f t="shared" si="74"/>
        <v>300</v>
      </c>
      <c r="AK1604" s="208"/>
      <c r="AL1604" s="250" t="s">
        <v>2067</v>
      </c>
    </row>
    <row r="1605" spans="1:38" x14ac:dyDescent="0.2">
      <c r="A1605" t="s">
        <v>888</v>
      </c>
      <c r="B1605" s="209">
        <v>5186</v>
      </c>
      <c r="C1605" s="210" t="s">
        <v>761</v>
      </c>
      <c r="D1605" s="230" t="s">
        <v>1419</v>
      </c>
      <c r="E1605" s="230" t="s">
        <v>443</v>
      </c>
      <c r="F1605" s="242">
        <v>300</v>
      </c>
      <c r="G1605" s="205">
        <v>1</v>
      </c>
      <c r="H1605" s="206">
        <v>300</v>
      </c>
      <c r="I1605" s="207">
        <v>41462</v>
      </c>
      <c r="J1605" s="197" t="str">
        <f t="shared" si="75"/>
        <v>ok</v>
      </c>
      <c r="K1605" s="419"/>
      <c r="L1605" s="419"/>
      <c r="M1605" s="419"/>
      <c r="N1605" s="419"/>
      <c r="O1605" s="419"/>
      <c r="P1605" s="419"/>
      <c r="Q1605" s="419"/>
      <c r="R1605" s="419"/>
      <c r="S1605" s="419"/>
      <c r="T1605" s="419"/>
      <c r="U1605" s="419"/>
      <c r="V1605" s="419"/>
      <c r="W1605" s="419">
        <f t="shared" si="73"/>
        <v>0</v>
      </c>
      <c r="X1605" s="412"/>
      <c r="Y1605" s="412"/>
      <c r="Z1605" s="412"/>
      <c r="AA1605" s="412"/>
      <c r="AB1605" s="412"/>
      <c r="AC1605" s="412"/>
      <c r="AD1605" s="412">
        <v>300</v>
      </c>
      <c r="AE1605" s="412"/>
      <c r="AF1605" s="412"/>
      <c r="AG1605" s="412"/>
      <c r="AH1605" s="412"/>
      <c r="AI1605" s="412"/>
      <c r="AJ1605" s="412">
        <f t="shared" si="74"/>
        <v>300</v>
      </c>
      <c r="AK1605" s="208"/>
      <c r="AL1605" s="250" t="s">
        <v>2067</v>
      </c>
    </row>
    <row r="1606" spans="1:38" x14ac:dyDescent="0.2">
      <c r="A1606" t="s">
        <v>893</v>
      </c>
      <c r="B1606" s="209">
        <v>5187</v>
      </c>
      <c r="C1606" s="210" t="s">
        <v>780</v>
      </c>
      <c r="D1606" s="230" t="s">
        <v>1593</v>
      </c>
      <c r="E1606" s="230" t="s">
        <v>294</v>
      </c>
      <c r="F1606" s="242">
        <v>300</v>
      </c>
      <c r="G1606" s="205">
        <v>1</v>
      </c>
      <c r="H1606" s="206">
        <v>300</v>
      </c>
      <c r="I1606" s="207">
        <v>41462</v>
      </c>
      <c r="J1606" s="197" t="str">
        <f t="shared" si="75"/>
        <v>ok</v>
      </c>
      <c r="K1606" s="419"/>
      <c r="L1606" s="419"/>
      <c r="M1606" s="419"/>
      <c r="N1606" s="419"/>
      <c r="O1606" s="419"/>
      <c r="P1606" s="419"/>
      <c r="Q1606" s="419"/>
      <c r="R1606" s="419"/>
      <c r="S1606" s="419"/>
      <c r="T1606" s="419"/>
      <c r="U1606" s="419"/>
      <c r="V1606" s="419"/>
      <c r="W1606" s="419">
        <f t="shared" si="73"/>
        <v>0</v>
      </c>
      <c r="X1606" s="412"/>
      <c r="Y1606" s="412"/>
      <c r="Z1606" s="412"/>
      <c r="AA1606" s="412"/>
      <c r="AB1606" s="412"/>
      <c r="AC1606" s="412"/>
      <c r="AD1606" s="412">
        <v>300</v>
      </c>
      <c r="AE1606" s="412"/>
      <c r="AF1606" s="412"/>
      <c r="AG1606" s="412"/>
      <c r="AH1606" s="412"/>
      <c r="AI1606" s="412"/>
      <c r="AJ1606" s="412">
        <f t="shared" si="74"/>
        <v>300</v>
      </c>
      <c r="AK1606" s="208"/>
      <c r="AL1606" s="250" t="s">
        <v>2067</v>
      </c>
    </row>
    <row r="1607" spans="1:38" x14ac:dyDescent="0.2">
      <c r="A1607" t="s">
        <v>893</v>
      </c>
      <c r="B1607" s="209">
        <v>5188</v>
      </c>
      <c r="C1607" s="210" t="s">
        <v>1139</v>
      </c>
      <c r="D1607" s="230" t="s">
        <v>1528</v>
      </c>
      <c r="E1607" s="230" t="s">
        <v>313</v>
      </c>
      <c r="F1607" s="242">
        <v>300</v>
      </c>
      <c r="G1607" s="205">
        <v>1</v>
      </c>
      <c r="H1607" s="206">
        <v>300</v>
      </c>
      <c r="I1607" s="207">
        <v>41462</v>
      </c>
      <c r="J1607" s="197" t="str">
        <f t="shared" si="75"/>
        <v>ok</v>
      </c>
      <c r="K1607" s="419"/>
      <c r="L1607" s="419"/>
      <c r="M1607" s="419"/>
      <c r="N1607" s="419"/>
      <c r="O1607" s="419"/>
      <c r="P1607" s="419"/>
      <c r="Q1607" s="419"/>
      <c r="R1607" s="419"/>
      <c r="S1607" s="419"/>
      <c r="T1607" s="419"/>
      <c r="U1607" s="419"/>
      <c r="V1607" s="419"/>
      <c r="W1607" s="419">
        <f t="shared" ref="W1607:W1670" si="76">SUM(K1607:V1607)</f>
        <v>0</v>
      </c>
      <c r="X1607" s="412"/>
      <c r="Y1607" s="412"/>
      <c r="Z1607" s="412"/>
      <c r="AA1607" s="412"/>
      <c r="AB1607" s="412"/>
      <c r="AC1607" s="412">
        <v>300</v>
      </c>
      <c r="AD1607" s="412"/>
      <c r="AE1607" s="412"/>
      <c r="AF1607" s="412"/>
      <c r="AG1607" s="412"/>
      <c r="AH1607" s="412"/>
      <c r="AI1607" s="412"/>
      <c r="AJ1607" s="412">
        <f t="shared" ref="AJ1607:AJ1670" si="77">SUM(X1607:AI1607)</f>
        <v>300</v>
      </c>
      <c r="AK1607" s="208"/>
      <c r="AL1607" s="250" t="s">
        <v>2067</v>
      </c>
    </row>
    <row r="1608" spans="1:38" x14ac:dyDescent="0.2">
      <c r="A1608" t="s">
        <v>893</v>
      </c>
      <c r="B1608" s="209">
        <v>5188</v>
      </c>
      <c r="C1608" s="210" t="s">
        <v>1139</v>
      </c>
      <c r="D1608" s="230" t="s">
        <v>1528</v>
      </c>
      <c r="E1608" s="230" t="s">
        <v>313</v>
      </c>
      <c r="F1608" s="242">
        <v>300</v>
      </c>
      <c r="G1608" s="205">
        <v>5</v>
      </c>
      <c r="H1608" s="206">
        <v>20</v>
      </c>
      <c r="I1608" s="207">
        <v>41462</v>
      </c>
      <c r="J1608" s="197" t="str">
        <f t="shared" si="75"/>
        <v>ok</v>
      </c>
      <c r="K1608" s="419"/>
      <c r="L1608" s="419"/>
      <c r="M1608" s="419"/>
      <c r="N1608" s="419"/>
      <c r="O1608" s="419"/>
      <c r="P1608" s="419"/>
      <c r="Q1608" s="419"/>
      <c r="R1608" s="419"/>
      <c r="S1608" s="419"/>
      <c r="T1608" s="419"/>
      <c r="U1608" s="419"/>
      <c r="V1608" s="419"/>
      <c r="W1608" s="419">
        <f t="shared" si="76"/>
        <v>0</v>
      </c>
      <c r="X1608" s="412"/>
      <c r="Y1608" s="412"/>
      <c r="Z1608" s="412"/>
      <c r="AA1608" s="412"/>
      <c r="AB1608" s="412"/>
      <c r="AC1608" s="412"/>
      <c r="AD1608" s="412"/>
      <c r="AE1608" s="412"/>
      <c r="AF1608" s="412"/>
      <c r="AG1608" s="412"/>
      <c r="AH1608" s="412"/>
      <c r="AI1608" s="412"/>
      <c r="AJ1608" s="412">
        <f t="shared" si="77"/>
        <v>0</v>
      </c>
      <c r="AK1608" s="208"/>
      <c r="AL1608" s="250" t="s">
        <v>2068</v>
      </c>
    </row>
    <row r="1609" spans="1:38" x14ac:dyDescent="0.2">
      <c r="A1609" t="s">
        <v>884</v>
      </c>
      <c r="B1609" s="209">
        <v>5189</v>
      </c>
      <c r="C1609" s="210" t="s">
        <v>861</v>
      </c>
      <c r="D1609" s="230" t="s">
        <v>1446</v>
      </c>
      <c r="E1609" s="230" t="s">
        <v>1208</v>
      </c>
      <c r="F1609" s="242">
        <v>150</v>
      </c>
      <c r="G1609" s="205">
        <v>1</v>
      </c>
      <c r="H1609" s="206">
        <v>150</v>
      </c>
      <c r="I1609" s="207">
        <v>41462</v>
      </c>
      <c r="J1609" s="197" t="str">
        <f t="shared" si="75"/>
        <v>ok</v>
      </c>
      <c r="K1609" s="419"/>
      <c r="L1609" s="419"/>
      <c r="M1609" s="419"/>
      <c r="N1609" s="419"/>
      <c r="O1609" s="419"/>
      <c r="P1609" s="419"/>
      <c r="Q1609" s="419"/>
      <c r="R1609" s="419"/>
      <c r="S1609" s="419"/>
      <c r="T1609" s="419"/>
      <c r="U1609" s="419"/>
      <c r="V1609" s="419"/>
      <c r="W1609" s="419">
        <f t="shared" si="76"/>
        <v>0</v>
      </c>
      <c r="X1609" s="412"/>
      <c r="Y1609" s="412"/>
      <c r="Z1609" s="412"/>
      <c r="AA1609" s="412"/>
      <c r="AB1609" s="412"/>
      <c r="AC1609" s="412"/>
      <c r="AD1609" s="412">
        <v>150</v>
      </c>
      <c r="AE1609" s="412"/>
      <c r="AF1609" s="412"/>
      <c r="AG1609" s="412"/>
      <c r="AH1609" s="412"/>
      <c r="AI1609" s="412"/>
      <c r="AJ1609" s="412">
        <f t="shared" si="77"/>
        <v>150</v>
      </c>
      <c r="AK1609" s="208"/>
      <c r="AL1609" s="250" t="s">
        <v>2067</v>
      </c>
    </row>
    <row r="1610" spans="1:38" x14ac:dyDescent="0.2">
      <c r="A1610" t="s">
        <v>888</v>
      </c>
      <c r="B1610" s="209">
        <v>5190</v>
      </c>
      <c r="C1610" s="210" t="s">
        <v>907</v>
      </c>
      <c r="D1610" s="230" t="s">
        <v>1614</v>
      </c>
      <c r="E1610" s="230" t="s">
        <v>1726</v>
      </c>
      <c r="F1610" s="242">
        <v>150</v>
      </c>
      <c r="G1610" s="205">
        <v>1</v>
      </c>
      <c r="H1610" s="206">
        <v>450</v>
      </c>
      <c r="I1610" s="207">
        <v>41462</v>
      </c>
      <c r="J1610" s="197" t="str">
        <f t="shared" si="75"/>
        <v>ok</v>
      </c>
      <c r="K1610" s="419"/>
      <c r="L1610" s="419"/>
      <c r="M1610" s="419"/>
      <c r="N1610" s="419"/>
      <c r="O1610" s="419"/>
      <c r="P1610" s="419"/>
      <c r="Q1610" s="419"/>
      <c r="R1610" s="419"/>
      <c r="S1610" s="419"/>
      <c r="T1610" s="419"/>
      <c r="U1610" s="419"/>
      <c r="V1610" s="419"/>
      <c r="W1610" s="419">
        <f t="shared" si="76"/>
        <v>0</v>
      </c>
      <c r="X1610" s="412"/>
      <c r="Y1610" s="412"/>
      <c r="Z1610" s="412"/>
      <c r="AA1610" s="412"/>
      <c r="AB1610" s="412"/>
      <c r="AC1610" s="412"/>
      <c r="AD1610" s="412">
        <v>150</v>
      </c>
      <c r="AE1610" s="412">
        <v>150</v>
      </c>
      <c r="AF1610" s="412">
        <v>150</v>
      </c>
      <c r="AG1610" s="412"/>
      <c r="AH1610" s="412"/>
      <c r="AI1610" s="412"/>
      <c r="AJ1610" s="412">
        <f t="shared" si="77"/>
        <v>450</v>
      </c>
      <c r="AK1610" s="208"/>
      <c r="AL1610" s="250" t="s">
        <v>2067</v>
      </c>
    </row>
    <row r="1611" spans="1:38" x14ac:dyDescent="0.2">
      <c r="A1611" t="s">
        <v>888</v>
      </c>
      <c r="B1611" s="209">
        <v>5190</v>
      </c>
      <c r="C1611" s="210" t="s">
        <v>907</v>
      </c>
      <c r="D1611" s="230" t="s">
        <v>1614</v>
      </c>
      <c r="E1611" s="230" t="s">
        <v>1726</v>
      </c>
      <c r="F1611" s="242">
        <v>150</v>
      </c>
      <c r="G1611" s="205">
        <v>5</v>
      </c>
      <c r="H1611" s="206">
        <v>20</v>
      </c>
      <c r="I1611" s="207">
        <v>41462</v>
      </c>
      <c r="J1611" s="197" t="str">
        <f t="shared" si="75"/>
        <v>ok</v>
      </c>
      <c r="K1611" s="419"/>
      <c r="L1611" s="419"/>
      <c r="M1611" s="419"/>
      <c r="N1611" s="419"/>
      <c r="O1611" s="419"/>
      <c r="P1611" s="419"/>
      <c r="Q1611" s="419"/>
      <c r="R1611" s="419"/>
      <c r="S1611" s="419"/>
      <c r="T1611" s="419"/>
      <c r="U1611" s="419"/>
      <c r="V1611" s="419"/>
      <c r="W1611" s="419">
        <f t="shared" si="76"/>
        <v>0</v>
      </c>
      <c r="X1611" s="412"/>
      <c r="Y1611" s="412"/>
      <c r="Z1611" s="412"/>
      <c r="AA1611" s="412"/>
      <c r="AB1611" s="412"/>
      <c r="AC1611" s="412"/>
      <c r="AD1611" s="412"/>
      <c r="AE1611" s="412"/>
      <c r="AF1611" s="412"/>
      <c r="AG1611" s="412"/>
      <c r="AH1611" s="412"/>
      <c r="AI1611" s="412"/>
      <c r="AJ1611" s="412">
        <f t="shared" si="77"/>
        <v>0</v>
      </c>
      <c r="AK1611" s="208"/>
      <c r="AL1611" s="250" t="s">
        <v>2068</v>
      </c>
    </row>
    <row r="1612" spans="1:38" x14ac:dyDescent="0.2">
      <c r="A1612" t="s">
        <v>890</v>
      </c>
      <c r="B1612" s="209">
        <v>5191</v>
      </c>
      <c r="C1612" s="210" t="s">
        <v>1015</v>
      </c>
      <c r="D1612" s="230" t="s">
        <v>1837</v>
      </c>
      <c r="E1612" s="230" t="s">
        <v>730</v>
      </c>
      <c r="F1612" s="242">
        <v>300</v>
      </c>
      <c r="G1612" s="205">
        <v>1</v>
      </c>
      <c r="H1612" s="206">
        <v>150</v>
      </c>
      <c r="I1612" s="207">
        <v>41462</v>
      </c>
      <c r="J1612" s="197" t="str">
        <f t="shared" si="75"/>
        <v>ok</v>
      </c>
      <c r="K1612" s="419"/>
      <c r="L1612" s="419"/>
      <c r="M1612" s="419"/>
      <c r="N1612" s="419"/>
      <c r="O1612" s="419"/>
      <c r="P1612" s="419"/>
      <c r="Q1612" s="419"/>
      <c r="R1612" s="419"/>
      <c r="S1612" s="419"/>
      <c r="T1612" s="419"/>
      <c r="U1612" s="419"/>
      <c r="V1612" s="419"/>
      <c r="W1612" s="419">
        <f t="shared" si="76"/>
        <v>0</v>
      </c>
      <c r="X1612" s="412"/>
      <c r="Y1612" s="412"/>
      <c r="Z1612" s="412"/>
      <c r="AA1612" s="412"/>
      <c r="AB1612" s="412"/>
      <c r="AC1612" s="412"/>
      <c r="AD1612" s="412">
        <v>150</v>
      </c>
      <c r="AE1612" s="412"/>
      <c r="AF1612" s="412"/>
      <c r="AG1612" s="412"/>
      <c r="AH1612" s="412"/>
      <c r="AI1612" s="412"/>
      <c r="AJ1612" s="412">
        <f t="shared" si="77"/>
        <v>150</v>
      </c>
      <c r="AK1612" s="208"/>
      <c r="AL1612" s="250" t="s">
        <v>2067</v>
      </c>
    </row>
    <row r="1613" spans="1:38" x14ac:dyDescent="0.2">
      <c r="A1613" t="s">
        <v>894</v>
      </c>
      <c r="B1613" s="209">
        <v>5192</v>
      </c>
      <c r="C1613" s="210" t="s">
        <v>1178</v>
      </c>
      <c r="D1613" s="230" t="s">
        <v>1578</v>
      </c>
      <c r="E1613" s="230" t="s">
        <v>637</v>
      </c>
      <c r="F1613" s="242">
        <v>300</v>
      </c>
      <c r="G1613" s="205">
        <v>3</v>
      </c>
      <c r="H1613" s="206">
        <v>150</v>
      </c>
      <c r="I1613" s="207">
        <v>41462</v>
      </c>
      <c r="J1613" s="197" t="str">
        <f t="shared" si="75"/>
        <v>ok</v>
      </c>
      <c r="K1613" s="419"/>
      <c r="L1613" s="419"/>
      <c r="M1613" s="419"/>
      <c r="N1613" s="419"/>
      <c r="O1613" s="419"/>
      <c r="P1613" s="419"/>
      <c r="Q1613" s="419"/>
      <c r="R1613" s="419"/>
      <c r="S1613" s="419"/>
      <c r="T1613" s="419"/>
      <c r="U1613" s="419"/>
      <c r="V1613" s="419"/>
      <c r="W1613" s="419">
        <f t="shared" si="76"/>
        <v>0</v>
      </c>
      <c r="X1613" s="412"/>
      <c r="Y1613" s="412"/>
      <c r="Z1613" s="412"/>
      <c r="AA1613" s="412"/>
      <c r="AB1613" s="412"/>
      <c r="AC1613" s="412"/>
      <c r="AD1613" s="412"/>
      <c r="AE1613" s="412"/>
      <c r="AF1613" s="412"/>
      <c r="AG1613" s="412"/>
      <c r="AH1613" s="412"/>
      <c r="AI1613" s="412"/>
      <c r="AJ1613" s="412">
        <f t="shared" si="77"/>
        <v>0</v>
      </c>
      <c r="AK1613" s="208"/>
      <c r="AL1613" s="250" t="s">
        <v>2068</v>
      </c>
    </row>
    <row r="1614" spans="1:38" x14ac:dyDescent="0.2">
      <c r="A1614" t="s">
        <v>890</v>
      </c>
      <c r="B1614" s="209">
        <v>5193</v>
      </c>
      <c r="C1614" s="210" t="s">
        <v>1015</v>
      </c>
      <c r="D1614" s="230" t="s">
        <v>1837</v>
      </c>
      <c r="E1614" s="230" t="s">
        <v>730</v>
      </c>
      <c r="F1614" s="242">
        <v>300</v>
      </c>
      <c r="G1614" s="205">
        <v>5</v>
      </c>
      <c r="H1614" s="206">
        <v>40</v>
      </c>
      <c r="I1614" s="207">
        <v>41462</v>
      </c>
      <c r="J1614" s="197" t="str">
        <f t="shared" ref="J1614:J1677" si="78">IF(OR(G1614&lt;&gt;1,SUM(W1614,AJ1614)=H1614),"ok","error")</f>
        <v>ok</v>
      </c>
      <c r="K1614" s="419"/>
      <c r="L1614" s="419"/>
      <c r="M1614" s="419"/>
      <c r="N1614" s="419"/>
      <c r="O1614" s="419"/>
      <c r="P1614" s="419"/>
      <c r="Q1614" s="419"/>
      <c r="R1614" s="419"/>
      <c r="S1614" s="419"/>
      <c r="T1614" s="419"/>
      <c r="U1614" s="419"/>
      <c r="V1614" s="419"/>
      <c r="W1614" s="419">
        <f t="shared" si="76"/>
        <v>0</v>
      </c>
      <c r="X1614" s="412"/>
      <c r="Y1614" s="412"/>
      <c r="Z1614" s="412"/>
      <c r="AA1614" s="412"/>
      <c r="AB1614" s="412"/>
      <c r="AC1614" s="412"/>
      <c r="AD1614" s="412"/>
      <c r="AE1614" s="412"/>
      <c r="AF1614" s="412"/>
      <c r="AG1614" s="412"/>
      <c r="AH1614" s="412"/>
      <c r="AI1614" s="412"/>
      <c r="AJ1614" s="412">
        <f t="shared" si="77"/>
        <v>0</v>
      </c>
      <c r="AK1614" s="208"/>
      <c r="AL1614" s="250" t="s">
        <v>2068</v>
      </c>
    </row>
    <row r="1615" spans="1:38" x14ac:dyDescent="0.2">
      <c r="A1615" t="s">
        <v>893</v>
      </c>
      <c r="B1615" s="209">
        <v>5194</v>
      </c>
      <c r="C1615" s="210" t="s">
        <v>1146</v>
      </c>
      <c r="D1615" s="230" t="s">
        <v>1576</v>
      </c>
      <c r="E1615" s="230" t="s">
        <v>327</v>
      </c>
      <c r="F1615" s="242">
        <v>300</v>
      </c>
      <c r="G1615" s="205">
        <v>1</v>
      </c>
      <c r="H1615" s="206">
        <v>300</v>
      </c>
      <c r="I1615" s="207">
        <v>41462</v>
      </c>
      <c r="J1615" s="197" t="str">
        <f t="shared" si="78"/>
        <v>ok</v>
      </c>
      <c r="K1615" s="419"/>
      <c r="L1615" s="419"/>
      <c r="M1615" s="419"/>
      <c r="N1615" s="419"/>
      <c r="O1615" s="419"/>
      <c r="P1615" s="419"/>
      <c r="Q1615" s="419"/>
      <c r="R1615" s="419"/>
      <c r="S1615" s="419"/>
      <c r="T1615" s="419"/>
      <c r="U1615" s="419"/>
      <c r="V1615" s="419"/>
      <c r="W1615" s="419">
        <f t="shared" si="76"/>
        <v>0</v>
      </c>
      <c r="X1615" s="412"/>
      <c r="Y1615" s="412"/>
      <c r="Z1615" s="412"/>
      <c r="AA1615" s="412"/>
      <c r="AB1615" s="412"/>
      <c r="AC1615" s="412"/>
      <c r="AD1615" s="412">
        <v>300</v>
      </c>
      <c r="AE1615" s="412"/>
      <c r="AF1615" s="412"/>
      <c r="AG1615" s="412"/>
      <c r="AH1615" s="412"/>
      <c r="AI1615" s="412"/>
      <c r="AJ1615" s="412">
        <f t="shared" si="77"/>
        <v>300</v>
      </c>
      <c r="AK1615" s="208"/>
      <c r="AL1615" s="250" t="s">
        <v>2067</v>
      </c>
    </row>
    <row r="1616" spans="1:38" x14ac:dyDescent="0.2">
      <c r="A1616" t="s">
        <v>893</v>
      </c>
      <c r="B1616" s="209">
        <v>5194</v>
      </c>
      <c r="C1616" s="210" t="s">
        <v>1146</v>
      </c>
      <c r="D1616" s="230" t="s">
        <v>1576</v>
      </c>
      <c r="E1616" s="230" t="s">
        <v>327</v>
      </c>
      <c r="F1616" s="242">
        <v>300</v>
      </c>
      <c r="G1616" s="205">
        <v>3</v>
      </c>
      <c r="H1616" s="206">
        <v>150</v>
      </c>
      <c r="I1616" s="207">
        <v>41462</v>
      </c>
      <c r="J1616" s="197" t="str">
        <f t="shared" si="78"/>
        <v>ok</v>
      </c>
      <c r="K1616" s="419"/>
      <c r="L1616" s="419"/>
      <c r="M1616" s="419"/>
      <c r="N1616" s="419"/>
      <c r="O1616" s="419"/>
      <c r="P1616" s="419"/>
      <c r="Q1616" s="419"/>
      <c r="R1616" s="419"/>
      <c r="S1616" s="419"/>
      <c r="T1616" s="419"/>
      <c r="U1616" s="419"/>
      <c r="V1616" s="419"/>
      <c r="W1616" s="419">
        <f t="shared" si="76"/>
        <v>0</v>
      </c>
      <c r="X1616" s="412"/>
      <c r="Y1616" s="412"/>
      <c r="Z1616" s="412"/>
      <c r="AA1616" s="412"/>
      <c r="AB1616" s="412"/>
      <c r="AC1616" s="412"/>
      <c r="AD1616" s="412"/>
      <c r="AE1616" s="412"/>
      <c r="AF1616" s="412"/>
      <c r="AG1616" s="412"/>
      <c r="AH1616" s="412"/>
      <c r="AI1616" s="412"/>
      <c r="AJ1616" s="412">
        <f t="shared" si="77"/>
        <v>0</v>
      </c>
      <c r="AK1616" s="208"/>
      <c r="AL1616" s="250" t="s">
        <v>2068</v>
      </c>
    </row>
    <row r="1617" spans="1:38" x14ac:dyDescent="0.2">
      <c r="A1617" t="s">
        <v>893</v>
      </c>
      <c r="B1617" s="209">
        <v>5195</v>
      </c>
      <c r="C1617" s="210" t="s">
        <v>1082</v>
      </c>
      <c r="D1617" s="230" t="s">
        <v>1544</v>
      </c>
      <c r="E1617" s="230" t="s">
        <v>204</v>
      </c>
      <c r="F1617" s="242">
        <v>300</v>
      </c>
      <c r="G1617" s="205">
        <v>1</v>
      </c>
      <c r="H1617" s="206">
        <v>300</v>
      </c>
      <c r="I1617" s="207">
        <v>41462</v>
      </c>
      <c r="J1617" s="197" t="str">
        <f t="shared" si="78"/>
        <v>ok</v>
      </c>
      <c r="K1617" s="419"/>
      <c r="L1617" s="419"/>
      <c r="M1617" s="419"/>
      <c r="N1617" s="419"/>
      <c r="O1617" s="419"/>
      <c r="P1617" s="419"/>
      <c r="Q1617" s="419"/>
      <c r="R1617" s="419"/>
      <c r="S1617" s="419"/>
      <c r="T1617" s="419"/>
      <c r="U1617" s="419"/>
      <c r="V1617" s="419"/>
      <c r="W1617" s="419">
        <f t="shared" si="76"/>
        <v>0</v>
      </c>
      <c r="X1617" s="412"/>
      <c r="Y1617" s="412"/>
      <c r="Z1617" s="412"/>
      <c r="AA1617" s="412"/>
      <c r="AB1617" s="412"/>
      <c r="AC1617" s="412"/>
      <c r="AD1617" s="412">
        <v>300</v>
      </c>
      <c r="AE1617" s="412"/>
      <c r="AF1617" s="412"/>
      <c r="AG1617" s="412"/>
      <c r="AH1617" s="412"/>
      <c r="AI1617" s="412"/>
      <c r="AJ1617" s="412">
        <f t="shared" si="77"/>
        <v>300</v>
      </c>
      <c r="AK1617" s="208"/>
      <c r="AL1617" s="250" t="s">
        <v>2067</v>
      </c>
    </row>
    <row r="1618" spans="1:38" x14ac:dyDescent="0.2">
      <c r="A1618" t="s">
        <v>884</v>
      </c>
      <c r="B1618" s="209">
        <v>5196</v>
      </c>
      <c r="C1618" s="210" t="s">
        <v>775</v>
      </c>
      <c r="D1618" s="230" t="s">
        <v>1388</v>
      </c>
      <c r="E1618" s="230" t="s">
        <v>1207</v>
      </c>
      <c r="F1618" s="242">
        <v>300</v>
      </c>
      <c r="G1618" s="205">
        <v>1</v>
      </c>
      <c r="H1618" s="206">
        <v>300</v>
      </c>
      <c r="I1618" s="207">
        <v>41462</v>
      </c>
      <c r="J1618" s="197" t="str">
        <f t="shared" si="78"/>
        <v>ok</v>
      </c>
      <c r="K1618" s="419"/>
      <c r="L1618" s="419"/>
      <c r="M1618" s="419"/>
      <c r="N1618" s="419"/>
      <c r="O1618" s="419"/>
      <c r="P1618" s="419"/>
      <c r="Q1618" s="419"/>
      <c r="R1618" s="419"/>
      <c r="S1618" s="419"/>
      <c r="T1618" s="419"/>
      <c r="U1618" s="419"/>
      <c r="V1618" s="419"/>
      <c r="W1618" s="419">
        <f t="shared" si="76"/>
        <v>0</v>
      </c>
      <c r="X1618" s="412"/>
      <c r="Y1618" s="412"/>
      <c r="Z1618" s="412"/>
      <c r="AA1618" s="412"/>
      <c r="AB1618" s="412"/>
      <c r="AC1618" s="412"/>
      <c r="AD1618" s="412">
        <v>300</v>
      </c>
      <c r="AE1618" s="412"/>
      <c r="AF1618" s="412"/>
      <c r="AG1618" s="412"/>
      <c r="AH1618" s="412"/>
      <c r="AI1618" s="412"/>
      <c r="AJ1618" s="412">
        <f t="shared" si="77"/>
        <v>300</v>
      </c>
      <c r="AK1618" s="208"/>
      <c r="AL1618" s="250" t="s">
        <v>2067</v>
      </c>
    </row>
    <row r="1619" spans="1:38" x14ac:dyDescent="0.2">
      <c r="A1619" t="s">
        <v>893</v>
      </c>
      <c r="B1619" s="209">
        <v>5197</v>
      </c>
      <c r="C1619" s="210" t="s">
        <v>1092</v>
      </c>
      <c r="D1619" s="230" t="s">
        <v>1569</v>
      </c>
      <c r="E1619" s="230" t="s">
        <v>223</v>
      </c>
      <c r="F1619" s="242">
        <v>300</v>
      </c>
      <c r="G1619" s="205">
        <v>1</v>
      </c>
      <c r="H1619" s="206">
        <v>600</v>
      </c>
      <c r="I1619" s="207">
        <v>41462</v>
      </c>
      <c r="J1619" s="197" t="str">
        <f t="shared" si="78"/>
        <v>ok</v>
      </c>
      <c r="K1619" s="419"/>
      <c r="L1619" s="419"/>
      <c r="M1619" s="419"/>
      <c r="N1619" s="419"/>
      <c r="O1619" s="419"/>
      <c r="P1619" s="419"/>
      <c r="Q1619" s="419"/>
      <c r="R1619" s="419"/>
      <c r="S1619" s="419"/>
      <c r="T1619" s="419"/>
      <c r="U1619" s="419"/>
      <c r="V1619" s="419"/>
      <c r="W1619" s="419">
        <f t="shared" si="76"/>
        <v>0</v>
      </c>
      <c r="X1619" s="412"/>
      <c r="Y1619" s="412"/>
      <c r="Z1619" s="412"/>
      <c r="AA1619" s="412"/>
      <c r="AB1619" s="412">
        <v>300</v>
      </c>
      <c r="AC1619" s="412">
        <v>300</v>
      </c>
      <c r="AD1619" s="412"/>
      <c r="AE1619" s="412"/>
      <c r="AF1619" s="412"/>
      <c r="AG1619" s="412"/>
      <c r="AH1619" s="412"/>
      <c r="AI1619" s="412"/>
      <c r="AJ1619" s="412">
        <f t="shared" si="77"/>
        <v>600</v>
      </c>
      <c r="AK1619" s="208"/>
      <c r="AL1619" s="250" t="s">
        <v>2067</v>
      </c>
    </row>
    <row r="1620" spans="1:38" x14ac:dyDescent="0.2">
      <c r="A1620" t="s">
        <v>890</v>
      </c>
      <c r="B1620" s="209">
        <v>5198</v>
      </c>
      <c r="C1620" s="210" t="s">
        <v>1016</v>
      </c>
      <c r="D1620" s="230" t="s">
        <v>1496</v>
      </c>
      <c r="E1620" s="230" t="s">
        <v>510</v>
      </c>
      <c r="F1620" s="242">
        <v>300</v>
      </c>
      <c r="G1620" s="205">
        <v>1</v>
      </c>
      <c r="H1620" s="206">
        <v>1200</v>
      </c>
      <c r="I1620" s="207">
        <v>41462</v>
      </c>
      <c r="J1620" s="197" t="str">
        <f t="shared" si="78"/>
        <v>ok</v>
      </c>
      <c r="K1620" s="419"/>
      <c r="L1620" s="419"/>
      <c r="M1620" s="419"/>
      <c r="N1620" s="419"/>
      <c r="O1620" s="419"/>
      <c r="P1620" s="419"/>
      <c r="Q1620" s="419"/>
      <c r="R1620" s="419"/>
      <c r="S1620" s="419"/>
      <c r="T1620" s="419"/>
      <c r="U1620" s="419"/>
      <c r="V1620" s="419"/>
      <c r="W1620" s="419">
        <f t="shared" si="76"/>
        <v>0</v>
      </c>
      <c r="X1620" s="412"/>
      <c r="Y1620" s="412"/>
      <c r="Z1620" s="412"/>
      <c r="AA1620" s="412"/>
      <c r="AB1620" s="412">
        <v>300</v>
      </c>
      <c r="AC1620" s="412">
        <v>300</v>
      </c>
      <c r="AD1620" s="412">
        <v>300</v>
      </c>
      <c r="AE1620" s="412">
        <v>300</v>
      </c>
      <c r="AF1620" s="412"/>
      <c r="AG1620" s="412"/>
      <c r="AH1620" s="412"/>
      <c r="AI1620" s="412"/>
      <c r="AJ1620" s="412">
        <f t="shared" si="77"/>
        <v>1200</v>
      </c>
      <c r="AK1620" s="208"/>
      <c r="AL1620" s="250" t="s">
        <v>2067</v>
      </c>
    </row>
    <row r="1621" spans="1:38" x14ac:dyDescent="0.2">
      <c r="A1621" t="s">
        <v>890</v>
      </c>
      <c r="B1621" s="209">
        <v>5198</v>
      </c>
      <c r="C1621" s="210" t="s">
        <v>1016</v>
      </c>
      <c r="D1621" s="230" t="s">
        <v>1496</v>
      </c>
      <c r="E1621" s="230" t="s">
        <v>510</v>
      </c>
      <c r="F1621" s="242">
        <v>300</v>
      </c>
      <c r="G1621" s="205">
        <v>3</v>
      </c>
      <c r="H1621" s="206">
        <v>150</v>
      </c>
      <c r="I1621" s="207">
        <v>41462</v>
      </c>
      <c r="J1621" s="197" t="str">
        <f t="shared" si="78"/>
        <v>ok</v>
      </c>
      <c r="K1621" s="419"/>
      <c r="L1621" s="419"/>
      <c r="M1621" s="419"/>
      <c r="N1621" s="419"/>
      <c r="O1621" s="419"/>
      <c r="P1621" s="419"/>
      <c r="Q1621" s="419"/>
      <c r="R1621" s="419"/>
      <c r="S1621" s="419"/>
      <c r="T1621" s="419"/>
      <c r="U1621" s="419"/>
      <c r="V1621" s="419"/>
      <c r="W1621" s="419">
        <f t="shared" si="76"/>
        <v>0</v>
      </c>
      <c r="X1621" s="412"/>
      <c r="Y1621" s="412"/>
      <c r="Z1621" s="412"/>
      <c r="AA1621" s="412"/>
      <c r="AB1621" s="412"/>
      <c r="AC1621" s="412"/>
      <c r="AD1621" s="412"/>
      <c r="AE1621" s="412"/>
      <c r="AF1621" s="412"/>
      <c r="AG1621" s="412"/>
      <c r="AH1621" s="412"/>
      <c r="AI1621" s="412"/>
      <c r="AJ1621" s="412">
        <f t="shared" si="77"/>
        <v>0</v>
      </c>
      <c r="AK1621" s="208"/>
      <c r="AL1621" s="250" t="s">
        <v>2068</v>
      </c>
    </row>
    <row r="1622" spans="1:38" x14ac:dyDescent="0.2">
      <c r="A1622" t="s">
        <v>884</v>
      </c>
      <c r="B1622" s="209">
        <v>5199</v>
      </c>
      <c r="C1622" s="210" t="s">
        <v>868</v>
      </c>
      <c r="D1622" s="230" t="s">
        <v>1585</v>
      </c>
      <c r="E1622" s="230" t="s">
        <v>119</v>
      </c>
      <c r="F1622" s="242">
        <v>300</v>
      </c>
      <c r="G1622" s="205">
        <v>1</v>
      </c>
      <c r="H1622" s="206">
        <v>1800</v>
      </c>
      <c r="I1622" s="207">
        <v>41462</v>
      </c>
      <c r="J1622" s="197" t="str">
        <f t="shared" si="78"/>
        <v>ok</v>
      </c>
      <c r="K1622" s="419"/>
      <c r="L1622" s="419"/>
      <c r="M1622" s="419"/>
      <c r="N1622" s="419"/>
      <c r="O1622" s="419"/>
      <c r="P1622" s="419"/>
      <c r="Q1622" s="419"/>
      <c r="R1622" s="419"/>
      <c r="S1622" s="419"/>
      <c r="T1622" s="419"/>
      <c r="U1622" s="419"/>
      <c r="V1622" s="419"/>
      <c r="W1622" s="419">
        <f t="shared" si="76"/>
        <v>0</v>
      </c>
      <c r="X1622" s="412"/>
      <c r="Y1622" s="412"/>
      <c r="Z1622" s="412"/>
      <c r="AA1622" s="412"/>
      <c r="AB1622" s="412"/>
      <c r="AC1622" s="412"/>
      <c r="AD1622" s="412">
        <v>300</v>
      </c>
      <c r="AE1622" s="412">
        <v>300</v>
      </c>
      <c r="AF1622" s="412">
        <v>300</v>
      </c>
      <c r="AG1622" s="412">
        <v>300</v>
      </c>
      <c r="AH1622" s="412">
        <v>300</v>
      </c>
      <c r="AI1622" s="412">
        <v>300</v>
      </c>
      <c r="AJ1622" s="412">
        <f t="shared" si="77"/>
        <v>1800</v>
      </c>
      <c r="AK1622" s="208"/>
      <c r="AL1622" s="250" t="s">
        <v>2067</v>
      </c>
    </row>
    <row r="1623" spans="1:38" x14ac:dyDescent="0.2">
      <c r="A1623" t="s">
        <v>890</v>
      </c>
      <c r="B1623" s="209">
        <v>5200</v>
      </c>
      <c r="C1623" s="210" t="s">
        <v>1038</v>
      </c>
      <c r="D1623" s="230" t="s">
        <v>1645</v>
      </c>
      <c r="E1623" s="230" t="s">
        <v>545</v>
      </c>
      <c r="F1623" s="242">
        <v>300</v>
      </c>
      <c r="G1623" s="205">
        <v>1</v>
      </c>
      <c r="H1623" s="206">
        <v>1200</v>
      </c>
      <c r="I1623" s="207">
        <v>41462</v>
      </c>
      <c r="J1623" s="197" t="str">
        <f t="shared" si="78"/>
        <v>ok</v>
      </c>
      <c r="K1623" s="419"/>
      <c r="L1623" s="419"/>
      <c r="M1623" s="419"/>
      <c r="N1623" s="419"/>
      <c r="O1623" s="419"/>
      <c r="P1623" s="419"/>
      <c r="Q1623" s="419"/>
      <c r="R1623" s="419"/>
      <c r="S1623" s="419"/>
      <c r="T1623" s="419"/>
      <c r="U1623" s="419"/>
      <c r="V1623" s="419"/>
      <c r="W1623" s="419">
        <f t="shared" si="76"/>
        <v>0</v>
      </c>
      <c r="X1623" s="412"/>
      <c r="Y1623" s="412"/>
      <c r="Z1623" s="412"/>
      <c r="AA1623" s="412">
        <v>300</v>
      </c>
      <c r="AB1623" s="412">
        <v>300</v>
      </c>
      <c r="AC1623" s="412">
        <v>300</v>
      </c>
      <c r="AD1623" s="412">
        <v>300</v>
      </c>
      <c r="AE1623" s="412"/>
      <c r="AF1623" s="412"/>
      <c r="AG1623" s="412"/>
      <c r="AH1623" s="412"/>
      <c r="AI1623" s="412"/>
      <c r="AJ1623" s="412">
        <f t="shared" si="77"/>
        <v>1200</v>
      </c>
      <c r="AK1623" s="208"/>
      <c r="AL1623" s="250" t="s">
        <v>2067</v>
      </c>
    </row>
    <row r="1624" spans="1:38" x14ac:dyDescent="0.2">
      <c r="A1624" t="s">
        <v>888</v>
      </c>
      <c r="B1624" s="209">
        <v>5201</v>
      </c>
      <c r="C1624" s="210" t="s">
        <v>946</v>
      </c>
      <c r="D1624" s="230" t="s">
        <v>1602</v>
      </c>
      <c r="E1624" s="230" t="s">
        <v>409</v>
      </c>
      <c r="F1624" s="242">
        <v>300</v>
      </c>
      <c r="G1624" s="205">
        <v>1</v>
      </c>
      <c r="H1624" s="206">
        <v>1200</v>
      </c>
      <c r="I1624" s="207">
        <v>41462</v>
      </c>
      <c r="J1624" s="197" t="str">
        <f t="shared" si="78"/>
        <v>ok</v>
      </c>
      <c r="K1624" s="419"/>
      <c r="L1624" s="419"/>
      <c r="M1624" s="419"/>
      <c r="N1624" s="419"/>
      <c r="O1624" s="419"/>
      <c r="P1624" s="419"/>
      <c r="Q1624" s="419"/>
      <c r="R1624" s="419"/>
      <c r="S1624" s="419"/>
      <c r="T1624" s="419"/>
      <c r="U1624" s="419"/>
      <c r="V1624" s="419"/>
      <c r="W1624" s="419">
        <f t="shared" si="76"/>
        <v>0</v>
      </c>
      <c r="X1624" s="412"/>
      <c r="Y1624" s="412"/>
      <c r="Z1624" s="412">
        <v>300</v>
      </c>
      <c r="AA1624" s="412">
        <v>300</v>
      </c>
      <c r="AB1624" s="412">
        <v>300</v>
      </c>
      <c r="AC1624" s="412">
        <v>300</v>
      </c>
      <c r="AD1624" s="412"/>
      <c r="AE1624" s="412"/>
      <c r="AF1624" s="412"/>
      <c r="AG1624" s="412"/>
      <c r="AH1624" s="412"/>
      <c r="AI1624" s="412"/>
      <c r="AJ1624" s="412">
        <f t="shared" si="77"/>
        <v>1200</v>
      </c>
      <c r="AK1624" s="208"/>
      <c r="AL1624" s="250" t="s">
        <v>2067</v>
      </c>
    </row>
    <row r="1625" spans="1:38" x14ac:dyDescent="0.2">
      <c r="A1625" t="s">
        <v>884</v>
      </c>
      <c r="B1625" s="209">
        <v>5202</v>
      </c>
      <c r="C1625" s="210" t="s">
        <v>836</v>
      </c>
      <c r="D1625" s="230" t="s">
        <v>1383</v>
      </c>
      <c r="E1625" s="230" t="s">
        <v>73</v>
      </c>
      <c r="F1625" s="242">
        <v>300</v>
      </c>
      <c r="G1625" s="205">
        <v>1</v>
      </c>
      <c r="H1625" s="206">
        <v>300</v>
      </c>
      <c r="I1625" s="207">
        <v>41462</v>
      </c>
      <c r="J1625" s="197" t="str">
        <f t="shared" si="78"/>
        <v>ok</v>
      </c>
      <c r="K1625" s="419"/>
      <c r="L1625" s="419"/>
      <c r="M1625" s="419"/>
      <c r="N1625" s="419"/>
      <c r="O1625" s="419"/>
      <c r="P1625" s="419"/>
      <c r="Q1625" s="419"/>
      <c r="R1625" s="419"/>
      <c r="S1625" s="419"/>
      <c r="T1625" s="419"/>
      <c r="U1625" s="419"/>
      <c r="V1625" s="419"/>
      <c r="W1625" s="419">
        <f t="shared" si="76"/>
        <v>0</v>
      </c>
      <c r="X1625" s="412"/>
      <c r="Y1625" s="412"/>
      <c r="Z1625" s="412"/>
      <c r="AA1625" s="412"/>
      <c r="AB1625" s="412"/>
      <c r="AC1625" s="412"/>
      <c r="AD1625" s="412">
        <v>300</v>
      </c>
      <c r="AE1625" s="412"/>
      <c r="AF1625" s="412"/>
      <c r="AG1625" s="412"/>
      <c r="AH1625" s="412"/>
      <c r="AI1625" s="412"/>
      <c r="AJ1625" s="412">
        <f t="shared" si="77"/>
        <v>300</v>
      </c>
      <c r="AK1625" s="208"/>
      <c r="AL1625" s="250" t="s">
        <v>2067</v>
      </c>
    </row>
    <row r="1626" spans="1:38" x14ac:dyDescent="0.2">
      <c r="A1626" t="s">
        <v>894</v>
      </c>
      <c r="B1626" s="209">
        <v>5203</v>
      </c>
      <c r="C1626" s="210" t="s">
        <v>784</v>
      </c>
      <c r="D1626" s="230" t="s">
        <v>1422</v>
      </c>
      <c r="E1626" s="230" t="s">
        <v>595</v>
      </c>
      <c r="F1626" s="242">
        <v>300</v>
      </c>
      <c r="G1626" s="205">
        <v>1</v>
      </c>
      <c r="H1626" s="206">
        <v>300</v>
      </c>
      <c r="I1626" s="207">
        <v>41462</v>
      </c>
      <c r="J1626" s="197" t="str">
        <f t="shared" si="78"/>
        <v>ok</v>
      </c>
      <c r="K1626" s="419"/>
      <c r="L1626" s="419"/>
      <c r="M1626" s="419"/>
      <c r="N1626" s="419"/>
      <c r="O1626" s="419"/>
      <c r="P1626" s="419"/>
      <c r="Q1626" s="419"/>
      <c r="R1626" s="419"/>
      <c r="S1626" s="419"/>
      <c r="T1626" s="419"/>
      <c r="U1626" s="419"/>
      <c r="V1626" s="419"/>
      <c r="W1626" s="419">
        <f t="shared" si="76"/>
        <v>0</v>
      </c>
      <c r="X1626" s="412"/>
      <c r="Y1626" s="412"/>
      <c r="Z1626" s="412"/>
      <c r="AA1626" s="412"/>
      <c r="AB1626" s="412"/>
      <c r="AC1626" s="412">
        <v>300</v>
      </c>
      <c r="AD1626" s="412"/>
      <c r="AE1626" s="412"/>
      <c r="AF1626" s="412"/>
      <c r="AG1626" s="412"/>
      <c r="AH1626" s="412"/>
      <c r="AI1626" s="412"/>
      <c r="AJ1626" s="412">
        <f t="shared" si="77"/>
        <v>300</v>
      </c>
      <c r="AK1626" s="208"/>
      <c r="AL1626" s="250" t="s">
        <v>2067</v>
      </c>
    </row>
    <row r="1627" spans="1:38" x14ac:dyDescent="0.2">
      <c r="A1627" t="s">
        <v>893</v>
      </c>
      <c r="B1627" s="209">
        <v>5204</v>
      </c>
      <c r="C1627" s="210" t="s">
        <v>1113</v>
      </c>
      <c r="D1627" s="230" t="s">
        <v>1531</v>
      </c>
      <c r="E1627" s="230" t="s">
        <v>57</v>
      </c>
      <c r="F1627" s="242">
        <v>150</v>
      </c>
      <c r="G1627" s="205">
        <v>1</v>
      </c>
      <c r="H1627" s="206">
        <v>150</v>
      </c>
      <c r="I1627" s="207">
        <v>41462</v>
      </c>
      <c r="J1627" s="197" t="str">
        <f t="shared" si="78"/>
        <v>ok</v>
      </c>
      <c r="K1627" s="419"/>
      <c r="L1627" s="419"/>
      <c r="M1627" s="419"/>
      <c r="N1627" s="419"/>
      <c r="O1627" s="419"/>
      <c r="P1627" s="419"/>
      <c r="Q1627" s="419"/>
      <c r="R1627" s="419"/>
      <c r="S1627" s="419"/>
      <c r="T1627" s="419"/>
      <c r="U1627" s="419"/>
      <c r="V1627" s="419"/>
      <c r="W1627" s="419">
        <f t="shared" si="76"/>
        <v>0</v>
      </c>
      <c r="X1627" s="412"/>
      <c r="Y1627" s="412"/>
      <c r="Z1627" s="412"/>
      <c r="AA1627" s="412"/>
      <c r="AB1627" s="412"/>
      <c r="AC1627" s="412"/>
      <c r="AD1627" s="412">
        <v>150</v>
      </c>
      <c r="AE1627" s="412"/>
      <c r="AF1627" s="412"/>
      <c r="AG1627" s="412"/>
      <c r="AH1627" s="412"/>
      <c r="AI1627" s="412"/>
      <c r="AJ1627" s="412">
        <f t="shared" si="77"/>
        <v>150</v>
      </c>
      <c r="AK1627" s="208"/>
      <c r="AL1627" s="250" t="s">
        <v>2067</v>
      </c>
    </row>
    <row r="1628" spans="1:38" x14ac:dyDescent="0.2">
      <c r="A1628" t="s">
        <v>893</v>
      </c>
      <c r="B1628" s="209">
        <v>5205</v>
      </c>
      <c r="C1628" s="210" t="s">
        <v>1101</v>
      </c>
      <c r="D1628" s="230" t="s">
        <v>1563</v>
      </c>
      <c r="E1628" s="230" t="s">
        <v>244</v>
      </c>
      <c r="F1628" s="242">
        <v>200</v>
      </c>
      <c r="G1628" s="205">
        <v>1</v>
      </c>
      <c r="H1628" s="206">
        <v>400</v>
      </c>
      <c r="I1628" s="207">
        <v>41462</v>
      </c>
      <c r="J1628" s="197" t="str">
        <f t="shared" si="78"/>
        <v>ok</v>
      </c>
      <c r="K1628" s="419"/>
      <c r="L1628" s="419"/>
      <c r="M1628" s="419"/>
      <c r="N1628" s="419"/>
      <c r="O1628" s="419"/>
      <c r="P1628" s="419"/>
      <c r="Q1628" s="419"/>
      <c r="R1628" s="419"/>
      <c r="S1628" s="419"/>
      <c r="T1628" s="419"/>
      <c r="U1628" s="419"/>
      <c r="V1628" s="419"/>
      <c r="W1628" s="419">
        <f t="shared" si="76"/>
        <v>0</v>
      </c>
      <c r="X1628" s="412"/>
      <c r="Y1628" s="412"/>
      <c r="Z1628" s="412"/>
      <c r="AA1628" s="412"/>
      <c r="AB1628" s="412"/>
      <c r="AC1628" s="412">
        <v>200</v>
      </c>
      <c r="AD1628" s="412">
        <v>200</v>
      </c>
      <c r="AE1628" s="412"/>
      <c r="AF1628" s="412"/>
      <c r="AG1628" s="412"/>
      <c r="AH1628" s="412"/>
      <c r="AI1628" s="412"/>
      <c r="AJ1628" s="412">
        <f t="shared" si="77"/>
        <v>400</v>
      </c>
      <c r="AK1628" s="208"/>
      <c r="AL1628" s="250" t="s">
        <v>2067</v>
      </c>
    </row>
    <row r="1629" spans="1:38" x14ac:dyDescent="0.2">
      <c r="B1629" s="209">
        <v>5206</v>
      </c>
      <c r="C1629" s="210" t="s">
        <v>1181</v>
      </c>
      <c r="D1629" s="230" t="s">
        <v>1425</v>
      </c>
      <c r="E1629" s="230" t="s">
        <v>557</v>
      </c>
      <c r="F1629" s="242">
        <v>300</v>
      </c>
      <c r="G1629" s="205">
        <v>1</v>
      </c>
      <c r="H1629" s="206">
        <v>300</v>
      </c>
      <c r="I1629" s="207">
        <v>41462</v>
      </c>
      <c r="J1629" s="197" t="str">
        <f t="shared" si="78"/>
        <v>ok</v>
      </c>
      <c r="K1629" s="419"/>
      <c r="L1629" s="419"/>
      <c r="M1629" s="419"/>
      <c r="N1629" s="419"/>
      <c r="O1629" s="419"/>
      <c r="P1629" s="419"/>
      <c r="Q1629" s="419"/>
      <c r="R1629" s="419"/>
      <c r="S1629" s="419"/>
      <c r="T1629" s="419"/>
      <c r="U1629" s="419"/>
      <c r="V1629" s="419"/>
      <c r="W1629" s="419">
        <f t="shared" si="76"/>
        <v>0</v>
      </c>
      <c r="X1629" s="412"/>
      <c r="Y1629" s="412"/>
      <c r="Z1629" s="412"/>
      <c r="AA1629" s="412"/>
      <c r="AB1629" s="412"/>
      <c r="AC1629" s="412"/>
      <c r="AD1629" s="412">
        <v>300</v>
      </c>
      <c r="AE1629" s="412"/>
      <c r="AF1629" s="412"/>
      <c r="AG1629" s="412"/>
      <c r="AH1629" s="412"/>
      <c r="AI1629" s="412"/>
      <c r="AJ1629" s="412">
        <f t="shared" si="77"/>
        <v>300</v>
      </c>
      <c r="AK1629" s="208"/>
      <c r="AL1629" s="250" t="s">
        <v>2067</v>
      </c>
    </row>
    <row r="1630" spans="1:38" x14ac:dyDescent="0.2">
      <c r="A1630" t="s">
        <v>884</v>
      </c>
      <c r="B1630" s="209">
        <v>5207</v>
      </c>
      <c r="C1630" s="210" t="s">
        <v>872</v>
      </c>
      <c r="D1630" s="230" t="s">
        <v>1501</v>
      </c>
      <c r="E1630" s="230" t="s">
        <v>125</v>
      </c>
      <c r="F1630" s="242">
        <v>300</v>
      </c>
      <c r="G1630" s="205">
        <v>1</v>
      </c>
      <c r="H1630" s="206">
        <v>300</v>
      </c>
      <c r="I1630" s="207">
        <v>41462</v>
      </c>
      <c r="J1630" s="197" t="str">
        <f t="shared" si="78"/>
        <v>ok</v>
      </c>
      <c r="K1630" s="419"/>
      <c r="L1630" s="419"/>
      <c r="M1630" s="419"/>
      <c r="N1630" s="419"/>
      <c r="O1630" s="419"/>
      <c r="P1630" s="419"/>
      <c r="Q1630" s="419"/>
      <c r="R1630" s="419"/>
      <c r="S1630" s="419"/>
      <c r="T1630" s="419"/>
      <c r="U1630" s="419"/>
      <c r="V1630" s="419"/>
      <c r="W1630" s="419">
        <f t="shared" si="76"/>
        <v>0</v>
      </c>
      <c r="X1630" s="412"/>
      <c r="Y1630" s="412"/>
      <c r="Z1630" s="412"/>
      <c r="AA1630" s="412"/>
      <c r="AB1630" s="412"/>
      <c r="AC1630" s="412"/>
      <c r="AD1630" s="412">
        <v>300</v>
      </c>
      <c r="AE1630" s="412"/>
      <c r="AF1630" s="412"/>
      <c r="AG1630" s="412"/>
      <c r="AH1630" s="412"/>
      <c r="AI1630" s="412"/>
      <c r="AJ1630" s="412">
        <f t="shared" si="77"/>
        <v>300</v>
      </c>
      <c r="AK1630" s="208"/>
      <c r="AL1630" s="250" t="s">
        <v>2067</v>
      </c>
    </row>
    <row r="1631" spans="1:38" x14ac:dyDescent="0.2">
      <c r="A1631" t="s">
        <v>888</v>
      </c>
      <c r="B1631" s="209">
        <v>5208</v>
      </c>
      <c r="C1631" s="210" t="s">
        <v>923</v>
      </c>
      <c r="D1631" s="230" t="s">
        <v>1561</v>
      </c>
      <c r="E1631" s="230" t="s">
        <v>191</v>
      </c>
      <c r="F1631" s="242">
        <v>300</v>
      </c>
      <c r="G1631" s="205">
        <v>1</v>
      </c>
      <c r="H1631" s="206">
        <v>300</v>
      </c>
      <c r="I1631" s="207">
        <v>41462</v>
      </c>
      <c r="J1631" s="197" t="str">
        <f t="shared" si="78"/>
        <v>ok</v>
      </c>
      <c r="K1631" s="419"/>
      <c r="L1631" s="419"/>
      <c r="M1631" s="419"/>
      <c r="N1631" s="419"/>
      <c r="O1631" s="419"/>
      <c r="P1631" s="419"/>
      <c r="Q1631" s="419"/>
      <c r="R1631" s="419"/>
      <c r="S1631" s="419"/>
      <c r="T1631" s="419"/>
      <c r="U1631" s="419"/>
      <c r="V1631" s="419"/>
      <c r="W1631" s="419">
        <f t="shared" si="76"/>
        <v>0</v>
      </c>
      <c r="X1631" s="412"/>
      <c r="Y1631" s="412"/>
      <c r="Z1631" s="412"/>
      <c r="AA1631" s="412"/>
      <c r="AB1631" s="412"/>
      <c r="AC1631" s="412"/>
      <c r="AD1631" s="412">
        <v>300</v>
      </c>
      <c r="AE1631" s="412"/>
      <c r="AF1631" s="412"/>
      <c r="AG1631" s="412"/>
      <c r="AH1631" s="412"/>
      <c r="AI1631" s="412"/>
      <c r="AJ1631" s="412">
        <f t="shared" si="77"/>
        <v>300</v>
      </c>
      <c r="AK1631" s="208"/>
      <c r="AL1631" s="250" t="s">
        <v>2067</v>
      </c>
    </row>
    <row r="1632" spans="1:38" x14ac:dyDescent="0.2">
      <c r="A1632" t="s">
        <v>888</v>
      </c>
      <c r="B1632" s="209">
        <v>5209</v>
      </c>
      <c r="C1632" s="210" t="s">
        <v>961</v>
      </c>
      <c r="D1632" s="230" t="s">
        <v>1481</v>
      </c>
      <c r="E1632" s="230" t="s">
        <v>1663</v>
      </c>
      <c r="F1632" s="242">
        <v>250</v>
      </c>
      <c r="G1632" s="205">
        <v>1</v>
      </c>
      <c r="H1632" s="206">
        <v>250</v>
      </c>
      <c r="I1632" s="207">
        <v>41462</v>
      </c>
      <c r="J1632" s="197" t="str">
        <f t="shared" si="78"/>
        <v>ok</v>
      </c>
      <c r="K1632" s="419"/>
      <c r="L1632" s="419"/>
      <c r="M1632" s="419"/>
      <c r="N1632" s="419"/>
      <c r="O1632" s="419"/>
      <c r="P1632" s="419"/>
      <c r="Q1632" s="419"/>
      <c r="R1632" s="419"/>
      <c r="S1632" s="419"/>
      <c r="T1632" s="419"/>
      <c r="U1632" s="419"/>
      <c r="V1632" s="419"/>
      <c r="W1632" s="419">
        <f t="shared" si="76"/>
        <v>0</v>
      </c>
      <c r="X1632" s="412"/>
      <c r="Y1632" s="412"/>
      <c r="Z1632" s="412"/>
      <c r="AA1632" s="412"/>
      <c r="AB1632" s="412"/>
      <c r="AC1632" s="412"/>
      <c r="AD1632" s="412">
        <v>250</v>
      </c>
      <c r="AE1632" s="412"/>
      <c r="AF1632" s="412"/>
      <c r="AG1632" s="412"/>
      <c r="AH1632" s="412"/>
      <c r="AI1632" s="412"/>
      <c r="AJ1632" s="412">
        <f t="shared" si="77"/>
        <v>250</v>
      </c>
      <c r="AK1632" s="208"/>
      <c r="AL1632" s="250" t="s">
        <v>2067</v>
      </c>
    </row>
    <row r="1633" spans="1:38" x14ac:dyDescent="0.2">
      <c r="A1633" t="s">
        <v>884</v>
      </c>
      <c r="B1633" s="209">
        <v>5210</v>
      </c>
      <c r="C1633" s="210" t="s">
        <v>818</v>
      </c>
      <c r="D1633" s="230" t="s">
        <v>1375</v>
      </c>
      <c r="E1633" s="230" t="s">
        <v>42</v>
      </c>
      <c r="F1633" s="242">
        <v>250</v>
      </c>
      <c r="G1633" s="205">
        <v>1</v>
      </c>
      <c r="H1633" s="206">
        <v>300</v>
      </c>
      <c r="I1633" s="207">
        <v>41462</v>
      </c>
      <c r="J1633" s="197" t="str">
        <f t="shared" si="78"/>
        <v>ok</v>
      </c>
      <c r="K1633" s="419"/>
      <c r="L1633" s="419"/>
      <c r="M1633" s="419"/>
      <c r="N1633" s="419"/>
      <c r="O1633" s="419"/>
      <c r="P1633" s="419"/>
      <c r="Q1633" s="419"/>
      <c r="R1633" s="419"/>
      <c r="S1633" s="419"/>
      <c r="T1633" s="419"/>
      <c r="U1633" s="419"/>
      <c r="V1633" s="419"/>
      <c r="W1633" s="419">
        <f t="shared" si="76"/>
        <v>0</v>
      </c>
      <c r="X1633" s="412"/>
      <c r="Y1633" s="412"/>
      <c r="Z1633" s="412"/>
      <c r="AA1633" s="412"/>
      <c r="AB1633" s="412"/>
      <c r="AC1633" s="412"/>
      <c r="AD1633" s="412">
        <v>300</v>
      </c>
      <c r="AE1633" s="412"/>
      <c r="AF1633" s="412"/>
      <c r="AG1633" s="412"/>
      <c r="AH1633" s="412"/>
      <c r="AI1633" s="412"/>
      <c r="AJ1633" s="412">
        <f t="shared" si="77"/>
        <v>300</v>
      </c>
      <c r="AK1633" s="208"/>
      <c r="AL1633" s="250" t="s">
        <v>2067</v>
      </c>
    </row>
    <row r="1634" spans="1:38" x14ac:dyDescent="0.2">
      <c r="A1634" t="s">
        <v>888</v>
      </c>
      <c r="B1634" s="209">
        <v>5211</v>
      </c>
      <c r="C1634" s="210" t="s">
        <v>962</v>
      </c>
      <c r="D1634" s="230" t="s">
        <v>1609</v>
      </c>
      <c r="E1634" s="230" t="s">
        <v>451</v>
      </c>
      <c r="F1634" s="242">
        <v>150</v>
      </c>
      <c r="G1634" s="205">
        <v>1</v>
      </c>
      <c r="H1634" s="206">
        <v>150</v>
      </c>
      <c r="I1634" s="207">
        <v>41462</v>
      </c>
      <c r="J1634" s="197" t="str">
        <f t="shared" si="78"/>
        <v>ok</v>
      </c>
      <c r="K1634" s="419"/>
      <c r="L1634" s="419"/>
      <c r="M1634" s="419"/>
      <c r="N1634" s="419"/>
      <c r="O1634" s="419"/>
      <c r="P1634" s="419"/>
      <c r="Q1634" s="419"/>
      <c r="R1634" s="419"/>
      <c r="S1634" s="419"/>
      <c r="T1634" s="419"/>
      <c r="U1634" s="419"/>
      <c r="V1634" s="419"/>
      <c r="W1634" s="419">
        <f t="shared" si="76"/>
        <v>0</v>
      </c>
      <c r="X1634" s="412"/>
      <c r="Y1634" s="412"/>
      <c r="Z1634" s="412"/>
      <c r="AA1634" s="412"/>
      <c r="AB1634" s="412"/>
      <c r="AC1634" s="412">
        <v>150</v>
      </c>
      <c r="AD1634" s="412"/>
      <c r="AE1634" s="412"/>
      <c r="AF1634" s="412"/>
      <c r="AG1634" s="412"/>
      <c r="AH1634" s="412"/>
      <c r="AI1634" s="412"/>
      <c r="AJ1634" s="412">
        <f t="shared" si="77"/>
        <v>150</v>
      </c>
      <c r="AK1634" s="208"/>
      <c r="AL1634" s="250" t="s">
        <v>2067</v>
      </c>
    </row>
    <row r="1635" spans="1:38" x14ac:dyDescent="0.2">
      <c r="A1635" t="s">
        <v>884</v>
      </c>
      <c r="B1635" s="209">
        <v>5212</v>
      </c>
      <c r="C1635" s="210" t="s">
        <v>1727</v>
      </c>
      <c r="D1635" s="230" t="s">
        <v>1835</v>
      </c>
      <c r="E1635" s="230" t="s">
        <v>1728</v>
      </c>
      <c r="F1635" s="242">
        <v>300</v>
      </c>
      <c r="G1635" s="205">
        <v>1</v>
      </c>
      <c r="H1635" s="206">
        <v>600</v>
      </c>
      <c r="I1635" s="207">
        <v>41462</v>
      </c>
      <c r="J1635" s="197" t="str">
        <f t="shared" si="78"/>
        <v>ok</v>
      </c>
      <c r="K1635" s="419"/>
      <c r="L1635" s="419"/>
      <c r="M1635" s="419"/>
      <c r="N1635" s="419"/>
      <c r="O1635" s="419"/>
      <c r="P1635" s="419"/>
      <c r="Q1635" s="419"/>
      <c r="R1635" s="419"/>
      <c r="S1635" s="419"/>
      <c r="T1635" s="419"/>
      <c r="U1635" s="419"/>
      <c r="V1635" s="419"/>
      <c r="W1635" s="419">
        <f t="shared" si="76"/>
        <v>0</v>
      </c>
      <c r="X1635" s="412"/>
      <c r="Y1635" s="412"/>
      <c r="Z1635" s="412"/>
      <c r="AA1635" s="412"/>
      <c r="AB1635" s="412"/>
      <c r="AC1635" s="412"/>
      <c r="AD1635" s="412">
        <v>300</v>
      </c>
      <c r="AE1635" s="412">
        <v>300</v>
      </c>
      <c r="AF1635" s="412"/>
      <c r="AG1635" s="412"/>
      <c r="AH1635" s="412"/>
      <c r="AI1635" s="412"/>
      <c r="AJ1635" s="412">
        <f t="shared" si="77"/>
        <v>600</v>
      </c>
      <c r="AK1635" s="208" t="s">
        <v>1729</v>
      </c>
      <c r="AL1635" s="250" t="s">
        <v>2067</v>
      </c>
    </row>
    <row r="1636" spans="1:38" x14ac:dyDescent="0.2">
      <c r="A1636" t="s">
        <v>884</v>
      </c>
      <c r="B1636" s="209">
        <v>5212</v>
      </c>
      <c r="C1636" s="210" t="s">
        <v>1727</v>
      </c>
      <c r="D1636" s="230" t="s">
        <v>1835</v>
      </c>
      <c r="E1636" s="230" t="s">
        <v>1728</v>
      </c>
      <c r="F1636" s="242">
        <v>300</v>
      </c>
      <c r="G1636" s="205">
        <v>3</v>
      </c>
      <c r="H1636" s="206">
        <v>150</v>
      </c>
      <c r="I1636" s="207">
        <v>41462</v>
      </c>
      <c r="J1636" s="197" t="str">
        <f t="shared" si="78"/>
        <v>ok</v>
      </c>
      <c r="K1636" s="419"/>
      <c r="L1636" s="419"/>
      <c r="M1636" s="419"/>
      <c r="N1636" s="419"/>
      <c r="O1636" s="419"/>
      <c r="P1636" s="419"/>
      <c r="Q1636" s="419"/>
      <c r="R1636" s="419"/>
      <c r="S1636" s="419"/>
      <c r="T1636" s="419"/>
      <c r="U1636" s="419"/>
      <c r="V1636" s="419"/>
      <c r="W1636" s="419">
        <f t="shared" si="76"/>
        <v>0</v>
      </c>
      <c r="X1636" s="412"/>
      <c r="Y1636" s="412"/>
      <c r="Z1636" s="412"/>
      <c r="AA1636" s="412"/>
      <c r="AB1636" s="412"/>
      <c r="AC1636" s="412"/>
      <c r="AD1636" s="412"/>
      <c r="AE1636" s="412"/>
      <c r="AF1636" s="412"/>
      <c r="AG1636" s="412"/>
      <c r="AH1636" s="412"/>
      <c r="AI1636" s="412"/>
      <c r="AJ1636" s="412">
        <f t="shared" si="77"/>
        <v>0</v>
      </c>
      <c r="AK1636" s="208"/>
      <c r="AL1636" s="250" t="s">
        <v>2068</v>
      </c>
    </row>
    <row r="1637" spans="1:38" x14ac:dyDescent="0.2">
      <c r="A1637" t="s">
        <v>890</v>
      </c>
      <c r="B1637" s="209">
        <v>5213</v>
      </c>
      <c r="C1637" s="210" t="s">
        <v>1006</v>
      </c>
      <c r="D1637" s="230" t="s">
        <v>1370</v>
      </c>
      <c r="E1637" s="230" t="s">
        <v>1217</v>
      </c>
      <c r="F1637" s="242">
        <v>300</v>
      </c>
      <c r="G1637" s="205">
        <v>1</v>
      </c>
      <c r="H1637" s="206">
        <v>300</v>
      </c>
      <c r="I1637" s="207">
        <v>41462</v>
      </c>
      <c r="J1637" s="197" t="str">
        <f t="shared" si="78"/>
        <v>ok</v>
      </c>
      <c r="K1637" s="419"/>
      <c r="L1637" s="419"/>
      <c r="M1637" s="419"/>
      <c r="N1637" s="419"/>
      <c r="O1637" s="419"/>
      <c r="P1637" s="419"/>
      <c r="Q1637" s="419"/>
      <c r="R1637" s="419"/>
      <c r="S1637" s="419"/>
      <c r="T1637" s="419"/>
      <c r="U1637" s="419"/>
      <c r="V1637" s="419"/>
      <c r="W1637" s="419">
        <f t="shared" si="76"/>
        <v>0</v>
      </c>
      <c r="X1637" s="412"/>
      <c r="Y1637" s="412"/>
      <c r="Z1637" s="412"/>
      <c r="AA1637" s="412"/>
      <c r="AB1637" s="412"/>
      <c r="AC1637" s="412"/>
      <c r="AD1637" s="412">
        <v>300</v>
      </c>
      <c r="AE1637" s="412"/>
      <c r="AF1637" s="412"/>
      <c r="AG1637" s="412"/>
      <c r="AH1637" s="412"/>
      <c r="AI1637" s="412"/>
      <c r="AJ1637" s="412">
        <f t="shared" si="77"/>
        <v>300</v>
      </c>
      <c r="AK1637" s="208"/>
      <c r="AL1637" s="250" t="s">
        <v>2067</v>
      </c>
    </row>
    <row r="1638" spans="1:38" x14ac:dyDescent="0.2">
      <c r="A1638" t="s">
        <v>890</v>
      </c>
      <c r="B1638" s="209">
        <v>5214</v>
      </c>
      <c r="C1638" s="210" t="s">
        <v>989</v>
      </c>
      <c r="D1638" s="230" t="s">
        <v>1392</v>
      </c>
      <c r="E1638" s="230" t="s">
        <v>478</v>
      </c>
      <c r="F1638" s="242">
        <v>300</v>
      </c>
      <c r="G1638" s="205">
        <v>1</v>
      </c>
      <c r="H1638" s="206">
        <v>300</v>
      </c>
      <c r="I1638" s="207">
        <v>41462</v>
      </c>
      <c r="J1638" s="197" t="str">
        <f t="shared" si="78"/>
        <v>ok</v>
      </c>
      <c r="K1638" s="419"/>
      <c r="L1638" s="419"/>
      <c r="M1638" s="419"/>
      <c r="N1638" s="419"/>
      <c r="O1638" s="419"/>
      <c r="P1638" s="419"/>
      <c r="Q1638" s="419"/>
      <c r="R1638" s="419"/>
      <c r="S1638" s="419"/>
      <c r="T1638" s="419"/>
      <c r="U1638" s="419"/>
      <c r="V1638" s="419"/>
      <c r="W1638" s="419">
        <f t="shared" si="76"/>
        <v>0</v>
      </c>
      <c r="X1638" s="412"/>
      <c r="Y1638" s="412"/>
      <c r="Z1638" s="412"/>
      <c r="AA1638" s="412"/>
      <c r="AB1638" s="412"/>
      <c r="AC1638" s="412"/>
      <c r="AD1638" s="412">
        <v>300</v>
      </c>
      <c r="AE1638" s="412"/>
      <c r="AF1638" s="412"/>
      <c r="AG1638" s="412"/>
      <c r="AH1638" s="412"/>
      <c r="AI1638" s="412"/>
      <c r="AJ1638" s="412">
        <f t="shared" si="77"/>
        <v>300</v>
      </c>
      <c r="AK1638" s="208"/>
      <c r="AL1638" s="250" t="s">
        <v>2067</v>
      </c>
    </row>
    <row r="1639" spans="1:38" x14ac:dyDescent="0.2">
      <c r="A1639" t="s">
        <v>884</v>
      </c>
      <c r="B1639" s="209">
        <v>5215</v>
      </c>
      <c r="C1639" s="210" t="s">
        <v>821</v>
      </c>
      <c r="D1639" s="230" t="s">
        <v>1428</v>
      </c>
      <c r="E1639" s="230" t="s">
        <v>48</v>
      </c>
      <c r="F1639" s="242">
        <v>300</v>
      </c>
      <c r="G1639" s="205">
        <v>1</v>
      </c>
      <c r="H1639" s="206">
        <v>600</v>
      </c>
      <c r="I1639" s="207">
        <v>41462</v>
      </c>
      <c r="J1639" s="197" t="str">
        <f t="shared" si="78"/>
        <v>ok</v>
      </c>
      <c r="K1639" s="419"/>
      <c r="L1639" s="419"/>
      <c r="M1639" s="419"/>
      <c r="N1639" s="419"/>
      <c r="O1639" s="419"/>
      <c r="P1639" s="419"/>
      <c r="Q1639" s="419"/>
      <c r="R1639" s="419"/>
      <c r="S1639" s="419"/>
      <c r="T1639" s="419"/>
      <c r="U1639" s="419"/>
      <c r="V1639" s="419"/>
      <c r="W1639" s="419">
        <f t="shared" si="76"/>
        <v>0</v>
      </c>
      <c r="X1639" s="412"/>
      <c r="Y1639" s="412"/>
      <c r="Z1639" s="412"/>
      <c r="AA1639" s="412"/>
      <c r="AB1639" s="412"/>
      <c r="AC1639" s="412">
        <v>300</v>
      </c>
      <c r="AD1639" s="412">
        <v>300</v>
      </c>
      <c r="AE1639" s="412"/>
      <c r="AF1639" s="412"/>
      <c r="AG1639" s="412"/>
      <c r="AH1639" s="412"/>
      <c r="AI1639" s="412"/>
      <c r="AJ1639" s="412">
        <f t="shared" si="77"/>
        <v>600</v>
      </c>
      <c r="AK1639" s="208"/>
      <c r="AL1639" s="250" t="s">
        <v>2067</v>
      </c>
    </row>
    <row r="1640" spans="1:38" x14ac:dyDescent="0.2">
      <c r="A1640" t="s">
        <v>890</v>
      </c>
      <c r="B1640" s="209">
        <v>5216</v>
      </c>
      <c r="C1640" s="210" t="s">
        <v>987</v>
      </c>
      <c r="D1640" s="230" t="s">
        <v>1638</v>
      </c>
      <c r="E1640" s="230" t="s">
        <v>475</v>
      </c>
      <c r="F1640" s="242">
        <v>300</v>
      </c>
      <c r="G1640" s="205">
        <v>1</v>
      </c>
      <c r="H1640" s="206">
        <v>900</v>
      </c>
      <c r="I1640" s="207">
        <v>41462</v>
      </c>
      <c r="J1640" s="197" t="str">
        <f t="shared" si="78"/>
        <v>ok</v>
      </c>
      <c r="K1640" s="419"/>
      <c r="L1640" s="419"/>
      <c r="M1640" s="419"/>
      <c r="N1640" s="419"/>
      <c r="O1640" s="419"/>
      <c r="P1640" s="419"/>
      <c r="Q1640" s="419"/>
      <c r="R1640" s="419"/>
      <c r="S1640" s="419"/>
      <c r="T1640" s="419"/>
      <c r="U1640" s="419"/>
      <c r="V1640" s="419"/>
      <c r="W1640" s="419">
        <f t="shared" si="76"/>
        <v>0</v>
      </c>
      <c r="X1640" s="412"/>
      <c r="Y1640" s="412"/>
      <c r="Z1640" s="412"/>
      <c r="AA1640" s="412">
        <v>300</v>
      </c>
      <c r="AB1640" s="412">
        <v>300</v>
      </c>
      <c r="AC1640" s="412">
        <v>300</v>
      </c>
      <c r="AD1640" s="412"/>
      <c r="AE1640" s="412"/>
      <c r="AF1640" s="412"/>
      <c r="AG1640" s="412"/>
      <c r="AH1640" s="412"/>
      <c r="AI1640" s="412"/>
      <c r="AJ1640" s="412">
        <f t="shared" si="77"/>
        <v>900</v>
      </c>
      <c r="AK1640" s="208"/>
      <c r="AL1640" s="250" t="s">
        <v>2067</v>
      </c>
    </row>
    <row r="1641" spans="1:38" x14ac:dyDescent="0.2">
      <c r="A1641" t="s">
        <v>888</v>
      </c>
      <c r="B1641" s="209">
        <v>5217</v>
      </c>
      <c r="C1641" s="210" t="s">
        <v>762</v>
      </c>
      <c r="D1641" s="230" t="s">
        <v>1579</v>
      </c>
      <c r="E1641" s="230" t="s">
        <v>436</v>
      </c>
      <c r="F1641" s="242">
        <v>300</v>
      </c>
      <c r="G1641" s="205">
        <v>1</v>
      </c>
      <c r="H1641" s="206">
        <v>300</v>
      </c>
      <c r="I1641" s="207">
        <v>41462</v>
      </c>
      <c r="J1641" s="197" t="str">
        <f t="shared" si="78"/>
        <v>ok</v>
      </c>
      <c r="K1641" s="419"/>
      <c r="L1641" s="419"/>
      <c r="M1641" s="419"/>
      <c r="N1641" s="419"/>
      <c r="O1641" s="419"/>
      <c r="P1641" s="419"/>
      <c r="Q1641" s="419"/>
      <c r="R1641" s="419"/>
      <c r="S1641" s="419"/>
      <c r="T1641" s="419"/>
      <c r="U1641" s="419"/>
      <c r="V1641" s="419"/>
      <c r="W1641" s="419">
        <f t="shared" si="76"/>
        <v>0</v>
      </c>
      <c r="X1641" s="412"/>
      <c r="Y1641" s="412"/>
      <c r="Z1641" s="412"/>
      <c r="AA1641" s="412"/>
      <c r="AB1641" s="412"/>
      <c r="AC1641" s="412">
        <v>300</v>
      </c>
      <c r="AD1641" s="412"/>
      <c r="AE1641" s="412"/>
      <c r="AF1641" s="412"/>
      <c r="AG1641" s="412"/>
      <c r="AH1641" s="412"/>
      <c r="AI1641" s="412"/>
      <c r="AJ1641" s="412">
        <f t="shared" si="77"/>
        <v>300</v>
      </c>
      <c r="AK1641" s="208"/>
      <c r="AL1641" s="250" t="s">
        <v>2067</v>
      </c>
    </row>
    <row r="1642" spans="1:38" x14ac:dyDescent="0.2">
      <c r="A1642" t="s">
        <v>893</v>
      </c>
      <c r="B1642" s="209">
        <v>5218</v>
      </c>
      <c r="C1642" s="210" t="s">
        <v>1131</v>
      </c>
      <c r="D1642" s="230" t="s">
        <v>1373</v>
      </c>
      <c r="E1642" s="230" t="s">
        <v>299</v>
      </c>
      <c r="F1642" s="242">
        <v>300</v>
      </c>
      <c r="G1642" s="205">
        <v>1</v>
      </c>
      <c r="H1642" s="206">
        <v>600</v>
      </c>
      <c r="I1642" s="207">
        <v>41462</v>
      </c>
      <c r="J1642" s="197" t="str">
        <f t="shared" si="78"/>
        <v>ok</v>
      </c>
      <c r="K1642" s="419"/>
      <c r="L1642" s="419"/>
      <c r="M1642" s="419"/>
      <c r="N1642" s="419"/>
      <c r="O1642" s="419"/>
      <c r="P1642" s="419"/>
      <c r="Q1642" s="419"/>
      <c r="R1642" s="419"/>
      <c r="S1642" s="419"/>
      <c r="T1642" s="419"/>
      <c r="U1642" s="419"/>
      <c r="V1642" s="419"/>
      <c r="W1642" s="419">
        <f t="shared" si="76"/>
        <v>0</v>
      </c>
      <c r="X1642" s="412"/>
      <c r="Y1642" s="412"/>
      <c r="Z1642" s="412"/>
      <c r="AA1642" s="412"/>
      <c r="AB1642" s="412"/>
      <c r="AC1642" s="412">
        <v>300</v>
      </c>
      <c r="AD1642" s="412">
        <v>300</v>
      </c>
      <c r="AE1642" s="412"/>
      <c r="AF1642" s="412"/>
      <c r="AG1642" s="412"/>
      <c r="AH1642" s="412"/>
      <c r="AI1642" s="412"/>
      <c r="AJ1642" s="412">
        <f t="shared" si="77"/>
        <v>600</v>
      </c>
      <c r="AK1642" s="208"/>
      <c r="AL1642" s="250" t="s">
        <v>2067</v>
      </c>
    </row>
    <row r="1643" spans="1:38" x14ac:dyDescent="0.2">
      <c r="A1643" t="s">
        <v>884</v>
      </c>
      <c r="B1643" s="209">
        <v>5219</v>
      </c>
      <c r="C1643" s="210" t="s">
        <v>802</v>
      </c>
      <c r="D1643" s="230" t="s">
        <v>1412</v>
      </c>
      <c r="E1643" s="230" t="s">
        <v>19</v>
      </c>
      <c r="F1643" s="242">
        <v>300</v>
      </c>
      <c r="G1643" s="205">
        <v>1</v>
      </c>
      <c r="H1643" s="206">
        <v>300</v>
      </c>
      <c r="I1643" s="207">
        <v>41462</v>
      </c>
      <c r="J1643" s="197" t="str">
        <f t="shared" si="78"/>
        <v>ok</v>
      </c>
      <c r="K1643" s="419"/>
      <c r="L1643" s="419"/>
      <c r="M1643" s="419"/>
      <c r="N1643" s="419"/>
      <c r="O1643" s="419"/>
      <c r="P1643" s="419"/>
      <c r="Q1643" s="419"/>
      <c r="R1643" s="419"/>
      <c r="S1643" s="419"/>
      <c r="T1643" s="419"/>
      <c r="U1643" s="419"/>
      <c r="V1643" s="419"/>
      <c r="W1643" s="419">
        <f t="shared" si="76"/>
        <v>0</v>
      </c>
      <c r="X1643" s="412"/>
      <c r="Y1643" s="412"/>
      <c r="Z1643" s="412"/>
      <c r="AA1643" s="412"/>
      <c r="AB1643" s="412"/>
      <c r="AC1643" s="412"/>
      <c r="AD1643" s="412">
        <v>300</v>
      </c>
      <c r="AE1643" s="412"/>
      <c r="AF1643" s="412"/>
      <c r="AG1643" s="412"/>
      <c r="AH1643" s="412"/>
      <c r="AI1643" s="412"/>
      <c r="AJ1643" s="412">
        <f t="shared" si="77"/>
        <v>300</v>
      </c>
      <c r="AK1643" s="208"/>
      <c r="AL1643" s="250" t="s">
        <v>2067</v>
      </c>
    </row>
    <row r="1644" spans="1:38" x14ac:dyDescent="0.2">
      <c r="A1644" t="s">
        <v>891</v>
      </c>
      <c r="B1644" s="209">
        <v>5220</v>
      </c>
      <c r="C1644" s="210" t="s">
        <v>1053</v>
      </c>
      <c r="D1644" s="230" t="s">
        <v>1508</v>
      </c>
      <c r="E1644" s="230" t="s">
        <v>657</v>
      </c>
      <c r="F1644" s="242">
        <v>200</v>
      </c>
      <c r="G1644" s="205">
        <v>1</v>
      </c>
      <c r="H1644" s="206">
        <v>200</v>
      </c>
      <c r="I1644" s="207">
        <v>41462</v>
      </c>
      <c r="J1644" s="197" t="str">
        <f t="shared" si="78"/>
        <v>ok</v>
      </c>
      <c r="K1644" s="419"/>
      <c r="L1644" s="419"/>
      <c r="M1644" s="419"/>
      <c r="N1644" s="419"/>
      <c r="O1644" s="419"/>
      <c r="P1644" s="419"/>
      <c r="Q1644" s="419"/>
      <c r="R1644" s="419"/>
      <c r="S1644" s="419"/>
      <c r="T1644" s="419"/>
      <c r="U1644" s="419"/>
      <c r="V1644" s="419"/>
      <c r="W1644" s="419">
        <f t="shared" si="76"/>
        <v>0</v>
      </c>
      <c r="X1644" s="412"/>
      <c r="Y1644" s="412"/>
      <c r="Z1644" s="412"/>
      <c r="AA1644" s="412"/>
      <c r="AB1644" s="412"/>
      <c r="AC1644" s="412">
        <v>200</v>
      </c>
      <c r="AD1644" s="412"/>
      <c r="AE1644" s="412"/>
      <c r="AF1644" s="412"/>
      <c r="AG1644" s="412"/>
      <c r="AH1644" s="412"/>
      <c r="AI1644" s="412"/>
      <c r="AJ1644" s="412">
        <f t="shared" si="77"/>
        <v>200</v>
      </c>
      <c r="AK1644" s="208"/>
      <c r="AL1644" s="250" t="s">
        <v>2067</v>
      </c>
    </row>
    <row r="1645" spans="1:38" x14ac:dyDescent="0.2">
      <c r="A1645" t="s">
        <v>884</v>
      </c>
      <c r="B1645" s="209">
        <v>5221</v>
      </c>
      <c r="C1645" s="210" t="s">
        <v>845</v>
      </c>
      <c r="D1645" s="230" t="s">
        <v>1619</v>
      </c>
      <c r="E1645" s="230" t="s">
        <v>84</v>
      </c>
      <c r="F1645" s="242">
        <v>300</v>
      </c>
      <c r="G1645" s="205">
        <v>1</v>
      </c>
      <c r="H1645" s="206">
        <v>900</v>
      </c>
      <c r="I1645" s="207">
        <v>41462</v>
      </c>
      <c r="J1645" s="197" t="str">
        <f t="shared" si="78"/>
        <v>ok</v>
      </c>
      <c r="K1645" s="419"/>
      <c r="L1645" s="419"/>
      <c r="M1645" s="419"/>
      <c r="N1645" s="419"/>
      <c r="O1645" s="419"/>
      <c r="P1645" s="419"/>
      <c r="Q1645" s="419"/>
      <c r="R1645" s="419"/>
      <c r="S1645" s="419"/>
      <c r="T1645" s="419"/>
      <c r="U1645" s="419"/>
      <c r="V1645" s="419"/>
      <c r="W1645" s="419">
        <f t="shared" si="76"/>
        <v>0</v>
      </c>
      <c r="X1645" s="412"/>
      <c r="Y1645" s="412"/>
      <c r="Z1645" s="412"/>
      <c r="AA1645" s="412"/>
      <c r="AB1645" s="412">
        <v>300</v>
      </c>
      <c r="AC1645" s="412">
        <v>300</v>
      </c>
      <c r="AD1645" s="412">
        <v>300</v>
      </c>
      <c r="AE1645" s="412"/>
      <c r="AF1645" s="412"/>
      <c r="AG1645" s="412"/>
      <c r="AH1645" s="412"/>
      <c r="AI1645" s="412"/>
      <c r="AJ1645" s="412">
        <f t="shared" si="77"/>
        <v>900</v>
      </c>
      <c r="AK1645" s="208"/>
      <c r="AL1645" s="250" t="s">
        <v>2067</v>
      </c>
    </row>
    <row r="1646" spans="1:38" x14ac:dyDescent="0.2">
      <c r="A1646" t="s">
        <v>894</v>
      </c>
      <c r="B1646" s="209">
        <v>5222</v>
      </c>
      <c r="C1646" s="210" t="s">
        <v>1167</v>
      </c>
      <c r="D1646" s="230" t="s">
        <v>1432</v>
      </c>
      <c r="E1646" s="230" t="s">
        <v>617</v>
      </c>
      <c r="F1646" s="242">
        <v>250</v>
      </c>
      <c r="G1646" s="205">
        <v>1</v>
      </c>
      <c r="H1646" s="206">
        <v>250</v>
      </c>
      <c r="I1646" s="207">
        <v>41462</v>
      </c>
      <c r="J1646" s="197" t="str">
        <f t="shared" si="78"/>
        <v>ok</v>
      </c>
      <c r="K1646" s="419"/>
      <c r="L1646" s="419"/>
      <c r="M1646" s="419"/>
      <c r="N1646" s="419"/>
      <c r="O1646" s="419"/>
      <c r="P1646" s="419"/>
      <c r="Q1646" s="419"/>
      <c r="R1646" s="419"/>
      <c r="S1646" s="419"/>
      <c r="T1646" s="419"/>
      <c r="U1646" s="419"/>
      <c r="V1646" s="419"/>
      <c r="W1646" s="419">
        <f t="shared" si="76"/>
        <v>0</v>
      </c>
      <c r="X1646" s="412"/>
      <c r="Y1646" s="412"/>
      <c r="Z1646" s="412"/>
      <c r="AA1646" s="412"/>
      <c r="AB1646" s="412"/>
      <c r="AC1646" s="412"/>
      <c r="AD1646" s="412">
        <v>250</v>
      </c>
      <c r="AE1646" s="412"/>
      <c r="AF1646" s="412"/>
      <c r="AG1646" s="412"/>
      <c r="AH1646" s="412"/>
      <c r="AI1646" s="412"/>
      <c r="AJ1646" s="412">
        <f t="shared" si="77"/>
        <v>250</v>
      </c>
      <c r="AK1646" s="208"/>
      <c r="AL1646" s="250" t="s">
        <v>2067</v>
      </c>
    </row>
    <row r="1647" spans="1:38" x14ac:dyDescent="0.2">
      <c r="A1647" t="s">
        <v>893</v>
      </c>
      <c r="B1647" s="209">
        <v>5223</v>
      </c>
      <c r="C1647" s="210" t="s">
        <v>777</v>
      </c>
      <c r="D1647" s="230" t="s">
        <v>1387</v>
      </c>
      <c r="E1647" s="230" t="s">
        <v>714</v>
      </c>
      <c r="F1647" s="242">
        <v>300</v>
      </c>
      <c r="G1647" s="205">
        <v>1</v>
      </c>
      <c r="H1647" s="206">
        <v>300</v>
      </c>
      <c r="I1647" s="207">
        <v>41462</v>
      </c>
      <c r="J1647" s="197" t="str">
        <f t="shared" si="78"/>
        <v>ok</v>
      </c>
      <c r="K1647" s="419"/>
      <c r="L1647" s="419"/>
      <c r="M1647" s="419"/>
      <c r="N1647" s="419"/>
      <c r="O1647" s="419"/>
      <c r="P1647" s="419"/>
      <c r="Q1647" s="419"/>
      <c r="R1647" s="419"/>
      <c r="S1647" s="419"/>
      <c r="T1647" s="419"/>
      <c r="U1647" s="419"/>
      <c r="V1647" s="419"/>
      <c r="W1647" s="419">
        <f t="shared" si="76"/>
        <v>0</v>
      </c>
      <c r="X1647" s="412"/>
      <c r="Y1647" s="412"/>
      <c r="Z1647" s="412"/>
      <c r="AA1647" s="412"/>
      <c r="AB1647" s="412"/>
      <c r="AC1647" s="412"/>
      <c r="AD1647" s="412">
        <v>300</v>
      </c>
      <c r="AE1647" s="412"/>
      <c r="AF1647" s="412"/>
      <c r="AG1647" s="412"/>
      <c r="AH1647" s="412"/>
      <c r="AI1647" s="412"/>
      <c r="AJ1647" s="412">
        <f t="shared" si="77"/>
        <v>300</v>
      </c>
      <c r="AK1647" s="208"/>
      <c r="AL1647" s="250" t="s">
        <v>2067</v>
      </c>
    </row>
    <row r="1648" spans="1:38" x14ac:dyDescent="0.2">
      <c r="A1648" t="s">
        <v>888</v>
      </c>
      <c r="B1648" s="209">
        <v>5224</v>
      </c>
      <c r="C1648" s="210" t="s">
        <v>940</v>
      </c>
      <c r="D1648" s="230" t="s">
        <v>1575</v>
      </c>
      <c r="E1648" s="230" t="s">
        <v>397</v>
      </c>
      <c r="F1648" s="242">
        <v>300</v>
      </c>
      <c r="G1648" s="205">
        <v>1</v>
      </c>
      <c r="H1648" s="206">
        <v>300</v>
      </c>
      <c r="I1648" s="207">
        <v>41462</v>
      </c>
      <c r="J1648" s="197" t="str">
        <f t="shared" si="78"/>
        <v>ok</v>
      </c>
      <c r="K1648" s="419"/>
      <c r="L1648" s="419"/>
      <c r="M1648" s="419"/>
      <c r="N1648" s="419"/>
      <c r="O1648" s="419"/>
      <c r="P1648" s="419"/>
      <c r="Q1648" s="419"/>
      <c r="R1648" s="419"/>
      <c r="S1648" s="419"/>
      <c r="T1648" s="419"/>
      <c r="U1648" s="419"/>
      <c r="V1648" s="419"/>
      <c r="W1648" s="419">
        <f t="shared" si="76"/>
        <v>0</v>
      </c>
      <c r="X1648" s="412"/>
      <c r="Y1648" s="412"/>
      <c r="Z1648" s="412"/>
      <c r="AA1648" s="412"/>
      <c r="AB1648" s="412"/>
      <c r="AC1648" s="412"/>
      <c r="AD1648" s="412">
        <v>300</v>
      </c>
      <c r="AE1648" s="412"/>
      <c r="AF1648" s="412"/>
      <c r="AG1648" s="412"/>
      <c r="AH1648" s="412"/>
      <c r="AI1648" s="412"/>
      <c r="AJ1648" s="412">
        <f t="shared" si="77"/>
        <v>300</v>
      </c>
      <c r="AK1648" s="208"/>
      <c r="AL1648" s="250" t="s">
        <v>2067</v>
      </c>
    </row>
    <row r="1649" spans="1:38" x14ac:dyDescent="0.2">
      <c r="A1649" t="s">
        <v>888</v>
      </c>
      <c r="B1649" s="209">
        <v>5225</v>
      </c>
      <c r="C1649" s="210" t="s">
        <v>929</v>
      </c>
      <c r="D1649" s="230" t="s">
        <v>1642</v>
      </c>
      <c r="E1649" s="230" t="s">
        <v>380</v>
      </c>
      <c r="F1649" s="242">
        <v>300</v>
      </c>
      <c r="G1649" s="205">
        <v>1</v>
      </c>
      <c r="H1649" s="206">
        <v>600</v>
      </c>
      <c r="I1649" s="207">
        <v>41462</v>
      </c>
      <c r="J1649" s="197" t="str">
        <f t="shared" si="78"/>
        <v>ok</v>
      </c>
      <c r="K1649" s="419"/>
      <c r="L1649" s="419"/>
      <c r="M1649" s="419"/>
      <c r="N1649" s="419"/>
      <c r="O1649" s="419"/>
      <c r="P1649" s="419"/>
      <c r="Q1649" s="419"/>
      <c r="R1649" s="419"/>
      <c r="S1649" s="419"/>
      <c r="T1649" s="419"/>
      <c r="U1649" s="419"/>
      <c r="V1649" s="419"/>
      <c r="W1649" s="419">
        <f t="shared" si="76"/>
        <v>0</v>
      </c>
      <c r="X1649" s="412"/>
      <c r="Y1649" s="412"/>
      <c r="Z1649" s="412"/>
      <c r="AA1649" s="412"/>
      <c r="AB1649" s="412">
        <v>300</v>
      </c>
      <c r="AC1649" s="412">
        <v>300</v>
      </c>
      <c r="AD1649" s="412"/>
      <c r="AE1649" s="412"/>
      <c r="AF1649" s="412"/>
      <c r="AG1649" s="412"/>
      <c r="AH1649" s="412"/>
      <c r="AI1649" s="412"/>
      <c r="AJ1649" s="412">
        <f t="shared" si="77"/>
        <v>600</v>
      </c>
      <c r="AK1649" s="208"/>
      <c r="AL1649" s="250" t="s">
        <v>2067</v>
      </c>
    </row>
    <row r="1650" spans="1:38" x14ac:dyDescent="0.2">
      <c r="A1650" t="s">
        <v>893</v>
      </c>
      <c r="B1650" s="209">
        <v>5226</v>
      </c>
      <c r="C1650" s="210" t="s">
        <v>1106</v>
      </c>
      <c r="D1650" s="230" t="s">
        <v>1433</v>
      </c>
      <c r="E1650" s="230" t="s">
        <v>1221</v>
      </c>
      <c r="F1650" s="242">
        <v>300</v>
      </c>
      <c r="G1650" s="205">
        <v>1</v>
      </c>
      <c r="H1650" s="206">
        <v>900</v>
      </c>
      <c r="I1650" s="207">
        <v>41462</v>
      </c>
      <c r="J1650" s="197" t="str">
        <f t="shared" si="78"/>
        <v>ok</v>
      </c>
      <c r="K1650" s="419"/>
      <c r="L1650" s="419"/>
      <c r="M1650" s="419"/>
      <c r="N1650" s="419"/>
      <c r="O1650" s="419"/>
      <c r="P1650" s="419"/>
      <c r="Q1650" s="419"/>
      <c r="R1650" s="419"/>
      <c r="S1650" s="419"/>
      <c r="T1650" s="419"/>
      <c r="U1650" s="419"/>
      <c r="V1650" s="419"/>
      <c r="W1650" s="419">
        <f t="shared" si="76"/>
        <v>0</v>
      </c>
      <c r="X1650" s="412"/>
      <c r="Y1650" s="412"/>
      <c r="Z1650" s="412"/>
      <c r="AA1650" s="412"/>
      <c r="AB1650" s="412"/>
      <c r="AC1650" s="412"/>
      <c r="AD1650" s="412">
        <v>300</v>
      </c>
      <c r="AE1650" s="412">
        <v>300</v>
      </c>
      <c r="AF1650" s="412">
        <v>300</v>
      </c>
      <c r="AG1650" s="412"/>
      <c r="AH1650" s="412"/>
      <c r="AI1650" s="412"/>
      <c r="AJ1650" s="412">
        <f t="shared" si="77"/>
        <v>900</v>
      </c>
      <c r="AK1650" s="208"/>
      <c r="AL1650" s="250" t="s">
        <v>2067</v>
      </c>
    </row>
    <row r="1651" spans="1:38" x14ac:dyDescent="0.2">
      <c r="A1651" t="s">
        <v>888</v>
      </c>
      <c r="B1651" s="209">
        <v>5227</v>
      </c>
      <c r="C1651" s="210" t="s">
        <v>1338</v>
      </c>
      <c r="D1651" s="230" t="s">
        <v>1836</v>
      </c>
      <c r="E1651" s="230" t="s">
        <v>1307</v>
      </c>
      <c r="F1651" s="242">
        <v>0</v>
      </c>
      <c r="G1651" s="205">
        <v>5</v>
      </c>
      <c r="H1651" s="206">
        <v>20</v>
      </c>
      <c r="I1651" s="207">
        <v>41462</v>
      </c>
      <c r="J1651" s="197" t="str">
        <f t="shared" si="78"/>
        <v>ok</v>
      </c>
      <c r="K1651" s="419"/>
      <c r="L1651" s="419"/>
      <c r="M1651" s="419"/>
      <c r="N1651" s="419"/>
      <c r="O1651" s="419"/>
      <c r="P1651" s="419"/>
      <c r="Q1651" s="419"/>
      <c r="R1651" s="419"/>
      <c r="S1651" s="419"/>
      <c r="T1651" s="419"/>
      <c r="U1651" s="419"/>
      <c r="V1651" s="419"/>
      <c r="W1651" s="419">
        <f t="shared" si="76"/>
        <v>0</v>
      </c>
      <c r="X1651" s="412"/>
      <c r="Y1651" s="412"/>
      <c r="Z1651" s="412"/>
      <c r="AA1651" s="412"/>
      <c r="AB1651" s="412"/>
      <c r="AC1651" s="412"/>
      <c r="AD1651" s="412"/>
      <c r="AE1651" s="412"/>
      <c r="AF1651" s="412"/>
      <c r="AG1651" s="412"/>
      <c r="AH1651" s="412"/>
      <c r="AI1651" s="412"/>
      <c r="AJ1651" s="412">
        <f t="shared" si="77"/>
        <v>0</v>
      </c>
      <c r="AK1651" s="208"/>
      <c r="AL1651" s="250" t="s">
        <v>2068</v>
      </c>
    </row>
    <row r="1652" spans="1:38" x14ac:dyDescent="0.2">
      <c r="A1652" t="s">
        <v>890</v>
      </c>
      <c r="B1652" s="209">
        <v>5228</v>
      </c>
      <c r="C1652" s="210" t="s">
        <v>986</v>
      </c>
      <c r="D1652" s="230" t="s">
        <v>1483</v>
      </c>
      <c r="E1652" s="230" t="s">
        <v>473</v>
      </c>
      <c r="F1652" s="242">
        <v>250</v>
      </c>
      <c r="G1652" s="205">
        <v>1</v>
      </c>
      <c r="H1652" s="206">
        <v>250</v>
      </c>
      <c r="I1652" s="207">
        <v>41462</v>
      </c>
      <c r="J1652" s="197" t="str">
        <f t="shared" si="78"/>
        <v>ok</v>
      </c>
      <c r="K1652" s="419"/>
      <c r="L1652" s="419"/>
      <c r="M1652" s="419"/>
      <c r="N1652" s="419"/>
      <c r="O1652" s="419"/>
      <c r="P1652" s="419"/>
      <c r="Q1652" s="419"/>
      <c r="R1652" s="419"/>
      <c r="S1652" s="419"/>
      <c r="T1652" s="419"/>
      <c r="U1652" s="419"/>
      <c r="V1652" s="419"/>
      <c r="W1652" s="419">
        <f t="shared" si="76"/>
        <v>0</v>
      </c>
      <c r="X1652" s="412"/>
      <c r="Y1652" s="412"/>
      <c r="Z1652" s="412"/>
      <c r="AA1652" s="412"/>
      <c r="AB1652" s="412"/>
      <c r="AC1652" s="412"/>
      <c r="AD1652" s="412">
        <v>250</v>
      </c>
      <c r="AE1652" s="412"/>
      <c r="AF1652" s="412"/>
      <c r="AG1652" s="412"/>
      <c r="AH1652" s="412"/>
      <c r="AI1652" s="412"/>
      <c r="AJ1652" s="412">
        <f t="shared" si="77"/>
        <v>250</v>
      </c>
      <c r="AK1652" s="208"/>
      <c r="AL1652" s="250" t="s">
        <v>2067</v>
      </c>
    </row>
    <row r="1653" spans="1:38" x14ac:dyDescent="0.2">
      <c r="A1653" t="s">
        <v>884</v>
      </c>
      <c r="B1653" s="209">
        <v>5229</v>
      </c>
      <c r="C1653" s="210" t="s">
        <v>848</v>
      </c>
      <c r="D1653" s="230" t="s">
        <v>1545</v>
      </c>
      <c r="E1653" s="230" t="s">
        <v>1206</v>
      </c>
      <c r="F1653" s="242">
        <v>300</v>
      </c>
      <c r="G1653" s="205">
        <v>1</v>
      </c>
      <c r="H1653" s="206">
        <v>300</v>
      </c>
      <c r="I1653" s="207">
        <v>41462</v>
      </c>
      <c r="J1653" s="197" t="str">
        <f t="shared" si="78"/>
        <v>ok</v>
      </c>
      <c r="K1653" s="419"/>
      <c r="L1653" s="419"/>
      <c r="M1653" s="419"/>
      <c r="N1653" s="419"/>
      <c r="O1653" s="419"/>
      <c r="P1653" s="419"/>
      <c r="Q1653" s="419"/>
      <c r="R1653" s="419"/>
      <c r="S1653" s="419"/>
      <c r="T1653" s="419"/>
      <c r="U1653" s="419"/>
      <c r="V1653" s="419"/>
      <c r="W1653" s="419">
        <f t="shared" si="76"/>
        <v>0</v>
      </c>
      <c r="X1653" s="412"/>
      <c r="Y1653" s="412"/>
      <c r="Z1653" s="412"/>
      <c r="AA1653" s="412"/>
      <c r="AB1653" s="412"/>
      <c r="AC1653" s="412"/>
      <c r="AD1653" s="412">
        <v>300</v>
      </c>
      <c r="AE1653" s="412"/>
      <c r="AF1653" s="412"/>
      <c r="AG1653" s="412"/>
      <c r="AH1653" s="412"/>
      <c r="AI1653" s="412"/>
      <c r="AJ1653" s="412">
        <f t="shared" si="77"/>
        <v>300</v>
      </c>
      <c r="AK1653" s="208"/>
      <c r="AL1653" s="250" t="s">
        <v>2067</v>
      </c>
    </row>
    <row r="1654" spans="1:38" x14ac:dyDescent="0.2">
      <c r="A1654" t="s">
        <v>888</v>
      </c>
      <c r="B1654" s="209">
        <v>5230</v>
      </c>
      <c r="C1654" s="210" t="s">
        <v>768</v>
      </c>
      <c r="D1654" s="230" t="s">
        <v>1399</v>
      </c>
      <c r="E1654" s="230" t="s">
        <v>365</v>
      </c>
      <c r="F1654" s="242">
        <v>300</v>
      </c>
      <c r="G1654" s="205">
        <v>1</v>
      </c>
      <c r="H1654" s="206">
        <v>300</v>
      </c>
      <c r="I1654" s="207">
        <v>41462</v>
      </c>
      <c r="J1654" s="197" t="str">
        <f t="shared" si="78"/>
        <v>ok</v>
      </c>
      <c r="K1654" s="419"/>
      <c r="L1654" s="419"/>
      <c r="M1654" s="419"/>
      <c r="N1654" s="419"/>
      <c r="O1654" s="419"/>
      <c r="P1654" s="419"/>
      <c r="Q1654" s="419"/>
      <c r="R1654" s="419"/>
      <c r="S1654" s="419"/>
      <c r="T1654" s="419"/>
      <c r="U1654" s="419"/>
      <c r="V1654" s="419"/>
      <c r="W1654" s="419">
        <f t="shared" si="76"/>
        <v>0</v>
      </c>
      <c r="X1654" s="412"/>
      <c r="Y1654" s="412"/>
      <c r="Z1654" s="412"/>
      <c r="AA1654" s="412"/>
      <c r="AB1654" s="412"/>
      <c r="AC1654" s="412"/>
      <c r="AD1654" s="412">
        <v>300</v>
      </c>
      <c r="AE1654" s="412"/>
      <c r="AF1654" s="412"/>
      <c r="AG1654" s="412"/>
      <c r="AH1654" s="412"/>
      <c r="AI1654" s="412"/>
      <c r="AJ1654" s="412">
        <f t="shared" si="77"/>
        <v>300</v>
      </c>
      <c r="AK1654" s="208"/>
      <c r="AL1654" s="250" t="s">
        <v>2067</v>
      </c>
    </row>
    <row r="1655" spans="1:38" x14ac:dyDescent="0.2">
      <c r="A1655" t="s">
        <v>890</v>
      </c>
      <c r="B1655" s="209">
        <v>5231</v>
      </c>
      <c r="C1655" s="210" t="s">
        <v>977</v>
      </c>
      <c r="D1655" s="230" t="s">
        <v>1494</v>
      </c>
      <c r="E1655" s="230" t="s">
        <v>359</v>
      </c>
      <c r="F1655" s="242">
        <v>150</v>
      </c>
      <c r="G1655" s="205">
        <v>1</v>
      </c>
      <c r="H1655" s="206">
        <v>150</v>
      </c>
      <c r="I1655" s="207">
        <v>41462</v>
      </c>
      <c r="J1655" s="197" t="str">
        <f t="shared" si="78"/>
        <v>ok</v>
      </c>
      <c r="K1655" s="419"/>
      <c r="L1655" s="419"/>
      <c r="M1655" s="419"/>
      <c r="N1655" s="419"/>
      <c r="O1655" s="419"/>
      <c r="P1655" s="419"/>
      <c r="Q1655" s="419"/>
      <c r="R1655" s="419"/>
      <c r="S1655" s="419"/>
      <c r="T1655" s="419"/>
      <c r="U1655" s="419"/>
      <c r="V1655" s="419"/>
      <c r="W1655" s="419">
        <f t="shared" si="76"/>
        <v>0</v>
      </c>
      <c r="X1655" s="412"/>
      <c r="Y1655" s="412"/>
      <c r="Z1655" s="412"/>
      <c r="AA1655" s="412"/>
      <c r="AB1655" s="412"/>
      <c r="AC1655" s="412"/>
      <c r="AD1655" s="412">
        <v>150</v>
      </c>
      <c r="AE1655" s="412"/>
      <c r="AF1655" s="412"/>
      <c r="AG1655" s="412"/>
      <c r="AH1655" s="412"/>
      <c r="AI1655" s="412"/>
      <c r="AJ1655" s="412">
        <f t="shared" si="77"/>
        <v>150</v>
      </c>
      <c r="AK1655" s="208"/>
      <c r="AL1655" s="250" t="s">
        <v>2067</v>
      </c>
    </row>
    <row r="1656" spans="1:38" x14ac:dyDescent="0.2">
      <c r="A1656" t="s">
        <v>892</v>
      </c>
      <c r="B1656" s="209">
        <v>5232</v>
      </c>
      <c r="C1656" s="210" t="s">
        <v>1059</v>
      </c>
      <c r="D1656" s="230" t="s">
        <v>1426</v>
      </c>
      <c r="E1656" s="230" t="s">
        <v>660</v>
      </c>
      <c r="F1656" s="242">
        <v>150</v>
      </c>
      <c r="G1656" s="205">
        <v>1</v>
      </c>
      <c r="H1656" s="206">
        <v>150</v>
      </c>
      <c r="I1656" s="207">
        <v>41469</v>
      </c>
      <c r="J1656" s="197" t="str">
        <f t="shared" si="78"/>
        <v>ok</v>
      </c>
      <c r="K1656" s="419"/>
      <c r="L1656" s="419"/>
      <c r="M1656" s="419"/>
      <c r="N1656" s="419"/>
      <c r="O1656" s="419"/>
      <c r="P1656" s="419"/>
      <c r="Q1656" s="419"/>
      <c r="R1656" s="419"/>
      <c r="S1656" s="419"/>
      <c r="T1656" s="419"/>
      <c r="U1656" s="419"/>
      <c r="V1656" s="419"/>
      <c r="W1656" s="419">
        <f t="shared" si="76"/>
        <v>0</v>
      </c>
      <c r="X1656" s="412"/>
      <c r="Y1656" s="412"/>
      <c r="Z1656" s="412"/>
      <c r="AA1656" s="412"/>
      <c r="AB1656" s="412"/>
      <c r="AC1656" s="412"/>
      <c r="AD1656" s="412">
        <v>150</v>
      </c>
      <c r="AE1656" s="412"/>
      <c r="AF1656" s="412"/>
      <c r="AG1656" s="412"/>
      <c r="AH1656" s="412"/>
      <c r="AI1656" s="412"/>
      <c r="AJ1656" s="412">
        <f t="shared" si="77"/>
        <v>150</v>
      </c>
      <c r="AK1656" s="208"/>
      <c r="AL1656" s="250" t="s">
        <v>2067</v>
      </c>
    </row>
    <row r="1657" spans="1:38" x14ac:dyDescent="0.2">
      <c r="A1657" t="s">
        <v>894</v>
      </c>
      <c r="B1657" s="209">
        <v>5233</v>
      </c>
      <c r="C1657" s="210" t="s">
        <v>1154</v>
      </c>
      <c r="D1657" s="230" t="s">
        <v>1367</v>
      </c>
      <c r="E1657" s="230" t="s">
        <v>1239</v>
      </c>
      <c r="F1657" s="242">
        <v>300</v>
      </c>
      <c r="G1657" s="205">
        <v>1</v>
      </c>
      <c r="H1657" s="206">
        <v>600</v>
      </c>
      <c r="I1657" s="207">
        <v>41469</v>
      </c>
      <c r="J1657" s="197" t="str">
        <f t="shared" si="78"/>
        <v>ok</v>
      </c>
      <c r="K1657" s="419"/>
      <c r="L1657" s="419"/>
      <c r="M1657" s="419"/>
      <c r="N1657" s="419"/>
      <c r="O1657" s="419"/>
      <c r="P1657" s="419"/>
      <c r="Q1657" s="419"/>
      <c r="R1657" s="419"/>
      <c r="S1657" s="419"/>
      <c r="T1657" s="419"/>
      <c r="U1657" s="419"/>
      <c r="V1657" s="419"/>
      <c r="W1657" s="419">
        <f t="shared" si="76"/>
        <v>0</v>
      </c>
      <c r="X1657" s="412"/>
      <c r="Y1657" s="412"/>
      <c r="Z1657" s="412"/>
      <c r="AA1657" s="412"/>
      <c r="AB1657" s="412"/>
      <c r="AC1657" s="412">
        <v>300</v>
      </c>
      <c r="AD1657" s="412">
        <v>300</v>
      </c>
      <c r="AE1657" s="412"/>
      <c r="AF1657" s="412"/>
      <c r="AG1657" s="412"/>
      <c r="AH1657" s="412"/>
      <c r="AI1657" s="412"/>
      <c r="AJ1657" s="412">
        <f t="shared" si="77"/>
        <v>600</v>
      </c>
      <c r="AK1657" s="208"/>
      <c r="AL1657" s="250" t="s">
        <v>2067</v>
      </c>
    </row>
    <row r="1658" spans="1:38" x14ac:dyDescent="0.2">
      <c r="A1658" t="s">
        <v>894</v>
      </c>
      <c r="B1658" s="209">
        <v>5233</v>
      </c>
      <c r="C1658" s="210" t="s">
        <v>1154</v>
      </c>
      <c r="D1658" s="230" t="s">
        <v>1367</v>
      </c>
      <c r="E1658" s="230" t="s">
        <v>1239</v>
      </c>
      <c r="F1658" s="242">
        <v>300</v>
      </c>
      <c r="G1658" s="205">
        <v>3</v>
      </c>
      <c r="H1658" s="206">
        <v>150</v>
      </c>
      <c r="I1658" s="207">
        <v>41469</v>
      </c>
      <c r="J1658" s="197" t="str">
        <f t="shared" si="78"/>
        <v>ok</v>
      </c>
      <c r="K1658" s="419"/>
      <c r="L1658" s="419"/>
      <c r="M1658" s="419"/>
      <c r="N1658" s="419"/>
      <c r="O1658" s="419"/>
      <c r="P1658" s="419"/>
      <c r="Q1658" s="419"/>
      <c r="R1658" s="419"/>
      <c r="S1658" s="419"/>
      <c r="T1658" s="419"/>
      <c r="U1658" s="419"/>
      <c r="V1658" s="419"/>
      <c r="W1658" s="419">
        <f t="shared" si="76"/>
        <v>0</v>
      </c>
      <c r="X1658" s="412"/>
      <c r="Y1658" s="412"/>
      <c r="Z1658" s="412"/>
      <c r="AA1658" s="412"/>
      <c r="AB1658" s="412"/>
      <c r="AC1658" s="412"/>
      <c r="AD1658" s="412"/>
      <c r="AE1658" s="412"/>
      <c r="AF1658" s="412"/>
      <c r="AG1658" s="412"/>
      <c r="AH1658" s="412"/>
      <c r="AI1658" s="412"/>
      <c r="AJ1658" s="412">
        <f t="shared" si="77"/>
        <v>0</v>
      </c>
      <c r="AK1658" s="208"/>
      <c r="AL1658" s="250" t="s">
        <v>2068</v>
      </c>
    </row>
    <row r="1659" spans="1:38" x14ac:dyDescent="0.2">
      <c r="A1659" t="s">
        <v>888</v>
      </c>
      <c r="B1659" s="209">
        <v>5234</v>
      </c>
      <c r="C1659" s="210" t="s">
        <v>962</v>
      </c>
      <c r="D1659" s="230" t="s">
        <v>1609</v>
      </c>
      <c r="E1659" s="230" t="s">
        <v>451</v>
      </c>
      <c r="F1659" s="242">
        <v>150</v>
      </c>
      <c r="G1659" s="205">
        <v>1</v>
      </c>
      <c r="H1659" s="206">
        <v>150</v>
      </c>
      <c r="I1659" s="207">
        <v>41469</v>
      </c>
      <c r="J1659" s="197" t="str">
        <f t="shared" si="78"/>
        <v>ok</v>
      </c>
      <c r="K1659" s="419"/>
      <c r="L1659" s="419"/>
      <c r="M1659" s="419"/>
      <c r="N1659" s="419"/>
      <c r="O1659" s="419"/>
      <c r="P1659" s="419"/>
      <c r="Q1659" s="419"/>
      <c r="R1659" s="419"/>
      <c r="S1659" s="419"/>
      <c r="T1659" s="419"/>
      <c r="U1659" s="419"/>
      <c r="V1659" s="419"/>
      <c r="W1659" s="419">
        <f t="shared" si="76"/>
        <v>0</v>
      </c>
      <c r="X1659" s="412"/>
      <c r="Y1659" s="412"/>
      <c r="Z1659" s="412"/>
      <c r="AA1659" s="412"/>
      <c r="AB1659" s="412"/>
      <c r="AC1659" s="412"/>
      <c r="AD1659" s="412">
        <v>150</v>
      </c>
      <c r="AE1659" s="412"/>
      <c r="AF1659" s="412"/>
      <c r="AG1659" s="412"/>
      <c r="AH1659" s="412"/>
      <c r="AI1659" s="412"/>
      <c r="AJ1659" s="412">
        <f t="shared" si="77"/>
        <v>150</v>
      </c>
      <c r="AK1659" s="208"/>
      <c r="AL1659" s="250" t="s">
        <v>2067</v>
      </c>
    </row>
    <row r="1660" spans="1:38" x14ac:dyDescent="0.2">
      <c r="A1660" t="s">
        <v>893</v>
      </c>
      <c r="B1660" s="209">
        <v>5235</v>
      </c>
      <c r="C1660" s="210" t="s">
        <v>1122</v>
      </c>
      <c r="D1660" s="230" t="s">
        <v>1577</v>
      </c>
      <c r="E1660" s="230" t="s">
        <v>280</v>
      </c>
      <c r="F1660" s="242">
        <v>300</v>
      </c>
      <c r="G1660" s="205">
        <v>1</v>
      </c>
      <c r="H1660" s="206">
        <v>300</v>
      </c>
      <c r="I1660" s="207">
        <v>41469</v>
      </c>
      <c r="J1660" s="197" t="str">
        <f t="shared" si="78"/>
        <v>ok</v>
      </c>
      <c r="K1660" s="419"/>
      <c r="L1660" s="419"/>
      <c r="M1660" s="419"/>
      <c r="N1660" s="419"/>
      <c r="O1660" s="419"/>
      <c r="P1660" s="419"/>
      <c r="Q1660" s="419"/>
      <c r="R1660" s="419"/>
      <c r="S1660" s="419"/>
      <c r="T1660" s="419"/>
      <c r="U1660" s="419"/>
      <c r="V1660" s="419"/>
      <c r="W1660" s="419">
        <f t="shared" si="76"/>
        <v>0</v>
      </c>
      <c r="X1660" s="412"/>
      <c r="Y1660" s="412"/>
      <c r="Z1660" s="412"/>
      <c r="AA1660" s="412"/>
      <c r="AB1660" s="412"/>
      <c r="AC1660" s="412"/>
      <c r="AD1660" s="412">
        <v>300</v>
      </c>
      <c r="AE1660" s="412"/>
      <c r="AF1660" s="412"/>
      <c r="AG1660" s="412"/>
      <c r="AH1660" s="412"/>
      <c r="AI1660" s="412"/>
      <c r="AJ1660" s="412">
        <f t="shared" si="77"/>
        <v>300</v>
      </c>
      <c r="AK1660" s="208"/>
      <c r="AL1660" s="250" t="s">
        <v>2067</v>
      </c>
    </row>
    <row r="1661" spans="1:38" x14ac:dyDescent="0.2">
      <c r="A1661" t="s">
        <v>894</v>
      </c>
      <c r="B1661" s="209">
        <v>5236</v>
      </c>
      <c r="C1661" s="210" t="s">
        <v>1176</v>
      </c>
      <c r="D1661" s="230" t="s">
        <v>1414</v>
      </c>
      <c r="E1661" s="230" t="s">
        <v>634</v>
      </c>
      <c r="F1661" s="242">
        <v>250</v>
      </c>
      <c r="G1661" s="205">
        <v>1</v>
      </c>
      <c r="H1661" s="206">
        <v>250</v>
      </c>
      <c r="I1661" s="207">
        <v>41469</v>
      </c>
      <c r="J1661" s="197" t="str">
        <f t="shared" si="78"/>
        <v>ok</v>
      </c>
      <c r="K1661" s="419"/>
      <c r="L1661" s="419"/>
      <c r="M1661" s="419"/>
      <c r="N1661" s="419"/>
      <c r="O1661" s="419"/>
      <c r="P1661" s="419"/>
      <c r="Q1661" s="419"/>
      <c r="R1661" s="419"/>
      <c r="S1661" s="419"/>
      <c r="T1661" s="419"/>
      <c r="U1661" s="419"/>
      <c r="V1661" s="419"/>
      <c r="W1661" s="419">
        <f t="shared" si="76"/>
        <v>0</v>
      </c>
      <c r="X1661" s="412"/>
      <c r="Y1661" s="412"/>
      <c r="Z1661" s="412"/>
      <c r="AA1661" s="412"/>
      <c r="AB1661" s="412"/>
      <c r="AC1661" s="412"/>
      <c r="AD1661" s="412">
        <v>250</v>
      </c>
      <c r="AE1661" s="412"/>
      <c r="AF1661" s="412"/>
      <c r="AG1661" s="412"/>
      <c r="AH1661" s="412"/>
      <c r="AI1661" s="412"/>
      <c r="AJ1661" s="412">
        <f t="shared" si="77"/>
        <v>250</v>
      </c>
      <c r="AK1661" s="208"/>
      <c r="AL1661" s="250" t="s">
        <v>2067</v>
      </c>
    </row>
    <row r="1662" spans="1:38" x14ac:dyDescent="0.2">
      <c r="A1662" t="s">
        <v>893</v>
      </c>
      <c r="B1662" s="209">
        <v>5237</v>
      </c>
      <c r="C1662" s="210" t="s">
        <v>1116</v>
      </c>
      <c r="D1662" s="230" t="s">
        <v>1603</v>
      </c>
      <c r="E1662" s="230" t="s">
        <v>269</v>
      </c>
      <c r="F1662" s="242">
        <v>300</v>
      </c>
      <c r="G1662" s="205">
        <v>1</v>
      </c>
      <c r="H1662" s="206">
        <v>900</v>
      </c>
      <c r="I1662" s="207">
        <v>41469</v>
      </c>
      <c r="J1662" s="197" t="str">
        <f t="shared" si="78"/>
        <v>ok</v>
      </c>
      <c r="K1662" s="419"/>
      <c r="L1662" s="419"/>
      <c r="M1662" s="419"/>
      <c r="N1662" s="419"/>
      <c r="O1662" s="419"/>
      <c r="P1662" s="419"/>
      <c r="Q1662" s="419"/>
      <c r="R1662" s="419"/>
      <c r="S1662" s="419"/>
      <c r="T1662" s="419"/>
      <c r="U1662" s="419"/>
      <c r="V1662" s="419"/>
      <c r="W1662" s="419">
        <f t="shared" si="76"/>
        <v>0</v>
      </c>
      <c r="X1662" s="412"/>
      <c r="Y1662" s="412"/>
      <c r="Z1662" s="412"/>
      <c r="AA1662" s="412"/>
      <c r="AB1662" s="412"/>
      <c r="AC1662" s="412">
        <v>300</v>
      </c>
      <c r="AD1662" s="412">
        <v>300</v>
      </c>
      <c r="AE1662" s="412">
        <v>300</v>
      </c>
      <c r="AF1662" s="412"/>
      <c r="AG1662" s="412"/>
      <c r="AH1662" s="412"/>
      <c r="AI1662" s="412"/>
      <c r="AJ1662" s="412">
        <f t="shared" si="77"/>
        <v>900</v>
      </c>
      <c r="AK1662" s="208"/>
      <c r="AL1662" s="250" t="s">
        <v>2067</v>
      </c>
    </row>
    <row r="1663" spans="1:38" x14ac:dyDescent="0.2">
      <c r="A1663" t="s">
        <v>884</v>
      </c>
      <c r="B1663" s="209">
        <v>5238</v>
      </c>
      <c r="C1663" s="210" t="s">
        <v>788</v>
      </c>
      <c r="D1663" s="230" t="s">
        <v>1468</v>
      </c>
      <c r="E1663" s="230" t="s">
        <v>1269</v>
      </c>
      <c r="F1663" s="242">
        <v>300</v>
      </c>
      <c r="G1663" s="205">
        <v>1</v>
      </c>
      <c r="H1663" s="206">
        <v>300</v>
      </c>
      <c r="I1663" s="207">
        <v>41469</v>
      </c>
      <c r="J1663" s="197" t="str">
        <f t="shared" si="78"/>
        <v>ok</v>
      </c>
      <c r="K1663" s="419"/>
      <c r="L1663" s="419"/>
      <c r="M1663" s="419"/>
      <c r="N1663" s="419"/>
      <c r="O1663" s="419"/>
      <c r="P1663" s="419"/>
      <c r="Q1663" s="419"/>
      <c r="R1663" s="419"/>
      <c r="S1663" s="419"/>
      <c r="T1663" s="419"/>
      <c r="U1663" s="419"/>
      <c r="V1663" s="419"/>
      <c r="W1663" s="419">
        <f t="shared" si="76"/>
        <v>0</v>
      </c>
      <c r="X1663" s="412"/>
      <c r="Y1663" s="412"/>
      <c r="Z1663" s="412"/>
      <c r="AA1663" s="412"/>
      <c r="AB1663" s="412"/>
      <c r="AC1663" s="412"/>
      <c r="AD1663" s="412">
        <v>300</v>
      </c>
      <c r="AE1663" s="412"/>
      <c r="AF1663" s="412"/>
      <c r="AG1663" s="412"/>
      <c r="AH1663" s="412"/>
      <c r="AI1663" s="412"/>
      <c r="AJ1663" s="412">
        <f t="shared" si="77"/>
        <v>300</v>
      </c>
      <c r="AK1663" s="208"/>
      <c r="AL1663" s="250" t="s">
        <v>2067</v>
      </c>
    </row>
    <row r="1664" spans="1:38" x14ac:dyDescent="0.2">
      <c r="A1664" t="s">
        <v>888</v>
      </c>
      <c r="B1664" s="209">
        <v>5239</v>
      </c>
      <c r="C1664" s="210" t="s">
        <v>944</v>
      </c>
      <c r="D1664" s="230" t="s">
        <v>1525</v>
      </c>
      <c r="E1664" s="230" t="s">
        <v>405</v>
      </c>
      <c r="F1664" s="242">
        <v>300</v>
      </c>
      <c r="G1664" s="205">
        <v>1</v>
      </c>
      <c r="H1664" s="206">
        <v>600</v>
      </c>
      <c r="I1664" s="207">
        <v>41469</v>
      </c>
      <c r="J1664" s="197" t="str">
        <f t="shared" si="78"/>
        <v>ok</v>
      </c>
      <c r="K1664" s="419"/>
      <c r="L1664" s="419"/>
      <c r="M1664" s="419"/>
      <c r="N1664" s="419"/>
      <c r="O1664" s="419"/>
      <c r="P1664" s="419"/>
      <c r="Q1664" s="419"/>
      <c r="R1664" s="419"/>
      <c r="S1664" s="419"/>
      <c r="T1664" s="419"/>
      <c r="U1664" s="419"/>
      <c r="V1664" s="419"/>
      <c r="W1664" s="419">
        <f t="shared" si="76"/>
        <v>0</v>
      </c>
      <c r="X1664" s="412"/>
      <c r="Y1664" s="412"/>
      <c r="Z1664" s="412"/>
      <c r="AA1664" s="412"/>
      <c r="AB1664" s="412"/>
      <c r="AC1664" s="412">
        <v>300</v>
      </c>
      <c r="AD1664" s="412">
        <v>300</v>
      </c>
      <c r="AE1664" s="412"/>
      <c r="AF1664" s="412"/>
      <c r="AG1664" s="412"/>
      <c r="AH1664" s="412"/>
      <c r="AI1664" s="412"/>
      <c r="AJ1664" s="412">
        <f t="shared" si="77"/>
        <v>600</v>
      </c>
      <c r="AK1664" s="208"/>
      <c r="AL1664" s="250" t="s">
        <v>2067</v>
      </c>
    </row>
    <row r="1665" spans="1:38" x14ac:dyDescent="0.2">
      <c r="A1665" t="s">
        <v>894</v>
      </c>
      <c r="B1665" s="209">
        <v>5240</v>
      </c>
      <c r="C1665" s="210" t="s">
        <v>767</v>
      </c>
      <c r="D1665" s="230" t="s">
        <v>1411</v>
      </c>
      <c r="E1665" s="230" t="s">
        <v>607</v>
      </c>
      <c r="F1665" s="242">
        <v>300</v>
      </c>
      <c r="G1665" s="205">
        <v>1</v>
      </c>
      <c r="H1665" s="206">
        <v>300</v>
      </c>
      <c r="I1665" s="207">
        <v>41469</v>
      </c>
      <c r="J1665" s="197" t="str">
        <f t="shared" si="78"/>
        <v>ok</v>
      </c>
      <c r="K1665" s="419"/>
      <c r="L1665" s="419"/>
      <c r="M1665" s="419"/>
      <c r="N1665" s="419"/>
      <c r="O1665" s="419"/>
      <c r="P1665" s="419"/>
      <c r="Q1665" s="419"/>
      <c r="R1665" s="419"/>
      <c r="S1665" s="419"/>
      <c r="T1665" s="419"/>
      <c r="U1665" s="419"/>
      <c r="V1665" s="419"/>
      <c r="W1665" s="419">
        <f t="shared" si="76"/>
        <v>0</v>
      </c>
      <c r="X1665" s="412"/>
      <c r="Y1665" s="412"/>
      <c r="Z1665" s="412"/>
      <c r="AA1665" s="412"/>
      <c r="AB1665" s="412"/>
      <c r="AC1665" s="412"/>
      <c r="AD1665" s="412">
        <v>300</v>
      </c>
      <c r="AE1665" s="412"/>
      <c r="AF1665" s="412"/>
      <c r="AG1665" s="412"/>
      <c r="AH1665" s="412"/>
      <c r="AI1665" s="412"/>
      <c r="AJ1665" s="412">
        <f t="shared" si="77"/>
        <v>300</v>
      </c>
      <c r="AK1665" s="208"/>
      <c r="AL1665" s="250" t="s">
        <v>2067</v>
      </c>
    </row>
    <row r="1666" spans="1:38" x14ac:dyDescent="0.2">
      <c r="A1666" t="s">
        <v>893</v>
      </c>
      <c r="B1666" s="209">
        <v>5241</v>
      </c>
      <c r="C1666" s="210" t="s">
        <v>1121</v>
      </c>
      <c r="D1666" s="230" t="s">
        <v>1584</v>
      </c>
      <c r="E1666" s="230" t="s">
        <v>278</v>
      </c>
      <c r="F1666" s="242">
        <v>300</v>
      </c>
      <c r="G1666" s="205">
        <v>1</v>
      </c>
      <c r="H1666" s="206">
        <v>300</v>
      </c>
      <c r="I1666" s="207">
        <v>41469</v>
      </c>
      <c r="J1666" s="197" t="str">
        <f t="shared" si="78"/>
        <v>ok</v>
      </c>
      <c r="K1666" s="419"/>
      <c r="L1666" s="419"/>
      <c r="M1666" s="419"/>
      <c r="N1666" s="419"/>
      <c r="O1666" s="419"/>
      <c r="P1666" s="419"/>
      <c r="Q1666" s="419"/>
      <c r="R1666" s="419"/>
      <c r="S1666" s="419"/>
      <c r="T1666" s="419"/>
      <c r="U1666" s="419"/>
      <c r="V1666" s="419"/>
      <c r="W1666" s="419">
        <f t="shared" si="76"/>
        <v>0</v>
      </c>
      <c r="X1666" s="412"/>
      <c r="Y1666" s="412"/>
      <c r="Z1666" s="412"/>
      <c r="AA1666" s="412"/>
      <c r="AB1666" s="412"/>
      <c r="AC1666" s="412"/>
      <c r="AD1666" s="412">
        <v>300</v>
      </c>
      <c r="AE1666" s="412"/>
      <c r="AF1666" s="412"/>
      <c r="AG1666" s="412"/>
      <c r="AH1666" s="412"/>
      <c r="AI1666" s="412"/>
      <c r="AJ1666" s="412">
        <f t="shared" si="77"/>
        <v>300</v>
      </c>
      <c r="AK1666" s="208"/>
      <c r="AL1666" s="250" t="s">
        <v>2067</v>
      </c>
    </row>
    <row r="1667" spans="1:38" x14ac:dyDescent="0.2">
      <c r="A1667" t="s">
        <v>893</v>
      </c>
      <c r="B1667" s="209">
        <v>5242</v>
      </c>
      <c r="C1667" s="210" t="s">
        <v>1138</v>
      </c>
      <c r="D1667" s="230" t="s">
        <v>1493</v>
      </c>
      <c r="E1667" s="230" t="s">
        <v>1274</v>
      </c>
      <c r="F1667" s="242">
        <v>300</v>
      </c>
      <c r="G1667" s="205">
        <v>1</v>
      </c>
      <c r="H1667" s="206">
        <v>300</v>
      </c>
      <c r="I1667" s="207">
        <v>41469</v>
      </c>
      <c r="J1667" s="197" t="str">
        <f t="shared" si="78"/>
        <v>ok</v>
      </c>
      <c r="K1667" s="419"/>
      <c r="L1667" s="419"/>
      <c r="M1667" s="419"/>
      <c r="N1667" s="419"/>
      <c r="O1667" s="419"/>
      <c r="P1667" s="419"/>
      <c r="Q1667" s="419"/>
      <c r="R1667" s="419"/>
      <c r="S1667" s="419"/>
      <c r="T1667" s="419"/>
      <c r="U1667" s="419"/>
      <c r="V1667" s="419"/>
      <c r="W1667" s="419">
        <f t="shared" si="76"/>
        <v>0</v>
      </c>
      <c r="X1667" s="412"/>
      <c r="Y1667" s="412"/>
      <c r="Z1667" s="412"/>
      <c r="AA1667" s="412"/>
      <c r="AB1667" s="412"/>
      <c r="AC1667" s="412"/>
      <c r="AD1667" s="412">
        <v>300</v>
      </c>
      <c r="AE1667" s="412"/>
      <c r="AF1667" s="412"/>
      <c r="AG1667" s="412"/>
      <c r="AH1667" s="412"/>
      <c r="AI1667" s="412"/>
      <c r="AJ1667" s="412">
        <f t="shared" si="77"/>
        <v>300</v>
      </c>
      <c r="AK1667" s="208"/>
      <c r="AL1667" s="250" t="s">
        <v>2067</v>
      </c>
    </row>
    <row r="1668" spans="1:38" x14ac:dyDescent="0.2">
      <c r="A1668" t="s">
        <v>890</v>
      </c>
      <c r="B1668" s="209">
        <v>5243</v>
      </c>
      <c r="C1668" s="210" t="s">
        <v>1012</v>
      </c>
      <c r="D1668" s="230" t="s">
        <v>1474</v>
      </c>
      <c r="E1668" s="230" t="s">
        <v>729</v>
      </c>
      <c r="F1668" s="242">
        <v>300</v>
      </c>
      <c r="G1668" s="205">
        <v>1</v>
      </c>
      <c r="H1668" s="206">
        <v>300</v>
      </c>
      <c r="I1668" s="207">
        <v>41469</v>
      </c>
      <c r="J1668" s="197" t="str">
        <f t="shared" si="78"/>
        <v>ok</v>
      </c>
      <c r="K1668" s="419"/>
      <c r="L1668" s="419"/>
      <c r="M1668" s="419"/>
      <c r="N1668" s="419"/>
      <c r="O1668" s="419"/>
      <c r="P1668" s="419"/>
      <c r="Q1668" s="419"/>
      <c r="R1668" s="419"/>
      <c r="S1668" s="419"/>
      <c r="T1668" s="419"/>
      <c r="U1668" s="419"/>
      <c r="V1668" s="419"/>
      <c r="W1668" s="419">
        <f t="shared" si="76"/>
        <v>0</v>
      </c>
      <c r="X1668" s="412"/>
      <c r="Y1668" s="412"/>
      <c r="Z1668" s="412"/>
      <c r="AA1668" s="412"/>
      <c r="AB1668" s="412"/>
      <c r="AC1668" s="412"/>
      <c r="AD1668" s="412">
        <v>300</v>
      </c>
      <c r="AE1668" s="412"/>
      <c r="AF1668" s="412"/>
      <c r="AG1668" s="412"/>
      <c r="AH1668" s="412"/>
      <c r="AI1668" s="412"/>
      <c r="AJ1668" s="412">
        <f t="shared" si="77"/>
        <v>300</v>
      </c>
      <c r="AK1668" s="208"/>
      <c r="AL1668" s="250" t="s">
        <v>2067</v>
      </c>
    </row>
    <row r="1669" spans="1:38" x14ac:dyDescent="0.2">
      <c r="A1669" t="s">
        <v>888</v>
      </c>
      <c r="B1669" s="209">
        <v>5244</v>
      </c>
      <c r="C1669" s="210" t="s">
        <v>966</v>
      </c>
      <c r="D1669" s="230" t="s">
        <v>1526</v>
      </c>
      <c r="E1669" s="230" t="s">
        <v>432</v>
      </c>
      <c r="F1669" s="242">
        <v>250</v>
      </c>
      <c r="G1669" s="205">
        <v>1</v>
      </c>
      <c r="H1669" s="206">
        <v>500</v>
      </c>
      <c r="I1669" s="207">
        <v>41469</v>
      </c>
      <c r="J1669" s="197" t="str">
        <f t="shared" si="78"/>
        <v>ok</v>
      </c>
      <c r="K1669" s="419"/>
      <c r="L1669" s="419"/>
      <c r="M1669" s="419"/>
      <c r="N1669" s="419"/>
      <c r="O1669" s="419"/>
      <c r="P1669" s="419"/>
      <c r="Q1669" s="419"/>
      <c r="R1669" s="419"/>
      <c r="S1669" s="419"/>
      <c r="T1669" s="419"/>
      <c r="U1669" s="419"/>
      <c r="V1669" s="419"/>
      <c r="W1669" s="419">
        <f t="shared" si="76"/>
        <v>0</v>
      </c>
      <c r="X1669" s="412"/>
      <c r="Y1669" s="412"/>
      <c r="Z1669" s="412"/>
      <c r="AA1669" s="412"/>
      <c r="AB1669" s="412"/>
      <c r="AC1669" s="412">
        <v>250</v>
      </c>
      <c r="AD1669" s="412">
        <v>250</v>
      </c>
      <c r="AE1669" s="412"/>
      <c r="AF1669" s="412"/>
      <c r="AG1669" s="412"/>
      <c r="AH1669" s="412"/>
      <c r="AI1669" s="412"/>
      <c r="AJ1669" s="412">
        <f t="shared" si="77"/>
        <v>500</v>
      </c>
      <c r="AK1669" s="208"/>
      <c r="AL1669" s="250" t="s">
        <v>2067</v>
      </c>
    </row>
    <row r="1670" spans="1:38" x14ac:dyDescent="0.2">
      <c r="A1670" t="s">
        <v>884</v>
      </c>
      <c r="B1670" s="209">
        <v>5245</v>
      </c>
      <c r="C1670" s="210" t="s">
        <v>881</v>
      </c>
      <c r="D1670" s="230" t="s">
        <v>1564</v>
      </c>
      <c r="E1670" s="230" t="s">
        <v>135</v>
      </c>
      <c r="F1670" s="242">
        <v>300</v>
      </c>
      <c r="G1670" s="205">
        <v>1</v>
      </c>
      <c r="H1670" s="206">
        <v>900</v>
      </c>
      <c r="I1670" s="207">
        <v>41469</v>
      </c>
      <c r="J1670" s="197" t="str">
        <f t="shared" si="78"/>
        <v>ok</v>
      </c>
      <c r="K1670" s="419"/>
      <c r="L1670" s="419"/>
      <c r="M1670" s="419"/>
      <c r="N1670" s="419"/>
      <c r="O1670" s="419"/>
      <c r="P1670" s="419"/>
      <c r="Q1670" s="419"/>
      <c r="R1670" s="419"/>
      <c r="S1670" s="419"/>
      <c r="T1670" s="419"/>
      <c r="U1670" s="419"/>
      <c r="V1670" s="419"/>
      <c r="W1670" s="419">
        <f t="shared" si="76"/>
        <v>0</v>
      </c>
      <c r="X1670" s="412"/>
      <c r="Y1670" s="412"/>
      <c r="Z1670" s="412"/>
      <c r="AA1670" s="412"/>
      <c r="AB1670" s="412">
        <v>300</v>
      </c>
      <c r="AC1670" s="412">
        <v>300</v>
      </c>
      <c r="AD1670" s="412">
        <v>300</v>
      </c>
      <c r="AE1670" s="412"/>
      <c r="AF1670" s="412"/>
      <c r="AG1670" s="412"/>
      <c r="AH1670" s="412"/>
      <c r="AI1670" s="412"/>
      <c r="AJ1670" s="412">
        <f t="shared" si="77"/>
        <v>900</v>
      </c>
      <c r="AK1670" s="208"/>
      <c r="AL1670" s="250" t="s">
        <v>2067</v>
      </c>
    </row>
    <row r="1671" spans="1:38" x14ac:dyDescent="0.2">
      <c r="A1671" t="s">
        <v>894</v>
      </c>
      <c r="B1671" s="209">
        <v>5246</v>
      </c>
      <c r="C1671" s="210" t="s">
        <v>1158</v>
      </c>
      <c r="D1671" s="230" t="s">
        <v>1590</v>
      </c>
      <c r="E1671" s="230" t="s">
        <v>600</v>
      </c>
      <c r="F1671" s="242">
        <v>300</v>
      </c>
      <c r="G1671" s="205">
        <v>1</v>
      </c>
      <c r="H1671" s="206">
        <v>600</v>
      </c>
      <c r="I1671" s="207">
        <v>41469</v>
      </c>
      <c r="J1671" s="197" t="str">
        <f t="shared" si="78"/>
        <v>ok</v>
      </c>
      <c r="K1671" s="419"/>
      <c r="L1671" s="419"/>
      <c r="M1671" s="419"/>
      <c r="N1671" s="419"/>
      <c r="O1671" s="419"/>
      <c r="P1671" s="419"/>
      <c r="Q1671" s="419"/>
      <c r="R1671" s="419"/>
      <c r="S1671" s="419"/>
      <c r="T1671" s="419"/>
      <c r="U1671" s="419"/>
      <c r="V1671" s="419"/>
      <c r="W1671" s="419">
        <f t="shared" ref="W1671:W1734" si="79">SUM(K1671:V1671)</f>
        <v>0</v>
      </c>
      <c r="X1671" s="412"/>
      <c r="Y1671" s="412"/>
      <c r="Z1671" s="412"/>
      <c r="AA1671" s="412"/>
      <c r="AB1671" s="412">
        <v>300</v>
      </c>
      <c r="AC1671" s="412">
        <v>300</v>
      </c>
      <c r="AD1671" s="412"/>
      <c r="AE1671" s="412"/>
      <c r="AF1671" s="412"/>
      <c r="AG1671" s="412"/>
      <c r="AH1671" s="412"/>
      <c r="AI1671" s="412"/>
      <c r="AJ1671" s="412">
        <f t="shared" ref="AJ1671:AJ1734" si="80">SUM(X1671:AI1671)</f>
        <v>600</v>
      </c>
      <c r="AK1671" s="208"/>
      <c r="AL1671" s="250" t="s">
        <v>2067</v>
      </c>
    </row>
    <row r="1672" spans="1:38" x14ac:dyDescent="0.2">
      <c r="A1672" t="s">
        <v>890</v>
      </c>
      <c r="B1672" s="209">
        <v>5247</v>
      </c>
      <c r="C1672" s="210" t="s">
        <v>769</v>
      </c>
      <c r="D1672" s="230" t="s">
        <v>1451</v>
      </c>
      <c r="E1672" s="230" t="s">
        <v>546</v>
      </c>
      <c r="F1672" s="242">
        <v>300</v>
      </c>
      <c r="G1672" s="205">
        <v>1</v>
      </c>
      <c r="H1672" s="206">
        <v>600</v>
      </c>
      <c r="I1672" s="207">
        <v>41469</v>
      </c>
      <c r="J1672" s="197" t="str">
        <f t="shared" si="78"/>
        <v>ok</v>
      </c>
      <c r="K1672" s="419"/>
      <c r="L1672" s="419"/>
      <c r="M1672" s="419"/>
      <c r="N1672" s="419"/>
      <c r="O1672" s="419"/>
      <c r="P1672" s="419"/>
      <c r="Q1672" s="419"/>
      <c r="R1672" s="419"/>
      <c r="S1672" s="419"/>
      <c r="T1672" s="419"/>
      <c r="U1672" s="419"/>
      <c r="V1672" s="419"/>
      <c r="W1672" s="419">
        <f t="shared" si="79"/>
        <v>0</v>
      </c>
      <c r="X1672" s="412"/>
      <c r="Y1672" s="412"/>
      <c r="Z1672" s="412"/>
      <c r="AA1672" s="412"/>
      <c r="AB1672" s="412"/>
      <c r="AC1672" s="412"/>
      <c r="AD1672" s="412">
        <v>300</v>
      </c>
      <c r="AE1672" s="412">
        <v>300</v>
      </c>
      <c r="AF1672" s="412"/>
      <c r="AG1672" s="412"/>
      <c r="AH1672" s="412"/>
      <c r="AI1672" s="412"/>
      <c r="AJ1672" s="412">
        <f t="shared" si="80"/>
        <v>600</v>
      </c>
      <c r="AK1672" s="208"/>
      <c r="AL1672" s="250" t="s">
        <v>2067</v>
      </c>
    </row>
    <row r="1673" spans="1:38" x14ac:dyDescent="0.2">
      <c r="A1673" t="s">
        <v>894</v>
      </c>
      <c r="B1673" s="209">
        <v>5248</v>
      </c>
      <c r="C1673" s="210" t="s">
        <v>1178</v>
      </c>
      <c r="D1673" s="230" t="s">
        <v>1578</v>
      </c>
      <c r="E1673" s="230" t="s">
        <v>637</v>
      </c>
      <c r="F1673" s="242">
        <v>300</v>
      </c>
      <c r="G1673" s="205">
        <v>1</v>
      </c>
      <c r="H1673" s="206">
        <v>600</v>
      </c>
      <c r="I1673" s="207">
        <v>41469</v>
      </c>
      <c r="J1673" s="197" t="str">
        <f t="shared" si="78"/>
        <v>ok</v>
      </c>
      <c r="K1673" s="419"/>
      <c r="L1673" s="419"/>
      <c r="M1673" s="419"/>
      <c r="N1673" s="419"/>
      <c r="O1673" s="419"/>
      <c r="P1673" s="419"/>
      <c r="Q1673" s="419"/>
      <c r="R1673" s="419"/>
      <c r="S1673" s="419"/>
      <c r="T1673" s="419"/>
      <c r="U1673" s="419"/>
      <c r="V1673" s="419"/>
      <c r="W1673" s="419">
        <f t="shared" si="79"/>
        <v>0</v>
      </c>
      <c r="X1673" s="412"/>
      <c r="Y1673" s="412"/>
      <c r="Z1673" s="412"/>
      <c r="AA1673" s="412"/>
      <c r="AB1673" s="412">
        <v>300</v>
      </c>
      <c r="AC1673" s="412">
        <v>300</v>
      </c>
      <c r="AD1673" s="412"/>
      <c r="AE1673" s="412"/>
      <c r="AF1673" s="412"/>
      <c r="AG1673" s="412"/>
      <c r="AH1673" s="412"/>
      <c r="AI1673" s="412"/>
      <c r="AJ1673" s="412">
        <f t="shared" si="80"/>
        <v>600</v>
      </c>
      <c r="AK1673" s="208"/>
      <c r="AL1673" s="250" t="s">
        <v>2067</v>
      </c>
    </row>
    <row r="1674" spans="1:38" x14ac:dyDescent="0.2">
      <c r="A1674" t="s">
        <v>893</v>
      </c>
      <c r="B1674" s="209">
        <v>5249</v>
      </c>
      <c r="C1674" s="210" t="s">
        <v>1139</v>
      </c>
      <c r="D1674" s="230" t="s">
        <v>1528</v>
      </c>
      <c r="E1674" s="230" t="s">
        <v>313</v>
      </c>
      <c r="F1674" s="242">
        <v>300</v>
      </c>
      <c r="G1674" s="205">
        <v>1</v>
      </c>
      <c r="H1674" s="206">
        <v>300</v>
      </c>
      <c r="I1674" s="207">
        <v>41469</v>
      </c>
      <c r="J1674" s="197" t="str">
        <f t="shared" si="78"/>
        <v>ok</v>
      </c>
      <c r="K1674" s="419"/>
      <c r="L1674" s="419"/>
      <c r="M1674" s="419"/>
      <c r="N1674" s="419"/>
      <c r="O1674" s="419"/>
      <c r="P1674" s="419"/>
      <c r="Q1674" s="419"/>
      <c r="R1674" s="419"/>
      <c r="S1674" s="419"/>
      <c r="T1674" s="419"/>
      <c r="U1674" s="419"/>
      <c r="V1674" s="419"/>
      <c r="W1674" s="419">
        <f t="shared" si="79"/>
        <v>0</v>
      </c>
      <c r="X1674" s="412"/>
      <c r="Y1674" s="412"/>
      <c r="Z1674" s="412"/>
      <c r="AA1674" s="412"/>
      <c r="AB1674" s="412"/>
      <c r="AC1674" s="412"/>
      <c r="AD1674" s="412">
        <v>300</v>
      </c>
      <c r="AE1674" s="412"/>
      <c r="AF1674" s="412"/>
      <c r="AG1674" s="412"/>
      <c r="AH1674" s="412"/>
      <c r="AI1674" s="412"/>
      <c r="AJ1674" s="412">
        <f t="shared" si="80"/>
        <v>300</v>
      </c>
      <c r="AK1674" s="208"/>
      <c r="AL1674" s="250" t="s">
        <v>2067</v>
      </c>
    </row>
    <row r="1675" spans="1:38" x14ac:dyDescent="0.2">
      <c r="A1675" t="s">
        <v>894</v>
      </c>
      <c r="B1675" s="209">
        <v>5250</v>
      </c>
      <c r="C1675" s="210" t="s">
        <v>1160</v>
      </c>
      <c r="D1675" s="230" t="s">
        <v>1608</v>
      </c>
      <c r="E1675" s="230" t="s">
        <v>1275</v>
      </c>
      <c r="F1675" s="242">
        <v>300</v>
      </c>
      <c r="G1675" s="205">
        <v>1</v>
      </c>
      <c r="H1675" s="206">
        <v>300</v>
      </c>
      <c r="I1675" s="207">
        <v>41469</v>
      </c>
      <c r="J1675" s="197" t="str">
        <f t="shared" si="78"/>
        <v>ok</v>
      </c>
      <c r="K1675" s="419"/>
      <c r="L1675" s="419"/>
      <c r="M1675" s="419"/>
      <c r="N1675" s="419"/>
      <c r="O1675" s="419"/>
      <c r="P1675" s="419"/>
      <c r="Q1675" s="419"/>
      <c r="R1675" s="419"/>
      <c r="S1675" s="419"/>
      <c r="T1675" s="419"/>
      <c r="U1675" s="419"/>
      <c r="V1675" s="419"/>
      <c r="W1675" s="419">
        <f t="shared" si="79"/>
        <v>0</v>
      </c>
      <c r="X1675" s="412"/>
      <c r="Y1675" s="412"/>
      <c r="Z1675" s="412"/>
      <c r="AA1675" s="412"/>
      <c r="AB1675" s="412"/>
      <c r="AC1675" s="412"/>
      <c r="AD1675" s="412">
        <v>300</v>
      </c>
      <c r="AE1675" s="412"/>
      <c r="AF1675" s="412"/>
      <c r="AG1675" s="412"/>
      <c r="AH1675" s="412"/>
      <c r="AI1675" s="412"/>
      <c r="AJ1675" s="412">
        <f t="shared" si="80"/>
        <v>300</v>
      </c>
      <c r="AK1675" s="208"/>
      <c r="AL1675" s="250" t="s">
        <v>2067</v>
      </c>
    </row>
    <row r="1676" spans="1:38" x14ac:dyDescent="0.2">
      <c r="A1676" t="s">
        <v>890</v>
      </c>
      <c r="B1676" s="209">
        <v>5251</v>
      </c>
      <c r="C1676" s="210" t="s">
        <v>1025</v>
      </c>
      <c r="D1676" s="230" t="s">
        <v>1378</v>
      </c>
      <c r="E1676" s="230" t="s">
        <v>525</v>
      </c>
      <c r="F1676" s="242">
        <v>300</v>
      </c>
      <c r="G1676" s="205">
        <v>1</v>
      </c>
      <c r="H1676" s="206">
        <v>300</v>
      </c>
      <c r="I1676" s="207">
        <v>41469</v>
      </c>
      <c r="J1676" s="197" t="str">
        <f t="shared" si="78"/>
        <v>ok</v>
      </c>
      <c r="K1676" s="419"/>
      <c r="L1676" s="419"/>
      <c r="M1676" s="419"/>
      <c r="N1676" s="419"/>
      <c r="O1676" s="419"/>
      <c r="P1676" s="419"/>
      <c r="Q1676" s="419"/>
      <c r="R1676" s="419"/>
      <c r="S1676" s="419"/>
      <c r="T1676" s="419"/>
      <c r="U1676" s="419"/>
      <c r="V1676" s="419"/>
      <c r="W1676" s="419">
        <f t="shared" si="79"/>
        <v>0</v>
      </c>
      <c r="X1676" s="412"/>
      <c r="Y1676" s="412"/>
      <c r="Z1676" s="412"/>
      <c r="AA1676" s="412"/>
      <c r="AB1676" s="412"/>
      <c r="AC1676" s="412"/>
      <c r="AD1676" s="412">
        <v>300</v>
      </c>
      <c r="AE1676" s="412"/>
      <c r="AF1676" s="412"/>
      <c r="AG1676" s="412"/>
      <c r="AH1676" s="412"/>
      <c r="AI1676" s="412"/>
      <c r="AJ1676" s="412">
        <f t="shared" si="80"/>
        <v>300</v>
      </c>
      <c r="AK1676" s="208"/>
      <c r="AL1676" s="250" t="s">
        <v>2067</v>
      </c>
    </row>
    <row r="1677" spans="1:38" x14ac:dyDescent="0.2">
      <c r="A1677" t="s">
        <v>890</v>
      </c>
      <c r="B1677" s="209">
        <v>5252</v>
      </c>
      <c r="C1677" s="210" t="s">
        <v>1032</v>
      </c>
      <c r="D1677" s="230" t="s">
        <v>1476</v>
      </c>
      <c r="E1677" s="230" t="s">
        <v>537</v>
      </c>
      <c r="F1677" s="242">
        <v>300</v>
      </c>
      <c r="G1677" s="205">
        <v>1</v>
      </c>
      <c r="H1677" s="206">
        <v>600</v>
      </c>
      <c r="I1677" s="207">
        <v>41469</v>
      </c>
      <c r="J1677" s="197" t="str">
        <f t="shared" si="78"/>
        <v>ok</v>
      </c>
      <c r="K1677" s="419"/>
      <c r="L1677" s="419"/>
      <c r="M1677" s="419"/>
      <c r="N1677" s="419"/>
      <c r="O1677" s="419"/>
      <c r="P1677" s="419"/>
      <c r="Q1677" s="419"/>
      <c r="R1677" s="419"/>
      <c r="S1677" s="419"/>
      <c r="T1677" s="419"/>
      <c r="U1677" s="419"/>
      <c r="V1677" s="419"/>
      <c r="W1677" s="419">
        <f t="shared" si="79"/>
        <v>0</v>
      </c>
      <c r="X1677" s="412"/>
      <c r="Y1677" s="412"/>
      <c r="Z1677" s="412"/>
      <c r="AA1677" s="412"/>
      <c r="AB1677" s="412"/>
      <c r="AC1677" s="412">
        <v>300</v>
      </c>
      <c r="AD1677" s="412">
        <v>300</v>
      </c>
      <c r="AE1677" s="412"/>
      <c r="AF1677" s="412"/>
      <c r="AG1677" s="412"/>
      <c r="AH1677" s="412"/>
      <c r="AI1677" s="412"/>
      <c r="AJ1677" s="412">
        <f t="shared" si="80"/>
        <v>600</v>
      </c>
      <c r="AK1677" s="208"/>
      <c r="AL1677" s="250" t="s">
        <v>2067</v>
      </c>
    </row>
    <row r="1678" spans="1:38" x14ac:dyDescent="0.2">
      <c r="A1678" t="s">
        <v>893</v>
      </c>
      <c r="B1678" s="209">
        <v>5253</v>
      </c>
      <c r="C1678" s="210" t="s">
        <v>1134</v>
      </c>
      <c r="D1678" s="230" t="s">
        <v>1556</v>
      </c>
      <c r="E1678" s="230" t="s">
        <v>305</v>
      </c>
      <c r="F1678" s="242">
        <v>300</v>
      </c>
      <c r="G1678" s="205">
        <v>1</v>
      </c>
      <c r="H1678" s="206">
        <v>900</v>
      </c>
      <c r="I1678" s="207">
        <v>41469</v>
      </c>
      <c r="J1678" s="197" t="str">
        <f t="shared" ref="J1678:J1741" si="81">IF(OR(G1678&lt;&gt;1,SUM(W1678,AJ1678)=H1678),"ok","error")</f>
        <v>ok</v>
      </c>
      <c r="K1678" s="419"/>
      <c r="L1678" s="419"/>
      <c r="M1678" s="419"/>
      <c r="N1678" s="419"/>
      <c r="O1678" s="419"/>
      <c r="P1678" s="419"/>
      <c r="Q1678" s="419"/>
      <c r="R1678" s="419"/>
      <c r="S1678" s="419"/>
      <c r="T1678" s="419"/>
      <c r="U1678" s="419"/>
      <c r="V1678" s="419"/>
      <c r="W1678" s="419">
        <f t="shared" si="79"/>
        <v>0</v>
      </c>
      <c r="X1678" s="412"/>
      <c r="Y1678" s="412"/>
      <c r="Z1678" s="412"/>
      <c r="AA1678" s="412"/>
      <c r="AB1678" s="412">
        <v>300</v>
      </c>
      <c r="AC1678" s="412">
        <v>300</v>
      </c>
      <c r="AD1678" s="412">
        <v>300</v>
      </c>
      <c r="AE1678" s="412"/>
      <c r="AF1678" s="412"/>
      <c r="AG1678" s="412"/>
      <c r="AH1678" s="412"/>
      <c r="AI1678" s="412"/>
      <c r="AJ1678" s="412">
        <f t="shared" si="80"/>
        <v>900</v>
      </c>
      <c r="AK1678" s="208"/>
      <c r="AL1678" s="250" t="s">
        <v>2067</v>
      </c>
    </row>
    <row r="1679" spans="1:38" x14ac:dyDescent="0.2">
      <c r="A1679" t="s">
        <v>884</v>
      </c>
      <c r="B1679" s="209">
        <v>5254</v>
      </c>
      <c r="C1679" s="210" t="s">
        <v>789</v>
      </c>
      <c r="D1679" s="230" t="s">
        <v>1485</v>
      </c>
      <c r="E1679" s="230" t="s">
        <v>1666</v>
      </c>
      <c r="F1679" s="242">
        <v>300</v>
      </c>
      <c r="G1679" s="205">
        <v>1</v>
      </c>
      <c r="H1679" s="206">
        <v>300</v>
      </c>
      <c r="I1679" s="207">
        <v>41469</v>
      </c>
      <c r="J1679" s="197" t="str">
        <f t="shared" si="81"/>
        <v>ok</v>
      </c>
      <c r="K1679" s="419"/>
      <c r="L1679" s="419"/>
      <c r="M1679" s="419"/>
      <c r="N1679" s="419"/>
      <c r="O1679" s="419"/>
      <c r="P1679" s="419"/>
      <c r="Q1679" s="419"/>
      <c r="R1679" s="419"/>
      <c r="S1679" s="419"/>
      <c r="T1679" s="419"/>
      <c r="U1679" s="419"/>
      <c r="V1679" s="419"/>
      <c r="W1679" s="419">
        <f t="shared" si="79"/>
        <v>0</v>
      </c>
      <c r="X1679" s="412"/>
      <c r="Y1679" s="412"/>
      <c r="Z1679" s="412"/>
      <c r="AA1679" s="412"/>
      <c r="AB1679" s="412"/>
      <c r="AC1679" s="412"/>
      <c r="AD1679" s="412">
        <v>300</v>
      </c>
      <c r="AE1679" s="412"/>
      <c r="AF1679" s="412"/>
      <c r="AG1679" s="412"/>
      <c r="AH1679" s="412"/>
      <c r="AI1679" s="412"/>
      <c r="AJ1679" s="412">
        <f t="shared" si="80"/>
        <v>300</v>
      </c>
      <c r="AK1679" s="208"/>
      <c r="AL1679" s="250" t="s">
        <v>2067</v>
      </c>
    </row>
    <row r="1680" spans="1:38" x14ac:dyDescent="0.2">
      <c r="A1680" t="s">
        <v>893</v>
      </c>
      <c r="B1680" s="209">
        <v>5255</v>
      </c>
      <c r="C1680" s="210" t="s">
        <v>1085</v>
      </c>
      <c r="D1680" s="230" t="s">
        <v>1408</v>
      </c>
      <c r="E1680" s="230" t="s">
        <v>211</v>
      </c>
      <c r="F1680" s="242">
        <v>300</v>
      </c>
      <c r="G1680" s="205">
        <v>1</v>
      </c>
      <c r="H1680" s="206">
        <v>600</v>
      </c>
      <c r="I1680" s="207">
        <v>41469</v>
      </c>
      <c r="J1680" s="197" t="str">
        <f t="shared" si="81"/>
        <v>ok</v>
      </c>
      <c r="K1680" s="419"/>
      <c r="L1680" s="419"/>
      <c r="M1680" s="419"/>
      <c r="N1680" s="419"/>
      <c r="O1680" s="419"/>
      <c r="P1680" s="419"/>
      <c r="Q1680" s="419"/>
      <c r="R1680" s="419"/>
      <c r="S1680" s="419"/>
      <c r="T1680" s="419"/>
      <c r="U1680" s="419"/>
      <c r="V1680" s="419"/>
      <c r="W1680" s="419">
        <f t="shared" si="79"/>
        <v>0</v>
      </c>
      <c r="X1680" s="412"/>
      <c r="Y1680" s="412"/>
      <c r="Z1680" s="412"/>
      <c r="AA1680" s="412"/>
      <c r="AB1680" s="412"/>
      <c r="AC1680" s="412"/>
      <c r="AD1680" s="412">
        <v>300</v>
      </c>
      <c r="AE1680" s="412">
        <v>300</v>
      </c>
      <c r="AF1680" s="412"/>
      <c r="AG1680" s="412"/>
      <c r="AH1680" s="412"/>
      <c r="AI1680" s="412"/>
      <c r="AJ1680" s="412">
        <f t="shared" si="80"/>
        <v>600</v>
      </c>
      <c r="AK1680" s="208" t="s">
        <v>1734</v>
      </c>
      <c r="AL1680" s="250" t="s">
        <v>2067</v>
      </c>
    </row>
    <row r="1681" spans="1:38" x14ac:dyDescent="0.2">
      <c r="A1681" t="s">
        <v>893</v>
      </c>
      <c r="B1681" s="209">
        <v>5256</v>
      </c>
      <c r="C1681" s="210" t="s">
        <v>1103</v>
      </c>
      <c r="D1681" s="230" t="s">
        <v>1407</v>
      </c>
      <c r="E1681" s="230" t="s">
        <v>248</v>
      </c>
      <c r="F1681" s="242">
        <v>300</v>
      </c>
      <c r="G1681" s="205">
        <v>1</v>
      </c>
      <c r="H1681" s="206">
        <v>300</v>
      </c>
      <c r="I1681" s="207">
        <v>41469</v>
      </c>
      <c r="J1681" s="197" t="str">
        <f t="shared" si="81"/>
        <v>ok</v>
      </c>
      <c r="K1681" s="419"/>
      <c r="L1681" s="419"/>
      <c r="M1681" s="419"/>
      <c r="N1681" s="419"/>
      <c r="O1681" s="419"/>
      <c r="P1681" s="419"/>
      <c r="Q1681" s="419"/>
      <c r="R1681" s="419"/>
      <c r="S1681" s="419"/>
      <c r="T1681" s="419"/>
      <c r="U1681" s="419"/>
      <c r="V1681" s="419"/>
      <c r="W1681" s="419">
        <f t="shared" si="79"/>
        <v>0</v>
      </c>
      <c r="X1681" s="412"/>
      <c r="Y1681" s="412"/>
      <c r="Z1681" s="412"/>
      <c r="AA1681" s="412"/>
      <c r="AB1681" s="412"/>
      <c r="AC1681" s="412"/>
      <c r="AD1681" s="412">
        <v>300</v>
      </c>
      <c r="AE1681" s="412"/>
      <c r="AF1681" s="412"/>
      <c r="AG1681" s="412"/>
      <c r="AH1681" s="412"/>
      <c r="AI1681" s="412"/>
      <c r="AJ1681" s="412">
        <f t="shared" si="80"/>
        <v>300</v>
      </c>
      <c r="AK1681" s="208"/>
      <c r="AL1681" s="250" t="s">
        <v>2067</v>
      </c>
    </row>
    <row r="1682" spans="1:38" x14ac:dyDescent="0.2">
      <c r="A1682" t="s">
        <v>894</v>
      </c>
      <c r="B1682" s="209">
        <v>5257</v>
      </c>
      <c r="C1682" s="210" t="s">
        <v>1163</v>
      </c>
      <c r="D1682" s="230" t="s">
        <v>1492</v>
      </c>
      <c r="E1682" s="230" t="s">
        <v>1225</v>
      </c>
      <c r="F1682" s="242">
        <v>250</v>
      </c>
      <c r="G1682" s="205">
        <v>1</v>
      </c>
      <c r="H1682" s="206">
        <v>250</v>
      </c>
      <c r="I1682" s="207">
        <v>41469</v>
      </c>
      <c r="J1682" s="197" t="str">
        <f t="shared" si="81"/>
        <v>ok</v>
      </c>
      <c r="K1682" s="419"/>
      <c r="L1682" s="419"/>
      <c r="M1682" s="419"/>
      <c r="N1682" s="419"/>
      <c r="O1682" s="419"/>
      <c r="P1682" s="419"/>
      <c r="Q1682" s="419"/>
      <c r="R1682" s="419"/>
      <c r="S1682" s="419"/>
      <c r="T1682" s="419"/>
      <c r="U1682" s="419"/>
      <c r="V1682" s="419"/>
      <c r="W1682" s="419">
        <f t="shared" si="79"/>
        <v>0</v>
      </c>
      <c r="X1682" s="412"/>
      <c r="Y1682" s="412"/>
      <c r="Z1682" s="412"/>
      <c r="AA1682" s="412"/>
      <c r="AB1682" s="412"/>
      <c r="AC1682" s="412"/>
      <c r="AD1682" s="412">
        <v>250</v>
      </c>
      <c r="AE1682" s="412"/>
      <c r="AF1682" s="412"/>
      <c r="AG1682" s="412"/>
      <c r="AH1682" s="412"/>
      <c r="AI1682" s="412"/>
      <c r="AJ1682" s="412">
        <f t="shared" si="80"/>
        <v>250</v>
      </c>
      <c r="AK1682" s="208"/>
      <c r="AL1682" s="250" t="s">
        <v>2067</v>
      </c>
    </row>
    <row r="1683" spans="1:38" x14ac:dyDescent="0.2">
      <c r="A1683" t="s">
        <v>888</v>
      </c>
      <c r="B1683" s="209">
        <v>5258</v>
      </c>
      <c r="C1683" s="210" t="s">
        <v>921</v>
      </c>
      <c r="D1683" s="230" t="s">
        <v>1546</v>
      </c>
      <c r="E1683" s="230" t="s">
        <v>363</v>
      </c>
      <c r="F1683" s="242">
        <v>300</v>
      </c>
      <c r="G1683" s="205">
        <v>1</v>
      </c>
      <c r="H1683" s="206">
        <v>300</v>
      </c>
      <c r="I1683" s="207">
        <v>41469</v>
      </c>
      <c r="J1683" s="197" t="str">
        <f t="shared" si="81"/>
        <v>ok</v>
      </c>
      <c r="K1683" s="419"/>
      <c r="L1683" s="419"/>
      <c r="M1683" s="419"/>
      <c r="N1683" s="419"/>
      <c r="O1683" s="419"/>
      <c r="P1683" s="419"/>
      <c r="Q1683" s="419"/>
      <c r="R1683" s="419"/>
      <c r="S1683" s="419"/>
      <c r="T1683" s="419"/>
      <c r="U1683" s="419"/>
      <c r="V1683" s="419"/>
      <c r="W1683" s="419">
        <f t="shared" si="79"/>
        <v>0</v>
      </c>
      <c r="X1683" s="412"/>
      <c r="Y1683" s="412"/>
      <c r="Z1683" s="412"/>
      <c r="AA1683" s="412"/>
      <c r="AB1683" s="412"/>
      <c r="AC1683" s="412"/>
      <c r="AD1683" s="412">
        <v>300</v>
      </c>
      <c r="AE1683" s="412"/>
      <c r="AF1683" s="412"/>
      <c r="AG1683" s="412"/>
      <c r="AH1683" s="412"/>
      <c r="AI1683" s="412"/>
      <c r="AJ1683" s="412">
        <f t="shared" si="80"/>
        <v>300</v>
      </c>
      <c r="AK1683" s="208"/>
      <c r="AL1683" s="250" t="s">
        <v>2067</v>
      </c>
    </row>
    <row r="1684" spans="1:38" x14ac:dyDescent="0.2">
      <c r="A1684" t="s">
        <v>884</v>
      </c>
      <c r="B1684" s="209">
        <v>5259</v>
      </c>
      <c r="C1684" s="210" t="s">
        <v>853</v>
      </c>
      <c r="D1684" s="230" t="s">
        <v>1486</v>
      </c>
      <c r="E1684" s="230" t="s">
        <v>93</v>
      </c>
      <c r="F1684" s="242">
        <v>300</v>
      </c>
      <c r="G1684" s="205">
        <v>1</v>
      </c>
      <c r="H1684" s="206">
        <v>600</v>
      </c>
      <c r="I1684" s="207">
        <v>41469</v>
      </c>
      <c r="J1684" s="197" t="str">
        <f t="shared" si="81"/>
        <v>ok</v>
      </c>
      <c r="K1684" s="419"/>
      <c r="L1684" s="419"/>
      <c r="M1684" s="419"/>
      <c r="N1684" s="419"/>
      <c r="O1684" s="419"/>
      <c r="P1684" s="419"/>
      <c r="Q1684" s="419"/>
      <c r="R1684" s="419"/>
      <c r="S1684" s="419"/>
      <c r="T1684" s="419"/>
      <c r="U1684" s="419"/>
      <c r="V1684" s="419"/>
      <c r="W1684" s="419">
        <f t="shared" si="79"/>
        <v>0</v>
      </c>
      <c r="X1684" s="412"/>
      <c r="Y1684" s="412"/>
      <c r="Z1684" s="412"/>
      <c r="AA1684" s="412"/>
      <c r="AB1684" s="412"/>
      <c r="AC1684" s="412"/>
      <c r="AD1684" s="412">
        <v>300</v>
      </c>
      <c r="AE1684" s="412">
        <v>300</v>
      </c>
      <c r="AF1684" s="412"/>
      <c r="AG1684" s="412"/>
      <c r="AH1684" s="412"/>
      <c r="AI1684" s="412"/>
      <c r="AJ1684" s="412">
        <f t="shared" si="80"/>
        <v>600</v>
      </c>
      <c r="AK1684" s="208"/>
      <c r="AL1684" s="250" t="s">
        <v>2067</v>
      </c>
    </row>
    <row r="1685" spans="1:38" x14ac:dyDescent="0.2">
      <c r="A1685" t="s">
        <v>890</v>
      </c>
      <c r="B1685" s="209">
        <v>5260</v>
      </c>
      <c r="C1685" s="210" t="s">
        <v>1009</v>
      </c>
      <c r="D1685" s="230" t="s">
        <v>1632</v>
      </c>
      <c r="E1685" s="230" t="s">
        <v>502</v>
      </c>
      <c r="F1685" s="242">
        <v>300</v>
      </c>
      <c r="G1685" s="205">
        <v>1</v>
      </c>
      <c r="H1685" s="206">
        <v>300</v>
      </c>
      <c r="I1685" s="207">
        <v>41469</v>
      </c>
      <c r="J1685" s="197" t="str">
        <f t="shared" si="81"/>
        <v>ok</v>
      </c>
      <c r="K1685" s="419"/>
      <c r="L1685" s="419"/>
      <c r="M1685" s="419"/>
      <c r="N1685" s="419"/>
      <c r="O1685" s="419"/>
      <c r="P1685" s="419"/>
      <c r="Q1685" s="419"/>
      <c r="R1685" s="419"/>
      <c r="S1685" s="419"/>
      <c r="T1685" s="419"/>
      <c r="U1685" s="419"/>
      <c r="V1685" s="419"/>
      <c r="W1685" s="419">
        <f t="shared" si="79"/>
        <v>0</v>
      </c>
      <c r="X1685" s="412"/>
      <c r="Y1685" s="412"/>
      <c r="Z1685" s="412"/>
      <c r="AA1685" s="412"/>
      <c r="AB1685" s="412"/>
      <c r="AC1685" s="412"/>
      <c r="AD1685" s="412">
        <v>300</v>
      </c>
      <c r="AE1685" s="412"/>
      <c r="AF1685" s="412"/>
      <c r="AG1685" s="412"/>
      <c r="AH1685" s="412"/>
      <c r="AI1685" s="412"/>
      <c r="AJ1685" s="412">
        <f t="shared" si="80"/>
        <v>300</v>
      </c>
      <c r="AK1685" s="208"/>
      <c r="AL1685" s="250" t="s">
        <v>2067</v>
      </c>
    </row>
    <row r="1686" spans="1:38" x14ac:dyDescent="0.2">
      <c r="A1686" t="s">
        <v>884</v>
      </c>
      <c r="B1686" s="209">
        <v>5261</v>
      </c>
      <c r="C1686" s="210" t="s">
        <v>864</v>
      </c>
      <c r="D1686" s="230" t="s">
        <v>1472</v>
      </c>
      <c r="E1686" s="230" t="s">
        <v>113</v>
      </c>
      <c r="F1686" s="242">
        <v>300</v>
      </c>
      <c r="G1686" s="205">
        <v>1</v>
      </c>
      <c r="H1686" s="206">
        <v>900</v>
      </c>
      <c r="I1686" s="207">
        <v>41469</v>
      </c>
      <c r="J1686" s="197" t="str">
        <f t="shared" si="81"/>
        <v>ok</v>
      </c>
      <c r="K1686" s="419"/>
      <c r="L1686" s="419"/>
      <c r="M1686" s="419"/>
      <c r="N1686" s="419"/>
      <c r="O1686" s="419"/>
      <c r="P1686" s="419"/>
      <c r="Q1686" s="419"/>
      <c r="R1686" s="419"/>
      <c r="S1686" s="419"/>
      <c r="T1686" s="419"/>
      <c r="U1686" s="419"/>
      <c r="V1686" s="419"/>
      <c r="W1686" s="419">
        <f t="shared" si="79"/>
        <v>0</v>
      </c>
      <c r="X1686" s="412"/>
      <c r="Y1686" s="412"/>
      <c r="Z1686" s="412"/>
      <c r="AA1686" s="412"/>
      <c r="AB1686" s="412"/>
      <c r="AC1686" s="412"/>
      <c r="AD1686" s="412"/>
      <c r="AE1686" s="412">
        <v>300</v>
      </c>
      <c r="AF1686" s="412">
        <v>300</v>
      </c>
      <c r="AG1686" s="412">
        <v>300</v>
      </c>
      <c r="AH1686" s="412"/>
      <c r="AI1686" s="412"/>
      <c r="AJ1686" s="412">
        <f t="shared" si="80"/>
        <v>900</v>
      </c>
      <c r="AK1686" s="208"/>
      <c r="AL1686" s="250" t="s">
        <v>2067</v>
      </c>
    </row>
    <row r="1687" spans="1:38" x14ac:dyDescent="0.2">
      <c r="A1687" t="s">
        <v>893</v>
      </c>
      <c r="B1687" s="209">
        <v>5262</v>
      </c>
      <c r="C1687" s="210" t="s">
        <v>1079</v>
      </c>
      <c r="D1687" s="230" t="s">
        <v>1552</v>
      </c>
      <c r="E1687" s="230" t="s">
        <v>198</v>
      </c>
      <c r="F1687" s="242">
        <v>150</v>
      </c>
      <c r="G1687" s="205">
        <v>1</v>
      </c>
      <c r="H1687" s="206">
        <v>150</v>
      </c>
      <c r="I1687" s="207">
        <v>41469</v>
      </c>
      <c r="J1687" s="197" t="str">
        <f t="shared" si="81"/>
        <v>ok</v>
      </c>
      <c r="K1687" s="419"/>
      <c r="L1687" s="419"/>
      <c r="M1687" s="419"/>
      <c r="N1687" s="419"/>
      <c r="O1687" s="419"/>
      <c r="P1687" s="419"/>
      <c r="Q1687" s="419"/>
      <c r="R1687" s="419"/>
      <c r="S1687" s="419"/>
      <c r="T1687" s="419"/>
      <c r="U1687" s="419"/>
      <c r="V1687" s="419"/>
      <c r="W1687" s="419">
        <f t="shared" si="79"/>
        <v>0</v>
      </c>
      <c r="X1687" s="412"/>
      <c r="Y1687" s="412"/>
      <c r="Z1687" s="412"/>
      <c r="AA1687" s="412"/>
      <c r="AB1687" s="412"/>
      <c r="AC1687" s="412"/>
      <c r="AD1687" s="412">
        <v>150</v>
      </c>
      <c r="AE1687" s="412"/>
      <c r="AF1687" s="412"/>
      <c r="AG1687" s="412"/>
      <c r="AH1687" s="412"/>
      <c r="AI1687" s="412"/>
      <c r="AJ1687" s="412">
        <f t="shared" si="80"/>
        <v>150</v>
      </c>
      <c r="AK1687" s="208"/>
      <c r="AL1687" s="250" t="s">
        <v>2067</v>
      </c>
    </row>
    <row r="1688" spans="1:38" x14ac:dyDescent="0.2">
      <c r="A1688" t="s">
        <v>888</v>
      </c>
      <c r="B1688" s="209">
        <v>5263</v>
      </c>
      <c r="C1688" s="210" t="s">
        <v>948</v>
      </c>
      <c r="D1688" s="230" t="s">
        <v>1504</v>
      </c>
      <c r="E1688" s="230" t="s">
        <v>325</v>
      </c>
      <c r="F1688" s="242">
        <v>300</v>
      </c>
      <c r="G1688" s="205">
        <v>1</v>
      </c>
      <c r="H1688" s="206">
        <v>300</v>
      </c>
      <c r="I1688" s="207">
        <v>41470</v>
      </c>
      <c r="J1688" s="197" t="str">
        <f t="shared" si="81"/>
        <v>ok</v>
      </c>
      <c r="K1688" s="419"/>
      <c r="L1688" s="419"/>
      <c r="M1688" s="419"/>
      <c r="N1688" s="419"/>
      <c r="O1688" s="419"/>
      <c r="P1688" s="419"/>
      <c r="Q1688" s="419"/>
      <c r="R1688" s="419"/>
      <c r="S1688" s="419"/>
      <c r="T1688" s="419"/>
      <c r="U1688" s="419"/>
      <c r="V1688" s="419"/>
      <c r="W1688" s="419">
        <f t="shared" si="79"/>
        <v>0</v>
      </c>
      <c r="X1688" s="412"/>
      <c r="Y1688" s="412"/>
      <c r="Z1688" s="412"/>
      <c r="AA1688" s="412"/>
      <c r="AB1688" s="412"/>
      <c r="AC1688" s="412"/>
      <c r="AD1688" s="412">
        <v>300</v>
      </c>
      <c r="AE1688" s="412"/>
      <c r="AF1688" s="412"/>
      <c r="AG1688" s="412"/>
      <c r="AH1688" s="412"/>
      <c r="AI1688" s="412"/>
      <c r="AJ1688" s="412">
        <f t="shared" si="80"/>
        <v>300</v>
      </c>
      <c r="AK1688" s="208"/>
      <c r="AL1688" s="250" t="s">
        <v>2067</v>
      </c>
    </row>
    <row r="1689" spans="1:38" x14ac:dyDescent="0.2">
      <c r="A1689" t="s">
        <v>894</v>
      </c>
      <c r="B1689" s="209">
        <v>5264</v>
      </c>
      <c r="C1689" s="210" t="s">
        <v>1153</v>
      </c>
      <c r="D1689" s="230" t="s">
        <v>1436</v>
      </c>
      <c r="E1689" s="230" t="s">
        <v>191</v>
      </c>
      <c r="F1689" s="242">
        <v>400</v>
      </c>
      <c r="G1689" s="205">
        <v>1</v>
      </c>
      <c r="H1689" s="206">
        <v>400</v>
      </c>
      <c r="I1689" s="207">
        <v>41470</v>
      </c>
      <c r="J1689" s="197" t="str">
        <f t="shared" si="81"/>
        <v>ok</v>
      </c>
      <c r="K1689" s="419"/>
      <c r="L1689" s="419"/>
      <c r="M1689" s="419"/>
      <c r="N1689" s="419"/>
      <c r="O1689" s="419"/>
      <c r="P1689" s="419"/>
      <c r="Q1689" s="419"/>
      <c r="R1689" s="419"/>
      <c r="S1689" s="419"/>
      <c r="T1689" s="419"/>
      <c r="U1689" s="419"/>
      <c r="V1689" s="419"/>
      <c r="W1689" s="419">
        <f t="shared" si="79"/>
        <v>0</v>
      </c>
      <c r="X1689" s="412"/>
      <c r="Y1689" s="412"/>
      <c r="Z1689" s="412"/>
      <c r="AA1689" s="412"/>
      <c r="AB1689" s="412"/>
      <c r="AC1689" s="412"/>
      <c r="AD1689" s="412">
        <v>400</v>
      </c>
      <c r="AE1689" s="412"/>
      <c r="AF1689" s="412"/>
      <c r="AG1689" s="412"/>
      <c r="AH1689" s="412"/>
      <c r="AI1689" s="412"/>
      <c r="AJ1689" s="412">
        <f t="shared" si="80"/>
        <v>400</v>
      </c>
      <c r="AK1689" s="208"/>
      <c r="AL1689" s="250" t="s">
        <v>2067</v>
      </c>
    </row>
    <row r="1690" spans="1:38" x14ac:dyDescent="0.2">
      <c r="B1690" s="209">
        <v>5265</v>
      </c>
      <c r="C1690" s="210"/>
      <c r="D1690" s="230" t="s">
        <v>1362</v>
      </c>
      <c r="E1690" s="230" t="s">
        <v>1362</v>
      </c>
      <c r="F1690" s="242" t="s">
        <v>1362</v>
      </c>
      <c r="G1690" s="205"/>
      <c r="H1690" s="206"/>
      <c r="I1690" s="207"/>
      <c r="J1690" s="197" t="str">
        <f t="shared" si="81"/>
        <v>ok</v>
      </c>
      <c r="K1690" s="419"/>
      <c r="L1690" s="419"/>
      <c r="M1690" s="419"/>
      <c r="N1690" s="419"/>
      <c r="O1690" s="419"/>
      <c r="P1690" s="419"/>
      <c r="Q1690" s="419"/>
      <c r="R1690" s="419"/>
      <c r="S1690" s="419"/>
      <c r="T1690" s="419"/>
      <c r="U1690" s="419"/>
      <c r="V1690" s="419"/>
      <c r="W1690" s="419">
        <f t="shared" si="79"/>
        <v>0</v>
      </c>
      <c r="X1690" s="412"/>
      <c r="Y1690" s="412"/>
      <c r="Z1690" s="412"/>
      <c r="AA1690" s="412"/>
      <c r="AB1690" s="412"/>
      <c r="AC1690" s="412"/>
      <c r="AD1690" s="412"/>
      <c r="AE1690" s="412"/>
      <c r="AF1690" s="412"/>
      <c r="AG1690" s="412"/>
      <c r="AH1690" s="412"/>
      <c r="AI1690" s="412"/>
      <c r="AJ1690" s="412">
        <f t="shared" si="80"/>
        <v>0</v>
      </c>
      <c r="AK1690" s="208" t="s">
        <v>755</v>
      </c>
      <c r="AL1690" s="250" t="s">
        <v>2067</v>
      </c>
    </row>
    <row r="1691" spans="1:38" x14ac:dyDescent="0.2">
      <c r="A1691" t="s">
        <v>884</v>
      </c>
      <c r="B1691" s="209">
        <v>5266</v>
      </c>
      <c r="C1691" s="210" t="s">
        <v>828</v>
      </c>
      <c r="D1691" s="230" t="s">
        <v>1621</v>
      </c>
      <c r="E1691" s="230" t="s">
        <v>59</v>
      </c>
      <c r="F1691" s="242">
        <v>300</v>
      </c>
      <c r="G1691" s="205">
        <v>1</v>
      </c>
      <c r="H1691" s="206">
        <v>1200</v>
      </c>
      <c r="I1691" s="207">
        <v>41470</v>
      </c>
      <c r="J1691" s="197" t="str">
        <f t="shared" si="81"/>
        <v>ok</v>
      </c>
      <c r="K1691" s="419"/>
      <c r="L1691" s="419"/>
      <c r="M1691" s="419"/>
      <c r="N1691" s="419"/>
      <c r="O1691" s="419"/>
      <c r="P1691" s="419"/>
      <c r="Q1691" s="419"/>
      <c r="R1691" s="419"/>
      <c r="S1691" s="419"/>
      <c r="T1691" s="419"/>
      <c r="U1691" s="419"/>
      <c r="V1691" s="419"/>
      <c r="W1691" s="419">
        <f t="shared" si="79"/>
        <v>0</v>
      </c>
      <c r="X1691" s="412"/>
      <c r="Y1691" s="412"/>
      <c r="Z1691" s="412"/>
      <c r="AA1691" s="412">
        <v>300</v>
      </c>
      <c r="AB1691" s="412">
        <v>300</v>
      </c>
      <c r="AC1691" s="412">
        <v>300</v>
      </c>
      <c r="AD1691" s="412">
        <v>300</v>
      </c>
      <c r="AE1691" s="412"/>
      <c r="AF1691" s="412"/>
      <c r="AG1691" s="412"/>
      <c r="AH1691" s="412"/>
      <c r="AI1691" s="412"/>
      <c r="AJ1691" s="412">
        <f t="shared" si="80"/>
        <v>1200</v>
      </c>
      <c r="AK1691" s="208"/>
      <c r="AL1691" s="250" t="s">
        <v>2067</v>
      </c>
    </row>
    <row r="1692" spans="1:38" x14ac:dyDescent="0.2">
      <c r="A1692" t="s">
        <v>884</v>
      </c>
      <c r="B1692" s="209">
        <v>5267</v>
      </c>
      <c r="C1692" s="210" t="s">
        <v>828</v>
      </c>
      <c r="D1692" s="230" t="s">
        <v>1621</v>
      </c>
      <c r="E1692" s="230" t="s">
        <v>59</v>
      </c>
      <c r="F1692" s="242">
        <v>300</v>
      </c>
      <c r="G1692" s="205">
        <v>4</v>
      </c>
      <c r="H1692" s="206">
        <v>160</v>
      </c>
      <c r="I1692" s="207">
        <v>41470</v>
      </c>
      <c r="J1692" s="197" t="str">
        <f t="shared" si="81"/>
        <v>ok</v>
      </c>
      <c r="K1692" s="419"/>
      <c r="L1692" s="419"/>
      <c r="M1692" s="419"/>
      <c r="N1692" s="419"/>
      <c r="O1692" s="419"/>
      <c r="P1692" s="419"/>
      <c r="Q1692" s="419"/>
      <c r="R1692" s="419"/>
      <c r="S1692" s="419"/>
      <c r="T1692" s="419"/>
      <c r="U1692" s="419"/>
      <c r="V1692" s="419"/>
      <c r="W1692" s="419">
        <f t="shared" si="79"/>
        <v>0</v>
      </c>
      <c r="X1692" s="412"/>
      <c r="Y1692" s="412"/>
      <c r="Z1692" s="412"/>
      <c r="AA1692" s="412"/>
      <c r="AB1692" s="412"/>
      <c r="AC1692" s="412"/>
      <c r="AD1692" s="412"/>
      <c r="AE1692" s="412"/>
      <c r="AF1692" s="412"/>
      <c r="AG1692" s="412"/>
      <c r="AH1692" s="412"/>
      <c r="AI1692" s="412"/>
      <c r="AJ1692" s="412">
        <f t="shared" si="80"/>
        <v>0</v>
      </c>
      <c r="AK1692" s="208"/>
      <c r="AL1692" s="250" t="s">
        <v>2068</v>
      </c>
    </row>
    <row r="1693" spans="1:38" x14ac:dyDescent="0.2">
      <c r="A1693" t="s">
        <v>894</v>
      </c>
      <c r="B1693" s="209">
        <v>5268</v>
      </c>
      <c r="C1693" s="210" t="s">
        <v>1152</v>
      </c>
      <c r="D1693" s="230" t="s">
        <v>1586</v>
      </c>
      <c r="E1693" s="230" t="s">
        <v>590</v>
      </c>
      <c r="F1693" s="242">
        <v>300</v>
      </c>
      <c r="G1693" s="205">
        <v>1</v>
      </c>
      <c r="H1693" s="206">
        <v>1200</v>
      </c>
      <c r="I1693" s="207">
        <v>41471</v>
      </c>
      <c r="J1693" s="197" t="str">
        <f t="shared" si="81"/>
        <v>ok</v>
      </c>
      <c r="K1693" s="419"/>
      <c r="L1693" s="419"/>
      <c r="M1693" s="419"/>
      <c r="N1693" s="419"/>
      <c r="O1693" s="419"/>
      <c r="P1693" s="419"/>
      <c r="Q1693" s="419"/>
      <c r="R1693" s="419"/>
      <c r="S1693" s="419"/>
      <c r="T1693" s="419"/>
      <c r="U1693" s="419"/>
      <c r="V1693" s="419"/>
      <c r="W1693" s="419">
        <f t="shared" si="79"/>
        <v>0</v>
      </c>
      <c r="X1693" s="412"/>
      <c r="Y1693" s="412"/>
      <c r="Z1693" s="412"/>
      <c r="AA1693" s="412"/>
      <c r="AB1693" s="412"/>
      <c r="AC1693" s="412">
        <v>300</v>
      </c>
      <c r="AD1693" s="412">
        <v>300</v>
      </c>
      <c r="AE1693" s="412">
        <v>300</v>
      </c>
      <c r="AF1693" s="412">
        <v>300</v>
      </c>
      <c r="AG1693" s="412"/>
      <c r="AH1693" s="412"/>
      <c r="AI1693" s="412"/>
      <c r="AJ1693" s="412">
        <f t="shared" si="80"/>
        <v>1200</v>
      </c>
      <c r="AK1693" s="208"/>
      <c r="AL1693" s="250" t="s">
        <v>2067</v>
      </c>
    </row>
    <row r="1694" spans="1:38" x14ac:dyDescent="0.2">
      <c r="A1694" t="s">
        <v>884</v>
      </c>
      <c r="B1694" s="209">
        <v>5269</v>
      </c>
      <c r="C1694" s="210" t="s">
        <v>830</v>
      </c>
      <c r="D1694" s="230" t="s">
        <v>1839</v>
      </c>
      <c r="E1694" s="230" t="s">
        <v>63</v>
      </c>
      <c r="F1694" s="242">
        <v>300</v>
      </c>
      <c r="G1694" s="205">
        <v>3</v>
      </c>
      <c r="H1694" s="206">
        <v>150</v>
      </c>
      <c r="I1694" s="207">
        <v>41472</v>
      </c>
      <c r="J1694" s="197" t="str">
        <f t="shared" si="81"/>
        <v>ok</v>
      </c>
      <c r="K1694" s="419"/>
      <c r="L1694" s="419"/>
      <c r="M1694" s="419"/>
      <c r="N1694" s="419"/>
      <c r="O1694" s="419"/>
      <c r="P1694" s="419"/>
      <c r="Q1694" s="419"/>
      <c r="R1694" s="419"/>
      <c r="S1694" s="419"/>
      <c r="T1694" s="419"/>
      <c r="U1694" s="419"/>
      <c r="V1694" s="419"/>
      <c r="W1694" s="419">
        <f t="shared" si="79"/>
        <v>0</v>
      </c>
      <c r="X1694" s="412"/>
      <c r="Y1694" s="412"/>
      <c r="Z1694" s="412"/>
      <c r="AA1694" s="412"/>
      <c r="AB1694" s="412"/>
      <c r="AC1694" s="412"/>
      <c r="AD1694" s="412"/>
      <c r="AE1694" s="412"/>
      <c r="AF1694" s="412"/>
      <c r="AG1694" s="412"/>
      <c r="AH1694" s="412"/>
      <c r="AI1694" s="412"/>
      <c r="AJ1694" s="412">
        <f t="shared" si="80"/>
        <v>0</v>
      </c>
      <c r="AK1694" s="208"/>
      <c r="AL1694" s="250" t="s">
        <v>2068</v>
      </c>
    </row>
    <row r="1695" spans="1:38" x14ac:dyDescent="0.2">
      <c r="A1695" t="s">
        <v>884</v>
      </c>
      <c r="B1695" s="209">
        <v>5270</v>
      </c>
      <c r="C1695" s="210" t="s">
        <v>830</v>
      </c>
      <c r="D1695" s="230" t="s">
        <v>1839</v>
      </c>
      <c r="E1695" s="230" t="s">
        <v>63</v>
      </c>
      <c r="F1695" s="242">
        <v>300</v>
      </c>
      <c r="G1695" s="205">
        <v>3</v>
      </c>
      <c r="H1695" s="206">
        <v>150</v>
      </c>
      <c r="I1695" s="207">
        <v>41472</v>
      </c>
      <c r="J1695" s="197" t="str">
        <f t="shared" si="81"/>
        <v>ok</v>
      </c>
      <c r="K1695" s="419"/>
      <c r="L1695" s="419"/>
      <c r="M1695" s="419"/>
      <c r="N1695" s="419"/>
      <c r="O1695" s="419"/>
      <c r="P1695" s="419"/>
      <c r="Q1695" s="419"/>
      <c r="R1695" s="419"/>
      <c r="S1695" s="419"/>
      <c r="T1695" s="419"/>
      <c r="U1695" s="419"/>
      <c r="V1695" s="419"/>
      <c r="W1695" s="419">
        <f t="shared" si="79"/>
        <v>0</v>
      </c>
      <c r="X1695" s="412"/>
      <c r="Y1695" s="412"/>
      <c r="Z1695" s="412"/>
      <c r="AA1695" s="412"/>
      <c r="AB1695" s="412"/>
      <c r="AC1695" s="412"/>
      <c r="AD1695" s="412"/>
      <c r="AE1695" s="412"/>
      <c r="AF1695" s="412"/>
      <c r="AG1695" s="412"/>
      <c r="AH1695" s="412"/>
      <c r="AI1695" s="412"/>
      <c r="AJ1695" s="412">
        <f t="shared" si="80"/>
        <v>0</v>
      </c>
      <c r="AK1695" s="208"/>
      <c r="AL1695" s="250" t="s">
        <v>2068</v>
      </c>
    </row>
    <row r="1696" spans="1:38" x14ac:dyDescent="0.2">
      <c r="A1696" t="s">
        <v>893</v>
      </c>
      <c r="B1696" s="209">
        <v>5271</v>
      </c>
      <c r="C1696" s="210" t="s">
        <v>1141</v>
      </c>
      <c r="D1696" s="230" t="s">
        <v>1437</v>
      </c>
      <c r="E1696" s="230" t="s">
        <v>716</v>
      </c>
      <c r="F1696" s="242">
        <v>300</v>
      </c>
      <c r="G1696" s="205">
        <v>1</v>
      </c>
      <c r="H1696" s="206">
        <v>300</v>
      </c>
      <c r="I1696" s="207">
        <v>41474</v>
      </c>
      <c r="J1696" s="197" t="str">
        <f t="shared" si="81"/>
        <v>ok</v>
      </c>
      <c r="K1696" s="419"/>
      <c r="L1696" s="419"/>
      <c r="M1696" s="419"/>
      <c r="N1696" s="419"/>
      <c r="O1696" s="419"/>
      <c r="P1696" s="419"/>
      <c r="Q1696" s="419"/>
      <c r="R1696" s="419"/>
      <c r="S1696" s="419"/>
      <c r="T1696" s="419"/>
      <c r="U1696" s="419"/>
      <c r="V1696" s="419"/>
      <c r="W1696" s="419">
        <f t="shared" si="79"/>
        <v>0</v>
      </c>
      <c r="X1696" s="412"/>
      <c r="Y1696" s="412"/>
      <c r="Z1696" s="412"/>
      <c r="AA1696" s="412"/>
      <c r="AB1696" s="412"/>
      <c r="AC1696" s="412"/>
      <c r="AD1696" s="412">
        <v>300</v>
      </c>
      <c r="AE1696" s="412"/>
      <c r="AF1696" s="412"/>
      <c r="AG1696" s="412"/>
      <c r="AH1696" s="412"/>
      <c r="AI1696" s="412"/>
      <c r="AJ1696" s="412">
        <f t="shared" si="80"/>
        <v>300</v>
      </c>
      <c r="AK1696" s="208"/>
      <c r="AL1696" s="250" t="s">
        <v>2067</v>
      </c>
    </row>
    <row r="1697" spans="1:38" x14ac:dyDescent="0.2">
      <c r="A1697" t="s">
        <v>890</v>
      </c>
      <c r="B1697" s="209">
        <v>5272</v>
      </c>
      <c r="C1697" s="210" t="s">
        <v>1024</v>
      </c>
      <c r="D1697" s="230" t="s">
        <v>1599</v>
      </c>
      <c r="E1697" s="230" t="s">
        <v>257</v>
      </c>
      <c r="F1697" s="242">
        <v>100</v>
      </c>
      <c r="G1697" s="205">
        <v>1</v>
      </c>
      <c r="H1697" s="206">
        <v>200</v>
      </c>
      <c r="I1697" s="207">
        <v>41476</v>
      </c>
      <c r="J1697" s="197" t="str">
        <f t="shared" si="81"/>
        <v>ok</v>
      </c>
      <c r="K1697" s="419"/>
      <c r="L1697" s="419"/>
      <c r="M1697" s="419"/>
      <c r="N1697" s="419"/>
      <c r="O1697" s="419"/>
      <c r="P1697" s="419"/>
      <c r="Q1697" s="419"/>
      <c r="R1697" s="419"/>
      <c r="S1697" s="419"/>
      <c r="T1697" s="419"/>
      <c r="U1697" s="419"/>
      <c r="V1697" s="419"/>
      <c r="W1697" s="419">
        <f t="shared" si="79"/>
        <v>0</v>
      </c>
      <c r="X1697" s="412"/>
      <c r="Y1697" s="412"/>
      <c r="Z1697" s="412"/>
      <c r="AA1697" s="412"/>
      <c r="AB1697" s="412"/>
      <c r="AC1697" s="412">
        <v>100</v>
      </c>
      <c r="AD1697" s="412">
        <v>100</v>
      </c>
      <c r="AE1697" s="412"/>
      <c r="AF1697" s="412"/>
      <c r="AG1697" s="412"/>
      <c r="AH1697" s="412"/>
      <c r="AI1697" s="412"/>
      <c r="AJ1697" s="412">
        <f t="shared" si="80"/>
        <v>200</v>
      </c>
      <c r="AK1697" s="208"/>
      <c r="AL1697" s="250" t="s">
        <v>2067</v>
      </c>
    </row>
    <row r="1698" spans="1:38" x14ac:dyDescent="0.2">
      <c r="A1698" t="s">
        <v>893</v>
      </c>
      <c r="B1698" s="209">
        <v>5273</v>
      </c>
      <c r="C1698" s="210" t="s">
        <v>1149</v>
      </c>
      <c r="D1698" s="230" t="s">
        <v>1440</v>
      </c>
      <c r="E1698" s="230" t="s">
        <v>335</v>
      </c>
      <c r="F1698" s="242">
        <v>300</v>
      </c>
      <c r="G1698" s="205">
        <v>1</v>
      </c>
      <c r="H1698" s="206">
        <v>300</v>
      </c>
      <c r="I1698" s="207">
        <v>41476</v>
      </c>
      <c r="J1698" s="197" t="str">
        <f t="shared" si="81"/>
        <v>ok</v>
      </c>
      <c r="K1698" s="419"/>
      <c r="L1698" s="419"/>
      <c r="M1698" s="419"/>
      <c r="N1698" s="419"/>
      <c r="O1698" s="419"/>
      <c r="P1698" s="419"/>
      <c r="Q1698" s="419"/>
      <c r="R1698" s="419"/>
      <c r="S1698" s="419"/>
      <c r="T1698" s="419"/>
      <c r="U1698" s="419"/>
      <c r="V1698" s="419"/>
      <c r="W1698" s="419">
        <f t="shared" si="79"/>
        <v>0</v>
      </c>
      <c r="X1698" s="412"/>
      <c r="Y1698" s="412"/>
      <c r="Z1698" s="412"/>
      <c r="AA1698" s="412"/>
      <c r="AB1698" s="412"/>
      <c r="AC1698" s="412">
        <v>300</v>
      </c>
      <c r="AD1698" s="412"/>
      <c r="AE1698" s="412"/>
      <c r="AF1698" s="412"/>
      <c r="AG1698" s="412"/>
      <c r="AH1698" s="412"/>
      <c r="AI1698" s="412"/>
      <c r="AJ1698" s="412">
        <f t="shared" si="80"/>
        <v>300</v>
      </c>
      <c r="AK1698" s="208"/>
      <c r="AL1698" s="250" t="s">
        <v>2067</v>
      </c>
    </row>
    <row r="1699" spans="1:38" x14ac:dyDescent="0.2">
      <c r="A1699" t="s">
        <v>893</v>
      </c>
      <c r="B1699" s="209">
        <v>5274</v>
      </c>
      <c r="C1699" s="210" t="s">
        <v>1123</v>
      </c>
      <c r="D1699" s="230" t="s">
        <v>1840</v>
      </c>
      <c r="E1699" s="230" t="s">
        <v>282</v>
      </c>
      <c r="F1699" s="242">
        <v>300</v>
      </c>
      <c r="G1699" s="205">
        <v>1</v>
      </c>
      <c r="H1699" s="206">
        <v>900</v>
      </c>
      <c r="I1699" s="207">
        <v>41476</v>
      </c>
      <c r="J1699" s="197" t="str">
        <f t="shared" si="81"/>
        <v>ok</v>
      </c>
      <c r="K1699" s="419"/>
      <c r="L1699" s="419"/>
      <c r="M1699" s="419"/>
      <c r="N1699" s="419"/>
      <c r="O1699" s="419"/>
      <c r="P1699" s="419"/>
      <c r="Q1699" s="419"/>
      <c r="R1699" s="419"/>
      <c r="S1699" s="419"/>
      <c r="T1699" s="419"/>
      <c r="U1699" s="419"/>
      <c r="V1699" s="419"/>
      <c r="W1699" s="419">
        <f t="shared" si="79"/>
        <v>0</v>
      </c>
      <c r="X1699" s="412"/>
      <c r="Y1699" s="412"/>
      <c r="Z1699" s="412"/>
      <c r="AA1699" s="412"/>
      <c r="AB1699" s="412"/>
      <c r="AC1699" s="412">
        <v>300</v>
      </c>
      <c r="AD1699" s="412">
        <v>300</v>
      </c>
      <c r="AE1699" s="412">
        <v>300</v>
      </c>
      <c r="AF1699" s="412"/>
      <c r="AG1699" s="412"/>
      <c r="AH1699" s="412"/>
      <c r="AI1699" s="412"/>
      <c r="AJ1699" s="412">
        <f t="shared" si="80"/>
        <v>900</v>
      </c>
      <c r="AK1699" s="208"/>
      <c r="AL1699" s="250" t="s">
        <v>2067</v>
      </c>
    </row>
    <row r="1700" spans="1:38" x14ac:dyDescent="0.2">
      <c r="A1700" t="s">
        <v>893</v>
      </c>
      <c r="B1700" s="209">
        <v>5275</v>
      </c>
      <c r="C1700" s="210" t="s">
        <v>1346</v>
      </c>
      <c r="D1700" s="230" t="s">
        <v>1841</v>
      </c>
      <c r="E1700" s="230" t="s">
        <v>1838</v>
      </c>
      <c r="F1700" s="242">
        <v>300</v>
      </c>
      <c r="G1700" s="205">
        <v>4</v>
      </c>
      <c r="H1700" s="206">
        <v>160</v>
      </c>
      <c r="I1700" s="207">
        <v>41476</v>
      </c>
      <c r="J1700" s="197" t="str">
        <f t="shared" si="81"/>
        <v>ok</v>
      </c>
      <c r="K1700" s="419"/>
      <c r="L1700" s="419"/>
      <c r="M1700" s="419"/>
      <c r="N1700" s="419"/>
      <c r="O1700" s="419"/>
      <c r="P1700" s="419"/>
      <c r="Q1700" s="419"/>
      <c r="R1700" s="419"/>
      <c r="S1700" s="419"/>
      <c r="T1700" s="419"/>
      <c r="U1700" s="419"/>
      <c r="V1700" s="419"/>
      <c r="W1700" s="419">
        <f t="shared" si="79"/>
        <v>0</v>
      </c>
      <c r="X1700" s="412"/>
      <c r="Y1700" s="412"/>
      <c r="Z1700" s="412"/>
      <c r="AA1700" s="412"/>
      <c r="AB1700" s="412"/>
      <c r="AC1700" s="412"/>
      <c r="AD1700" s="412"/>
      <c r="AE1700" s="412"/>
      <c r="AF1700" s="412"/>
      <c r="AG1700" s="412"/>
      <c r="AH1700" s="412"/>
      <c r="AI1700" s="412"/>
      <c r="AJ1700" s="412">
        <f t="shared" si="80"/>
        <v>0</v>
      </c>
      <c r="AK1700" s="208"/>
      <c r="AL1700" s="250" t="s">
        <v>2068</v>
      </c>
    </row>
    <row r="1701" spans="1:38" x14ac:dyDescent="0.2">
      <c r="A1701" t="s">
        <v>891</v>
      </c>
      <c r="B1701" s="209">
        <v>5276</v>
      </c>
      <c r="C1701" s="210" t="s">
        <v>1050</v>
      </c>
      <c r="D1701" s="230" t="s">
        <v>1380</v>
      </c>
      <c r="E1701" s="230" t="s">
        <v>1220</v>
      </c>
      <c r="F1701" s="242">
        <v>150</v>
      </c>
      <c r="G1701" s="205">
        <v>1</v>
      </c>
      <c r="H1701" s="206">
        <v>300</v>
      </c>
      <c r="I1701" s="207">
        <v>41476</v>
      </c>
      <c r="J1701" s="197" t="str">
        <f t="shared" si="81"/>
        <v>ok</v>
      </c>
      <c r="K1701" s="419"/>
      <c r="L1701" s="419"/>
      <c r="M1701" s="419"/>
      <c r="N1701" s="419"/>
      <c r="O1701" s="419"/>
      <c r="P1701" s="419"/>
      <c r="Q1701" s="419"/>
      <c r="R1701" s="419"/>
      <c r="S1701" s="419"/>
      <c r="T1701" s="419"/>
      <c r="U1701" s="419"/>
      <c r="V1701" s="419"/>
      <c r="W1701" s="419">
        <f t="shared" si="79"/>
        <v>0</v>
      </c>
      <c r="X1701" s="412"/>
      <c r="Y1701" s="412"/>
      <c r="Z1701" s="412"/>
      <c r="AA1701" s="412"/>
      <c r="AB1701" s="412"/>
      <c r="AC1701" s="412"/>
      <c r="AD1701" s="412">
        <v>150</v>
      </c>
      <c r="AE1701" s="412">
        <v>150</v>
      </c>
      <c r="AF1701" s="412"/>
      <c r="AG1701" s="412"/>
      <c r="AH1701" s="412"/>
      <c r="AI1701" s="412"/>
      <c r="AJ1701" s="412">
        <f t="shared" si="80"/>
        <v>300</v>
      </c>
      <c r="AK1701" s="208"/>
      <c r="AL1701" s="250" t="s">
        <v>2067</v>
      </c>
    </row>
    <row r="1702" spans="1:38" x14ac:dyDescent="0.2">
      <c r="A1702" t="s">
        <v>893</v>
      </c>
      <c r="B1702" s="209">
        <v>5277</v>
      </c>
      <c r="C1702" s="210" t="s">
        <v>1145</v>
      </c>
      <c r="D1702" s="230" t="s">
        <v>1489</v>
      </c>
      <c r="E1702" s="230" t="s">
        <v>325</v>
      </c>
      <c r="F1702" s="242">
        <v>300</v>
      </c>
      <c r="G1702" s="205">
        <v>1</v>
      </c>
      <c r="H1702" s="206">
        <v>300</v>
      </c>
      <c r="I1702" s="207">
        <v>41476</v>
      </c>
      <c r="J1702" s="197" t="str">
        <f t="shared" si="81"/>
        <v>ok</v>
      </c>
      <c r="K1702" s="419"/>
      <c r="L1702" s="419"/>
      <c r="M1702" s="419"/>
      <c r="N1702" s="419"/>
      <c r="O1702" s="419"/>
      <c r="P1702" s="419"/>
      <c r="Q1702" s="419"/>
      <c r="R1702" s="419"/>
      <c r="S1702" s="419"/>
      <c r="T1702" s="419"/>
      <c r="U1702" s="419"/>
      <c r="V1702" s="419"/>
      <c r="W1702" s="419">
        <f t="shared" si="79"/>
        <v>0</v>
      </c>
      <c r="X1702" s="412"/>
      <c r="Y1702" s="412"/>
      <c r="Z1702" s="412"/>
      <c r="AA1702" s="412"/>
      <c r="AB1702" s="412"/>
      <c r="AC1702" s="412"/>
      <c r="AD1702" s="412">
        <v>300</v>
      </c>
      <c r="AE1702" s="412"/>
      <c r="AF1702" s="412"/>
      <c r="AG1702" s="412"/>
      <c r="AH1702" s="412"/>
      <c r="AI1702" s="412"/>
      <c r="AJ1702" s="412">
        <f t="shared" si="80"/>
        <v>300</v>
      </c>
      <c r="AK1702" s="208"/>
      <c r="AL1702" s="250" t="s">
        <v>2067</v>
      </c>
    </row>
    <row r="1703" spans="1:38" x14ac:dyDescent="0.2">
      <c r="A1703" t="s">
        <v>890</v>
      </c>
      <c r="B1703" s="209">
        <v>5278</v>
      </c>
      <c r="C1703" s="210" t="s">
        <v>1030</v>
      </c>
      <c r="D1703" s="230" t="s">
        <v>1421</v>
      </c>
      <c r="E1703" s="230" t="s">
        <v>531</v>
      </c>
      <c r="F1703" s="242">
        <v>300</v>
      </c>
      <c r="G1703" s="205">
        <v>1</v>
      </c>
      <c r="H1703" s="206">
        <v>600</v>
      </c>
      <c r="I1703" s="207">
        <v>41476</v>
      </c>
      <c r="J1703" s="197" t="str">
        <f t="shared" si="81"/>
        <v>ok</v>
      </c>
      <c r="K1703" s="419"/>
      <c r="L1703" s="419"/>
      <c r="M1703" s="419"/>
      <c r="N1703" s="419"/>
      <c r="O1703" s="419"/>
      <c r="P1703" s="419"/>
      <c r="Q1703" s="419"/>
      <c r="R1703" s="419"/>
      <c r="S1703" s="419"/>
      <c r="T1703" s="419"/>
      <c r="U1703" s="419"/>
      <c r="V1703" s="419"/>
      <c r="W1703" s="419">
        <f t="shared" si="79"/>
        <v>0</v>
      </c>
      <c r="X1703" s="412"/>
      <c r="Y1703" s="412"/>
      <c r="Z1703" s="412"/>
      <c r="AA1703" s="412"/>
      <c r="AB1703" s="412">
        <v>300</v>
      </c>
      <c r="AC1703" s="412">
        <v>300</v>
      </c>
      <c r="AD1703" s="412"/>
      <c r="AE1703" s="412"/>
      <c r="AF1703" s="412"/>
      <c r="AG1703" s="412"/>
      <c r="AH1703" s="412"/>
      <c r="AI1703" s="412"/>
      <c r="AJ1703" s="412">
        <f t="shared" si="80"/>
        <v>600</v>
      </c>
      <c r="AK1703" s="208"/>
      <c r="AL1703" s="250" t="s">
        <v>2067</v>
      </c>
    </row>
    <row r="1704" spans="1:38" x14ac:dyDescent="0.2">
      <c r="A1704" t="s">
        <v>890</v>
      </c>
      <c r="B1704" s="209">
        <v>5278</v>
      </c>
      <c r="C1704" s="210" t="s">
        <v>1030</v>
      </c>
      <c r="D1704" s="230" t="s">
        <v>1421</v>
      </c>
      <c r="E1704" s="230" t="s">
        <v>531</v>
      </c>
      <c r="F1704" s="242">
        <v>300</v>
      </c>
      <c r="G1704" s="205">
        <v>5</v>
      </c>
      <c r="H1704" s="206">
        <v>20</v>
      </c>
      <c r="I1704" s="207">
        <v>41476</v>
      </c>
      <c r="J1704" s="197" t="str">
        <f t="shared" si="81"/>
        <v>ok</v>
      </c>
      <c r="K1704" s="419"/>
      <c r="L1704" s="419"/>
      <c r="M1704" s="419"/>
      <c r="N1704" s="419"/>
      <c r="O1704" s="419"/>
      <c r="P1704" s="419"/>
      <c r="Q1704" s="419"/>
      <c r="R1704" s="419"/>
      <c r="S1704" s="419"/>
      <c r="T1704" s="419"/>
      <c r="U1704" s="419"/>
      <c r="V1704" s="419"/>
      <c r="W1704" s="419">
        <f t="shared" si="79"/>
        <v>0</v>
      </c>
      <c r="X1704" s="412"/>
      <c r="Y1704" s="412"/>
      <c r="Z1704" s="412"/>
      <c r="AA1704" s="412"/>
      <c r="AB1704" s="412"/>
      <c r="AC1704" s="412"/>
      <c r="AD1704" s="412"/>
      <c r="AE1704" s="412"/>
      <c r="AF1704" s="412"/>
      <c r="AG1704" s="412"/>
      <c r="AH1704" s="412"/>
      <c r="AI1704" s="412"/>
      <c r="AJ1704" s="412">
        <f t="shared" si="80"/>
        <v>0</v>
      </c>
      <c r="AK1704" s="208"/>
      <c r="AL1704" s="250" t="s">
        <v>2068</v>
      </c>
    </row>
    <row r="1705" spans="1:38" x14ac:dyDescent="0.2">
      <c r="A1705" t="s">
        <v>884</v>
      </c>
      <c r="B1705" s="209">
        <v>5279</v>
      </c>
      <c r="C1705" s="210" t="s">
        <v>766</v>
      </c>
      <c r="D1705" s="230" t="s">
        <v>1557</v>
      </c>
      <c r="E1705" s="230" t="s">
        <v>123</v>
      </c>
      <c r="F1705" s="242">
        <v>300</v>
      </c>
      <c r="G1705" s="205">
        <v>1</v>
      </c>
      <c r="H1705" s="206">
        <v>600</v>
      </c>
      <c r="I1705" s="207">
        <v>41476</v>
      </c>
      <c r="J1705" s="197" t="str">
        <f t="shared" si="81"/>
        <v>ok</v>
      </c>
      <c r="K1705" s="419"/>
      <c r="L1705" s="419"/>
      <c r="M1705" s="419"/>
      <c r="N1705" s="419"/>
      <c r="O1705" s="419"/>
      <c r="P1705" s="419"/>
      <c r="Q1705" s="419"/>
      <c r="R1705" s="419"/>
      <c r="S1705" s="419"/>
      <c r="T1705" s="419"/>
      <c r="U1705" s="419"/>
      <c r="V1705" s="419"/>
      <c r="W1705" s="419">
        <f t="shared" si="79"/>
        <v>0</v>
      </c>
      <c r="X1705" s="412"/>
      <c r="Y1705" s="412"/>
      <c r="Z1705" s="412"/>
      <c r="AA1705" s="412"/>
      <c r="AB1705" s="412"/>
      <c r="AC1705" s="412">
        <v>300</v>
      </c>
      <c r="AD1705" s="412">
        <v>300</v>
      </c>
      <c r="AE1705" s="412"/>
      <c r="AF1705" s="412"/>
      <c r="AG1705" s="412"/>
      <c r="AH1705" s="412"/>
      <c r="AI1705" s="412"/>
      <c r="AJ1705" s="412">
        <f t="shared" si="80"/>
        <v>600</v>
      </c>
      <c r="AK1705" s="208"/>
      <c r="AL1705" s="250" t="s">
        <v>2067</v>
      </c>
    </row>
    <row r="1706" spans="1:38" x14ac:dyDescent="0.2">
      <c r="A1706" t="s">
        <v>890</v>
      </c>
      <c r="B1706" s="209">
        <v>5280</v>
      </c>
      <c r="C1706" s="210" t="s">
        <v>1021</v>
      </c>
      <c r="D1706" s="230" t="s">
        <v>1398</v>
      </c>
      <c r="E1706" s="230" t="s">
        <v>520</v>
      </c>
      <c r="F1706" s="242">
        <v>300</v>
      </c>
      <c r="G1706" s="205">
        <v>1</v>
      </c>
      <c r="H1706" s="206">
        <v>600</v>
      </c>
      <c r="I1706" s="207">
        <v>41476</v>
      </c>
      <c r="J1706" s="197" t="str">
        <f t="shared" si="81"/>
        <v>ok</v>
      </c>
      <c r="K1706" s="419"/>
      <c r="L1706" s="419"/>
      <c r="M1706" s="419"/>
      <c r="N1706" s="419"/>
      <c r="O1706" s="419"/>
      <c r="P1706" s="419"/>
      <c r="Q1706" s="419"/>
      <c r="R1706" s="419"/>
      <c r="S1706" s="419"/>
      <c r="T1706" s="419"/>
      <c r="U1706" s="419"/>
      <c r="V1706" s="419"/>
      <c r="W1706" s="419">
        <f t="shared" si="79"/>
        <v>0</v>
      </c>
      <c r="X1706" s="412"/>
      <c r="Y1706" s="412"/>
      <c r="Z1706" s="412"/>
      <c r="AA1706" s="412"/>
      <c r="AB1706" s="412"/>
      <c r="AC1706" s="412">
        <v>300</v>
      </c>
      <c r="AD1706" s="412">
        <v>300</v>
      </c>
      <c r="AE1706" s="412"/>
      <c r="AF1706" s="412"/>
      <c r="AG1706" s="412"/>
      <c r="AH1706" s="412"/>
      <c r="AI1706" s="412"/>
      <c r="AJ1706" s="412">
        <f t="shared" si="80"/>
        <v>600</v>
      </c>
      <c r="AK1706" s="208"/>
      <c r="AL1706" s="250" t="s">
        <v>2067</v>
      </c>
    </row>
    <row r="1707" spans="1:38" x14ac:dyDescent="0.2">
      <c r="A1707" t="s">
        <v>884</v>
      </c>
      <c r="B1707" s="209">
        <v>5281</v>
      </c>
      <c r="C1707" s="210" t="s">
        <v>839</v>
      </c>
      <c r="D1707" s="230" t="s">
        <v>1365</v>
      </c>
      <c r="E1707" s="230" t="s">
        <v>1204</v>
      </c>
      <c r="F1707" s="242">
        <v>300</v>
      </c>
      <c r="G1707" s="205">
        <v>1</v>
      </c>
      <c r="H1707" s="206">
        <v>300</v>
      </c>
      <c r="I1707" s="207">
        <v>41476</v>
      </c>
      <c r="J1707" s="197" t="str">
        <f t="shared" si="81"/>
        <v>ok</v>
      </c>
      <c r="K1707" s="419"/>
      <c r="L1707" s="419"/>
      <c r="M1707" s="419"/>
      <c r="N1707" s="419"/>
      <c r="O1707" s="419"/>
      <c r="P1707" s="419"/>
      <c r="Q1707" s="419"/>
      <c r="R1707" s="419"/>
      <c r="S1707" s="419"/>
      <c r="T1707" s="419"/>
      <c r="U1707" s="419"/>
      <c r="V1707" s="419"/>
      <c r="W1707" s="419">
        <f t="shared" si="79"/>
        <v>0</v>
      </c>
      <c r="X1707" s="412"/>
      <c r="Y1707" s="412"/>
      <c r="Z1707" s="412"/>
      <c r="AA1707" s="412"/>
      <c r="AB1707" s="412"/>
      <c r="AC1707" s="412"/>
      <c r="AD1707" s="412">
        <v>300</v>
      </c>
      <c r="AE1707" s="412"/>
      <c r="AF1707" s="412"/>
      <c r="AG1707" s="412"/>
      <c r="AH1707" s="412"/>
      <c r="AI1707" s="412"/>
      <c r="AJ1707" s="412">
        <f t="shared" si="80"/>
        <v>300</v>
      </c>
      <c r="AK1707" s="208"/>
      <c r="AL1707" s="250" t="s">
        <v>2067</v>
      </c>
    </row>
    <row r="1708" spans="1:38" x14ac:dyDescent="0.2">
      <c r="A1708" t="s">
        <v>884</v>
      </c>
      <c r="B1708" s="209">
        <v>5282</v>
      </c>
      <c r="C1708" s="210" t="s">
        <v>819</v>
      </c>
      <c r="D1708" s="230" t="s">
        <v>1530</v>
      </c>
      <c r="E1708" s="230" t="s">
        <v>1183</v>
      </c>
      <c r="F1708" s="242">
        <v>200</v>
      </c>
      <c r="G1708" s="205">
        <v>1</v>
      </c>
      <c r="H1708" s="206">
        <v>200</v>
      </c>
      <c r="I1708" s="207">
        <v>41476</v>
      </c>
      <c r="J1708" s="197" t="str">
        <f t="shared" si="81"/>
        <v>ok</v>
      </c>
      <c r="K1708" s="419"/>
      <c r="L1708" s="419"/>
      <c r="M1708" s="419"/>
      <c r="N1708" s="419"/>
      <c r="O1708" s="419"/>
      <c r="P1708" s="419"/>
      <c r="Q1708" s="419"/>
      <c r="R1708" s="419"/>
      <c r="S1708" s="419"/>
      <c r="T1708" s="419"/>
      <c r="U1708" s="419"/>
      <c r="V1708" s="419"/>
      <c r="W1708" s="419">
        <f t="shared" si="79"/>
        <v>0</v>
      </c>
      <c r="X1708" s="412"/>
      <c r="Y1708" s="412"/>
      <c r="Z1708" s="412"/>
      <c r="AA1708" s="412"/>
      <c r="AB1708" s="412"/>
      <c r="AC1708" s="412"/>
      <c r="AD1708" s="412">
        <v>200</v>
      </c>
      <c r="AE1708" s="412"/>
      <c r="AF1708" s="412"/>
      <c r="AG1708" s="412"/>
      <c r="AH1708" s="412"/>
      <c r="AI1708" s="412"/>
      <c r="AJ1708" s="412">
        <f t="shared" si="80"/>
        <v>200</v>
      </c>
      <c r="AK1708" s="208"/>
      <c r="AL1708" s="250" t="s">
        <v>2067</v>
      </c>
    </row>
    <row r="1709" spans="1:38" x14ac:dyDescent="0.2">
      <c r="A1709" t="s">
        <v>893</v>
      </c>
      <c r="B1709" s="209">
        <v>5283</v>
      </c>
      <c r="C1709" s="210" t="s">
        <v>1107</v>
      </c>
      <c r="D1709" s="230" t="s">
        <v>1453</v>
      </c>
      <c r="E1709" s="230" t="s">
        <v>255</v>
      </c>
      <c r="F1709" s="242">
        <v>300</v>
      </c>
      <c r="G1709" s="205">
        <v>1</v>
      </c>
      <c r="H1709" s="206">
        <v>300</v>
      </c>
      <c r="I1709" s="207">
        <v>41476</v>
      </c>
      <c r="J1709" s="197" t="str">
        <f t="shared" si="81"/>
        <v>ok</v>
      </c>
      <c r="K1709" s="419"/>
      <c r="L1709" s="419"/>
      <c r="M1709" s="419"/>
      <c r="N1709" s="419"/>
      <c r="O1709" s="419"/>
      <c r="P1709" s="419"/>
      <c r="Q1709" s="419"/>
      <c r="R1709" s="419"/>
      <c r="S1709" s="419"/>
      <c r="T1709" s="419"/>
      <c r="U1709" s="419"/>
      <c r="V1709" s="419"/>
      <c r="W1709" s="419">
        <f t="shared" si="79"/>
        <v>0</v>
      </c>
      <c r="X1709" s="412"/>
      <c r="Y1709" s="412"/>
      <c r="Z1709" s="412"/>
      <c r="AA1709" s="412"/>
      <c r="AB1709" s="412"/>
      <c r="AC1709" s="412">
        <v>300</v>
      </c>
      <c r="AD1709" s="412"/>
      <c r="AE1709" s="412"/>
      <c r="AF1709" s="412"/>
      <c r="AG1709" s="412"/>
      <c r="AH1709" s="412"/>
      <c r="AI1709" s="412"/>
      <c r="AJ1709" s="412">
        <f t="shared" si="80"/>
        <v>300</v>
      </c>
      <c r="AK1709" s="208"/>
      <c r="AL1709" s="250" t="s">
        <v>2067</v>
      </c>
    </row>
    <row r="1710" spans="1:38" x14ac:dyDescent="0.2">
      <c r="A1710" t="s">
        <v>888</v>
      </c>
      <c r="B1710" s="209">
        <v>5284</v>
      </c>
      <c r="C1710" s="210" t="s">
        <v>916</v>
      </c>
      <c r="D1710" s="230" t="s">
        <v>1651</v>
      </c>
      <c r="E1710" s="230" t="s">
        <v>353</v>
      </c>
      <c r="F1710" s="242">
        <v>150</v>
      </c>
      <c r="G1710" s="205">
        <v>3</v>
      </c>
      <c r="H1710" s="206">
        <v>150</v>
      </c>
      <c r="I1710" s="207">
        <v>41476</v>
      </c>
      <c r="J1710" s="197" t="str">
        <f t="shared" si="81"/>
        <v>ok</v>
      </c>
      <c r="K1710" s="419"/>
      <c r="L1710" s="419"/>
      <c r="M1710" s="419"/>
      <c r="N1710" s="419"/>
      <c r="O1710" s="419"/>
      <c r="P1710" s="419"/>
      <c r="Q1710" s="419"/>
      <c r="R1710" s="419"/>
      <c r="S1710" s="419"/>
      <c r="T1710" s="419"/>
      <c r="U1710" s="419"/>
      <c r="V1710" s="419"/>
      <c r="W1710" s="419">
        <f t="shared" si="79"/>
        <v>0</v>
      </c>
      <c r="X1710" s="412"/>
      <c r="Y1710" s="412"/>
      <c r="Z1710" s="412"/>
      <c r="AA1710" s="412"/>
      <c r="AB1710" s="412"/>
      <c r="AC1710" s="412"/>
      <c r="AD1710" s="412"/>
      <c r="AE1710" s="412"/>
      <c r="AF1710" s="412"/>
      <c r="AG1710" s="412"/>
      <c r="AH1710" s="412"/>
      <c r="AI1710" s="412"/>
      <c r="AJ1710" s="412">
        <f t="shared" si="80"/>
        <v>0</v>
      </c>
      <c r="AK1710" s="208"/>
      <c r="AL1710" s="250" t="s">
        <v>2068</v>
      </c>
    </row>
    <row r="1711" spans="1:38" x14ac:dyDescent="0.2">
      <c r="A1711" t="s">
        <v>893</v>
      </c>
      <c r="B1711" s="209">
        <v>5285</v>
      </c>
      <c r="C1711" s="210" t="s">
        <v>1077</v>
      </c>
      <c r="D1711" s="230" t="s">
        <v>1429</v>
      </c>
      <c r="E1711" s="230" t="s">
        <v>195</v>
      </c>
      <c r="F1711" s="242">
        <v>200</v>
      </c>
      <c r="G1711" s="205">
        <v>1</v>
      </c>
      <c r="H1711" s="206">
        <v>200</v>
      </c>
      <c r="I1711" s="207">
        <v>41476</v>
      </c>
      <c r="J1711" s="197" t="str">
        <f t="shared" si="81"/>
        <v>ok</v>
      </c>
      <c r="K1711" s="419"/>
      <c r="L1711" s="419"/>
      <c r="M1711" s="419"/>
      <c r="N1711" s="419"/>
      <c r="O1711" s="419"/>
      <c r="P1711" s="419"/>
      <c r="Q1711" s="419"/>
      <c r="R1711" s="419"/>
      <c r="S1711" s="419"/>
      <c r="T1711" s="419"/>
      <c r="U1711" s="419"/>
      <c r="V1711" s="419"/>
      <c r="W1711" s="419">
        <f t="shared" si="79"/>
        <v>0</v>
      </c>
      <c r="X1711" s="412"/>
      <c r="Y1711" s="412"/>
      <c r="Z1711" s="412"/>
      <c r="AA1711" s="412"/>
      <c r="AB1711" s="412"/>
      <c r="AC1711" s="412"/>
      <c r="AD1711" s="412">
        <v>200</v>
      </c>
      <c r="AE1711" s="412"/>
      <c r="AF1711" s="412"/>
      <c r="AG1711" s="412"/>
      <c r="AH1711" s="412"/>
      <c r="AI1711" s="412"/>
      <c r="AJ1711" s="412">
        <f t="shared" si="80"/>
        <v>200</v>
      </c>
      <c r="AK1711" s="208"/>
      <c r="AL1711" s="250" t="s">
        <v>2067</v>
      </c>
    </row>
    <row r="1712" spans="1:38" x14ac:dyDescent="0.2">
      <c r="A1712" t="s">
        <v>887</v>
      </c>
      <c r="B1712" s="209">
        <v>5286</v>
      </c>
      <c r="C1712" s="210" t="s">
        <v>905</v>
      </c>
      <c r="D1712" s="230" t="s">
        <v>1524</v>
      </c>
      <c r="E1712" s="230" t="s">
        <v>669</v>
      </c>
      <c r="F1712" s="242">
        <v>150</v>
      </c>
      <c r="G1712" s="205">
        <v>1</v>
      </c>
      <c r="H1712" s="206">
        <v>150</v>
      </c>
      <c r="I1712" s="207">
        <v>41476</v>
      </c>
      <c r="J1712" s="197" t="str">
        <f t="shared" si="81"/>
        <v>ok</v>
      </c>
      <c r="K1712" s="419"/>
      <c r="L1712" s="419"/>
      <c r="M1712" s="419"/>
      <c r="N1712" s="419"/>
      <c r="O1712" s="419"/>
      <c r="P1712" s="419"/>
      <c r="Q1712" s="419"/>
      <c r="R1712" s="419"/>
      <c r="S1712" s="419"/>
      <c r="T1712" s="419"/>
      <c r="U1712" s="419"/>
      <c r="V1712" s="419"/>
      <c r="W1712" s="419">
        <f t="shared" si="79"/>
        <v>0</v>
      </c>
      <c r="X1712" s="412"/>
      <c r="Y1712" s="412"/>
      <c r="Z1712" s="412"/>
      <c r="AA1712" s="412"/>
      <c r="AB1712" s="412"/>
      <c r="AC1712" s="412"/>
      <c r="AD1712" s="412">
        <v>150</v>
      </c>
      <c r="AE1712" s="412"/>
      <c r="AF1712" s="412"/>
      <c r="AG1712" s="412"/>
      <c r="AH1712" s="412"/>
      <c r="AI1712" s="412"/>
      <c r="AJ1712" s="412">
        <f t="shared" si="80"/>
        <v>150</v>
      </c>
      <c r="AK1712" s="208"/>
      <c r="AL1712" s="250" t="s">
        <v>2067</v>
      </c>
    </row>
    <row r="1713" spans="1:38" x14ac:dyDescent="0.2">
      <c r="A1713" t="s">
        <v>884</v>
      </c>
      <c r="B1713" s="209">
        <v>5287</v>
      </c>
      <c r="C1713" s="210" t="s">
        <v>831</v>
      </c>
      <c r="D1713" s="230" t="s">
        <v>1534</v>
      </c>
      <c r="E1713" s="230" t="s">
        <v>64</v>
      </c>
      <c r="F1713" s="242">
        <v>300</v>
      </c>
      <c r="G1713" s="205">
        <v>1</v>
      </c>
      <c r="H1713" s="206">
        <v>300</v>
      </c>
      <c r="I1713" s="207">
        <v>41476</v>
      </c>
      <c r="J1713" s="197" t="str">
        <f t="shared" si="81"/>
        <v>ok</v>
      </c>
      <c r="K1713" s="419"/>
      <c r="L1713" s="419"/>
      <c r="M1713" s="419"/>
      <c r="N1713" s="419"/>
      <c r="O1713" s="419"/>
      <c r="P1713" s="419"/>
      <c r="Q1713" s="419"/>
      <c r="R1713" s="419"/>
      <c r="S1713" s="419"/>
      <c r="T1713" s="419"/>
      <c r="U1713" s="419"/>
      <c r="V1713" s="419"/>
      <c r="W1713" s="419">
        <f t="shared" si="79"/>
        <v>0</v>
      </c>
      <c r="X1713" s="412"/>
      <c r="Y1713" s="412"/>
      <c r="Z1713" s="412"/>
      <c r="AA1713" s="412"/>
      <c r="AB1713" s="412"/>
      <c r="AC1713" s="412"/>
      <c r="AD1713" s="412">
        <v>300</v>
      </c>
      <c r="AE1713" s="412"/>
      <c r="AF1713" s="412"/>
      <c r="AG1713" s="412"/>
      <c r="AH1713" s="412"/>
      <c r="AI1713" s="412"/>
      <c r="AJ1713" s="412">
        <f t="shared" si="80"/>
        <v>300</v>
      </c>
      <c r="AK1713" s="208"/>
      <c r="AL1713" s="250" t="s">
        <v>2067</v>
      </c>
    </row>
    <row r="1714" spans="1:38" x14ac:dyDescent="0.2">
      <c r="A1714" t="s">
        <v>890</v>
      </c>
      <c r="B1714" s="209">
        <v>5288</v>
      </c>
      <c r="C1714" s="210" t="s">
        <v>1033</v>
      </c>
      <c r="D1714" s="230" t="s">
        <v>1366</v>
      </c>
      <c r="E1714" s="230" t="s">
        <v>1218</v>
      </c>
      <c r="F1714" s="242">
        <v>300</v>
      </c>
      <c r="G1714" s="205">
        <v>1</v>
      </c>
      <c r="H1714" s="206">
        <v>300</v>
      </c>
      <c r="I1714" s="207">
        <v>41476</v>
      </c>
      <c r="J1714" s="197" t="str">
        <f t="shared" si="81"/>
        <v>ok</v>
      </c>
      <c r="K1714" s="419"/>
      <c r="L1714" s="419"/>
      <c r="M1714" s="419"/>
      <c r="N1714" s="419"/>
      <c r="O1714" s="419"/>
      <c r="P1714" s="419"/>
      <c r="Q1714" s="419"/>
      <c r="R1714" s="419"/>
      <c r="S1714" s="419"/>
      <c r="T1714" s="419"/>
      <c r="U1714" s="419"/>
      <c r="V1714" s="419"/>
      <c r="W1714" s="419">
        <f t="shared" si="79"/>
        <v>0</v>
      </c>
      <c r="X1714" s="412"/>
      <c r="Y1714" s="412"/>
      <c r="Z1714" s="412"/>
      <c r="AA1714" s="412"/>
      <c r="AB1714" s="412"/>
      <c r="AC1714" s="412"/>
      <c r="AD1714" s="412">
        <v>300</v>
      </c>
      <c r="AE1714" s="412"/>
      <c r="AF1714" s="412"/>
      <c r="AG1714" s="412"/>
      <c r="AH1714" s="412"/>
      <c r="AI1714" s="412"/>
      <c r="AJ1714" s="412">
        <f t="shared" si="80"/>
        <v>300</v>
      </c>
      <c r="AK1714" s="208"/>
      <c r="AL1714" s="250" t="s">
        <v>2067</v>
      </c>
    </row>
    <row r="1715" spans="1:38" x14ac:dyDescent="0.2">
      <c r="A1715" t="s">
        <v>884</v>
      </c>
      <c r="B1715" s="209">
        <v>5289</v>
      </c>
      <c r="C1715" s="210" t="s">
        <v>874</v>
      </c>
      <c r="D1715" s="230" t="s">
        <v>1459</v>
      </c>
      <c r="E1715" s="230" t="s">
        <v>127</v>
      </c>
      <c r="F1715" s="242">
        <v>300</v>
      </c>
      <c r="G1715" s="205">
        <v>1</v>
      </c>
      <c r="H1715" s="206">
        <v>300</v>
      </c>
      <c r="I1715" s="207">
        <v>41476</v>
      </c>
      <c r="J1715" s="197" t="str">
        <f t="shared" si="81"/>
        <v>ok</v>
      </c>
      <c r="K1715" s="419"/>
      <c r="L1715" s="419"/>
      <c r="M1715" s="419"/>
      <c r="N1715" s="419"/>
      <c r="O1715" s="419"/>
      <c r="P1715" s="419"/>
      <c r="Q1715" s="419"/>
      <c r="R1715" s="419"/>
      <c r="S1715" s="419"/>
      <c r="T1715" s="419"/>
      <c r="U1715" s="419"/>
      <c r="V1715" s="419"/>
      <c r="W1715" s="419">
        <f t="shared" si="79"/>
        <v>0</v>
      </c>
      <c r="X1715" s="412"/>
      <c r="Y1715" s="412"/>
      <c r="Z1715" s="412"/>
      <c r="AA1715" s="412"/>
      <c r="AB1715" s="412"/>
      <c r="AC1715" s="412"/>
      <c r="AD1715" s="412">
        <v>300</v>
      </c>
      <c r="AE1715" s="412"/>
      <c r="AF1715" s="412"/>
      <c r="AG1715" s="412"/>
      <c r="AH1715" s="412"/>
      <c r="AI1715" s="412"/>
      <c r="AJ1715" s="412">
        <f t="shared" si="80"/>
        <v>300</v>
      </c>
      <c r="AK1715" s="208"/>
      <c r="AL1715" s="250" t="s">
        <v>2067</v>
      </c>
    </row>
    <row r="1716" spans="1:38" x14ac:dyDescent="0.2">
      <c r="A1716" t="s">
        <v>884</v>
      </c>
      <c r="B1716" s="209">
        <v>5290</v>
      </c>
      <c r="C1716" s="210" t="s">
        <v>835</v>
      </c>
      <c r="D1716" s="230" t="s">
        <v>1597</v>
      </c>
      <c r="E1716" s="230" t="s">
        <v>72</v>
      </c>
      <c r="F1716" s="242">
        <v>300</v>
      </c>
      <c r="G1716" s="205">
        <v>1</v>
      </c>
      <c r="H1716" s="206">
        <v>300</v>
      </c>
      <c r="I1716" s="207">
        <v>41476</v>
      </c>
      <c r="J1716" s="197" t="str">
        <f t="shared" si="81"/>
        <v>ok</v>
      </c>
      <c r="K1716" s="419"/>
      <c r="L1716" s="419"/>
      <c r="M1716" s="419"/>
      <c r="N1716" s="419"/>
      <c r="O1716" s="419"/>
      <c r="P1716" s="419"/>
      <c r="Q1716" s="419"/>
      <c r="R1716" s="419"/>
      <c r="S1716" s="419"/>
      <c r="T1716" s="419"/>
      <c r="U1716" s="419"/>
      <c r="V1716" s="419"/>
      <c r="W1716" s="419">
        <f t="shared" si="79"/>
        <v>0</v>
      </c>
      <c r="X1716" s="412"/>
      <c r="Y1716" s="412"/>
      <c r="Z1716" s="412"/>
      <c r="AA1716" s="412"/>
      <c r="AB1716" s="412"/>
      <c r="AC1716" s="412"/>
      <c r="AD1716" s="412">
        <v>300</v>
      </c>
      <c r="AE1716" s="412"/>
      <c r="AF1716" s="412"/>
      <c r="AG1716" s="412"/>
      <c r="AH1716" s="412"/>
      <c r="AI1716" s="412"/>
      <c r="AJ1716" s="412">
        <f t="shared" si="80"/>
        <v>300</v>
      </c>
      <c r="AK1716" s="208"/>
      <c r="AL1716" s="250" t="s">
        <v>2067</v>
      </c>
    </row>
    <row r="1717" spans="1:38" x14ac:dyDescent="0.2">
      <c r="A1717" t="s">
        <v>892</v>
      </c>
      <c r="B1717" s="209">
        <v>5291</v>
      </c>
      <c r="C1717" s="210" t="s">
        <v>1055</v>
      </c>
      <c r="D1717" s="230" t="s">
        <v>1467</v>
      </c>
      <c r="E1717" s="230" t="s">
        <v>371</v>
      </c>
      <c r="F1717" s="242">
        <v>300</v>
      </c>
      <c r="G1717" s="205">
        <v>1</v>
      </c>
      <c r="H1717" s="206">
        <v>300</v>
      </c>
      <c r="I1717" s="207">
        <v>41476</v>
      </c>
      <c r="J1717" s="197" t="str">
        <f t="shared" si="81"/>
        <v>ok</v>
      </c>
      <c r="K1717" s="419"/>
      <c r="L1717" s="419"/>
      <c r="M1717" s="419"/>
      <c r="N1717" s="419"/>
      <c r="O1717" s="419"/>
      <c r="P1717" s="419"/>
      <c r="Q1717" s="419"/>
      <c r="R1717" s="419"/>
      <c r="S1717" s="419"/>
      <c r="T1717" s="419"/>
      <c r="U1717" s="419"/>
      <c r="V1717" s="419"/>
      <c r="W1717" s="419">
        <f t="shared" si="79"/>
        <v>0</v>
      </c>
      <c r="X1717" s="412"/>
      <c r="Y1717" s="412"/>
      <c r="Z1717" s="412"/>
      <c r="AA1717" s="412"/>
      <c r="AB1717" s="412"/>
      <c r="AC1717" s="412"/>
      <c r="AD1717" s="412">
        <v>300</v>
      </c>
      <c r="AE1717" s="412"/>
      <c r="AF1717" s="412"/>
      <c r="AG1717" s="412"/>
      <c r="AH1717" s="412"/>
      <c r="AI1717" s="412"/>
      <c r="AJ1717" s="412">
        <f t="shared" si="80"/>
        <v>300</v>
      </c>
      <c r="AK1717" s="208"/>
      <c r="AL1717" s="250" t="s">
        <v>2067</v>
      </c>
    </row>
    <row r="1718" spans="1:38" x14ac:dyDescent="0.2">
      <c r="A1718" t="s">
        <v>893</v>
      </c>
      <c r="B1718" s="209">
        <v>5292</v>
      </c>
      <c r="C1718" s="210" t="s">
        <v>1112</v>
      </c>
      <c r="D1718" s="230" t="s">
        <v>1566</v>
      </c>
      <c r="E1718" s="230" t="s">
        <v>263</v>
      </c>
      <c r="F1718" s="242">
        <v>300</v>
      </c>
      <c r="G1718" s="205">
        <v>1</v>
      </c>
      <c r="H1718" s="206">
        <v>300</v>
      </c>
      <c r="I1718" s="207">
        <v>41476</v>
      </c>
      <c r="J1718" s="197" t="str">
        <f t="shared" si="81"/>
        <v>ok</v>
      </c>
      <c r="K1718" s="419"/>
      <c r="L1718" s="419"/>
      <c r="M1718" s="419"/>
      <c r="N1718" s="419"/>
      <c r="O1718" s="419"/>
      <c r="P1718" s="419"/>
      <c r="Q1718" s="419"/>
      <c r="R1718" s="419"/>
      <c r="S1718" s="419"/>
      <c r="T1718" s="419"/>
      <c r="U1718" s="419"/>
      <c r="V1718" s="419"/>
      <c r="W1718" s="419">
        <f t="shared" si="79"/>
        <v>0</v>
      </c>
      <c r="X1718" s="412"/>
      <c r="Y1718" s="412"/>
      <c r="Z1718" s="412"/>
      <c r="AA1718" s="412"/>
      <c r="AB1718" s="412"/>
      <c r="AC1718" s="412"/>
      <c r="AD1718" s="412">
        <v>300</v>
      </c>
      <c r="AE1718" s="412"/>
      <c r="AF1718" s="412"/>
      <c r="AG1718" s="412"/>
      <c r="AH1718" s="412"/>
      <c r="AI1718" s="412"/>
      <c r="AJ1718" s="412">
        <f t="shared" si="80"/>
        <v>300</v>
      </c>
      <c r="AK1718" s="208"/>
      <c r="AL1718" s="250" t="s">
        <v>2067</v>
      </c>
    </row>
    <row r="1719" spans="1:38" x14ac:dyDescent="0.2">
      <c r="A1719" t="s">
        <v>894</v>
      </c>
      <c r="B1719" s="209">
        <v>5293</v>
      </c>
      <c r="C1719" s="210" t="s">
        <v>784</v>
      </c>
      <c r="D1719" s="230" t="s">
        <v>1422</v>
      </c>
      <c r="E1719" s="230" t="s">
        <v>595</v>
      </c>
      <c r="F1719" s="242">
        <v>300</v>
      </c>
      <c r="G1719" s="205">
        <v>1</v>
      </c>
      <c r="H1719" s="206">
        <v>300</v>
      </c>
      <c r="I1719" s="207">
        <v>41476</v>
      </c>
      <c r="J1719" s="197" t="str">
        <f t="shared" si="81"/>
        <v>ok</v>
      </c>
      <c r="K1719" s="419"/>
      <c r="L1719" s="419"/>
      <c r="M1719" s="419"/>
      <c r="N1719" s="419"/>
      <c r="O1719" s="419"/>
      <c r="P1719" s="419"/>
      <c r="Q1719" s="419"/>
      <c r="R1719" s="419"/>
      <c r="S1719" s="419"/>
      <c r="T1719" s="419"/>
      <c r="U1719" s="419"/>
      <c r="V1719" s="419"/>
      <c r="W1719" s="419">
        <f t="shared" si="79"/>
        <v>0</v>
      </c>
      <c r="X1719" s="412"/>
      <c r="Y1719" s="412"/>
      <c r="Z1719" s="412"/>
      <c r="AA1719" s="412"/>
      <c r="AB1719" s="412"/>
      <c r="AC1719" s="412"/>
      <c r="AD1719" s="412">
        <v>300</v>
      </c>
      <c r="AE1719" s="412"/>
      <c r="AF1719" s="412"/>
      <c r="AG1719" s="412"/>
      <c r="AH1719" s="412"/>
      <c r="AI1719" s="412"/>
      <c r="AJ1719" s="412">
        <f t="shared" si="80"/>
        <v>300</v>
      </c>
      <c r="AK1719" s="208"/>
      <c r="AL1719" s="250" t="s">
        <v>2067</v>
      </c>
    </row>
    <row r="1720" spans="1:38" x14ac:dyDescent="0.2">
      <c r="A1720" t="s">
        <v>890</v>
      </c>
      <c r="B1720" s="209">
        <v>5294</v>
      </c>
      <c r="C1720" s="210" t="s">
        <v>1023</v>
      </c>
      <c r="D1720" s="230" t="s">
        <v>1541</v>
      </c>
      <c r="E1720" s="230" t="s">
        <v>522</v>
      </c>
      <c r="F1720" s="242">
        <v>300</v>
      </c>
      <c r="G1720" s="205">
        <v>1</v>
      </c>
      <c r="H1720" s="206">
        <v>300</v>
      </c>
      <c r="I1720" s="207">
        <v>41476</v>
      </c>
      <c r="J1720" s="197" t="str">
        <f t="shared" si="81"/>
        <v>ok</v>
      </c>
      <c r="K1720" s="419"/>
      <c r="L1720" s="419"/>
      <c r="M1720" s="419"/>
      <c r="N1720" s="419"/>
      <c r="O1720" s="419"/>
      <c r="P1720" s="419"/>
      <c r="Q1720" s="419"/>
      <c r="R1720" s="419"/>
      <c r="S1720" s="419"/>
      <c r="T1720" s="419"/>
      <c r="U1720" s="419"/>
      <c r="V1720" s="419"/>
      <c r="W1720" s="419">
        <f t="shared" si="79"/>
        <v>0</v>
      </c>
      <c r="X1720" s="412"/>
      <c r="Y1720" s="412"/>
      <c r="Z1720" s="412"/>
      <c r="AA1720" s="412"/>
      <c r="AB1720" s="412"/>
      <c r="AC1720" s="412"/>
      <c r="AD1720" s="412">
        <v>300</v>
      </c>
      <c r="AE1720" s="412"/>
      <c r="AF1720" s="412"/>
      <c r="AG1720" s="412"/>
      <c r="AH1720" s="412"/>
      <c r="AI1720" s="412"/>
      <c r="AJ1720" s="412">
        <f t="shared" si="80"/>
        <v>300</v>
      </c>
      <c r="AK1720" s="208"/>
      <c r="AL1720" s="250" t="s">
        <v>2067</v>
      </c>
    </row>
    <row r="1721" spans="1:38" x14ac:dyDescent="0.2">
      <c r="A1721" t="s">
        <v>890</v>
      </c>
      <c r="B1721" s="209">
        <v>5294</v>
      </c>
      <c r="C1721" s="210" t="s">
        <v>1023</v>
      </c>
      <c r="D1721" s="230" t="s">
        <v>1541</v>
      </c>
      <c r="E1721" s="230" t="s">
        <v>522</v>
      </c>
      <c r="F1721" s="242">
        <v>300</v>
      </c>
      <c r="G1721" s="205">
        <v>5</v>
      </c>
      <c r="H1721" s="206">
        <v>20</v>
      </c>
      <c r="I1721" s="207">
        <v>41476</v>
      </c>
      <c r="J1721" s="197" t="str">
        <f t="shared" si="81"/>
        <v>ok</v>
      </c>
      <c r="K1721" s="419"/>
      <c r="L1721" s="419"/>
      <c r="M1721" s="419"/>
      <c r="N1721" s="419"/>
      <c r="O1721" s="419"/>
      <c r="P1721" s="419"/>
      <c r="Q1721" s="419"/>
      <c r="R1721" s="419"/>
      <c r="S1721" s="419"/>
      <c r="T1721" s="419"/>
      <c r="U1721" s="419"/>
      <c r="V1721" s="419"/>
      <c r="W1721" s="419">
        <f t="shared" si="79"/>
        <v>0</v>
      </c>
      <c r="X1721" s="412"/>
      <c r="Y1721" s="412"/>
      <c r="Z1721" s="412"/>
      <c r="AA1721" s="412"/>
      <c r="AB1721" s="412"/>
      <c r="AC1721" s="412"/>
      <c r="AD1721" s="412"/>
      <c r="AE1721" s="412"/>
      <c r="AF1721" s="412"/>
      <c r="AG1721" s="412"/>
      <c r="AH1721" s="412"/>
      <c r="AI1721" s="412"/>
      <c r="AJ1721" s="412">
        <f t="shared" si="80"/>
        <v>0</v>
      </c>
      <c r="AK1721" s="208"/>
      <c r="AL1721" s="250" t="s">
        <v>2068</v>
      </c>
    </row>
    <row r="1722" spans="1:38" x14ac:dyDescent="0.2">
      <c r="A1722" t="s">
        <v>892</v>
      </c>
      <c r="B1722" s="209">
        <v>5295</v>
      </c>
      <c r="C1722" s="210" t="s">
        <v>1058</v>
      </c>
      <c r="D1722" s="230" t="s">
        <v>1594</v>
      </c>
      <c r="E1722" s="230" t="s">
        <v>1309</v>
      </c>
      <c r="F1722" s="242">
        <v>300</v>
      </c>
      <c r="G1722" s="205">
        <v>1</v>
      </c>
      <c r="H1722" s="206">
        <v>600</v>
      </c>
      <c r="I1722" s="207">
        <v>41476</v>
      </c>
      <c r="J1722" s="197" t="str">
        <f t="shared" si="81"/>
        <v>ok</v>
      </c>
      <c r="K1722" s="419"/>
      <c r="L1722" s="419"/>
      <c r="M1722" s="419"/>
      <c r="N1722" s="419"/>
      <c r="O1722" s="419"/>
      <c r="P1722" s="419"/>
      <c r="Q1722" s="419"/>
      <c r="R1722" s="419"/>
      <c r="S1722" s="419"/>
      <c r="T1722" s="419"/>
      <c r="U1722" s="419"/>
      <c r="V1722" s="419"/>
      <c r="W1722" s="419">
        <f t="shared" si="79"/>
        <v>0</v>
      </c>
      <c r="X1722" s="412"/>
      <c r="Y1722" s="412"/>
      <c r="Z1722" s="412"/>
      <c r="AA1722" s="412"/>
      <c r="AB1722" s="412"/>
      <c r="AC1722" s="412">
        <v>300</v>
      </c>
      <c r="AD1722" s="412">
        <v>300</v>
      </c>
      <c r="AE1722" s="412"/>
      <c r="AF1722" s="412"/>
      <c r="AG1722" s="412"/>
      <c r="AH1722" s="412"/>
      <c r="AI1722" s="412"/>
      <c r="AJ1722" s="412">
        <f t="shared" si="80"/>
        <v>600</v>
      </c>
      <c r="AK1722" s="208"/>
      <c r="AL1722" s="250" t="s">
        <v>2067</v>
      </c>
    </row>
    <row r="1723" spans="1:38" x14ac:dyDescent="0.2">
      <c r="A1723" t="s">
        <v>888</v>
      </c>
      <c r="B1723" s="209">
        <v>5296</v>
      </c>
      <c r="C1723" s="210" t="s">
        <v>928</v>
      </c>
      <c r="D1723" s="230" t="s">
        <v>1393</v>
      </c>
      <c r="E1723" s="230" t="s">
        <v>719</v>
      </c>
      <c r="F1723" s="242">
        <v>300</v>
      </c>
      <c r="G1723" s="205">
        <v>1</v>
      </c>
      <c r="H1723" s="206">
        <v>300</v>
      </c>
      <c r="I1723" s="207">
        <v>41476</v>
      </c>
      <c r="J1723" s="197" t="str">
        <f t="shared" si="81"/>
        <v>ok</v>
      </c>
      <c r="K1723" s="419"/>
      <c r="L1723" s="419"/>
      <c r="M1723" s="419"/>
      <c r="N1723" s="419"/>
      <c r="O1723" s="419"/>
      <c r="P1723" s="419"/>
      <c r="Q1723" s="419"/>
      <c r="R1723" s="419"/>
      <c r="S1723" s="419"/>
      <c r="T1723" s="419"/>
      <c r="U1723" s="419"/>
      <c r="V1723" s="419"/>
      <c r="W1723" s="419">
        <f t="shared" si="79"/>
        <v>0</v>
      </c>
      <c r="X1723" s="412"/>
      <c r="Y1723" s="412"/>
      <c r="Z1723" s="412"/>
      <c r="AA1723" s="412"/>
      <c r="AB1723" s="412"/>
      <c r="AC1723" s="412"/>
      <c r="AD1723" s="412">
        <v>300</v>
      </c>
      <c r="AE1723" s="412"/>
      <c r="AF1723" s="412"/>
      <c r="AG1723" s="412"/>
      <c r="AH1723" s="412"/>
      <c r="AI1723" s="412"/>
      <c r="AJ1723" s="412">
        <f t="shared" si="80"/>
        <v>300</v>
      </c>
      <c r="AK1723" s="208"/>
      <c r="AL1723" s="250" t="s">
        <v>2067</v>
      </c>
    </row>
    <row r="1724" spans="1:38" x14ac:dyDescent="0.2">
      <c r="A1724" t="s">
        <v>889</v>
      </c>
      <c r="B1724" s="336">
        <v>48</v>
      </c>
      <c r="C1724" s="210" t="s">
        <v>973</v>
      </c>
      <c r="D1724" s="230" t="s">
        <v>1855</v>
      </c>
      <c r="E1724" s="230" t="s">
        <v>645</v>
      </c>
      <c r="F1724" s="242">
        <v>1000</v>
      </c>
      <c r="G1724" s="205">
        <v>1</v>
      </c>
      <c r="H1724" s="206">
        <v>1000</v>
      </c>
      <c r="I1724" s="207">
        <v>41475</v>
      </c>
      <c r="J1724" s="197" t="str">
        <f t="shared" si="81"/>
        <v>ok</v>
      </c>
      <c r="K1724" s="419"/>
      <c r="L1724" s="419"/>
      <c r="M1724" s="419"/>
      <c r="N1724" s="419"/>
      <c r="O1724" s="419"/>
      <c r="P1724" s="419"/>
      <c r="Q1724" s="419"/>
      <c r="R1724" s="419"/>
      <c r="S1724" s="419"/>
      <c r="T1724" s="419"/>
      <c r="U1724" s="419"/>
      <c r="V1724" s="419"/>
      <c r="W1724" s="419">
        <f t="shared" si="79"/>
        <v>0</v>
      </c>
      <c r="X1724" s="412"/>
      <c r="Y1724" s="412"/>
      <c r="Z1724" s="412"/>
      <c r="AA1724" s="412"/>
      <c r="AB1724" s="412"/>
      <c r="AC1724" s="412"/>
      <c r="AD1724" s="412">
        <v>1000</v>
      </c>
      <c r="AE1724" s="412"/>
      <c r="AF1724" s="412"/>
      <c r="AG1724" s="412"/>
      <c r="AH1724" s="412"/>
      <c r="AI1724" s="412"/>
      <c r="AJ1724" s="412">
        <f t="shared" si="80"/>
        <v>1000</v>
      </c>
      <c r="AK1724" s="208"/>
      <c r="AL1724" s="250" t="s">
        <v>2067</v>
      </c>
    </row>
    <row r="1725" spans="1:38" x14ac:dyDescent="0.2">
      <c r="A1725" t="s">
        <v>884</v>
      </c>
      <c r="B1725" s="209">
        <v>5297</v>
      </c>
      <c r="C1725" s="210" t="s">
        <v>856</v>
      </c>
      <c r="D1725" s="230" t="s">
        <v>1515</v>
      </c>
      <c r="E1725" s="230" t="s">
        <v>99</v>
      </c>
      <c r="F1725" s="242">
        <v>300</v>
      </c>
      <c r="G1725" s="205">
        <v>1</v>
      </c>
      <c r="H1725" s="206">
        <v>300</v>
      </c>
      <c r="I1725" s="207">
        <v>41477</v>
      </c>
      <c r="J1725" s="197" t="str">
        <f t="shared" si="81"/>
        <v>ok</v>
      </c>
      <c r="K1725" s="419"/>
      <c r="L1725" s="419"/>
      <c r="M1725" s="419"/>
      <c r="N1725" s="419"/>
      <c r="O1725" s="419"/>
      <c r="P1725" s="419"/>
      <c r="Q1725" s="419"/>
      <c r="R1725" s="419"/>
      <c r="S1725" s="419"/>
      <c r="T1725" s="419"/>
      <c r="U1725" s="419"/>
      <c r="V1725" s="419"/>
      <c r="W1725" s="419">
        <f t="shared" si="79"/>
        <v>0</v>
      </c>
      <c r="X1725" s="412"/>
      <c r="Y1725" s="412"/>
      <c r="Z1725" s="412"/>
      <c r="AA1725" s="412"/>
      <c r="AB1725" s="412"/>
      <c r="AC1725" s="412"/>
      <c r="AD1725" s="412">
        <v>300</v>
      </c>
      <c r="AE1725" s="412"/>
      <c r="AF1725" s="412"/>
      <c r="AG1725" s="412"/>
      <c r="AH1725" s="412"/>
      <c r="AI1725" s="412"/>
      <c r="AJ1725" s="412">
        <f t="shared" si="80"/>
        <v>300</v>
      </c>
      <c r="AK1725" s="208"/>
      <c r="AL1725" s="250" t="s">
        <v>2067</v>
      </c>
    </row>
    <row r="1726" spans="1:38" x14ac:dyDescent="0.2">
      <c r="A1726" t="s">
        <v>890</v>
      </c>
      <c r="B1726" s="209">
        <v>5298</v>
      </c>
      <c r="C1726" s="210" t="s">
        <v>1853</v>
      </c>
      <c r="D1726" s="230" t="s">
        <v>1856</v>
      </c>
      <c r="E1726" s="230" t="s">
        <v>1309</v>
      </c>
      <c r="F1726" s="242">
        <v>300</v>
      </c>
      <c r="G1726" s="205">
        <v>3</v>
      </c>
      <c r="H1726" s="206">
        <v>300</v>
      </c>
      <c r="I1726" s="207">
        <v>41478</v>
      </c>
      <c r="J1726" s="197" t="str">
        <f t="shared" si="81"/>
        <v>ok</v>
      </c>
      <c r="K1726" s="419"/>
      <c r="L1726" s="419"/>
      <c r="M1726" s="419"/>
      <c r="N1726" s="419"/>
      <c r="O1726" s="419"/>
      <c r="P1726" s="419"/>
      <c r="Q1726" s="419"/>
      <c r="R1726" s="419"/>
      <c r="S1726" s="419"/>
      <c r="T1726" s="419"/>
      <c r="U1726" s="419"/>
      <c r="V1726" s="419"/>
      <c r="W1726" s="419">
        <f t="shared" si="79"/>
        <v>0</v>
      </c>
      <c r="X1726" s="412"/>
      <c r="Y1726" s="412"/>
      <c r="Z1726" s="412"/>
      <c r="AA1726" s="412"/>
      <c r="AB1726" s="412"/>
      <c r="AC1726" s="412"/>
      <c r="AD1726" s="412"/>
      <c r="AE1726" s="412"/>
      <c r="AF1726" s="412"/>
      <c r="AG1726" s="412"/>
      <c r="AH1726" s="412"/>
      <c r="AI1726" s="412"/>
      <c r="AJ1726" s="412">
        <f t="shared" si="80"/>
        <v>0</v>
      </c>
      <c r="AK1726" s="208"/>
      <c r="AL1726" s="250" t="s">
        <v>2068</v>
      </c>
    </row>
    <row r="1727" spans="1:38" x14ac:dyDescent="0.2">
      <c r="A1727" t="s">
        <v>892</v>
      </c>
      <c r="B1727" s="209">
        <v>5299</v>
      </c>
      <c r="C1727" s="210" t="s">
        <v>1057</v>
      </c>
      <c r="D1727" s="230" t="s">
        <v>1548</v>
      </c>
      <c r="E1727" s="230" t="s">
        <v>46</v>
      </c>
      <c r="F1727" s="242">
        <v>300</v>
      </c>
      <c r="G1727" s="205">
        <v>1</v>
      </c>
      <c r="H1727" s="206">
        <v>300</v>
      </c>
      <c r="I1727" s="207">
        <v>41483</v>
      </c>
      <c r="J1727" s="197" t="str">
        <f t="shared" si="81"/>
        <v>ok</v>
      </c>
      <c r="K1727" s="419"/>
      <c r="L1727" s="419"/>
      <c r="M1727" s="419"/>
      <c r="N1727" s="419"/>
      <c r="O1727" s="419"/>
      <c r="P1727" s="419"/>
      <c r="Q1727" s="419"/>
      <c r="R1727" s="419"/>
      <c r="S1727" s="419"/>
      <c r="T1727" s="419"/>
      <c r="U1727" s="419"/>
      <c r="V1727" s="419"/>
      <c r="W1727" s="419">
        <f t="shared" si="79"/>
        <v>0</v>
      </c>
      <c r="X1727" s="412"/>
      <c r="Y1727" s="412"/>
      <c r="Z1727" s="412"/>
      <c r="AA1727" s="412"/>
      <c r="AB1727" s="412"/>
      <c r="AC1727" s="412"/>
      <c r="AD1727" s="412">
        <v>300</v>
      </c>
      <c r="AE1727" s="412"/>
      <c r="AF1727" s="412"/>
      <c r="AG1727" s="412"/>
      <c r="AH1727" s="412"/>
      <c r="AI1727" s="412"/>
      <c r="AJ1727" s="412">
        <f t="shared" si="80"/>
        <v>300</v>
      </c>
      <c r="AK1727" s="208"/>
      <c r="AL1727" s="250" t="s">
        <v>2067</v>
      </c>
    </row>
    <row r="1728" spans="1:38" x14ac:dyDescent="0.2">
      <c r="A1728" t="s">
        <v>894</v>
      </c>
      <c r="B1728" s="209">
        <v>5300</v>
      </c>
      <c r="C1728" s="210" t="s">
        <v>1151</v>
      </c>
      <c r="D1728" s="230" t="s">
        <v>1560</v>
      </c>
      <c r="E1728" s="230" t="s">
        <v>588</v>
      </c>
      <c r="F1728" s="242">
        <v>300</v>
      </c>
      <c r="G1728" s="205">
        <v>1</v>
      </c>
      <c r="H1728" s="206">
        <v>300</v>
      </c>
      <c r="I1728" s="207">
        <v>41483</v>
      </c>
      <c r="J1728" s="197" t="str">
        <f t="shared" si="81"/>
        <v>ok</v>
      </c>
      <c r="K1728" s="419"/>
      <c r="L1728" s="419"/>
      <c r="M1728" s="419"/>
      <c r="N1728" s="419"/>
      <c r="O1728" s="419"/>
      <c r="P1728" s="419"/>
      <c r="Q1728" s="419"/>
      <c r="R1728" s="419"/>
      <c r="S1728" s="419"/>
      <c r="T1728" s="419"/>
      <c r="U1728" s="419"/>
      <c r="V1728" s="419"/>
      <c r="W1728" s="419">
        <f t="shared" si="79"/>
        <v>0</v>
      </c>
      <c r="X1728" s="412"/>
      <c r="Y1728" s="412"/>
      <c r="Z1728" s="412"/>
      <c r="AA1728" s="412"/>
      <c r="AB1728" s="412"/>
      <c r="AC1728" s="412"/>
      <c r="AD1728" s="412">
        <v>300</v>
      </c>
      <c r="AE1728" s="412"/>
      <c r="AF1728" s="412"/>
      <c r="AG1728" s="412"/>
      <c r="AH1728" s="412"/>
      <c r="AI1728" s="412"/>
      <c r="AJ1728" s="412">
        <f t="shared" si="80"/>
        <v>300</v>
      </c>
      <c r="AK1728" s="208"/>
      <c r="AL1728" s="250" t="s">
        <v>2067</v>
      </c>
    </row>
    <row r="1729" spans="1:38" x14ac:dyDescent="0.2">
      <c r="A1729" t="s">
        <v>893</v>
      </c>
      <c r="B1729" s="209">
        <v>5301</v>
      </c>
      <c r="C1729" s="210" t="s">
        <v>780</v>
      </c>
      <c r="D1729" s="230" t="s">
        <v>1593</v>
      </c>
      <c r="E1729" s="230" t="s">
        <v>294</v>
      </c>
      <c r="F1729" s="242">
        <v>300</v>
      </c>
      <c r="G1729" s="205">
        <v>1</v>
      </c>
      <c r="H1729" s="206">
        <v>300</v>
      </c>
      <c r="I1729" s="207">
        <v>41484</v>
      </c>
      <c r="J1729" s="197" t="str">
        <f t="shared" si="81"/>
        <v>ok</v>
      </c>
      <c r="K1729" s="419"/>
      <c r="L1729" s="419"/>
      <c r="M1729" s="419"/>
      <c r="N1729" s="419"/>
      <c r="O1729" s="419"/>
      <c r="P1729" s="419"/>
      <c r="Q1729" s="419"/>
      <c r="R1729" s="419"/>
      <c r="S1729" s="419"/>
      <c r="T1729" s="419"/>
      <c r="U1729" s="419"/>
      <c r="V1729" s="419"/>
      <c r="W1729" s="419">
        <f t="shared" si="79"/>
        <v>0</v>
      </c>
      <c r="X1729" s="412"/>
      <c r="Y1729" s="412"/>
      <c r="Z1729" s="412"/>
      <c r="AA1729" s="412"/>
      <c r="AB1729" s="412"/>
      <c r="AC1729" s="412"/>
      <c r="AD1729" s="412"/>
      <c r="AE1729" s="412">
        <v>300</v>
      </c>
      <c r="AF1729" s="412"/>
      <c r="AG1729" s="412"/>
      <c r="AH1729" s="412"/>
      <c r="AI1729" s="412"/>
      <c r="AJ1729" s="412">
        <f t="shared" si="80"/>
        <v>300</v>
      </c>
      <c r="AK1729" s="208"/>
      <c r="AL1729" s="250" t="s">
        <v>2067</v>
      </c>
    </row>
    <row r="1730" spans="1:38" x14ac:dyDescent="0.2">
      <c r="A1730" t="s">
        <v>1362</v>
      </c>
      <c r="B1730" s="209">
        <v>5302</v>
      </c>
      <c r="C1730" s="210"/>
      <c r="D1730" s="230" t="s">
        <v>1362</v>
      </c>
      <c r="E1730" s="230" t="s">
        <v>1362</v>
      </c>
      <c r="F1730" s="242" t="s">
        <v>1362</v>
      </c>
      <c r="G1730" s="205">
        <v>1</v>
      </c>
      <c r="H1730" s="206">
        <v>300</v>
      </c>
      <c r="I1730" s="207">
        <v>41484</v>
      </c>
      <c r="J1730" s="197" t="str">
        <f t="shared" si="81"/>
        <v>error</v>
      </c>
      <c r="K1730" s="419"/>
      <c r="L1730" s="419"/>
      <c r="M1730" s="419"/>
      <c r="N1730" s="419"/>
      <c r="O1730" s="419"/>
      <c r="P1730" s="419"/>
      <c r="Q1730" s="419"/>
      <c r="R1730" s="419"/>
      <c r="S1730" s="419"/>
      <c r="T1730" s="419"/>
      <c r="U1730" s="419"/>
      <c r="V1730" s="419"/>
      <c r="W1730" s="419">
        <f t="shared" si="79"/>
        <v>0</v>
      </c>
      <c r="X1730" s="412"/>
      <c r="Y1730" s="412"/>
      <c r="Z1730" s="412"/>
      <c r="AA1730" s="412"/>
      <c r="AB1730" s="412"/>
      <c r="AC1730" s="412"/>
      <c r="AD1730" s="412"/>
      <c r="AE1730" s="412"/>
      <c r="AF1730" s="412"/>
      <c r="AG1730" s="412"/>
      <c r="AH1730" s="412"/>
      <c r="AI1730" s="412"/>
      <c r="AJ1730" s="412">
        <f t="shared" si="80"/>
        <v>0</v>
      </c>
      <c r="AK1730" s="208"/>
      <c r="AL1730" s="250" t="s">
        <v>2068</v>
      </c>
    </row>
    <row r="1731" spans="1:38" x14ac:dyDescent="0.2">
      <c r="A1731" t="s">
        <v>890</v>
      </c>
      <c r="B1731" s="209">
        <v>5303</v>
      </c>
      <c r="C1731" s="210" t="s">
        <v>992</v>
      </c>
      <c r="D1731" s="230" t="s">
        <v>1624</v>
      </c>
      <c r="E1731" s="230" t="s">
        <v>727</v>
      </c>
      <c r="F1731" s="242">
        <v>300</v>
      </c>
      <c r="G1731" s="205">
        <v>1</v>
      </c>
      <c r="H1731" s="206">
        <v>300</v>
      </c>
      <c r="I1731" s="207">
        <v>41484</v>
      </c>
      <c r="J1731" s="197" t="str">
        <f t="shared" si="81"/>
        <v>ok</v>
      </c>
      <c r="K1731" s="419"/>
      <c r="L1731" s="419"/>
      <c r="M1731" s="419"/>
      <c r="N1731" s="419"/>
      <c r="O1731" s="419"/>
      <c r="P1731" s="419"/>
      <c r="Q1731" s="419"/>
      <c r="R1731" s="419"/>
      <c r="S1731" s="419"/>
      <c r="T1731" s="419"/>
      <c r="U1731" s="419"/>
      <c r="V1731" s="419"/>
      <c r="W1731" s="419">
        <f t="shared" si="79"/>
        <v>0</v>
      </c>
      <c r="X1731" s="412"/>
      <c r="Y1731" s="412"/>
      <c r="Z1731" s="412"/>
      <c r="AA1731" s="412"/>
      <c r="AB1731" s="412"/>
      <c r="AC1731" s="412"/>
      <c r="AD1731" s="412">
        <v>300</v>
      </c>
      <c r="AE1731" s="412"/>
      <c r="AF1731" s="412"/>
      <c r="AG1731" s="412"/>
      <c r="AH1731" s="412"/>
      <c r="AI1731" s="412"/>
      <c r="AJ1731" s="412">
        <f t="shared" si="80"/>
        <v>300</v>
      </c>
      <c r="AK1731" s="208"/>
      <c r="AL1731" s="250" t="s">
        <v>2067</v>
      </c>
    </row>
    <row r="1732" spans="1:38" x14ac:dyDescent="0.2">
      <c r="A1732" t="s">
        <v>893</v>
      </c>
      <c r="B1732" s="209">
        <v>5304</v>
      </c>
      <c r="C1732" s="210" t="s">
        <v>1091</v>
      </c>
      <c r="D1732" s="230" t="s">
        <v>1372</v>
      </c>
      <c r="E1732" s="230" t="s">
        <v>221</v>
      </c>
      <c r="F1732" s="242">
        <v>300</v>
      </c>
      <c r="G1732" s="205">
        <v>1</v>
      </c>
      <c r="H1732" s="206">
        <v>300</v>
      </c>
      <c r="I1732" s="207">
        <v>41484</v>
      </c>
      <c r="J1732" s="197" t="str">
        <f t="shared" si="81"/>
        <v>ok</v>
      </c>
      <c r="K1732" s="419"/>
      <c r="L1732" s="419"/>
      <c r="M1732" s="419"/>
      <c r="N1732" s="419"/>
      <c r="O1732" s="419"/>
      <c r="P1732" s="419"/>
      <c r="Q1732" s="419"/>
      <c r="R1732" s="419"/>
      <c r="S1732" s="419"/>
      <c r="T1732" s="419"/>
      <c r="U1732" s="419"/>
      <c r="V1732" s="419"/>
      <c r="W1732" s="419">
        <f t="shared" si="79"/>
        <v>0</v>
      </c>
      <c r="X1732" s="412"/>
      <c r="Y1732" s="412"/>
      <c r="Z1732" s="412"/>
      <c r="AA1732" s="412"/>
      <c r="AB1732" s="412"/>
      <c r="AC1732" s="412"/>
      <c r="AD1732" s="412">
        <v>300</v>
      </c>
      <c r="AE1732" s="412"/>
      <c r="AF1732" s="412"/>
      <c r="AG1732" s="412"/>
      <c r="AH1732" s="412"/>
      <c r="AI1732" s="412"/>
      <c r="AJ1732" s="412">
        <f t="shared" si="80"/>
        <v>300</v>
      </c>
      <c r="AK1732" s="208"/>
      <c r="AL1732" s="250" t="s">
        <v>2067</v>
      </c>
    </row>
    <row r="1733" spans="1:38" x14ac:dyDescent="0.2">
      <c r="A1733" t="s">
        <v>891</v>
      </c>
      <c r="B1733" s="209">
        <v>5305</v>
      </c>
      <c r="C1733" s="210" t="s">
        <v>1052</v>
      </c>
      <c r="D1733" s="230" t="s">
        <v>1571</v>
      </c>
      <c r="E1733" s="230" t="s">
        <v>654</v>
      </c>
      <c r="F1733" s="242">
        <v>300</v>
      </c>
      <c r="G1733" s="205">
        <v>1</v>
      </c>
      <c r="H1733" s="206">
        <v>600</v>
      </c>
      <c r="I1733" s="207">
        <v>41484</v>
      </c>
      <c r="J1733" s="197" t="str">
        <f t="shared" si="81"/>
        <v>ok</v>
      </c>
      <c r="K1733" s="419"/>
      <c r="L1733" s="419"/>
      <c r="M1733" s="419"/>
      <c r="N1733" s="419"/>
      <c r="O1733" s="419"/>
      <c r="P1733" s="419"/>
      <c r="Q1733" s="419"/>
      <c r="R1733" s="419"/>
      <c r="S1733" s="419"/>
      <c r="T1733" s="419"/>
      <c r="U1733" s="419"/>
      <c r="V1733" s="419"/>
      <c r="W1733" s="419">
        <f t="shared" si="79"/>
        <v>0</v>
      </c>
      <c r="X1733" s="412"/>
      <c r="Y1733" s="412"/>
      <c r="Z1733" s="412"/>
      <c r="AA1733" s="412"/>
      <c r="AB1733" s="412"/>
      <c r="AC1733" s="412">
        <v>300</v>
      </c>
      <c r="AD1733" s="412">
        <v>300</v>
      </c>
      <c r="AE1733" s="412"/>
      <c r="AF1733" s="412"/>
      <c r="AG1733" s="412"/>
      <c r="AH1733" s="412"/>
      <c r="AI1733" s="412"/>
      <c r="AJ1733" s="412">
        <f t="shared" si="80"/>
        <v>600</v>
      </c>
      <c r="AK1733" s="208"/>
      <c r="AL1733" s="250" t="s">
        <v>2067</v>
      </c>
    </row>
    <row r="1734" spans="1:38" x14ac:dyDescent="0.2">
      <c r="A1734" t="s">
        <v>893</v>
      </c>
      <c r="B1734" s="209">
        <v>5306</v>
      </c>
      <c r="C1734" s="210" t="s">
        <v>1081</v>
      </c>
      <c r="D1734" s="230" t="s">
        <v>1652</v>
      </c>
      <c r="E1734" s="230" t="s">
        <v>202</v>
      </c>
      <c r="F1734" s="242">
        <v>300</v>
      </c>
      <c r="G1734" s="205">
        <v>1</v>
      </c>
      <c r="H1734" s="206">
        <v>300</v>
      </c>
      <c r="I1734" s="207">
        <v>41484</v>
      </c>
      <c r="J1734" s="197" t="str">
        <f t="shared" si="81"/>
        <v>ok</v>
      </c>
      <c r="K1734" s="419"/>
      <c r="L1734" s="419"/>
      <c r="M1734" s="419"/>
      <c r="N1734" s="419"/>
      <c r="O1734" s="419"/>
      <c r="P1734" s="419"/>
      <c r="Q1734" s="419"/>
      <c r="R1734" s="419"/>
      <c r="S1734" s="419"/>
      <c r="T1734" s="419"/>
      <c r="U1734" s="419"/>
      <c r="V1734" s="419"/>
      <c r="W1734" s="419">
        <f t="shared" si="79"/>
        <v>0</v>
      </c>
      <c r="X1734" s="412"/>
      <c r="Y1734" s="412"/>
      <c r="Z1734" s="412"/>
      <c r="AA1734" s="412"/>
      <c r="AB1734" s="412"/>
      <c r="AC1734" s="412">
        <v>300</v>
      </c>
      <c r="AD1734" s="412"/>
      <c r="AE1734" s="412"/>
      <c r="AF1734" s="412"/>
      <c r="AG1734" s="412"/>
      <c r="AH1734" s="412"/>
      <c r="AI1734" s="412"/>
      <c r="AJ1734" s="412">
        <f t="shared" si="80"/>
        <v>300</v>
      </c>
      <c r="AK1734" s="208"/>
      <c r="AL1734" s="250" t="s">
        <v>2067</v>
      </c>
    </row>
    <row r="1735" spans="1:38" x14ac:dyDescent="0.2">
      <c r="A1735" t="s">
        <v>884</v>
      </c>
      <c r="B1735" s="209">
        <v>5307</v>
      </c>
      <c r="C1735" s="210" t="s">
        <v>800</v>
      </c>
      <c r="D1735" s="230" t="s">
        <v>1417</v>
      </c>
      <c r="E1735" s="230" t="s">
        <v>17</v>
      </c>
      <c r="F1735" s="242">
        <v>300</v>
      </c>
      <c r="G1735" s="205">
        <v>1</v>
      </c>
      <c r="H1735" s="206">
        <v>1200</v>
      </c>
      <c r="I1735" s="207">
        <v>41484</v>
      </c>
      <c r="J1735" s="197" t="str">
        <f t="shared" si="81"/>
        <v>ok</v>
      </c>
      <c r="K1735" s="419"/>
      <c r="L1735" s="419"/>
      <c r="M1735" s="419"/>
      <c r="N1735" s="419"/>
      <c r="O1735" s="419"/>
      <c r="P1735" s="419"/>
      <c r="Q1735" s="419"/>
      <c r="R1735" s="419"/>
      <c r="S1735" s="419"/>
      <c r="T1735" s="419"/>
      <c r="U1735" s="419"/>
      <c r="V1735" s="419"/>
      <c r="W1735" s="419">
        <f t="shared" ref="W1735:W1798" si="82">SUM(K1735:V1735)</f>
        <v>0</v>
      </c>
      <c r="X1735" s="412"/>
      <c r="Y1735" s="412"/>
      <c r="Z1735" s="412"/>
      <c r="AA1735" s="412"/>
      <c r="AB1735" s="412">
        <v>300</v>
      </c>
      <c r="AC1735" s="412">
        <v>300</v>
      </c>
      <c r="AD1735" s="412">
        <v>300</v>
      </c>
      <c r="AE1735" s="412">
        <v>300</v>
      </c>
      <c r="AF1735" s="412"/>
      <c r="AG1735" s="412"/>
      <c r="AH1735" s="412"/>
      <c r="AI1735" s="412"/>
      <c r="AJ1735" s="412">
        <f t="shared" ref="AJ1735:AJ1798" si="83">SUM(X1735:AI1735)</f>
        <v>1200</v>
      </c>
      <c r="AK1735" s="208"/>
      <c r="AL1735" s="250" t="s">
        <v>2067</v>
      </c>
    </row>
    <row r="1736" spans="1:38" x14ac:dyDescent="0.2">
      <c r="A1736" t="s">
        <v>893</v>
      </c>
      <c r="B1736" s="209">
        <v>5308</v>
      </c>
      <c r="C1736" s="210" t="s">
        <v>1149</v>
      </c>
      <c r="D1736" s="230" t="s">
        <v>1440</v>
      </c>
      <c r="E1736" s="230" t="s">
        <v>335</v>
      </c>
      <c r="F1736" s="242">
        <v>300</v>
      </c>
      <c r="G1736" s="205">
        <v>3</v>
      </c>
      <c r="H1736" s="206">
        <v>150</v>
      </c>
      <c r="I1736" s="207">
        <v>41484</v>
      </c>
      <c r="J1736" s="197" t="str">
        <f t="shared" si="81"/>
        <v>ok</v>
      </c>
      <c r="K1736" s="419"/>
      <c r="L1736" s="419"/>
      <c r="M1736" s="419"/>
      <c r="N1736" s="419"/>
      <c r="O1736" s="419"/>
      <c r="P1736" s="419"/>
      <c r="Q1736" s="419"/>
      <c r="R1736" s="419"/>
      <c r="S1736" s="419"/>
      <c r="T1736" s="419"/>
      <c r="U1736" s="419"/>
      <c r="V1736" s="419"/>
      <c r="W1736" s="419">
        <f t="shared" si="82"/>
        <v>0</v>
      </c>
      <c r="X1736" s="412"/>
      <c r="Y1736" s="412"/>
      <c r="Z1736" s="412"/>
      <c r="AA1736" s="412"/>
      <c r="AB1736" s="412"/>
      <c r="AC1736" s="412"/>
      <c r="AD1736" s="412"/>
      <c r="AE1736" s="412"/>
      <c r="AF1736" s="412"/>
      <c r="AG1736" s="412"/>
      <c r="AH1736" s="412"/>
      <c r="AI1736" s="412"/>
      <c r="AJ1736" s="412">
        <f t="shared" si="83"/>
        <v>0</v>
      </c>
      <c r="AK1736" s="208"/>
      <c r="AL1736" s="250" t="s">
        <v>2068</v>
      </c>
    </row>
    <row r="1737" spans="1:38" x14ac:dyDescent="0.2">
      <c r="A1737" t="s">
        <v>1362</v>
      </c>
      <c r="B1737" s="209">
        <v>5309</v>
      </c>
      <c r="C1737" s="210"/>
      <c r="D1737" s="230" t="s">
        <v>1362</v>
      </c>
      <c r="E1737" s="230" t="s">
        <v>1362</v>
      </c>
      <c r="F1737" s="242" t="s">
        <v>1362</v>
      </c>
      <c r="G1737" s="205"/>
      <c r="H1737" s="206"/>
      <c r="I1737" s="207">
        <v>41484</v>
      </c>
      <c r="J1737" s="197" t="str">
        <f t="shared" si="81"/>
        <v>ok</v>
      </c>
      <c r="K1737" s="419"/>
      <c r="L1737" s="419"/>
      <c r="M1737" s="419"/>
      <c r="N1737" s="419"/>
      <c r="O1737" s="419"/>
      <c r="P1737" s="419"/>
      <c r="Q1737" s="419"/>
      <c r="R1737" s="419"/>
      <c r="S1737" s="419"/>
      <c r="T1737" s="419"/>
      <c r="U1737" s="419"/>
      <c r="V1737" s="419"/>
      <c r="W1737" s="419">
        <f t="shared" si="82"/>
        <v>0</v>
      </c>
      <c r="X1737" s="412"/>
      <c r="Y1737" s="412"/>
      <c r="Z1737" s="412"/>
      <c r="AA1737" s="412"/>
      <c r="AB1737" s="412"/>
      <c r="AC1737" s="412"/>
      <c r="AD1737" s="412"/>
      <c r="AE1737" s="412"/>
      <c r="AF1737" s="412"/>
      <c r="AG1737" s="412"/>
      <c r="AH1737" s="412"/>
      <c r="AI1737" s="412"/>
      <c r="AJ1737" s="412">
        <f t="shared" si="83"/>
        <v>0</v>
      </c>
      <c r="AK1737" s="208" t="s">
        <v>755</v>
      </c>
      <c r="AL1737" s="250" t="s">
        <v>2067</v>
      </c>
    </row>
    <row r="1738" spans="1:38" x14ac:dyDescent="0.2">
      <c r="A1738" t="s">
        <v>892</v>
      </c>
      <c r="B1738" s="209">
        <v>5310</v>
      </c>
      <c r="C1738" s="210" t="s">
        <v>1066</v>
      </c>
      <c r="D1738" s="230" t="s">
        <v>1591</v>
      </c>
      <c r="E1738" s="230" t="s">
        <v>663</v>
      </c>
      <c r="F1738" s="242">
        <v>300</v>
      </c>
      <c r="G1738" s="205">
        <v>1</v>
      </c>
      <c r="H1738" s="206">
        <v>300</v>
      </c>
      <c r="I1738" s="207">
        <v>41484</v>
      </c>
      <c r="J1738" s="197" t="str">
        <f t="shared" si="81"/>
        <v>ok</v>
      </c>
      <c r="K1738" s="419"/>
      <c r="L1738" s="419"/>
      <c r="M1738" s="419"/>
      <c r="N1738" s="419"/>
      <c r="O1738" s="419"/>
      <c r="P1738" s="419"/>
      <c r="Q1738" s="419"/>
      <c r="R1738" s="419"/>
      <c r="S1738" s="419"/>
      <c r="T1738" s="419"/>
      <c r="U1738" s="419"/>
      <c r="V1738" s="419"/>
      <c r="W1738" s="419">
        <f t="shared" si="82"/>
        <v>0</v>
      </c>
      <c r="X1738" s="412"/>
      <c r="Y1738" s="412"/>
      <c r="Z1738" s="412"/>
      <c r="AA1738" s="412"/>
      <c r="AB1738" s="412"/>
      <c r="AC1738" s="412"/>
      <c r="AD1738" s="412"/>
      <c r="AE1738" s="412">
        <v>300</v>
      </c>
      <c r="AF1738" s="412"/>
      <c r="AG1738" s="412"/>
      <c r="AH1738" s="412"/>
      <c r="AI1738" s="412"/>
      <c r="AJ1738" s="412">
        <f t="shared" si="83"/>
        <v>300</v>
      </c>
      <c r="AK1738" s="208"/>
      <c r="AL1738" s="250" t="s">
        <v>2067</v>
      </c>
    </row>
    <row r="1739" spans="1:38" x14ac:dyDescent="0.2">
      <c r="A1739" t="s">
        <v>890</v>
      </c>
      <c r="B1739" s="209">
        <v>5311</v>
      </c>
      <c r="C1739" s="210" t="s">
        <v>991</v>
      </c>
      <c r="D1739" s="230" t="s">
        <v>1456</v>
      </c>
      <c r="E1739" s="230" t="s">
        <v>480</v>
      </c>
      <c r="F1739" s="242">
        <v>300</v>
      </c>
      <c r="G1739" s="205">
        <v>1</v>
      </c>
      <c r="H1739" s="206">
        <v>600</v>
      </c>
      <c r="I1739" s="207">
        <v>41484</v>
      </c>
      <c r="J1739" s="197" t="str">
        <f t="shared" si="81"/>
        <v>ok</v>
      </c>
      <c r="K1739" s="419"/>
      <c r="L1739" s="419"/>
      <c r="M1739" s="419"/>
      <c r="N1739" s="419"/>
      <c r="O1739" s="419"/>
      <c r="P1739" s="419"/>
      <c r="Q1739" s="419"/>
      <c r="R1739" s="419"/>
      <c r="S1739" s="419"/>
      <c r="T1739" s="419"/>
      <c r="U1739" s="419"/>
      <c r="V1739" s="419"/>
      <c r="W1739" s="419">
        <f t="shared" si="82"/>
        <v>0</v>
      </c>
      <c r="X1739" s="412"/>
      <c r="Y1739" s="412"/>
      <c r="Z1739" s="412"/>
      <c r="AA1739" s="412"/>
      <c r="AB1739" s="412"/>
      <c r="AC1739" s="412">
        <v>300</v>
      </c>
      <c r="AD1739" s="412">
        <v>300</v>
      </c>
      <c r="AE1739" s="412"/>
      <c r="AF1739" s="412"/>
      <c r="AG1739" s="412"/>
      <c r="AH1739" s="412"/>
      <c r="AI1739" s="412"/>
      <c r="AJ1739" s="412">
        <f t="shared" si="83"/>
        <v>600</v>
      </c>
      <c r="AK1739" s="208"/>
      <c r="AL1739" s="250" t="s">
        <v>2067</v>
      </c>
    </row>
    <row r="1740" spans="1:38" x14ac:dyDescent="0.2">
      <c r="A1740" t="s">
        <v>890</v>
      </c>
      <c r="B1740" s="209">
        <v>5312</v>
      </c>
      <c r="C1740" s="210" t="s">
        <v>1027</v>
      </c>
      <c r="D1740" s="230" t="s">
        <v>1565</v>
      </c>
      <c r="E1740" s="230" t="s">
        <v>527</v>
      </c>
      <c r="F1740" s="242">
        <v>300</v>
      </c>
      <c r="G1740" s="205">
        <v>1</v>
      </c>
      <c r="H1740" s="206">
        <v>300</v>
      </c>
      <c r="I1740" s="207">
        <v>41484</v>
      </c>
      <c r="J1740" s="197" t="str">
        <f t="shared" si="81"/>
        <v>ok</v>
      </c>
      <c r="K1740" s="419"/>
      <c r="L1740" s="419"/>
      <c r="M1740" s="419"/>
      <c r="N1740" s="419"/>
      <c r="O1740" s="419"/>
      <c r="P1740" s="419"/>
      <c r="Q1740" s="419"/>
      <c r="R1740" s="419"/>
      <c r="S1740" s="419"/>
      <c r="T1740" s="419"/>
      <c r="U1740" s="419"/>
      <c r="V1740" s="419"/>
      <c r="W1740" s="419">
        <f t="shared" si="82"/>
        <v>0</v>
      </c>
      <c r="X1740" s="412"/>
      <c r="Y1740" s="412"/>
      <c r="Z1740" s="412"/>
      <c r="AA1740" s="412"/>
      <c r="AB1740" s="412"/>
      <c r="AC1740" s="412"/>
      <c r="AD1740" s="412">
        <v>300</v>
      </c>
      <c r="AE1740" s="412"/>
      <c r="AF1740" s="412"/>
      <c r="AG1740" s="412"/>
      <c r="AH1740" s="412"/>
      <c r="AI1740" s="412"/>
      <c r="AJ1740" s="412">
        <f t="shared" si="83"/>
        <v>300</v>
      </c>
      <c r="AK1740" s="208"/>
      <c r="AL1740" s="250" t="s">
        <v>2067</v>
      </c>
    </row>
    <row r="1741" spans="1:38" x14ac:dyDescent="0.2">
      <c r="A1741" t="s">
        <v>890</v>
      </c>
      <c r="B1741" s="209">
        <v>5313</v>
      </c>
      <c r="C1741" s="210" t="s">
        <v>997</v>
      </c>
      <c r="D1741" s="230" t="s">
        <v>1377</v>
      </c>
      <c r="E1741" s="230" t="s">
        <v>485</v>
      </c>
      <c r="F1741" s="242">
        <v>200</v>
      </c>
      <c r="G1741" s="205">
        <v>1</v>
      </c>
      <c r="H1741" s="206">
        <v>400</v>
      </c>
      <c r="I1741" s="207">
        <v>41484</v>
      </c>
      <c r="J1741" s="197" t="str">
        <f t="shared" si="81"/>
        <v>ok</v>
      </c>
      <c r="K1741" s="419"/>
      <c r="L1741" s="419"/>
      <c r="M1741" s="419"/>
      <c r="N1741" s="419"/>
      <c r="O1741" s="419"/>
      <c r="P1741" s="419"/>
      <c r="Q1741" s="419"/>
      <c r="R1741" s="419"/>
      <c r="S1741" s="419"/>
      <c r="T1741" s="419"/>
      <c r="U1741" s="419"/>
      <c r="V1741" s="419"/>
      <c r="W1741" s="419">
        <f t="shared" si="82"/>
        <v>0</v>
      </c>
      <c r="X1741" s="412"/>
      <c r="Y1741" s="412"/>
      <c r="Z1741" s="412"/>
      <c r="AA1741" s="412"/>
      <c r="AB1741" s="412"/>
      <c r="AC1741" s="412"/>
      <c r="AD1741" s="412">
        <v>200</v>
      </c>
      <c r="AE1741" s="412">
        <v>200</v>
      </c>
      <c r="AF1741" s="412"/>
      <c r="AG1741" s="412"/>
      <c r="AH1741" s="412"/>
      <c r="AI1741" s="412"/>
      <c r="AJ1741" s="412">
        <f t="shared" si="83"/>
        <v>400</v>
      </c>
      <c r="AK1741" s="208"/>
      <c r="AL1741" s="250" t="s">
        <v>2067</v>
      </c>
    </row>
    <row r="1742" spans="1:38" x14ac:dyDescent="0.2">
      <c r="A1742" t="s">
        <v>893</v>
      </c>
      <c r="B1742" s="209">
        <v>5314</v>
      </c>
      <c r="C1742" s="210" t="s">
        <v>1095</v>
      </c>
      <c r="D1742" s="230" t="s">
        <v>1469</v>
      </c>
      <c r="E1742" s="230" t="s">
        <v>232</v>
      </c>
      <c r="F1742" s="242">
        <v>200</v>
      </c>
      <c r="G1742" s="205">
        <v>1</v>
      </c>
      <c r="H1742" s="206">
        <v>400</v>
      </c>
      <c r="I1742" s="207">
        <v>41484</v>
      </c>
      <c r="J1742" s="197" t="str">
        <f t="shared" ref="J1742:J1805" si="84">IF(OR(G1742&lt;&gt;1,SUM(W1742,AJ1742)=H1742),"ok","error")</f>
        <v>ok</v>
      </c>
      <c r="K1742" s="419"/>
      <c r="L1742" s="419"/>
      <c r="M1742" s="419"/>
      <c r="N1742" s="419"/>
      <c r="O1742" s="419"/>
      <c r="P1742" s="419"/>
      <c r="Q1742" s="419"/>
      <c r="R1742" s="419"/>
      <c r="S1742" s="419"/>
      <c r="T1742" s="419"/>
      <c r="U1742" s="419"/>
      <c r="V1742" s="419"/>
      <c r="W1742" s="419">
        <f t="shared" si="82"/>
        <v>0</v>
      </c>
      <c r="X1742" s="412"/>
      <c r="Y1742" s="412"/>
      <c r="Z1742" s="412"/>
      <c r="AA1742" s="412">
        <v>200</v>
      </c>
      <c r="AB1742" s="412">
        <v>200</v>
      </c>
      <c r="AC1742" s="412"/>
      <c r="AD1742" s="412"/>
      <c r="AE1742" s="412"/>
      <c r="AF1742" s="412"/>
      <c r="AG1742" s="412"/>
      <c r="AH1742" s="412"/>
      <c r="AI1742" s="412"/>
      <c r="AJ1742" s="412">
        <f t="shared" si="83"/>
        <v>400</v>
      </c>
      <c r="AK1742" s="208"/>
      <c r="AL1742" s="250" t="s">
        <v>2067</v>
      </c>
    </row>
    <row r="1743" spans="1:38" x14ac:dyDescent="0.2">
      <c r="A1743" t="s">
        <v>888</v>
      </c>
      <c r="B1743" s="209">
        <v>5315</v>
      </c>
      <c r="C1743" s="210" t="s">
        <v>919</v>
      </c>
      <c r="D1743" s="230" t="s">
        <v>1510</v>
      </c>
      <c r="E1743" s="230" t="s">
        <v>359</v>
      </c>
      <c r="F1743" s="242">
        <v>300</v>
      </c>
      <c r="G1743" s="205">
        <v>1</v>
      </c>
      <c r="H1743" s="206">
        <v>600</v>
      </c>
      <c r="I1743" s="207">
        <v>41484</v>
      </c>
      <c r="J1743" s="197" t="str">
        <f t="shared" si="84"/>
        <v>ok</v>
      </c>
      <c r="K1743" s="419"/>
      <c r="L1743" s="419"/>
      <c r="M1743" s="419"/>
      <c r="N1743" s="419"/>
      <c r="O1743" s="419"/>
      <c r="P1743" s="419"/>
      <c r="Q1743" s="419"/>
      <c r="R1743" s="419"/>
      <c r="S1743" s="419"/>
      <c r="T1743" s="419"/>
      <c r="U1743" s="419"/>
      <c r="V1743" s="419"/>
      <c r="W1743" s="419">
        <f t="shared" si="82"/>
        <v>0</v>
      </c>
      <c r="X1743" s="412"/>
      <c r="Y1743" s="412"/>
      <c r="Z1743" s="412"/>
      <c r="AA1743" s="412"/>
      <c r="AB1743" s="412"/>
      <c r="AC1743" s="412"/>
      <c r="AD1743" s="412">
        <v>300</v>
      </c>
      <c r="AE1743" s="412">
        <v>300</v>
      </c>
      <c r="AF1743" s="412"/>
      <c r="AG1743" s="412"/>
      <c r="AH1743" s="412"/>
      <c r="AI1743" s="412"/>
      <c r="AJ1743" s="412">
        <f t="shared" si="83"/>
        <v>600</v>
      </c>
      <c r="AK1743" s="208"/>
      <c r="AL1743" s="250" t="s">
        <v>2067</v>
      </c>
    </row>
    <row r="1744" spans="1:38" x14ac:dyDescent="0.2">
      <c r="A1744" t="s">
        <v>893</v>
      </c>
      <c r="B1744" s="209">
        <v>5316</v>
      </c>
      <c r="C1744" s="210" t="s">
        <v>1108</v>
      </c>
      <c r="D1744" s="230" t="s">
        <v>1466</v>
      </c>
      <c r="E1744" s="230" t="s">
        <v>257</v>
      </c>
      <c r="F1744" s="242">
        <v>300</v>
      </c>
      <c r="G1744" s="205">
        <v>1</v>
      </c>
      <c r="H1744" s="206">
        <v>300</v>
      </c>
      <c r="I1744" s="207">
        <v>41484</v>
      </c>
      <c r="J1744" s="197" t="str">
        <f t="shared" si="84"/>
        <v>ok</v>
      </c>
      <c r="K1744" s="419"/>
      <c r="L1744" s="419"/>
      <c r="M1744" s="419"/>
      <c r="N1744" s="419"/>
      <c r="O1744" s="419"/>
      <c r="P1744" s="419"/>
      <c r="Q1744" s="419"/>
      <c r="R1744" s="419"/>
      <c r="S1744" s="419"/>
      <c r="T1744" s="419"/>
      <c r="U1744" s="419"/>
      <c r="V1744" s="419"/>
      <c r="W1744" s="419">
        <f t="shared" si="82"/>
        <v>0</v>
      </c>
      <c r="X1744" s="412"/>
      <c r="Y1744" s="412"/>
      <c r="Z1744" s="412"/>
      <c r="AA1744" s="412"/>
      <c r="AB1744" s="412"/>
      <c r="AC1744" s="412"/>
      <c r="AD1744" s="412">
        <v>300</v>
      </c>
      <c r="AE1744" s="412"/>
      <c r="AF1744" s="412"/>
      <c r="AG1744" s="412"/>
      <c r="AH1744" s="412"/>
      <c r="AI1744" s="412"/>
      <c r="AJ1744" s="412">
        <f t="shared" si="83"/>
        <v>300</v>
      </c>
      <c r="AK1744" s="208"/>
      <c r="AL1744" s="250" t="s">
        <v>2067</v>
      </c>
    </row>
    <row r="1745" spans="1:38" x14ac:dyDescent="0.2">
      <c r="A1745" t="s">
        <v>893</v>
      </c>
      <c r="B1745" s="209">
        <v>5317</v>
      </c>
      <c r="C1745" s="210" t="s">
        <v>1109</v>
      </c>
      <c r="D1745" s="230" t="s">
        <v>1533</v>
      </c>
      <c r="E1745" s="230" t="s">
        <v>1667</v>
      </c>
      <c r="F1745" s="242">
        <v>300</v>
      </c>
      <c r="G1745" s="205">
        <v>1</v>
      </c>
      <c r="H1745" s="206">
        <v>300</v>
      </c>
      <c r="I1745" s="207">
        <v>41484</v>
      </c>
      <c r="J1745" s="197" t="str">
        <f t="shared" si="84"/>
        <v>ok</v>
      </c>
      <c r="K1745" s="419"/>
      <c r="L1745" s="419"/>
      <c r="M1745" s="419"/>
      <c r="N1745" s="419"/>
      <c r="O1745" s="419"/>
      <c r="P1745" s="419"/>
      <c r="Q1745" s="419"/>
      <c r="R1745" s="419"/>
      <c r="S1745" s="419"/>
      <c r="T1745" s="419"/>
      <c r="U1745" s="419"/>
      <c r="V1745" s="419"/>
      <c r="W1745" s="419">
        <f t="shared" si="82"/>
        <v>0</v>
      </c>
      <c r="X1745" s="412"/>
      <c r="Y1745" s="412"/>
      <c r="Z1745" s="412"/>
      <c r="AA1745" s="412"/>
      <c r="AB1745" s="412">
        <v>300</v>
      </c>
      <c r="AC1745" s="412"/>
      <c r="AD1745" s="412"/>
      <c r="AE1745" s="412"/>
      <c r="AF1745" s="412"/>
      <c r="AG1745" s="412"/>
      <c r="AH1745" s="412"/>
      <c r="AI1745" s="412"/>
      <c r="AJ1745" s="412">
        <f t="shared" si="83"/>
        <v>300</v>
      </c>
      <c r="AK1745" s="208"/>
      <c r="AL1745" s="250" t="s">
        <v>2067</v>
      </c>
    </row>
    <row r="1746" spans="1:38" x14ac:dyDescent="0.2">
      <c r="A1746" t="s">
        <v>884</v>
      </c>
      <c r="B1746" s="209">
        <v>5318</v>
      </c>
      <c r="C1746" s="210" t="s">
        <v>819</v>
      </c>
      <c r="D1746" s="230" t="s">
        <v>1530</v>
      </c>
      <c r="E1746" s="230" t="s">
        <v>1183</v>
      </c>
      <c r="F1746" s="242">
        <v>200</v>
      </c>
      <c r="G1746" s="205">
        <v>4</v>
      </c>
      <c r="H1746" s="206">
        <v>160</v>
      </c>
      <c r="I1746" s="207">
        <v>41484</v>
      </c>
      <c r="J1746" s="197" t="str">
        <f t="shared" si="84"/>
        <v>ok</v>
      </c>
      <c r="K1746" s="419"/>
      <c r="L1746" s="419"/>
      <c r="M1746" s="419"/>
      <c r="N1746" s="419"/>
      <c r="O1746" s="419"/>
      <c r="P1746" s="419"/>
      <c r="Q1746" s="419"/>
      <c r="R1746" s="419"/>
      <c r="S1746" s="419"/>
      <c r="T1746" s="419"/>
      <c r="U1746" s="419"/>
      <c r="V1746" s="419"/>
      <c r="W1746" s="419">
        <f t="shared" si="82"/>
        <v>0</v>
      </c>
      <c r="X1746" s="412"/>
      <c r="Y1746" s="412"/>
      <c r="Z1746" s="412"/>
      <c r="AA1746" s="412"/>
      <c r="AB1746" s="412"/>
      <c r="AC1746" s="412"/>
      <c r="AD1746" s="412"/>
      <c r="AE1746" s="412"/>
      <c r="AF1746" s="412"/>
      <c r="AG1746" s="412"/>
      <c r="AH1746" s="412"/>
      <c r="AI1746" s="412"/>
      <c r="AJ1746" s="412">
        <f t="shared" si="83"/>
        <v>0</v>
      </c>
      <c r="AK1746" s="208"/>
      <c r="AL1746" s="250" t="s">
        <v>2068</v>
      </c>
    </row>
    <row r="1747" spans="1:38" x14ac:dyDescent="0.2">
      <c r="A1747" t="s">
        <v>892</v>
      </c>
      <c r="B1747" s="209">
        <v>5319</v>
      </c>
      <c r="C1747" s="210" t="s">
        <v>1058</v>
      </c>
      <c r="D1747" s="230" t="s">
        <v>1594</v>
      </c>
      <c r="E1747" s="230" t="s">
        <v>1309</v>
      </c>
      <c r="F1747" s="242">
        <v>300</v>
      </c>
      <c r="G1747" s="205">
        <v>1</v>
      </c>
      <c r="H1747" s="206">
        <v>300</v>
      </c>
      <c r="I1747" s="207">
        <v>41484</v>
      </c>
      <c r="J1747" s="197" t="str">
        <f t="shared" si="84"/>
        <v>ok</v>
      </c>
      <c r="K1747" s="419"/>
      <c r="L1747" s="419"/>
      <c r="M1747" s="419"/>
      <c r="N1747" s="419"/>
      <c r="O1747" s="419"/>
      <c r="P1747" s="419"/>
      <c r="Q1747" s="419"/>
      <c r="R1747" s="419"/>
      <c r="S1747" s="419"/>
      <c r="T1747" s="419"/>
      <c r="U1747" s="419"/>
      <c r="V1747" s="419"/>
      <c r="W1747" s="419">
        <f t="shared" si="82"/>
        <v>0</v>
      </c>
      <c r="X1747" s="412"/>
      <c r="Y1747" s="412"/>
      <c r="Z1747" s="412">
        <v>300</v>
      </c>
      <c r="AA1747" s="412"/>
      <c r="AB1747" s="412"/>
      <c r="AC1747" s="412"/>
      <c r="AD1747" s="412"/>
      <c r="AE1747" s="412"/>
      <c r="AF1747" s="412"/>
      <c r="AG1747" s="412"/>
      <c r="AH1747" s="412"/>
      <c r="AI1747" s="412"/>
      <c r="AJ1747" s="412">
        <f t="shared" si="83"/>
        <v>300</v>
      </c>
      <c r="AK1747" s="208"/>
      <c r="AL1747" s="250" t="s">
        <v>2067</v>
      </c>
    </row>
    <row r="1748" spans="1:38" x14ac:dyDescent="0.2">
      <c r="A1748" t="s">
        <v>888</v>
      </c>
      <c r="B1748" s="209">
        <v>5320</v>
      </c>
      <c r="C1748" s="210" t="s">
        <v>936</v>
      </c>
      <c r="D1748" s="230" t="s">
        <v>1516</v>
      </c>
      <c r="E1748" s="230" t="s">
        <v>390</v>
      </c>
      <c r="F1748" s="242">
        <v>150</v>
      </c>
      <c r="G1748" s="205">
        <v>1</v>
      </c>
      <c r="H1748" s="206">
        <v>1200</v>
      </c>
      <c r="I1748" s="207">
        <v>41484</v>
      </c>
      <c r="J1748" s="197" t="str">
        <f t="shared" si="84"/>
        <v>ok</v>
      </c>
      <c r="K1748" s="419"/>
      <c r="L1748" s="419"/>
      <c r="M1748" s="419"/>
      <c r="N1748" s="419"/>
      <c r="O1748" s="419"/>
      <c r="P1748" s="419"/>
      <c r="Q1748" s="419"/>
      <c r="R1748" s="419"/>
      <c r="S1748" s="419"/>
      <c r="T1748" s="419"/>
      <c r="U1748" s="419"/>
      <c r="V1748" s="419"/>
      <c r="W1748" s="419">
        <f t="shared" si="82"/>
        <v>0</v>
      </c>
      <c r="X1748" s="412">
        <v>150</v>
      </c>
      <c r="Y1748" s="412">
        <v>150</v>
      </c>
      <c r="Z1748" s="412">
        <v>150</v>
      </c>
      <c r="AA1748" s="412">
        <v>150</v>
      </c>
      <c r="AB1748" s="412">
        <v>150</v>
      </c>
      <c r="AC1748" s="412">
        <v>150</v>
      </c>
      <c r="AD1748" s="412">
        <v>150</v>
      </c>
      <c r="AE1748" s="412">
        <v>150</v>
      </c>
      <c r="AF1748" s="412"/>
      <c r="AG1748" s="412"/>
      <c r="AH1748" s="412"/>
      <c r="AI1748" s="412"/>
      <c r="AJ1748" s="412">
        <f t="shared" si="83"/>
        <v>1200</v>
      </c>
      <c r="AK1748" s="208"/>
      <c r="AL1748" s="250" t="s">
        <v>2067</v>
      </c>
    </row>
    <row r="1749" spans="1:38" x14ac:dyDescent="0.2">
      <c r="A1749" t="s">
        <v>884</v>
      </c>
      <c r="B1749" s="209">
        <v>5321</v>
      </c>
      <c r="C1749" s="210" t="s">
        <v>803</v>
      </c>
      <c r="D1749" s="230" t="s">
        <v>1403</v>
      </c>
      <c r="E1749" s="230" t="s">
        <v>20</v>
      </c>
      <c r="F1749" s="242">
        <v>300</v>
      </c>
      <c r="G1749" s="205">
        <v>1</v>
      </c>
      <c r="H1749" s="206">
        <v>300</v>
      </c>
      <c r="I1749" s="207">
        <v>41484</v>
      </c>
      <c r="J1749" s="197" t="str">
        <f t="shared" si="84"/>
        <v>ok</v>
      </c>
      <c r="K1749" s="419"/>
      <c r="L1749" s="419"/>
      <c r="M1749" s="419"/>
      <c r="N1749" s="419"/>
      <c r="O1749" s="419"/>
      <c r="P1749" s="419"/>
      <c r="Q1749" s="419"/>
      <c r="R1749" s="419"/>
      <c r="S1749" s="419"/>
      <c r="T1749" s="419"/>
      <c r="U1749" s="419"/>
      <c r="V1749" s="419"/>
      <c r="W1749" s="419">
        <f t="shared" si="82"/>
        <v>0</v>
      </c>
      <c r="X1749" s="412"/>
      <c r="Y1749" s="412"/>
      <c r="Z1749" s="412"/>
      <c r="AA1749" s="412"/>
      <c r="AB1749" s="412"/>
      <c r="AC1749" s="412"/>
      <c r="AD1749" s="412"/>
      <c r="AE1749" s="412">
        <v>300</v>
      </c>
      <c r="AF1749" s="412"/>
      <c r="AG1749" s="412"/>
      <c r="AH1749" s="412"/>
      <c r="AI1749" s="412"/>
      <c r="AJ1749" s="412">
        <f t="shared" si="83"/>
        <v>300</v>
      </c>
      <c r="AK1749" s="208"/>
      <c r="AL1749" s="250" t="s">
        <v>2067</v>
      </c>
    </row>
    <row r="1750" spans="1:38" x14ac:dyDescent="0.2">
      <c r="A1750" t="s">
        <v>884</v>
      </c>
      <c r="B1750" s="209">
        <v>5322</v>
      </c>
      <c r="C1750" s="210" t="s">
        <v>825</v>
      </c>
      <c r="D1750" s="230" t="s">
        <v>1580</v>
      </c>
      <c r="E1750" s="230" t="s">
        <v>53</v>
      </c>
      <c r="F1750" s="242">
        <v>300</v>
      </c>
      <c r="G1750" s="205">
        <v>1</v>
      </c>
      <c r="H1750" s="206">
        <v>300</v>
      </c>
      <c r="I1750" s="207">
        <v>41484</v>
      </c>
      <c r="J1750" s="197" t="str">
        <f t="shared" si="84"/>
        <v>ok</v>
      </c>
      <c r="K1750" s="419"/>
      <c r="L1750" s="419"/>
      <c r="M1750" s="419"/>
      <c r="N1750" s="419"/>
      <c r="O1750" s="419"/>
      <c r="P1750" s="419"/>
      <c r="Q1750" s="419"/>
      <c r="R1750" s="419"/>
      <c r="S1750" s="419"/>
      <c r="T1750" s="419"/>
      <c r="U1750" s="419"/>
      <c r="V1750" s="419"/>
      <c r="W1750" s="419">
        <f t="shared" si="82"/>
        <v>0</v>
      </c>
      <c r="X1750" s="412"/>
      <c r="Y1750" s="412"/>
      <c r="Z1750" s="412"/>
      <c r="AA1750" s="412"/>
      <c r="AB1750" s="412"/>
      <c r="AC1750" s="412"/>
      <c r="AD1750" s="412">
        <v>300</v>
      </c>
      <c r="AE1750" s="412"/>
      <c r="AF1750" s="412"/>
      <c r="AG1750" s="412"/>
      <c r="AH1750" s="412"/>
      <c r="AI1750" s="412"/>
      <c r="AJ1750" s="412">
        <f t="shared" si="83"/>
        <v>300</v>
      </c>
      <c r="AK1750" s="208"/>
      <c r="AL1750" s="250" t="s">
        <v>2067</v>
      </c>
    </row>
    <row r="1751" spans="1:38" x14ac:dyDescent="0.2">
      <c r="A1751" t="s">
        <v>888</v>
      </c>
      <c r="B1751" s="209">
        <v>5323</v>
      </c>
      <c r="C1751" s="210" t="s">
        <v>910</v>
      </c>
      <c r="D1751" s="230" t="s">
        <v>1514</v>
      </c>
      <c r="E1751" s="230" t="s">
        <v>1262</v>
      </c>
      <c r="F1751" s="242">
        <v>150</v>
      </c>
      <c r="G1751" s="205">
        <v>1</v>
      </c>
      <c r="H1751" s="206">
        <v>150</v>
      </c>
      <c r="I1751" s="207">
        <v>41484</v>
      </c>
      <c r="J1751" s="197" t="str">
        <f t="shared" si="84"/>
        <v>ok</v>
      </c>
      <c r="K1751" s="419"/>
      <c r="L1751" s="419"/>
      <c r="M1751" s="419"/>
      <c r="N1751" s="419"/>
      <c r="O1751" s="419"/>
      <c r="P1751" s="419"/>
      <c r="Q1751" s="419"/>
      <c r="R1751" s="419"/>
      <c r="S1751" s="419"/>
      <c r="T1751" s="419"/>
      <c r="U1751" s="419"/>
      <c r="V1751" s="419"/>
      <c r="W1751" s="419">
        <f t="shared" si="82"/>
        <v>0</v>
      </c>
      <c r="X1751" s="412"/>
      <c r="Y1751" s="412"/>
      <c r="Z1751" s="412"/>
      <c r="AA1751" s="412"/>
      <c r="AB1751" s="412"/>
      <c r="AC1751" s="412"/>
      <c r="AD1751" s="412">
        <v>150</v>
      </c>
      <c r="AE1751" s="412"/>
      <c r="AF1751" s="412"/>
      <c r="AG1751" s="412"/>
      <c r="AH1751" s="412"/>
      <c r="AI1751" s="412"/>
      <c r="AJ1751" s="412">
        <f t="shared" si="83"/>
        <v>150</v>
      </c>
      <c r="AK1751" s="208"/>
      <c r="AL1751" s="250" t="s">
        <v>2067</v>
      </c>
    </row>
    <row r="1752" spans="1:38" x14ac:dyDescent="0.2">
      <c r="A1752" t="s">
        <v>888</v>
      </c>
      <c r="B1752" s="209">
        <v>5324</v>
      </c>
      <c r="C1752" s="210" t="s">
        <v>762</v>
      </c>
      <c r="D1752" s="230" t="s">
        <v>1579</v>
      </c>
      <c r="E1752" s="230" t="s">
        <v>436</v>
      </c>
      <c r="F1752" s="242">
        <v>300</v>
      </c>
      <c r="G1752" s="205">
        <v>1</v>
      </c>
      <c r="H1752" s="206">
        <v>600</v>
      </c>
      <c r="I1752" s="207">
        <v>41484</v>
      </c>
      <c r="J1752" s="197" t="str">
        <f t="shared" si="84"/>
        <v>ok</v>
      </c>
      <c r="K1752" s="419"/>
      <c r="L1752" s="419"/>
      <c r="M1752" s="419"/>
      <c r="N1752" s="419"/>
      <c r="O1752" s="419"/>
      <c r="P1752" s="419"/>
      <c r="Q1752" s="419"/>
      <c r="R1752" s="419"/>
      <c r="S1752" s="419"/>
      <c r="T1752" s="419"/>
      <c r="U1752" s="419"/>
      <c r="V1752" s="419"/>
      <c r="W1752" s="419">
        <f t="shared" si="82"/>
        <v>0</v>
      </c>
      <c r="X1752" s="412"/>
      <c r="Y1752" s="412"/>
      <c r="Z1752" s="412"/>
      <c r="AA1752" s="412"/>
      <c r="AB1752" s="412"/>
      <c r="AC1752" s="412"/>
      <c r="AD1752" s="412">
        <v>300</v>
      </c>
      <c r="AE1752" s="412">
        <v>300</v>
      </c>
      <c r="AF1752" s="412"/>
      <c r="AG1752" s="412"/>
      <c r="AH1752" s="412"/>
      <c r="AI1752" s="412"/>
      <c r="AJ1752" s="412">
        <f t="shared" si="83"/>
        <v>600</v>
      </c>
      <c r="AK1752" s="208"/>
      <c r="AL1752" s="250" t="s">
        <v>2067</v>
      </c>
    </row>
    <row r="1753" spans="1:38" x14ac:dyDescent="0.2">
      <c r="A1753" t="s">
        <v>884</v>
      </c>
      <c r="B1753" s="209">
        <v>5325</v>
      </c>
      <c r="C1753" s="210" t="s">
        <v>764</v>
      </c>
      <c r="D1753" s="230" t="s">
        <v>1386</v>
      </c>
      <c r="E1753" s="230" t="s">
        <v>133</v>
      </c>
      <c r="F1753" s="242">
        <v>200</v>
      </c>
      <c r="G1753" s="205">
        <v>4</v>
      </c>
      <c r="H1753" s="206">
        <v>160</v>
      </c>
      <c r="I1753" s="207">
        <v>41484</v>
      </c>
      <c r="J1753" s="197" t="str">
        <f t="shared" si="84"/>
        <v>ok</v>
      </c>
      <c r="K1753" s="419"/>
      <c r="L1753" s="419"/>
      <c r="M1753" s="419"/>
      <c r="N1753" s="419"/>
      <c r="O1753" s="419"/>
      <c r="P1753" s="419"/>
      <c r="Q1753" s="419"/>
      <c r="R1753" s="419"/>
      <c r="S1753" s="419"/>
      <c r="T1753" s="419"/>
      <c r="U1753" s="419"/>
      <c r="V1753" s="419"/>
      <c r="W1753" s="419">
        <f t="shared" si="82"/>
        <v>0</v>
      </c>
      <c r="X1753" s="412"/>
      <c r="Y1753" s="412"/>
      <c r="Z1753" s="412"/>
      <c r="AA1753" s="412"/>
      <c r="AB1753" s="412"/>
      <c r="AC1753" s="412"/>
      <c r="AD1753" s="412"/>
      <c r="AE1753" s="412"/>
      <c r="AF1753" s="412"/>
      <c r="AG1753" s="412"/>
      <c r="AH1753" s="412"/>
      <c r="AI1753" s="412"/>
      <c r="AJ1753" s="412">
        <f t="shared" si="83"/>
        <v>0</v>
      </c>
      <c r="AK1753" s="208"/>
      <c r="AL1753" s="250" t="s">
        <v>2068</v>
      </c>
    </row>
    <row r="1754" spans="1:38" x14ac:dyDescent="0.2">
      <c r="A1754" t="s">
        <v>884</v>
      </c>
      <c r="B1754" s="209">
        <v>5326</v>
      </c>
      <c r="C1754" s="210" t="s">
        <v>814</v>
      </c>
      <c r="D1754" s="230" t="s">
        <v>1505</v>
      </c>
      <c r="E1754" s="230" t="s">
        <v>1201</v>
      </c>
      <c r="F1754" s="242">
        <v>300</v>
      </c>
      <c r="G1754" s="205">
        <v>1</v>
      </c>
      <c r="H1754" s="206">
        <v>600</v>
      </c>
      <c r="I1754" s="207">
        <v>41484</v>
      </c>
      <c r="J1754" s="197" t="str">
        <f t="shared" si="84"/>
        <v>ok</v>
      </c>
      <c r="K1754" s="419"/>
      <c r="L1754" s="419"/>
      <c r="M1754" s="419"/>
      <c r="N1754" s="419"/>
      <c r="O1754" s="419"/>
      <c r="P1754" s="419"/>
      <c r="Q1754" s="419"/>
      <c r="R1754" s="419"/>
      <c r="S1754" s="419"/>
      <c r="T1754" s="419"/>
      <c r="U1754" s="419"/>
      <c r="V1754" s="419"/>
      <c r="W1754" s="419">
        <f t="shared" si="82"/>
        <v>0</v>
      </c>
      <c r="X1754" s="412"/>
      <c r="Y1754" s="412"/>
      <c r="Z1754" s="412"/>
      <c r="AA1754" s="412"/>
      <c r="AB1754" s="412"/>
      <c r="AC1754" s="412"/>
      <c r="AD1754" s="412">
        <v>300</v>
      </c>
      <c r="AE1754" s="412">
        <v>300</v>
      </c>
      <c r="AF1754" s="412"/>
      <c r="AG1754" s="412"/>
      <c r="AH1754" s="412"/>
      <c r="AI1754" s="412"/>
      <c r="AJ1754" s="412">
        <f t="shared" si="83"/>
        <v>600</v>
      </c>
      <c r="AK1754" s="208"/>
      <c r="AL1754" s="250" t="s">
        <v>2067</v>
      </c>
    </row>
    <row r="1755" spans="1:38" x14ac:dyDescent="0.2">
      <c r="A1755" t="s">
        <v>884</v>
      </c>
      <c r="B1755" s="209">
        <v>5327</v>
      </c>
      <c r="C1755" s="210" t="s">
        <v>788</v>
      </c>
      <c r="D1755" s="230" t="s">
        <v>1468</v>
      </c>
      <c r="E1755" s="230" t="s">
        <v>1269</v>
      </c>
      <c r="F1755" s="242">
        <v>300</v>
      </c>
      <c r="G1755" s="205">
        <v>1</v>
      </c>
      <c r="H1755" s="206">
        <v>300</v>
      </c>
      <c r="I1755" s="207">
        <v>41484</v>
      </c>
      <c r="J1755" s="197" t="str">
        <f t="shared" si="84"/>
        <v>ok</v>
      </c>
      <c r="K1755" s="419"/>
      <c r="L1755" s="419"/>
      <c r="M1755" s="419"/>
      <c r="N1755" s="419"/>
      <c r="O1755" s="419"/>
      <c r="P1755" s="419"/>
      <c r="Q1755" s="419"/>
      <c r="R1755" s="419"/>
      <c r="S1755" s="419"/>
      <c r="T1755" s="419"/>
      <c r="U1755" s="419"/>
      <c r="V1755" s="419"/>
      <c r="W1755" s="419">
        <f t="shared" si="82"/>
        <v>0</v>
      </c>
      <c r="X1755" s="412"/>
      <c r="Y1755" s="412"/>
      <c r="Z1755" s="412"/>
      <c r="AA1755" s="412"/>
      <c r="AB1755" s="412"/>
      <c r="AC1755" s="412"/>
      <c r="AD1755" s="412"/>
      <c r="AE1755" s="412">
        <v>300</v>
      </c>
      <c r="AF1755" s="412"/>
      <c r="AG1755" s="412"/>
      <c r="AH1755" s="412"/>
      <c r="AI1755" s="412"/>
      <c r="AJ1755" s="412">
        <f t="shared" si="83"/>
        <v>300</v>
      </c>
      <c r="AK1755" s="208"/>
      <c r="AL1755" s="250" t="s">
        <v>2067</v>
      </c>
    </row>
    <row r="1756" spans="1:38" x14ac:dyDescent="0.2">
      <c r="A1756" t="s">
        <v>888</v>
      </c>
      <c r="B1756" s="209">
        <v>5328</v>
      </c>
      <c r="C1756" s="210" t="s">
        <v>790</v>
      </c>
      <c r="D1756" s="230" t="s">
        <v>1522</v>
      </c>
      <c r="E1756" s="230" t="s">
        <v>384</v>
      </c>
      <c r="F1756" s="242">
        <v>300</v>
      </c>
      <c r="G1756" s="205">
        <v>1</v>
      </c>
      <c r="H1756" s="206">
        <v>600</v>
      </c>
      <c r="I1756" s="207">
        <v>41484</v>
      </c>
      <c r="J1756" s="197" t="str">
        <f t="shared" si="84"/>
        <v>ok</v>
      </c>
      <c r="K1756" s="419"/>
      <c r="L1756" s="419"/>
      <c r="M1756" s="419"/>
      <c r="N1756" s="419"/>
      <c r="O1756" s="419"/>
      <c r="P1756" s="419"/>
      <c r="Q1756" s="419"/>
      <c r="R1756" s="419"/>
      <c r="S1756" s="419"/>
      <c r="T1756" s="419"/>
      <c r="U1756" s="419"/>
      <c r="V1756" s="419"/>
      <c r="W1756" s="419">
        <f t="shared" si="82"/>
        <v>0</v>
      </c>
      <c r="X1756" s="412"/>
      <c r="Y1756" s="412"/>
      <c r="Z1756" s="412"/>
      <c r="AA1756" s="412"/>
      <c r="AB1756" s="412"/>
      <c r="AC1756" s="412"/>
      <c r="AD1756" s="412">
        <v>300</v>
      </c>
      <c r="AE1756" s="412">
        <v>300</v>
      </c>
      <c r="AF1756" s="412"/>
      <c r="AG1756" s="412"/>
      <c r="AH1756" s="412"/>
      <c r="AI1756" s="412"/>
      <c r="AJ1756" s="412">
        <f t="shared" si="83"/>
        <v>600</v>
      </c>
      <c r="AK1756" s="208"/>
      <c r="AL1756" s="250" t="s">
        <v>2067</v>
      </c>
    </row>
    <row r="1757" spans="1:38" x14ac:dyDescent="0.2">
      <c r="A1757" t="s">
        <v>884</v>
      </c>
      <c r="B1757" s="209">
        <v>5329</v>
      </c>
      <c r="C1757" s="210" t="s">
        <v>811</v>
      </c>
      <c r="D1757" s="230" t="s">
        <v>1650</v>
      </c>
      <c r="E1757" s="230" t="s">
        <v>32</v>
      </c>
      <c r="F1757" s="242">
        <v>300</v>
      </c>
      <c r="G1757" s="205">
        <v>1</v>
      </c>
      <c r="H1757" s="206">
        <v>300</v>
      </c>
      <c r="I1757" s="207">
        <v>41484</v>
      </c>
      <c r="J1757" s="197" t="str">
        <f t="shared" si="84"/>
        <v>ok</v>
      </c>
      <c r="K1757" s="419"/>
      <c r="L1757" s="419"/>
      <c r="M1757" s="419"/>
      <c r="N1757" s="419"/>
      <c r="O1757" s="419"/>
      <c r="P1757" s="419"/>
      <c r="Q1757" s="419"/>
      <c r="R1757" s="419"/>
      <c r="S1757" s="419"/>
      <c r="T1757" s="419"/>
      <c r="U1757" s="419"/>
      <c r="V1757" s="419"/>
      <c r="W1757" s="419">
        <f t="shared" si="82"/>
        <v>0</v>
      </c>
      <c r="X1757" s="412"/>
      <c r="Y1757" s="412"/>
      <c r="Z1757" s="412"/>
      <c r="AA1757" s="412"/>
      <c r="AB1757" s="412"/>
      <c r="AC1757" s="412"/>
      <c r="AD1757" s="412">
        <v>300</v>
      </c>
      <c r="AE1757" s="412"/>
      <c r="AF1757" s="412"/>
      <c r="AG1757" s="412"/>
      <c r="AH1757" s="412"/>
      <c r="AI1757" s="412"/>
      <c r="AJ1757" s="412">
        <f t="shared" si="83"/>
        <v>300</v>
      </c>
      <c r="AK1757" s="208"/>
      <c r="AL1757" s="250" t="s">
        <v>2067</v>
      </c>
    </row>
    <row r="1758" spans="1:38" x14ac:dyDescent="0.2">
      <c r="A1758" t="s">
        <v>892</v>
      </c>
      <c r="B1758" s="209">
        <v>5330</v>
      </c>
      <c r="C1758" s="210" t="s">
        <v>1066</v>
      </c>
      <c r="D1758" s="230" t="s">
        <v>1591</v>
      </c>
      <c r="E1758" s="230" t="s">
        <v>663</v>
      </c>
      <c r="F1758" s="242">
        <v>300</v>
      </c>
      <c r="G1758" s="205">
        <v>3</v>
      </c>
      <c r="H1758" s="206">
        <v>150</v>
      </c>
      <c r="I1758" s="207">
        <v>41484</v>
      </c>
      <c r="J1758" s="197" t="str">
        <f t="shared" si="84"/>
        <v>ok</v>
      </c>
      <c r="K1758" s="419"/>
      <c r="L1758" s="419"/>
      <c r="M1758" s="419"/>
      <c r="N1758" s="419"/>
      <c r="O1758" s="419"/>
      <c r="P1758" s="419"/>
      <c r="Q1758" s="419"/>
      <c r="R1758" s="419"/>
      <c r="S1758" s="419"/>
      <c r="T1758" s="419"/>
      <c r="U1758" s="419"/>
      <c r="V1758" s="419"/>
      <c r="W1758" s="419">
        <f t="shared" si="82"/>
        <v>0</v>
      </c>
      <c r="X1758" s="412"/>
      <c r="Y1758" s="412"/>
      <c r="Z1758" s="412"/>
      <c r="AA1758" s="412"/>
      <c r="AB1758" s="412"/>
      <c r="AC1758" s="412"/>
      <c r="AD1758" s="412"/>
      <c r="AE1758" s="412"/>
      <c r="AF1758" s="412"/>
      <c r="AG1758" s="412"/>
      <c r="AH1758" s="412"/>
      <c r="AI1758" s="412"/>
      <c r="AJ1758" s="412">
        <f t="shared" si="83"/>
        <v>0</v>
      </c>
      <c r="AK1758" s="208"/>
      <c r="AL1758" s="250" t="s">
        <v>2068</v>
      </c>
    </row>
    <row r="1759" spans="1:38" x14ac:dyDescent="0.2">
      <c r="A1759" t="s">
        <v>1362</v>
      </c>
      <c r="B1759" s="209">
        <v>5331</v>
      </c>
      <c r="D1759" s="230" t="s">
        <v>1362</v>
      </c>
      <c r="E1759" s="230" t="s">
        <v>1362</v>
      </c>
      <c r="F1759" s="242" t="s">
        <v>1362</v>
      </c>
      <c r="G1759" s="205"/>
      <c r="H1759" s="206"/>
      <c r="I1759" s="207">
        <v>41484</v>
      </c>
      <c r="J1759" s="197" t="str">
        <f t="shared" si="84"/>
        <v>ok</v>
      </c>
      <c r="K1759" s="419"/>
      <c r="L1759" s="419"/>
      <c r="M1759" s="419"/>
      <c r="N1759" s="419"/>
      <c r="O1759" s="419"/>
      <c r="P1759" s="419"/>
      <c r="Q1759" s="419"/>
      <c r="R1759" s="419"/>
      <c r="S1759" s="419"/>
      <c r="T1759" s="419"/>
      <c r="U1759" s="419"/>
      <c r="V1759" s="419"/>
      <c r="W1759" s="419">
        <f t="shared" si="82"/>
        <v>0</v>
      </c>
      <c r="X1759" s="412"/>
      <c r="Y1759" s="412"/>
      <c r="Z1759" s="412"/>
      <c r="AA1759" s="412"/>
      <c r="AB1759" s="412"/>
      <c r="AC1759" s="412"/>
      <c r="AD1759" s="412"/>
      <c r="AE1759" s="412"/>
      <c r="AF1759" s="412"/>
      <c r="AG1759" s="412"/>
      <c r="AH1759" s="412"/>
      <c r="AI1759" s="412"/>
      <c r="AJ1759" s="412">
        <f t="shared" si="83"/>
        <v>0</v>
      </c>
      <c r="AK1759" s="208" t="s">
        <v>755</v>
      </c>
      <c r="AL1759" s="250" t="s">
        <v>2067</v>
      </c>
    </row>
    <row r="1760" spans="1:38" x14ac:dyDescent="0.2">
      <c r="A1760" t="s">
        <v>884</v>
      </c>
      <c r="B1760" s="209">
        <v>5332</v>
      </c>
      <c r="C1760" s="210" t="s">
        <v>882</v>
      </c>
      <c r="D1760" s="230" t="s">
        <v>1500</v>
      </c>
      <c r="E1760" s="230" t="s">
        <v>1210</v>
      </c>
      <c r="F1760" s="242">
        <v>300</v>
      </c>
      <c r="G1760" s="205">
        <v>3</v>
      </c>
      <c r="H1760" s="206">
        <v>150</v>
      </c>
      <c r="I1760" s="207">
        <v>41484</v>
      </c>
      <c r="J1760" s="197" t="str">
        <f t="shared" si="84"/>
        <v>ok</v>
      </c>
      <c r="K1760" s="419"/>
      <c r="L1760" s="419"/>
      <c r="M1760" s="419"/>
      <c r="N1760" s="419"/>
      <c r="O1760" s="419"/>
      <c r="P1760" s="419"/>
      <c r="Q1760" s="419"/>
      <c r="R1760" s="419"/>
      <c r="S1760" s="419"/>
      <c r="T1760" s="419"/>
      <c r="U1760" s="419"/>
      <c r="V1760" s="419"/>
      <c r="W1760" s="419">
        <f t="shared" si="82"/>
        <v>0</v>
      </c>
      <c r="X1760" s="412"/>
      <c r="Y1760" s="412"/>
      <c r="Z1760" s="412"/>
      <c r="AA1760" s="412"/>
      <c r="AB1760" s="412"/>
      <c r="AC1760" s="412"/>
      <c r="AD1760" s="412"/>
      <c r="AE1760" s="412"/>
      <c r="AF1760" s="412"/>
      <c r="AG1760" s="412"/>
      <c r="AH1760" s="412"/>
      <c r="AI1760" s="412"/>
      <c r="AJ1760" s="412">
        <f t="shared" si="83"/>
        <v>0</v>
      </c>
      <c r="AK1760" s="208"/>
      <c r="AL1760" s="250" t="s">
        <v>2068</v>
      </c>
    </row>
    <row r="1761" spans="1:38" x14ac:dyDescent="0.2">
      <c r="A1761" t="s">
        <v>884</v>
      </c>
      <c r="B1761" s="209">
        <v>5332</v>
      </c>
      <c r="C1761" s="210" t="s">
        <v>882</v>
      </c>
      <c r="D1761" s="230" t="s">
        <v>1500</v>
      </c>
      <c r="E1761" s="230" t="s">
        <v>1210</v>
      </c>
      <c r="F1761" s="242">
        <v>300</v>
      </c>
      <c r="G1761" s="205">
        <v>4</v>
      </c>
      <c r="H1761" s="206">
        <v>160</v>
      </c>
      <c r="I1761" s="207">
        <v>41484</v>
      </c>
      <c r="J1761" s="197" t="str">
        <f t="shared" si="84"/>
        <v>ok</v>
      </c>
      <c r="K1761" s="419"/>
      <c r="L1761" s="419"/>
      <c r="M1761" s="419"/>
      <c r="N1761" s="419"/>
      <c r="O1761" s="419"/>
      <c r="P1761" s="419"/>
      <c r="Q1761" s="419"/>
      <c r="R1761" s="419"/>
      <c r="S1761" s="419"/>
      <c r="T1761" s="419"/>
      <c r="U1761" s="419"/>
      <c r="V1761" s="419"/>
      <c r="W1761" s="419">
        <f t="shared" si="82"/>
        <v>0</v>
      </c>
      <c r="X1761" s="412"/>
      <c r="Y1761" s="412"/>
      <c r="Z1761" s="412"/>
      <c r="AA1761" s="412"/>
      <c r="AB1761" s="412"/>
      <c r="AC1761" s="412"/>
      <c r="AD1761" s="412"/>
      <c r="AE1761" s="412"/>
      <c r="AF1761" s="412"/>
      <c r="AG1761" s="412"/>
      <c r="AH1761" s="412"/>
      <c r="AI1761" s="412"/>
      <c r="AJ1761" s="412">
        <f t="shared" si="83"/>
        <v>0</v>
      </c>
      <c r="AK1761" s="208"/>
      <c r="AL1761" s="250" t="s">
        <v>2068</v>
      </c>
    </row>
    <row r="1762" spans="1:38" x14ac:dyDescent="0.2">
      <c r="B1762" s="209">
        <v>5333</v>
      </c>
      <c r="C1762" s="210" t="s">
        <v>767</v>
      </c>
      <c r="D1762" s="230" t="s">
        <v>1411</v>
      </c>
      <c r="E1762" s="230" t="s">
        <v>607</v>
      </c>
      <c r="F1762" s="242">
        <v>300</v>
      </c>
      <c r="G1762" s="205">
        <v>3</v>
      </c>
      <c r="H1762" s="206">
        <v>150</v>
      </c>
      <c r="I1762" s="207">
        <v>41486</v>
      </c>
      <c r="J1762" s="197" t="str">
        <f t="shared" si="84"/>
        <v>ok</v>
      </c>
      <c r="K1762" s="419"/>
      <c r="L1762" s="419"/>
      <c r="M1762" s="419"/>
      <c r="N1762" s="419"/>
      <c r="O1762" s="419"/>
      <c r="P1762" s="419"/>
      <c r="Q1762" s="419"/>
      <c r="R1762" s="419"/>
      <c r="S1762" s="419"/>
      <c r="T1762" s="419"/>
      <c r="U1762" s="419"/>
      <c r="V1762" s="419"/>
      <c r="W1762" s="419">
        <f t="shared" si="82"/>
        <v>0</v>
      </c>
      <c r="X1762" s="412"/>
      <c r="Y1762" s="412"/>
      <c r="Z1762" s="412"/>
      <c r="AA1762" s="412"/>
      <c r="AB1762" s="412"/>
      <c r="AC1762" s="412"/>
      <c r="AD1762" s="412"/>
      <c r="AE1762" s="412"/>
      <c r="AF1762" s="412"/>
      <c r="AG1762" s="412"/>
      <c r="AH1762" s="412"/>
      <c r="AI1762" s="412"/>
      <c r="AJ1762" s="412">
        <f t="shared" si="83"/>
        <v>0</v>
      </c>
      <c r="AK1762" s="208"/>
      <c r="AL1762" s="250" t="s">
        <v>2068</v>
      </c>
    </row>
    <row r="1763" spans="1:38" ht="21.95" customHeight="1" x14ac:dyDescent="0.2">
      <c r="A1763" s="126" t="s">
        <v>686</v>
      </c>
      <c r="B1763" s="126" t="s">
        <v>756</v>
      </c>
      <c r="C1763" s="126" t="s">
        <v>903</v>
      </c>
      <c r="D1763" s="126" t="s">
        <v>885</v>
      </c>
      <c r="E1763" s="126" t="s">
        <v>689</v>
      </c>
      <c r="F1763" s="235" t="s">
        <v>702</v>
      </c>
      <c r="G1763" s="126" t="s">
        <v>1182</v>
      </c>
      <c r="H1763" s="126" t="s">
        <v>757</v>
      </c>
      <c r="I1763" s="126" t="s">
        <v>758</v>
      </c>
      <c r="J1763" s="126" t="s">
        <v>2069</v>
      </c>
      <c r="K1763" s="126" t="s">
        <v>690</v>
      </c>
      <c r="L1763" s="126" t="s">
        <v>691</v>
      </c>
      <c r="M1763" s="126" t="s">
        <v>692</v>
      </c>
      <c r="N1763" s="126" t="s">
        <v>693</v>
      </c>
      <c r="O1763" s="126" t="s">
        <v>694</v>
      </c>
      <c r="P1763" s="126" t="s">
        <v>695</v>
      </c>
      <c r="Q1763" s="126" t="s">
        <v>696</v>
      </c>
      <c r="R1763" s="126" t="s">
        <v>697</v>
      </c>
      <c r="S1763" s="126" t="s">
        <v>698</v>
      </c>
      <c r="T1763" s="126" t="s">
        <v>699</v>
      </c>
      <c r="U1763" s="126" t="s">
        <v>700</v>
      </c>
      <c r="V1763" s="126" t="s">
        <v>701</v>
      </c>
      <c r="W1763" s="248" t="s">
        <v>1715</v>
      </c>
      <c r="X1763" s="126" t="s">
        <v>690</v>
      </c>
      <c r="Y1763" s="126" t="s">
        <v>691</v>
      </c>
      <c r="Z1763" s="126" t="s">
        <v>692</v>
      </c>
      <c r="AA1763" s="126" t="s">
        <v>693</v>
      </c>
      <c r="AB1763" s="126" t="s">
        <v>694</v>
      </c>
      <c r="AC1763" s="126" t="s">
        <v>695</v>
      </c>
      <c r="AD1763" s="126" t="s">
        <v>696</v>
      </c>
      <c r="AE1763" s="126" t="s">
        <v>697</v>
      </c>
      <c r="AF1763" s="126" t="s">
        <v>698</v>
      </c>
      <c r="AG1763" s="126" t="s">
        <v>699</v>
      </c>
      <c r="AH1763" s="126" t="s">
        <v>700</v>
      </c>
      <c r="AI1763" s="126" t="s">
        <v>701</v>
      </c>
      <c r="AJ1763" s="248" t="s">
        <v>1834</v>
      </c>
      <c r="AK1763" s="126" t="s">
        <v>759</v>
      </c>
      <c r="AL1763" s="250" t="e">
        <v>#VALUE!</v>
      </c>
    </row>
    <row r="1764" spans="1:38" x14ac:dyDescent="0.2">
      <c r="A1764" t="s">
        <v>893</v>
      </c>
      <c r="B1764" s="209">
        <v>5334</v>
      </c>
      <c r="C1764" s="210" t="s">
        <v>1117</v>
      </c>
      <c r="D1764" s="230" t="s">
        <v>1430</v>
      </c>
      <c r="E1764" s="230" t="s">
        <v>271</v>
      </c>
      <c r="F1764" s="242">
        <v>300</v>
      </c>
      <c r="G1764" s="205">
        <v>1</v>
      </c>
      <c r="H1764" s="206">
        <v>300</v>
      </c>
      <c r="I1764" s="207">
        <v>41490</v>
      </c>
      <c r="J1764" s="197" t="str">
        <f t="shared" si="84"/>
        <v>ok</v>
      </c>
      <c r="K1764" s="419"/>
      <c r="L1764" s="419"/>
      <c r="M1764" s="419"/>
      <c r="N1764" s="419"/>
      <c r="O1764" s="419"/>
      <c r="P1764" s="419"/>
      <c r="Q1764" s="419"/>
      <c r="R1764" s="419"/>
      <c r="S1764" s="419"/>
      <c r="T1764" s="419"/>
      <c r="U1764" s="419"/>
      <c r="V1764" s="419"/>
      <c r="W1764" s="419">
        <f t="shared" si="82"/>
        <v>0</v>
      </c>
      <c r="X1764" s="412"/>
      <c r="Y1764" s="412"/>
      <c r="Z1764" s="412"/>
      <c r="AA1764" s="412"/>
      <c r="AB1764" s="412"/>
      <c r="AC1764" s="412"/>
      <c r="AD1764" s="412"/>
      <c r="AE1764" s="427">
        <v>300</v>
      </c>
      <c r="AF1764" s="412"/>
      <c r="AG1764" s="412"/>
      <c r="AH1764" s="412"/>
      <c r="AI1764" s="412"/>
      <c r="AJ1764" s="412">
        <f t="shared" si="83"/>
        <v>300</v>
      </c>
      <c r="AK1764" s="208"/>
      <c r="AL1764" s="250" t="s">
        <v>2067</v>
      </c>
    </row>
    <row r="1765" spans="1:38" x14ac:dyDescent="0.2">
      <c r="A1765" t="s">
        <v>884</v>
      </c>
      <c r="B1765" s="209">
        <v>5335</v>
      </c>
      <c r="C1765" s="210" t="s">
        <v>811</v>
      </c>
      <c r="D1765" s="230" t="s">
        <v>1650</v>
      </c>
      <c r="E1765" s="230" t="s">
        <v>32</v>
      </c>
      <c r="F1765" s="242">
        <v>300</v>
      </c>
      <c r="G1765" s="205">
        <v>1</v>
      </c>
      <c r="H1765" s="206">
        <v>300</v>
      </c>
      <c r="I1765" s="207">
        <v>41490</v>
      </c>
      <c r="J1765" s="197" t="str">
        <f t="shared" si="84"/>
        <v>ok</v>
      </c>
      <c r="K1765" s="419"/>
      <c r="L1765" s="419"/>
      <c r="M1765" s="419"/>
      <c r="N1765" s="419"/>
      <c r="O1765" s="419"/>
      <c r="P1765" s="419"/>
      <c r="Q1765" s="419"/>
      <c r="R1765" s="419"/>
      <c r="S1765" s="419"/>
      <c r="T1765" s="419"/>
      <c r="U1765" s="419"/>
      <c r="V1765" s="419"/>
      <c r="W1765" s="419">
        <f t="shared" si="82"/>
        <v>0</v>
      </c>
      <c r="X1765" s="412"/>
      <c r="Y1765" s="412"/>
      <c r="Z1765" s="412"/>
      <c r="AA1765" s="412"/>
      <c r="AB1765" s="412"/>
      <c r="AC1765" s="412"/>
      <c r="AD1765" s="412"/>
      <c r="AE1765" s="427">
        <v>300</v>
      </c>
      <c r="AF1765" s="412"/>
      <c r="AG1765" s="412"/>
      <c r="AH1765" s="412"/>
      <c r="AI1765" s="412"/>
      <c r="AJ1765" s="412">
        <f t="shared" si="83"/>
        <v>300</v>
      </c>
      <c r="AK1765" s="208"/>
      <c r="AL1765" s="250" t="s">
        <v>2067</v>
      </c>
    </row>
    <row r="1766" spans="1:38" x14ac:dyDescent="0.2">
      <c r="A1766" t="s">
        <v>892</v>
      </c>
      <c r="B1766" s="209">
        <v>5336</v>
      </c>
      <c r="C1766" s="341" t="s">
        <v>1055</v>
      </c>
      <c r="D1766" s="230" t="s">
        <v>1467</v>
      </c>
      <c r="E1766" s="230" t="s">
        <v>371</v>
      </c>
      <c r="F1766" s="242">
        <v>300</v>
      </c>
      <c r="G1766" s="205">
        <v>1</v>
      </c>
      <c r="H1766" s="206">
        <v>300</v>
      </c>
      <c r="I1766" s="207">
        <v>41490</v>
      </c>
      <c r="J1766" s="197" t="str">
        <f t="shared" si="84"/>
        <v>ok</v>
      </c>
      <c r="K1766" s="419"/>
      <c r="L1766" s="419"/>
      <c r="M1766" s="419"/>
      <c r="N1766" s="419"/>
      <c r="O1766" s="419"/>
      <c r="P1766" s="419"/>
      <c r="Q1766" s="419"/>
      <c r="R1766" s="419"/>
      <c r="S1766" s="419"/>
      <c r="T1766" s="419"/>
      <c r="U1766" s="419"/>
      <c r="V1766" s="419"/>
      <c r="W1766" s="419">
        <f t="shared" si="82"/>
        <v>0</v>
      </c>
      <c r="X1766" s="412"/>
      <c r="Y1766" s="412"/>
      <c r="Z1766" s="412"/>
      <c r="AA1766" s="412"/>
      <c r="AB1766" s="412"/>
      <c r="AC1766" s="412"/>
      <c r="AD1766" s="412"/>
      <c r="AE1766" s="427">
        <v>300</v>
      </c>
      <c r="AF1766" s="412"/>
      <c r="AG1766" s="412"/>
      <c r="AH1766" s="412"/>
      <c r="AI1766" s="412"/>
      <c r="AJ1766" s="412">
        <f t="shared" si="83"/>
        <v>300</v>
      </c>
      <c r="AK1766" s="208"/>
      <c r="AL1766" s="250" t="s">
        <v>2067</v>
      </c>
    </row>
    <row r="1767" spans="1:38" x14ac:dyDescent="0.2">
      <c r="A1767" t="s">
        <v>892</v>
      </c>
      <c r="B1767" s="209">
        <v>5337</v>
      </c>
      <c r="C1767" s="341" t="s">
        <v>1061</v>
      </c>
      <c r="D1767" s="230" t="s">
        <v>1721</v>
      </c>
      <c r="E1767" s="230" t="s">
        <v>1850</v>
      </c>
      <c r="F1767" s="242">
        <v>300</v>
      </c>
      <c r="G1767" s="205">
        <v>1</v>
      </c>
      <c r="H1767" s="206">
        <v>300</v>
      </c>
      <c r="I1767" s="207">
        <v>41490</v>
      </c>
      <c r="J1767" s="197" t="str">
        <f t="shared" si="84"/>
        <v>ok</v>
      </c>
      <c r="K1767" s="419"/>
      <c r="L1767" s="419"/>
      <c r="M1767" s="419"/>
      <c r="N1767" s="419"/>
      <c r="O1767" s="419"/>
      <c r="P1767" s="419"/>
      <c r="Q1767" s="419"/>
      <c r="R1767" s="419"/>
      <c r="S1767" s="419"/>
      <c r="T1767" s="419"/>
      <c r="U1767" s="419"/>
      <c r="V1767" s="419"/>
      <c r="W1767" s="419">
        <f t="shared" si="82"/>
        <v>0</v>
      </c>
      <c r="X1767" s="412"/>
      <c r="Y1767" s="412"/>
      <c r="Z1767" s="412"/>
      <c r="AA1767" s="412"/>
      <c r="AB1767" s="412"/>
      <c r="AC1767" s="412"/>
      <c r="AD1767" s="412"/>
      <c r="AE1767" s="427">
        <v>300</v>
      </c>
      <c r="AF1767" s="412"/>
      <c r="AG1767" s="412"/>
      <c r="AH1767" s="412"/>
      <c r="AI1767" s="412"/>
      <c r="AJ1767" s="412">
        <f t="shared" si="83"/>
        <v>300</v>
      </c>
      <c r="AK1767" s="208"/>
      <c r="AL1767" s="250" t="s">
        <v>2067</v>
      </c>
    </row>
    <row r="1768" spans="1:38" x14ac:dyDescent="0.2">
      <c r="A1768" t="s">
        <v>893</v>
      </c>
      <c r="B1768" s="209">
        <v>5338</v>
      </c>
      <c r="C1768" s="341" t="s">
        <v>781</v>
      </c>
      <c r="D1768" s="230" t="s">
        <v>1401</v>
      </c>
      <c r="E1768" s="230" t="s">
        <v>331</v>
      </c>
      <c r="F1768" s="242">
        <v>300</v>
      </c>
      <c r="G1768" s="205">
        <v>1</v>
      </c>
      <c r="H1768" s="206">
        <v>300</v>
      </c>
      <c r="I1768" s="207">
        <v>41490</v>
      </c>
      <c r="J1768" s="197" t="str">
        <f t="shared" si="84"/>
        <v>ok</v>
      </c>
      <c r="K1768" s="419"/>
      <c r="L1768" s="419"/>
      <c r="M1768" s="419"/>
      <c r="N1768" s="419"/>
      <c r="O1768" s="419"/>
      <c r="P1768" s="419"/>
      <c r="Q1768" s="419"/>
      <c r="R1768" s="419"/>
      <c r="S1768" s="419"/>
      <c r="T1768" s="419"/>
      <c r="U1768" s="419"/>
      <c r="V1768" s="419"/>
      <c r="W1768" s="419">
        <f t="shared" si="82"/>
        <v>0</v>
      </c>
      <c r="X1768" s="412"/>
      <c r="Y1768" s="412"/>
      <c r="Z1768" s="412"/>
      <c r="AA1768" s="412"/>
      <c r="AB1768" s="412"/>
      <c r="AC1768" s="412"/>
      <c r="AD1768" s="412"/>
      <c r="AE1768" s="427">
        <v>300</v>
      </c>
      <c r="AF1768" s="412"/>
      <c r="AG1768" s="412"/>
      <c r="AH1768" s="412"/>
      <c r="AI1768" s="412"/>
      <c r="AJ1768" s="412">
        <f t="shared" si="83"/>
        <v>300</v>
      </c>
      <c r="AK1768" s="208"/>
      <c r="AL1768" s="250" t="s">
        <v>2067</v>
      </c>
    </row>
    <row r="1769" spans="1:38" x14ac:dyDescent="0.2">
      <c r="A1769" t="s">
        <v>884</v>
      </c>
      <c r="B1769" s="209">
        <v>5339</v>
      </c>
      <c r="C1769" s="341" t="s">
        <v>797</v>
      </c>
      <c r="D1769" s="230" t="s">
        <v>1405</v>
      </c>
      <c r="E1769" s="230" t="s">
        <v>11</v>
      </c>
      <c r="F1769" s="242">
        <v>300</v>
      </c>
      <c r="G1769" s="205">
        <v>1</v>
      </c>
      <c r="H1769" s="206">
        <v>300</v>
      </c>
      <c r="I1769" s="207">
        <v>41490</v>
      </c>
      <c r="J1769" s="197" t="str">
        <f t="shared" si="84"/>
        <v>ok</v>
      </c>
      <c r="K1769" s="419"/>
      <c r="L1769" s="419"/>
      <c r="M1769" s="419"/>
      <c r="N1769" s="419"/>
      <c r="O1769" s="419"/>
      <c r="P1769" s="419"/>
      <c r="Q1769" s="419"/>
      <c r="R1769" s="419"/>
      <c r="S1769" s="419"/>
      <c r="T1769" s="419"/>
      <c r="U1769" s="419"/>
      <c r="V1769" s="419"/>
      <c r="W1769" s="419">
        <f t="shared" si="82"/>
        <v>0</v>
      </c>
      <c r="X1769" s="412"/>
      <c r="Y1769" s="412"/>
      <c r="Z1769" s="412"/>
      <c r="AA1769" s="412"/>
      <c r="AB1769" s="412"/>
      <c r="AC1769" s="412"/>
      <c r="AD1769" s="412"/>
      <c r="AE1769" s="427">
        <v>300</v>
      </c>
      <c r="AF1769" s="412"/>
      <c r="AG1769" s="412"/>
      <c r="AH1769" s="412"/>
      <c r="AI1769" s="412"/>
      <c r="AJ1769" s="412">
        <f t="shared" si="83"/>
        <v>300</v>
      </c>
      <c r="AK1769" s="208"/>
      <c r="AL1769" s="250" t="s">
        <v>2067</v>
      </c>
    </row>
    <row r="1770" spans="1:38" x14ac:dyDescent="0.2">
      <c r="A1770" t="s">
        <v>893</v>
      </c>
      <c r="B1770" s="209">
        <v>5340</v>
      </c>
      <c r="C1770" s="341" t="s">
        <v>778</v>
      </c>
      <c r="D1770" s="230" t="s">
        <v>1573</v>
      </c>
      <c r="E1770" s="230" t="s">
        <v>715</v>
      </c>
      <c r="F1770" s="242">
        <v>300</v>
      </c>
      <c r="G1770" s="205">
        <v>1</v>
      </c>
      <c r="H1770" s="206">
        <v>300</v>
      </c>
      <c r="I1770" s="207">
        <v>41490</v>
      </c>
      <c r="J1770" s="197" t="str">
        <f t="shared" si="84"/>
        <v>ok</v>
      </c>
      <c r="K1770" s="419"/>
      <c r="L1770" s="419"/>
      <c r="M1770" s="419"/>
      <c r="N1770" s="419"/>
      <c r="O1770" s="419"/>
      <c r="P1770" s="419"/>
      <c r="Q1770" s="419"/>
      <c r="R1770" s="419"/>
      <c r="S1770" s="419"/>
      <c r="T1770" s="419"/>
      <c r="U1770" s="419"/>
      <c r="V1770" s="419"/>
      <c r="W1770" s="419">
        <f t="shared" si="82"/>
        <v>0</v>
      </c>
      <c r="X1770" s="412"/>
      <c r="Y1770" s="412"/>
      <c r="Z1770" s="412"/>
      <c r="AA1770" s="412"/>
      <c r="AB1770" s="412"/>
      <c r="AC1770" s="412"/>
      <c r="AD1770" s="412"/>
      <c r="AE1770" s="427">
        <v>300</v>
      </c>
      <c r="AF1770" s="412"/>
      <c r="AG1770" s="412"/>
      <c r="AH1770" s="412"/>
      <c r="AI1770" s="412"/>
      <c r="AJ1770" s="412">
        <f t="shared" si="83"/>
        <v>300</v>
      </c>
      <c r="AK1770" s="208"/>
      <c r="AL1770" s="250" t="s">
        <v>2067</v>
      </c>
    </row>
    <row r="1771" spans="1:38" x14ac:dyDescent="0.2">
      <c r="A1771" t="s">
        <v>884</v>
      </c>
      <c r="B1771" s="209">
        <v>5341</v>
      </c>
      <c r="C1771" s="341" t="s">
        <v>772</v>
      </c>
      <c r="D1771" s="230" t="s">
        <v>1409</v>
      </c>
      <c r="E1771" s="230" t="s">
        <v>705</v>
      </c>
      <c r="F1771" s="242">
        <v>125</v>
      </c>
      <c r="G1771" s="205">
        <v>1</v>
      </c>
      <c r="H1771" s="206">
        <v>125</v>
      </c>
      <c r="I1771" s="207">
        <v>41490</v>
      </c>
      <c r="J1771" s="197" t="str">
        <f t="shared" si="84"/>
        <v>ok</v>
      </c>
      <c r="K1771" s="419"/>
      <c r="L1771" s="419"/>
      <c r="M1771" s="419"/>
      <c r="N1771" s="419"/>
      <c r="O1771" s="419"/>
      <c r="P1771" s="419"/>
      <c r="Q1771" s="419"/>
      <c r="R1771" s="419"/>
      <c r="S1771" s="419"/>
      <c r="T1771" s="419"/>
      <c r="U1771" s="419"/>
      <c r="V1771" s="419"/>
      <c r="W1771" s="419">
        <f t="shared" si="82"/>
        <v>0</v>
      </c>
      <c r="X1771" s="412"/>
      <c r="Y1771" s="412"/>
      <c r="Z1771" s="412"/>
      <c r="AA1771" s="412"/>
      <c r="AB1771" s="412"/>
      <c r="AC1771" s="412"/>
      <c r="AD1771" s="412"/>
      <c r="AE1771" s="427">
        <v>125</v>
      </c>
      <c r="AF1771" s="412"/>
      <c r="AG1771" s="412"/>
      <c r="AH1771" s="412"/>
      <c r="AI1771" s="412"/>
      <c r="AJ1771" s="412">
        <f t="shared" si="83"/>
        <v>125</v>
      </c>
      <c r="AK1771" s="208"/>
      <c r="AL1771" s="250" t="s">
        <v>2067</v>
      </c>
    </row>
    <row r="1772" spans="1:38" x14ac:dyDescent="0.2">
      <c r="A1772" t="s">
        <v>888</v>
      </c>
      <c r="B1772" s="209">
        <v>5342</v>
      </c>
      <c r="C1772" s="341" t="s">
        <v>1336</v>
      </c>
      <c r="D1772" s="230" t="s">
        <v>1381</v>
      </c>
      <c r="E1772" s="230" t="s">
        <v>1306</v>
      </c>
      <c r="F1772" s="242">
        <v>450</v>
      </c>
      <c r="G1772" s="205">
        <v>1</v>
      </c>
      <c r="H1772" s="206">
        <v>900</v>
      </c>
      <c r="I1772" s="207">
        <v>41490</v>
      </c>
      <c r="J1772" s="197" t="str">
        <f t="shared" si="84"/>
        <v>ok</v>
      </c>
      <c r="K1772" s="419"/>
      <c r="L1772" s="419"/>
      <c r="M1772" s="419"/>
      <c r="N1772" s="419"/>
      <c r="O1772" s="419"/>
      <c r="P1772" s="419"/>
      <c r="Q1772" s="419"/>
      <c r="R1772" s="419"/>
      <c r="S1772" s="419"/>
      <c r="T1772" s="419"/>
      <c r="U1772" s="419"/>
      <c r="V1772" s="419"/>
      <c r="W1772" s="419">
        <f t="shared" si="82"/>
        <v>0</v>
      </c>
      <c r="X1772" s="412"/>
      <c r="Y1772" s="412">
        <v>450</v>
      </c>
      <c r="Z1772" s="412">
        <v>450</v>
      </c>
      <c r="AA1772" s="412"/>
      <c r="AB1772" s="412"/>
      <c r="AC1772" s="412"/>
      <c r="AD1772" s="412"/>
      <c r="AE1772" s="427"/>
      <c r="AF1772" s="412"/>
      <c r="AG1772" s="412"/>
      <c r="AH1772" s="412"/>
      <c r="AI1772" s="412"/>
      <c r="AJ1772" s="412">
        <f t="shared" si="83"/>
        <v>900</v>
      </c>
      <c r="AK1772" s="208"/>
      <c r="AL1772" s="250" t="s">
        <v>2067</v>
      </c>
    </row>
    <row r="1773" spans="1:38" x14ac:dyDescent="0.2">
      <c r="A1773" t="s">
        <v>888</v>
      </c>
      <c r="B1773" s="209">
        <v>5343</v>
      </c>
      <c r="C1773" s="341" t="s">
        <v>1336</v>
      </c>
      <c r="D1773" s="230" t="s">
        <v>1381</v>
      </c>
      <c r="E1773" s="230" t="s">
        <v>1306</v>
      </c>
      <c r="F1773" s="242">
        <v>450</v>
      </c>
      <c r="G1773" s="205">
        <v>1</v>
      </c>
      <c r="H1773" s="206">
        <v>900</v>
      </c>
      <c r="I1773" s="207">
        <v>41490</v>
      </c>
      <c r="J1773" s="197" t="str">
        <f t="shared" si="84"/>
        <v>ok</v>
      </c>
      <c r="K1773" s="419"/>
      <c r="L1773" s="419"/>
      <c r="M1773" s="419"/>
      <c r="N1773" s="419"/>
      <c r="O1773" s="419"/>
      <c r="P1773" s="419"/>
      <c r="Q1773" s="419"/>
      <c r="R1773" s="419"/>
      <c r="S1773" s="419"/>
      <c r="T1773" s="419"/>
      <c r="U1773" s="419"/>
      <c r="V1773" s="419"/>
      <c r="W1773" s="419">
        <f t="shared" si="82"/>
        <v>0</v>
      </c>
      <c r="X1773" s="412"/>
      <c r="Y1773" s="412"/>
      <c r="Z1773" s="412"/>
      <c r="AA1773" s="412">
        <v>450</v>
      </c>
      <c r="AB1773" s="412">
        <v>450</v>
      </c>
      <c r="AC1773" s="412"/>
      <c r="AD1773" s="412"/>
      <c r="AE1773" s="427"/>
      <c r="AF1773" s="412"/>
      <c r="AG1773" s="412"/>
      <c r="AH1773" s="412"/>
      <c r="AI1773" s="412"/>
      <c r="AJ1773" s="412">
        <f t="shared" si="83"/>
        <v>900</v>
      </c>
      <c r="AK1773" s="208"/>
      <c r="AL1773" s="250" t="s">
        <v>2067</v>
      </c>
    </row>
    <row r="1774" spans="1:38" x14ac:dyDescent="0.2">
      <c r="A1774" t="s">
        <v>888</v>
      </c>
      <c r="B1774" s="209">
        <v>5344</v>
      </c>
      <c r="C1774" s="341" t="s">
        <v>1336</v>
      </c>
      <c r="D1774" s="230" t="s">
        <v>1381</v>
      </c>
      <c r="E1774" s="230" t="s">
        <v>1306</v>
      </c>
      <c r="F1774" s="242">
        <v>450</v>
      </c>
      <c r="G1774" s="205">
        <v>1</v>
      </c>
      <c r="H1774" s="206">
        <v>900</v>
      </c>
      <c r="I1774" s="207">
        <v>41490</v>
      </c>
      <c r="J1774" s="197" t="str">
        <f t="shared" si="84"/>
        <v>ok</v>
      </c>
      <c r="K1774" s="419"/>
      <c r="L1774" s="419"/>
      <c r="M1774" s="419"/>
      <c r="N1774" s="419"/>
      <c r="O1774" s="419"/>
      <c r="P1774" s="419"/>
      <c r="Q1774" s="419"/>
      <c r="R1774" s="419"/>
      <c r="S1774" s="419"/>
      <c r="T1774" s="419"/>
      <c r="U1774" s="419"/>
      <c r="V1774" s="419"/>
      <c r="W1774" s="419">
        <f t="shared" si="82"/>
        <v>0</v>
      </c>
      <c r="X1774" s="412"/>
      <c r="Y1774" s="412"/>
      <c r="Z1774" s="412"/>
      <c r="AA1774" s="412"/>
      <c r="AB1774" s="412"/>
      <c r="AC1774" s="412">
        <v>450</v>
      </c>
      <c r="AD1774" s="412">
        <v>450</v>
      </c>
      <c r="AE1774" s="427"/>
      <c r="AF1774" s="412"/>
      <c r="AG1774" s="412"/>
      <c r="AH1774" s="412"/>
      <c r="AI1774" s="412"/>
      <c r="AJ1774" s="412">
        <f t="shared" si="83"/>
        <v>900</v>
      </c>
      <c r="AK1774" s="208"/>
      <c r="AL1774" s="250" t="s">
        <v>2067</v>
      </c>
    </row>
    <row r="1775" spans="1:38" x14ac:dyDescent="0.2">
      <c r="A1775" t="s">
        <v>884</v>
      </c>
      <c r="B1775" s="209">
        <v>5345</v>
      </c>
      <c r="C1775" s="341" t="s">
        <v>764</v>
      </c>
      <c r="D1775" s="230" t="s">
        <v>1386</v>
      </c>
      <c r="E1775" s="230" t="s">
        <v>133</v>
      </c>
      <c r="F1775" s="242">
        <v>200</v>
      </c>
      <c r="G1775" s="205">
        <v>1</v>
      </c>
      <c r="H1775" s="206">
        <v>200</v>
      </c>
      <c r="I1775" s="207">
        <v>41490</v>
      </c>
      <c r="J1775" s="197" t="str">
        <f t="shared" si="84"/>
        <v>ok</v>
      </c>
      <c r="K1775" s="419"/>
      <c r="L1775" s="419"/>
      <c r="M1775" s="419"/>
      <c r="N1775" s="419"/>
      <c r="O1775" s="419"/>
      <c r="P1775" s="419"/>
      <c r="Q1775" s="419"/>
      <c r="R1775" s="419"/>
      <c r="S1775" s="419"/>
      <c r="T1775" s="419"/>
      <c r="U1775" s="419"/>
      <c r="V1775" s="419"/>
      <c r="W1775" s="419">
        <f t="shared" si="82"/>
        <v>0</v>
      </c>
      <c r="X1775" s="412"/>
      <c r="Y1775" s="412"/>
      <c r="Z1775" s="412"/>
      <c r="AA1775" s="412"/>
      <c r="AB1775" s="412"/>
      <c r="AC1775" s="412"/>
      <c r="AD1775" s="412"/>
      <c r="AE1775" s="427">
        <v>200</v>
      </c>
      <c r="AF1775" s="412"/>
      <c r="AG1775" s="412"/>
      <c r="AH1775" s="412"/>
      <c r="AI1775" s="412"/>
      <c r="AJ1775" s="412">
        <f t="shared" si="83"/>
        <v>200</v>
      </c>
      <c r="AK1775" s="208"/>
      <c r="AL1775" s="250" t="s">
        <v>2067</v>
      </c>
    </row>
    <row r="1776" spans="1:38" x14ac:dyDescent="0.2">
      <c r="A1776" t="s">
        <v>888</v>
      </c>
      <c r="B1776" s="209">
        <v>5346</v>
      </c>
      <c r="C1776" s="341" t="s">
        <v>768</v>
      </c>
      <c r="D1776" s="230" t="s">
        <v>1399</v>
      </c>
      <c r="E1776" s="230" t="s">
        <v>365</v>
      </c>
      <c r="F1776" s="242">
        <v>300</v>
      </c>
      <c r="G1776" s="205">
        <v>1</v>
      </c>
      <c r="H1776" s="206">
        <v>300</v>
      </c>
      <c r="I1776" s="207">
        <v>41490</v>
      </c>
      <c r="J1776" s="197" t="str">
        <f t="shared" si="84"/>
        <v>ok</v>
      </c>
      <c r="K1776" s="419"/>
      <c r="L1776" s="419"/>
      <c r="M1776" s="419"/>
      <c r="N1776" s="419"/>
      <c r="O1776" s="419"/>
      <c r="P1776" s="419"/>
      <c r="Q1776" s="419"/>
      <c r="R1776" s="419"/>
      <c r="S1776" s="419"/>
      <c r="T1776" s="419"/>
      <c r="U1776" s="419"/>
      <c r="V1776" s="419"/>
      <c r="W1776" s="419">
        <f t="shared" si="82"/>
        <v>0</v>
      </c>
      <c r="X1776" s="412"/>
      <c r="Y1776" s="412"/>
      <c r="Z1776" s="412"/>
      <c r="AA1776" s="412"/>
      <c r="AB1776" s="412"/>
      <c r="AC1776" s="412"/>
      <c r="AD1776" s="412"/>
      <c r="AE1776" s="427">
        <v>300</v>
      </c>
      <c r="AF1776" s="412"/>
      <c r="AG1776" s="412"/>
      <c r="AH1776" s="412"/>
      <c r="AI1776" s="412"/>
      <c r="AJ1776" s="412">
        <f t="shared" si="83"/>
        <v>300</v>
      </c>
      <c r="AK1776" s="208"/>
      <c r="AL1776" s="250" t="s">
        <v>2067</v>
      </c>
    </row>
    <row r="1777" spans="1:38" x14ac:dyDescent="0.2">
      <c r="A1777" t="s">
        <v>893</v>
      </c>
      <c r="B1777" s="209">
        <v>5347</v>
      </c>
      <c r="C1777" s="341" t="s">
        <v>773</v>
      </c>
      <c r="D1777" s="230" t="s">
        <v>1537</v>
      </c>
      <c r="E1777" s="230" t="s">
        <v>317</v>
      </c>
      <c r="F1777" s="242">
        <v>300</v>
      </c>
      <c r="G1777" s="205">
        <v>1</v>
      </c>
      <c r="H1777" s="206">
        <v>300</v>
      </c>
      <c r="I1777" s="207">
        <v>41490</v>
      </c>
      <c r="J1777" s="197" t="str">
        <f t="shared" si="84"/>
        <v>ok</v>
      </c>
      <c r="K1777" s="419"/>
      <c r="L1777" s="419"/>
      <c r="M1777" s="419"/>
      <c r="N1777" s="419"/>
      <c r="O1777" s="419"/>
      <c r="P1777" s="419"/>
      <c r="Q1777" s="419"/>
      <c r="R1777" s="419"/>
      <c r="S1777" s="419"/>
      <c r="T1777" s="419"/>
      <c r="U1777" s="419"/>
      <c r="V1777" s="419"/>
      <c r="W1777" s="419">
        <f t="shared" si="82"/>
        <v>0</v>
      </c>
      <c r="X1777" s="412"/>
      <c r="Y1777" s="412"/>
      <c r="Z1777" s="412"/>
      <c r="AA1777" s="412"/>
      <c r="AB1777" s="412"/>
      <c r="AC1777" s="412"/>
      <c r="AD1777" s="412"/>
      <c r="AE1777" s="427">
        <v>300</v>
      </c>
      <c r="AF1777" s="412"/>
      <c r="AG1777" s="412"/>
      <c r="AH1777" s="412"/>
      <c r="AI1777" s="412"/>
      <c r="AJ1777" s="412">
        <f t="shared" si="83"/>
        <v>300</v>
      </c>
      <c r="AK1777" s="208"/>
      <c r="AL1777" s="250" t="s">
        <v>2067</v>
      </c>
    </row>
    <row r="1778" spans="1:38" x14ac:dyDescent="0.2">
      <c r="A1778" t="s">
        <v>894</v>
      </c>
      <c r="B1778" s="209">
        <v>5348</v>
      </c>
      <c r="C1778" s="341" t="s">
        <v>1157</v>
      </c>
      <c r="D1778" s="230" t="s">
        <v>1487</v>
      </c>
      <c r="E1778" s="230" t="s">
        <v>1224</v>
      </c>
      <c r="F1778" s="242">
        <v>300</v>
      </c>
      <c r="G1778" s="205">
        <v>1</v>
      </c>
      <c r="H1778" s="206">
        <v>600</v>
      </c>
      <c r="I1778" s="207">
        <v>41490</v>
      </c>
      <c r="J1778" s="197" t="str">
        <f t="shared" si="84"/>
        <v>ok</v>
      </c>
      <c r="K1778" s="419"/>
      <c r="L1778" s="419"/>
      <c r="M1778" s="419"/>
      <c r="N1778" s="419"/>
      <c r="O1778" s="419"/>
      <c r="P1778" s="419"/>
      <c r="Q1778" s="419"/>
      <c r="R1778" s="419"/>
      <c r="S1778" s="419"/>
      <c r="T1778" s="419"/>
      <c r="U1778" s="419"/>
      <c r="V1778" s="419"/>
      <c r="W1778" s="419">
        <f t="shared" si="82"/>
        <v>0</v>
      </c>
      <c r="X1778" s="412"/>
      <c r="Y1778" s="412"/>
      <c r="Z1778" s="412"/>
      <c r="AA1778" s="412"/>
      <c r="AB1778" s="412"/>
      <c r="AC1778" s="412"/>
      <c r="AD1778" s="412">
        <v>300</v>
      </c>
      <c r="AE1778" s="427">
        <v>300</v>
      </c>
      <c r="AF1778" s="412"/>
      <c r="AG1778" s="412"/>
      <c r="AH1778" s="412"/>
      <c r="AI1778" s="412"/>
      <c r="AJ1778" s="412">
        <f t="shared" si="83"/>
        <v>600</v>
      </c>
      <c r="AK1778" s="208"/>
      <c r="AL1778" s="250" t="s">
        <v>2067</v>
      </c>
    </row>
    <row r="1779" spans="1:38" x14ac:dyDescent="0.2">
      <c r="A1779" t="s">
        <v>888</v>
      </c>
      <c r="B1779" s="209">
        <v>5349</v>
      </c>
      <c r="C1779" s="341" t="s">
        <v>928</v>
      </c>
      <c r="D1779" s="230" t="s">
        <v>1393</v>
      </c>
      <c r="E1779" s="230" t="s">
        <v>719</v>
      </c>
      <c r="F1779" s="242">
        <v>300</v>
      </c>
      <c r="G1779" s="205">
        <v>1</v>
      </c>
      <c r="H1779" s="206">
        <v>300</v>
      </c>
      <c r="I1779" s="207">
        <v>41490</v>
      </c>
      <c r="J1779" s="197" t="str">
        <f t="shared" si="84"/>
        <v>ok</v>
      </c>
      <c r="K1779" s="419"/>
      <c r="L1779" s="419"/>
      <c r="M1779" s="419"/>
      <c r="N1779" s="419"/>
      <c r="O1779" s="419"/>
      <c r="P1779" s="419"/>
      <c r="Q1779" s="419"/>
      <c r="R1779" s="419"/>
      <c r="S1779" s="419"/>
      <c r="T1779" s="419"/>
      <c r="U1779" s="419"/>
      <c r="V1779" s="419"/>
      <c r="W1779" s="419">
        <f t="shared" si="82"/>
        <v>0</v>
      </c>
      <c r="X1779" s="412"/>
      <c r="Y1779" s="412"/>
      <c r="Z1779" s="412"/>
      <c r="AA1779" s="412"/>
      <c r="AB1779" s="412"/>
      <c r="AC1779" s="412"/>
      <c r="AD1779" s="412"/>
      <c r="AE1779" s="427">
        <v>300</v>
      </c>
      <c r="AF1779" s="412"/>
      <c r="AG1779" s="412"/>
      <c r="AH1779" s="412"/>
      <c r="AI1779" s="412"/>
      <c r="AJ1779" s="412">
        <f t="shared" si="83"/>
        <v>300</v>
      </c>
      <c r="AK1779" s="208"/>
      <c r="AL1779" s="250" t="s">
        <v>2067</v>
      </c>
    </row>
    <row r="1780" spans="1:38" x14ac:dyDescent="0.2">
      <c r="A1780" t="s">
        <v>888</v>
      </c>
      <c r="B1780" s="209">
        <v>5350</v>
      </c>
      <c r="C1780" s="341" t="s">
        <v>930</v>
      </c>
      <c r="D1780" s="230" t="s">
        <v>1539</v>
      </c>
      <c r="E1780" s="230" t="s">
        <v>1273</v>
      </c>
      <c r="F1780" s="242">
        <v>300</v>
      </c>
      <c r="G1780" s="205">
        <v>1</v>
      </c>
      <c r="H1780" s="206">
        <v>300</v>
      </c>
      <c r="I1780" s="207">
        <v>41490</v>
      </c>
      <c r="J1780" s="197" t="str">
        <f t="shared" si="84"/>
        <v>ok</v>
      </c>
      <c r="K1780" s="419"/>
      <c r="L1780" s="419"/>
      <c r="M1780" s="419"/>
      <c r="N1780" s="419"/>
      <c r="O1780" s="419"/>
      <c r="P1780" s="419"/>
      <c r="Q1780" s="419"/>
      <c r="R1780" s="419"/>
      <c r="S1780" s="419"/>
      <c r="T1780" s="419"/>
      <c r="U1780" s="419"/>
      <c r="V1780" s="419"/>
      <c r="W1780" s="419">
        <f t="shared" si="82"/>
        <v>0</v>
      </c>
      <c r="X1780" s="412"/>
      <c r="Y1780" s="412"/>
      <c r="Z1780" s="412"/>
      <c r="AA1780" s="412"/>
      <c r="AB1780" s="412"/>
      <c r="AC1780" s="412"/>
      <c r="AD1780" s="412"/>
      <c r="AE1780" s="427">
        <v>300</v>
      </c>
      <c r="AF1780" s="412"/>
      <c r="AG1780" s="412"/>
      <c r="AH1780" s="412"/>
      <c r="AI1780" s="412"/>
      <c r="AJ1780" s="412">
        <f t="shared" si="83"/>
        <v>300</v>
      </c>
      <c r="AK1780" s="208"/>
      <c r="AL1780" s="250" t="s">
        <v>2067</v>
      </c>
    </row>
    <row r="1781" spans="1:38" x14ac:dyDescent="0.2">
      <c r="A1781" t="s">
        <v>890</v>
      </c>
      <c r="B1781" s="209">
        <v>5351</v>
      </c>
      <c r="C1781" s="341" t="s">
        <v>1006</v>
      </c>
      <c r="D1781" s="230" t="s">
        <v>1370</v>
      </c>
      <c r="E1781" s="230" t="s">
        <v>1217</v>
      </c>
      <c r="F1781" s="242">
        <v>300</v>
      </c>
      <c r="G1781" s="205">
        <v>1</v>
      </c>
      <c r="H1781" s="206">
        <v>300</v>
      </c>
      <c r="I1781" s="207">
        <v>41490</v>
      </c>
      <c r="J1781" s="197" t="str">
        <f t="shared" si="84"/>
        <v>ok</v>
      </c>
      <c r="K1781" s="419"/>
      <c r="L1781" s="419"/>
      <c r="M1781" s="419"/>
      <c r="N1781" s="419"/>
      <c r="O1781" s="419"/>
      <c r="P1781" s="419"/>
      <c r="Q1781" s="419"/>
      <c r="R1781" s="419"/>
      <c r="S1781" s="419"/>
      <c r="T1781" s="419"/>
      <c r="U1781" s="419"/>
      <c r="V1781" s="419"/>
      <c r="W1781" s="419">
        <f t="shared" si="82"/>
        <v>0</v>
      </c>
      <c r="X1781" s="412"/>
      <c r="Y1781" s="412"/>
      <c r="Z1781" s="412"/>
      <c r="AA1781" s="412"/>
      <c r="AB1781" s="412"/>
      <c r="AC1781" s="412"/>
      <c r="AD1781" s="412"/>
      <c r="AE1781" s="427">
        <v>300</v>
      </c>
      <c r="AF1781" s="412"/>
      <c r="AG1781" s="412"/>
      <c r="AH1781" s="412"/>
      <c r="AI1781" s="412"/>
      <c r="AJ1781" s="412">
        <f t="shared" si="83"/>
        <v>300</v>
      </c>
      <c r="AK1781" s="208"/>
      <c r="AL1781" s="250" t="s">
        <v>2067</v>
      </c>
    </row>
    <row r="1782" spans="1:38" x14ac:dyDescent="0.2">
      <c r="A1782" t="s">
        <v>890</v>
      </c>
      <c r="B1782" s="209">
        <v>5352</v>
      </c>
      <c r="C1782" s="341" t="s">
        <v>1020</v>
      </c>
      <c r="D1782" s="230" t="s">
        <v>1633</v>
      </c>
      <c r="E1782" s="230" t="s">
        <v>519</v>
      </c>
      <c r="F1782" s="242">
        <v>300</v>
      </c>
      <c r="G1782" s="205">
        <v>1</v>
      </c>
      <c r="H1782" s="206">
        <v>600</v>
      </c>
      <c r="I1782" s="207">
        <v>41490</v>
      </c>
      <c r="J1782" s="197" t="str">
        <f t="shared" si="84"/>
        <v>ok</v>
      </c>
      <c r="K1782" s="419"/>
      <c r="L1782" s="419"/>
      <c r="M1782" s="419"/>
      <c r="N1782" s="419"/>
      <c r="O1782" s="419"/>
      <c r="P1782" s="419"/>
      <c r="Q1782" s="419"/>
      <c r="R1782" s="419"/>
      <c r="S1782" s="419"/>
      <c r="T1782" s="419"/>
      <c r="U1782" s="419"/>
      <c r="V1782" s="419"/>
      <c r="W1782" s="419">
        <f t="shared" si="82"/>
        <v>0</v>
      </c>
      <c r="X1782" s="412"/>
      <c r="Y1782" s="412"/>
      <c r="Z1782" s="412">
        <v>300</v>
      </c>
      <c r="AA1782" s="412">
        <v>300</v>
      </c>
      <c r="AB1782" s="412"/>
      <c r="AC1782" s="412"/>
      <c r="AD1782" s="412"/>
      <c r="AE1782" s="427"/>
      <c r="AF1782" s="412"/>
      <c r="AG1782" s="412"/>
      <c r="AH1782" s="412"/>
      <c r="AI1782" s="412"/>
      <c r="AJ1782" s="412">
        <f t="shared" si="83"/>
        <v>600</v>
      </c>
      <c r="AK1782" s="208"/>
      <c r="AL1782" s="250" t="s">
        <v>2067</v>
      </c>
    </row>
    <row r="1783" spans="1:38" x14ac:dyDescent="0.2">
      <c r="A1783" t="s">
        <v>887</v>
      </c>
      <c r="B1783" s="209">
        <v>5353</v>
      </c>
      <c r="C1783" s="341" t="s">
        <v>904</v>
      </c>
      <c r="D1783" s="230" t="s">
        <v>1361</v>
      </c>
      <c r="E1783" s="230" t="s">
        <v>667</v>
      </c>
      <c r="F1783" s="242">
        <v>300</v>
      </c>
      <c r="G1783" s="205">
        <v>1</v>
      </c>
      <c r="H1783" s="206">
        <v>300</v>
      </c>
      <c r="I1783" s="207">
        <v>41490</v>
      </c>
      <c r="J1783" s="197" t="str">
        <f t="shared" si="84"/>
        <v>ok</v>
      </c>
      <c r="K1783" s="419"/>
      <c r="L1783" s="419"/>
      <c r="M1783" s="419"/>
      <c r="N1783" s="419"/>
      <c r="O1783" s="419"/>
      <c r="P1783" s="419"/>
      <c r="Q1783" s="419"/>
      <c r="R1783" s="419"/>
      <c r="S1783" s="419"/>
      <c r="T1783" s="419"/>
      <c r="U1783" s="419"/>
      <c r="V1783" s="419"/>
      <c r="W1783" s="419">
        <f t="shared" si="82"/>
        <v>0</v>
      </c>
      <c r="X1783" s="412"/>
      <c r="Y1783" s="412"/>
      <c r="Z1783" s="412"/>
      <c r="AA1783" s="412"/>
      <c r="AB1783" s="412"/>
      <c r="AC1783" s="412"/>
      <c r="AD1783" s="412"/>
      <c r="AE1783" s="427">
        <v>300</v>
      </c>
      <c r="AF1783" s="412"/>
      <c r="AG1783" s="412"/>
      <c r="AH1783" s="412"/>
      <c r="AI1783" s="412"/>
      <c r="AJ1783" s="412">
        <f t="shared" si="83"/>
        <v>300</v>
      </c>
      <c r="AK1783" s="208"/>
      <c r="AL1783" s="250" t="s">
        <v>2067</v>
      </c>
    </row>
    <row r="1784" spans="1:38" x14ac:dyDescent="0.2">
      <c r="A1784" t="s">
        <v>888</v>
      </c>
      <c r="B1784" s="209">
        <v>5354</v>
      </c>
      <c r="C1784" s="341" t="s">
        <v>949</v>
      </c>
      <c r="D1784" s="230" t="s">
        <v>1423</v>
      </c>
      <c r="E1784" s="230" t="s">
        <v>414</v>
      </c>
      <c r="F1784" s="242">
        <v>200</v>
      </c>
      <c r="G1784" s="205">
        <v>1</v>
      </c>
      <c r="H1784" s="206">
        <v>600</v>
      </c>
      <c r="I1784" s="207">
        <v>41490</v>
      </c>
      <c r="J1784" s="197" t="str">
        <f t="shared" si="84"/>
        <v>ok</v>
      </c>
      <c r="K1784" s="419"/>
      <c r="L1784" s="419"/>
      <c r="M1784" s="419"/>
      <c r="N1784" s="419"/>
      <c r="O1784" s="419"/>
      <c r="P1784" s="419"/>
      <c r="Q1784" s="419"/>
      <c r="R1784" s="419"/>
      <c r="S1784" s="419"/>
      <c r="T1784" s="419"/>
      <c r="U1784" s="419"/>
      <c r="V1784" s="419"/>
      <c r="W1784" s="419">
        <f t="shared" si="82"/>
        <v>0</v>
      </c>
      <c r="X1784" s="412"/>
      <c r="Y1784" s="412"/>
      <c r="Z1784" s="412"/>
      <c r="AA1784" s="412"/>
      <c r="AB1784" s="412"/>
      <c r="AC1784" s="412">
        <v>200</v>
      </c>
      <c r="AD1784" s="412">
        <v>200</v>
      </c>
      <c r="AE1784" s="427">
        <v>200</v>
      </c>
      <c r="AF1784" s="412"/>
      <c r="AG1784" s="412"/>
      <c r="AH1784" s="412"/>
      <c r="AI1784" s="412"/>
      <c r="AJ1784" s="412">
        <f t="shared" si="83"/>
        <v>600</v>
      </c>
      <c r="AK1784" s="208"/>
      <c r="AL1784" s="250" t="s">
        <v>2067</v>
      </c>
    </row>
    <row r="1785" spans="1:38" x14ac:dyDescent="0.2">
      <c r="A1785" t="s">
        <v>890</v>
      </c>
      <c r="B1785" s="209">
        <v>5355</v>
      </c>
      <c r="C1785" s="341" t="s">
        <v>1032</v>
      </c>
      <c r="D1785" s="230" t="s">
        <v>1476</v>
      </c>
      <c r="E1785" s="230" t="s">
        <v>537</v>
      </c>
      <c r="F1785" s="242">
        <v>300</v>
      </c>
      <c r="G1785" s="205">
        <v>1</v>
      </c>
      <c r="H1785" s="206">
        <v>300</v>
      </c>
      <c r="I1785" s="207">
        <v>41490</v>
      </c>
      <c r="J1785" s="197" t="str">
        <f t="shared" si="84"/>
        <v>ok</v>
      </c>
      <c r="K1785" s="419"/>
      <c r="L1785" s="419"/>
      <c r="M1785" s="419"/>
      <c r="N1785" s="419"/>
      <c r="O1785" s="419"/>
      <c r="P1785" s="419"/>
      <c r="Q1785" s="419"/>
      <c r="R1785" s="419"/>
      <c r="S1785" s="419"/>
      <c r="T1785" s="419"/>
      <c r="U1785" s="419"/>
      <c r="V1785" s="419"/>
      <c r="W1785" s="419">
        <f t="shared" si="82"/>
        <v>0</v>
      </c>
      <c r="X1785" s="412"/>
      <c r="Y1785" s="412"/>
      <c r="Z1785" s="412"/>
      <c r="AA1785" s="412"/>
      <c r="AB1785" s="412"/>
      <c r="AC1785" s="412"/>
      <c r="AD1785" s="412"/>
      <c r="AE1785" s="427">
        <v>300</v>
      </c>
      <c r="AF1785" s="412"/>
      <c r="AG1785" s="412"/>
      <c r="AH1785" s="412"/>
      <c r="AI1785" s="412"/>
      <c r="AJ1785" s="412">
        <f t="shared" si="83"/>
        <v>300</v>
      </c>
      <c r="AK1785" s="208"/>
      <c r="AL1785" s="250" t="s">
        <v>2067</v>
      </c>
    </row>
    <row r="1786" spans="1:38" x14ac:dyDescent="0.2">
      <c r="A1786" t="s">
        <v>890</v>
      </c>
      <c r="B1786" s="209">
        <v>5356</v>
      </c>
      <c r="C1786" s="341" t="s">
        <v>770</v>
      </c>
      <c r="D1786" s="230" t="s">
        <v>1438</v>
      </c>
      <c r="E1786" s="230" t="s">
        <v>536</v>
      </c>
      <c r="F1786" s="242">
        <v>300</v>
      </c>
      <c r="G1786" s="205">
        <v>1</v>
      </c>
      <c r="H1786" s="206">
        <v>300</v>
      </c>
      <c r="I1786" s="207">
        <v>41490</v>
      </c>
      <c r="J1786" s="197" t="str">
        <f t="shared" si="84"/>
        <v>ok</v>
      </c>
      <c r="K1786" s="419"/>
      <c r="L1786" s="419"/>
      <c r="M1786" s="419"/>
      <c r="N1786" s="419"/>
      <c r="O1786" s="419"/>
      <c r="P1786" s="419"/>
      <c r="Q1786" s="419"/>
      <c r="R1786" s="419"/>
      <c r="S1786" s="419"/>
      <c r="T1786" s="419"/>
      <c r="U1786" s="419"/>
      <c r="V1786" s="419"/>
      <c r="W1786" s="419">
        <f t="shared" si="82"/>
        <v>0</v>
      </c>
      <c r="X1786" s="412"/>
      <c r="Y1786" s="412"/>
      <c r="Z1786" s="412"/>
      <c r="AA1786" s="412"/>
      <c r="AB1786" s="412"/>
      <c r="AC1786" s="412"/>
      <c r="AD1786" s="412"/>
      <c r="AE1786" s="427">
        <v>300</v>
      </c>
      <c r="AF1786" s="412"/>
      <c r="AG1786" s="412"/>
      <c r="AH1786" s="412"/>
      <c r="AI1786" s="412"/>
      <c r="AJ1786" s="412">
        <f t="shared" si="83"/>
        <v>300</v>
      </c>
      <c r="AK1786" s="208"/>
      <c r="AL1786" s="250" t="s">
        <v>2067</v>
      </c>
    </row>
    <row r="1787" spans="1:38" x14ac:dyDescent="0.2">
      <c r="A1787" t="s">
        <v>894</v>
      </c>
      <c r="B1787" s="209">
        <v>5357</v>
      </c>
      <c r="C1787" s="341" t="s">
        <v>1164</v>
      </c>
      <c r="D1787" s="230" t="s">
        <v>1406</v>
      </c>
      <c r="E1787" s="230" t="s">
        <v>612</v>
      </c>
      <c r="F1787" s="242">
        <v>300</v>
      </c>
      <c r="G1787" s="205">
        <v>1</v>
      </c>
      <c r="H1787" s="206">
        <v>300</v>
      </c>
      <c r="I1787" s="207">
        <v>41490</v>
      </c>
      <c r="J1787" s="197" t="str">
        <f t="shared" si="84"/>
        <v>ok</v>
      </c>
      <c r="K1787" s="419"/>
      <c r="L1787" s="419"/>
      <c r="M1787" s="419"/>
      <c r="N1787" s="419"/>
      <c r="O1787" s="419"/>
      <c r="P1787" s="419"/>
      <c r="Q1787" s="419"/>
      <c r="R1787" s="419"/>
      <c r="S1787" s="419"/>
      <c r="T1787" s="419"/>
      <c r="U1787" s="419"/>
      <c r="V1787" s="419"/>
      <c r="W1787" s="419">
        <f t="shared" si="82"/>
        <v>0</v>
      </c>
      <c r="X1787" s="412"/>
      <c r="Y1787" s="412"/>
      <c r="Z1787" s="412"/>
      <c r="AA1787" s="412"/>
      <c r="AB1787" s="412"/>
      <c r="AC1787" s="412"/>
      <c r="AD1787" s="412"/>
      <c r="AE1787" s="427">
        <v>300</v>
      </c>
      <c r="AF1787" s="412"/>
      <c r="AG1787" s="412"/>
      <c r="AH1787" s="412"/>
      <c r="AI1787" s="412"/>
      <c r="AJ1787" s="412">
        <f t="shared" si="83"/>
        <v>300</v>
      </c>
      <c r="AK1787" s="208"/>
      <c r="AL1787" s="250" t="s">
        <v>2067</v>
      </c>
    </row>
    <row r="1788" spans="1:38" x14ac:dyDescent="0.2">
      <c r="A1788" t="s">
        <v>890</v>
      </c>
      <c r="B1788" s="209">
        <v>5358</v>
      </c>
      <c r="C1788" s="341" t="s">
        <v>1037</v>
      </c>
      <c r="D1788" s="230" t="s">
        <v>1612</v>
      </c>
      <c r="E1788" s="230" t="s">
        <v>543</v>
      </c>
      <c r="F1788" s="242">
        <v>300</v>
      </c>
      <c r="G1788" s="205">
        <v>1</v>
      </c>
      <c r="H1788" s="206">
        <v>300</v>
      </c>
      <c r="I1788" s="207">
        <v>41490</v>
      </c>
      <c r="J1788" s="197" t="str">
        <f t="shared" si="84"/>
        <v>ok</v>
      </c>
      <c r="K1788" s="419"/>
      <c r="L1788" s="419"/>
      <c r="M1788" s="419"/>
      <c r="N1788" s="419"/>
      <c r="O1788" s="419"/>
      <c r="P1788" s="419"/>
      <c r="Q1788" s="419"/>
      <c r="R1788" s="419"/>
      <c r="S1788" s="419"/>
      <c r="T1788" s="419"/>
      <c r="U1788" s="419"/>
      <c r="V1788" s="419"/>
      <c r="W1788" s="419">
        <f t="shared" si="82"/>
        <v>0</v>
      </c>
      <c r="X1788" s="412"/>
      <c r="Y1788" s="412"/>
      <c r="Z1788" s="412"/>
      <c r="AA1788" s="412"/>
      <c r="AB1788" s="412"/>
      <c r="AC1788" s="412"/>
      <c r="AD1788" s="412"/>
      <c r="AE1788" s="427">
        <v>300</v>
      </c>
      <c r="AF1788" s="412"/>
      <c r="AG1788" s="412"/>
      <c r="AH1788" s="412"/>
      <c r="AI1788" s="412"/>
      <c r="AJ1788" s="412">
        <f t="shared" si="83"/>
        <v>300</v>
      </c>
      <c r="AK1788" s="208"/>
      <c r="AL1788" s="250" t="s">
        <v>2067</v>
      </c>
    </row>
    <row r="1789" spans="1:38" x14ac:dyDescent="0.2">
      <c r="A1789" t="s">
        <v>894</v>
      </c>
      <c r="B1789" s="209">
        <v>5359</v>
      </c>
      <c r="C1789" s="341" t="s">
        <v>784</v>
      </c>
      <c r="D1789" s="230" t="s">
        <v>1422</v>
      </c>
      <c r="E1789" s="230" t="s">
        <v>595</v>
      </c>
      <c r="F1789" s="242">
        <v>300</v>
      </c>
      <c r="G1789" s="205">
        <v>1</v>
      </c>
      <c r="H1789" s="206">
        <v>300</v>
      </c>
      <c r="I1789" s="207">
        <v>41490</v>
      </c>
      <c r="J1789" s="197" t="str">
        <f t="shared" si="84"/>
        <v>ok</v>
      </c>
      <c r="K1789" s="419"/>
      <c r="L1789" s="419"/>
      <c r="M1789" s="419"/>
      <c r="N1789" s="419"/>
      <c r="O1789" s="419"/>
      <c r="P1789" s="419"/>
      <c r="Q1789" s="419"/>
      <c r="R1789" s="419"/>
      <c r="S1789" s="419"/>
      <c r="T1789" s="419"/>
      <c r="U1789" s="419"/>
      <c r="V1789" s="419"/>
      <c r="W1789" s="419">
        <f t="shared" si="82"/>
        <v>0</v>
      </c>
      <c r="X1789" s="412"/>
      <c r="Y1789" s="412"/>
      <c r="Z1789" s="412"/>
      <c r="AA1789" s="412"/>
      <c r="AB1789" s="412"/>
      <c r="AC1789" s="412"/>
      <c r="AD1789" s="412"/>
      <c r="AE1789" s="427">
        <v>300</v>
      </c>
      <c r="AF1789" s="412"/>
      <c r="AG1789" s="412"/>
      <c r="AH1789" s="412"/>
      <c r="AI1789" s="412"/>
      <c r="AJ1789" s="412">
        <f t="shared" si="83"/>
        <v>300</v>
      </c>
      <c r="AK1789" s="208"/>
      <c r="AL1789" s="250" t="s">
        <v>2067</v>
      </c>
    </row>
    <row r="1790" spans="1:38" x14ac:dyDescent="0.2">
      <c r="A1790" t="s">
        <v>893</v>
      </c>
      <c r="B1790" s="209">
        <v>5360</v>
      </c>
      <c r="C1790" s="341" t="s">
        <v>777</v>
      </c>
      <c r="D1790" s="230" t="s">
        <v>1387</v>
      </c>
      <c r="E1790" s="230" t="s">
        <v>714</v>
      </c>
      <c r="F1790" s="242">
        <v>300</v>
      </c>
      <c r="G1790" s="205">
        <v>1</v>
      </c>
      <c r="H1790" s="206">
        <v>300</v>
      </c>
      <c r="I1790" s="207">
        <v>41490</v>
      </c>
      <c r="J1790" s="197" t="str">
        <f t="shared" si="84"/>
        <v>ok</v>
      </c>
      <c r="K1790" s="419"/>
      <c r="L1790" s="419"/>
      <c r="M1790" s="419"/>
      <c r="N1790" s="419"/>
      <c r="O1790" s="419"/>
      <c r="P1790" s="419"/>
      <c r="Q1790" s="419"/>
      <c r="R1790" s="419"/>
      <c r="S1790" s="419"/>
      <c r="T1790" s="419"/>
      <c r="U1790" s="419"/>
      <c r="V1790" s="419"/>
      <c r="W1790" s="419">
        <f t="shared" si="82"/>
        <v>0</v>
      </c>
      <c r="X1790" s="412"/>
      <c r="Y1790" s="412"/>
      <c r="Z1790" s="412"/>
      <c r="AA1790" s="412"/>
      <c r="AB1790" s="412"/>
      <c r="AC1790" s="412"/>
      <c r="AD1790" s="412"/>
      <c r="AE1790" s="427">
        <v>300</v>
      </c>
      <c r="AF1790" s="412"/>
      <c r="AG1790" s="412"/>
      <c r="AH1790" s="412"/>
      <c r="AI1790" s="412"/>
      <c r="AJ1790" s="412">
        <f t="shared" si="83"/>
        <v>300</v>
      </c>
      <c r="AK1790" s="208"/>
      <c r="AL1790" s="250" t="s">
        <v>2067</v>
      </c>
    </row>
    <row r="1791" spans="1:38" x14ac:dyDescent="0.2">
      <c r="A1791" t="s">
        <v>893</v>
      </c>
      <c r="B1791" s="209">
        <v>5361</v>
      </c>
      <c r="C1791" s="341" t="s">
        <v>1137</v>
      </c>
      <c r="D1791" s="230" t="s">
        <v>1463</v>
      </c>
      <c r="E1791" s="230" t="s">
        <v>310</v>
      </c>
      <c r="F1791" s="242">
        <v>300</v>
      </c>
      <c r="G1791" s="205">
        <v>1</v>
      </c>
      <c r="H1791" s="206">
        <v>600</v>
      </c>
      <c r="I1791" s="207">
        <v>41490</v>
      </c>
      <c r="J1791" s="197" t="str">
        <f t="shared" si="84"/>
        <v>ok</v>
      </c>
      <c r="K1791" s="419"/>
      <c r="L1791" s="419"/>
      <c r="M1791" s="419"/>
      <c r="N1791" s="419"/>
      <c r="O1791" s="419"/>
      <c r="P1791" s="419"/>
      <c r="Q1791" s="419"/>
      <c r="R1791" s="419"/>
      <c r="S1791" s="419"/>
      <c r="T1791" s="419"/>
      <c r="U1791" s="419"/>
      <c r="V1791" s="419"/>
      <c r="W1791" s="419">
        <f t="shared" si="82"/>
        <v>0</v>
      </c>
      <c r="X1791" s="412"/>
      <c r="Y1791" s="412"/>
      <c r="Z1791" s="412"/>
      <c r="AA1791" s="412"/>
      <c r="AB1791" s="412"/>
      <c r="AC1791" s="412"/>
      <c r="AD1791" s="412">
        <v>300</v>
      </c>
      <c r="AE1791" s="427">
        <v>300</v>
      </c>
      <c r="AF1791" s="412"/>
      <c r="AG1791" s="412"/>
      <c r="AH1791" s="412"/>
      <c r="AI1791" s="412"/>
      <c r="AJ1791" s="412">
        <f t="shared" si="83"/>
        <v>600</v>
      </c>
      <c r="AK1791" s="208"/>
      <c r="AL1791" s="250" t="s">
        <v>2067</v>
      </c>
    </row>
    <row r="1792" spans="1:38" x14ac:dyDescent="0.2">
      <c r="A1792" t="s">
        <v>890</v>
      </c>
      <c r="B1792" s="209">
        <v>5362</v>
      </c>
      <c r="C1792" s="341" t="s">
        <v>1029</v>
      </c>
      <c r="D1792" s="230" t="s">
        <v>1482</v>
      </c>
      <c r="E1792" s="230" t="s">
        <v>529</v>
      </c>
      <c r="F1792" s="242">
        <v>300</v>
      </c>
      <c r="G1792" s="205">
        <v>1</v>
      </c>
      <c r="H1792" s="206">
        <v>300</v>
      </c>
      <c r="I1792" s="207">
        <v>41490</v>
      </c>
      <c r="J1792" s="197" t="str">
        <f t="shared" si="84"/>
        <v>ok</v>
      </c>
      <c r="K1792" s="419"/>
      <c r="L1792" s="419"/>
      <c r="M1792" s="419"/>
      <c r="N1792" s="419"/>
      <c r="O1792" s="419"/>
      <c r="P1792" s="419"/>
      <c r="Q1792" s="419"/>
      <c r="R1792" s="419"/>
      <c r="S1792" s="419"/>
      <c r="T1792" s="419"/>
      <c r="U1792" s="419"/>
      <c r="V1792" s="419"/>
      <c r="W1792" s="419">
        <f t="shared" si="82"/>
        <v>0</v>
      </c>
      <c r="X1792" s="412"/>
      <c r="Y1792" s="412"/>
      <c r="Z1792" s="412"/>
      <c r="AA1792" s="412"/>
      <c r="AB1792" s="412"/>
      <c r="AC1792" s="412"/>
      <c r="AD1792" s="412"/>
      <c r="AE1792" s="427">
        <v>300</v>
      </c>
      <c r="AF1792" s="412"/>
      <c r="AG1792" s="412"/>
      <c r="AH1792" s="412"/>
      <c r="AI1792" s="412"/>
      <c r="AJ1792" s="412">
        <f t="shared" si="83"/>
        <v>300</v>
      </c>
      <c r="AK1792" s="208"/>
      <c r="AL1792" s="250" t="s">
        <v>2067</v>
      </c>
    </row>
    <row r="1793" spans="1:38" x14ac:dyDescent="0.2">
      <c r="A1793" t="s">
        <v>884</v>
      </c>
      <c r="B1793" s="209">
        <v>5363</v>
      </c>
      <c r="C1793" s="341" t="s">
        <v>801</v>
      </c>
      <c r="D1793" s="230" t="s">
        <v>1529</v>
      </c>
      <c r="E1793" s="230" t="s">
        <v>704</v>
      </c>
      <c r="F1793" s="242">
        <v>300</v>
      </c>
      <c r="G1793" s="205">
        <v>1</v>
      </c>
      <c r="H1793" s="206">
        <v>300</v>
      </c>
      <c r="I1793" s="207">
        <v>41490</v>
      </c>
      <c r="J1793" s="197" t="str">
        <f t="shared" si="84"/>
        <v>ok</v>
      </c>
      <c r="K1793" s="419"/>
      <c r="L1793" s="419"/>
      <c r="M1793" s="419"/>
      <c r="N1793" s="419"/>
      <c r="O1793" s="419"/>
      <c r="P1793" s="419"/>
      <c r="Q1793" s="419"/>
      <c r="R1793" s="419"/>
      <c r="S1793" s="419"/>
      <c r="T1793" s="419"/>
      <c r="U1793" s="419"/>
      <c r="V1793" s="419"/>
      <c r="W1793" s="419">
        <f t="shared" si="82"/>
        <v>0</v>
      </c>
      <c r="X1793" s="412"/>
      <c r="Y1793" s="412"/>
      <c r="Z1793" s="412"/>
      <c r="AA1793" s="412"/>
      <c r="AB1793" s="412"/>
      <c r="AC1793" s="412"/>
      <c r="AD1793" s="412"/>
      <c r="AE1793" s="427">
        <v>300</v>
      </c>
      <c r="AF1793" s="412"/>
      <c r="AG1793" s="412"/>
      <c r="AH1793" s="412"/>
      <c r="AI1793" s="412"/>
      <c r="AJ1793" s="412">
        <f t="shared" si="83"/>
        <v>300</v>
      </c>
      <c r="AK1793" s="208"/>
      <c r="AL1793" s="250" t="s">
        <v>2067</v>
      </c>
    </row>
    <row r="1794" spans="1:38" x14ac:dyDescent="0.2">
      <c r="A1794" t="s">
        <v>884</v>
      </c>
      <c r="B1794" s="209">
        <v>5364</v>
      </c>
      <c r="C1794" s="341" t="s">
        <v>824</v>
      </c>
      <c r="D1794" s="230" t="s">
        <v>1506</v>
      </c>
      <c r="E1794" s="230" t="s">
        <v>1570</v>
      </c>
      <c r="F1794" s="242">
        <v>300</v>
      </c>
      <c r="G1794" s="205">
        <v>1</v>
      </c>
      <c r="H1794" s="206">
        <v>1200</v>
      </c>
      <c r="I1794" s="207">
        <v>41490</v>
      </c>
      <c r="J1794" s="197" t="str">
        <f t="shared" si="84"/>
        <v>ok</v>
      </c>
      <c r="K1794" s="419"/>
      <c r="L1794" s="419"/>
      <c r="M1794" s="419"/>
      <c r="N1794" s="419"/>
      <c r="O1794" s="419"/>
      <c r="P1794" s="419"/>
      <c r="Q1794" s="419"/>
      <c r="R1794" s="419"/>
      <c r="S1794" s="419"/>
      <c r="T1794" s="419"/>
      <c r="U1794" s="419"/>
      <c r="V1794" s="419"/>
      <c r="W1794" s="419">
        <f t="shared" si="82"/>
        <v>0</v>
      </c>
      <c r="X1794" s="412"/>
      <c r="Y1794" s="412"/>
      <c r="Z1794" s="412"/>
      <c r="AA1794" s="412"/>
      <c r="AB1794" s="412"/>
      <c r="AC1794" s="412"/>
      <c r="AD1794" s="412"/>
      <c r="AE1794" s="427"/>
      <c r="AF1794" s="412">
        <v>300</v>
      </c>
      <c r="AG1794" s="412">
        <v>300</v>
      </c>
      <c r="AH1794" s="412">
        <v>300</v>
      </c>
      <c r="AI1794" s="412">
        <v>300</v>
      </c>
      <c r="AJ1794" s="412">
        <f t="shared" si="83"/>
        <v>1200</v>
      </c>
      <c r="AK1794" s="208"/>
      <c r="AL1794" s="250" t="s">
        <v>2067</v>
      </c>
    </row>
    <row r="1795" spans="1:38" x14ac:dyDescent="0.2">
      <c r="A1795" t="s">
        <v>893</v>
      </c>
      <c r="B1795" s="209">
        <v>5365</v>
      </c>
      <c r="C1795" s="341" t="s">
        <v>1103</v>
      </c>
      <c r="D1795" s="230" t="s">
        <v>1407</v>
      </c>
      <c r="E1795" s="230" t="s">
        <v>248</v>
      </c>
      <c r="F1795" s="242">
        <v>300</v>
      </c>
      <c r="G1795" s="205">
        <v>1</v>
      </c>
      <c r="H1795" s="206">
        <v>300</v>
      </c>
      <c r="I1795" s="207">
        <v>41490</v>
      </c>
      <c r="J1795" s="197" t="str">
        <f t="shared" si="84"/>
        <v>ok</v>
      </c>
      <c r="K1795" s="419"/>
      <c r="L1795" s="419"/>
      <c r="M1795" s="419"/>
      <c r="N1795" s="419"/>
      <c r="O1795" s="419"/>
      <c r="P1795" s="419"/>
      <c r="Q1795" s="419"/>
      <c r="R1795" s="419"/>
      <c r="S1795" s="419"/>
      <c r="T1795" s="419"/>
      <c r="U1795" s="419"/>
      <c r="V1795" s="419"/>
      <c r="W1795" s="419">
        <f t="shared" si="82"/>
        <v>0</v>
      </c>
      <c r="X1795" s="412"/>
      <c r="Y1795" s="412"/>
      <c r="Z1795" s="412"/>
      <c r="AA1795" s="412"/>
      <c r="AB1795" s="412"/>
      <c r="AC1795" s="412"/>
      <c r="AD1795" s="412"/>
      <c r="AE1795" s="427">
        <v>300</v>
      </c>
      <c r="AF1795" s="412"/>
      <c r="AG1795" s="412"/>
      <c r="AH1795" s="412"/>
      <c r="AI1795" s="412"/>
      <c r="AJ1795" s="412">
        <f t="shared" si="83"/>
        <v>300</v>
      </c>
      <c r="AK1795" s="208"/>
      <c r="AL1795" s="250" t="s">
        <v>2067</v>
      </c>
    </row>
    <row r="1796" spans="1:38" x14ac:dyDescent="0.2">
      <c r="A1796" t="s">
        <v>888</v>
      </c>
      <c r="B1796" s="209">
        <v>5366</v>
      </c>
      <c r="C1796" s="341" t="s">
        <v>962</v>
      </c>
      <c r="D1796" s="230" t="s">
        <v>1609</v>
      </c>
      <c r="E1796" s="230" t="s">
        <v>451</v>
      </c>
      <c r="F1796" s="242">
        <v>150</v>
      </c>
      <c r="G1796" s="205">
        <v>1</v>
      </c>
      <c r="H1796" s="206">
        <v>150</v>
      </c>
      <c r="I1796" s="207">
        <v>41490</v>
      </c>
      <c r="J1796" s="197" t="str">
        <f t="shared" si="84"/>
        <v>ok</v>
      </c>
      <c r="K1796" s="419"/>
      <c r="L1796" s="419"/>
      <c r="M1796" s="419"/>
      <c r="N1796" s="419"/>
      <c r="O1796" s="419"/>
      <c r="P1796" s="419"/>
      <c r="Q1796" s="419"/>
      <c r="R1796" s="419"/>
      <c r="S1796" s="419"/>
      <c r="T1796" s="419"/>
      <c r="U1796" s="419"/>
      <c r="V1796" s="419"/>
      <c r="W1796" s="419">
        <f t="shared" si="82"/>
        <v>0</v>
      </c>
      <c r="X1796" s="412"/>
      <c r="Y1796" s="412"/>
      <c r="Z1796" s="412"/>
      <c r="AA1796" s="412"/>
      <c r="AB1796" s="412"/>
      <c r="AC1796" s="412"/>
      <c r="AD1796" s="412"/>
      <c r="AE1796" s="427">
        <v>150</v>
      </c>
      <c r="AF1796" s="412"/>
      <c r="AG1796" s="412"/>
      <c r="AH1796" s="412"/>
      <c r="AI1796" s="412"/>
      <c r="AJ1796" s="412">
        <f t="shared" si="83"/>
        <v>150</v>
      </c>
      <c r="AK1796" s="208"/>
      <c r="AL1796" s="250" t="s">
        <v>2067</v>
      </c>
    </row>
    <row r="1797" spans="1:38" x14ac:dyDescent="0.2">
      <c r="A1797" t="s">
        <v>890</v>
      </c>
      <c r="B1797" s="209">
        <v>5367</v>
      </c>
      <c r="C1797" s="341" t="s">
        <v>978</v>
      </c>
      <c r="D1797" s="230" t="s">
        <v>1616</v>
      </c>
      <c r="E1797" s="230" t="s">
        <v>726</v>
      </c>
      <c r="F1797" s="242">
        <v>250</v>
      </c>
      <c r="G1797" s="205">
        <v>1</v>
      </c>
      <c r="H1797" s="206">
        <v>750</v>
      </c>
      <c r="I1797" s="207">
        <v>41490</v>
      </c>
      <c r="J1797" s="197" t="str">
        <f t="shared" si="84"/>
        <v>ok</v>
      </c>
      <c r="K1797" s="419"/>
      <c r="L1797" s="419"/>
      <c r="M1797" s="419"/>
      <c r="N1797" s="419"/>
      <c r="O1797" s="419"/>
      <c r="P1797" s="419"/>
      <c r="Q1797" s="419"/>
      <c r="R1797" s="419"/>
      <c r="S1797" s="419"/>
      <c r="T1797" s="419"/>
      <c r="U1797" s="419"/>
      <c r="V1797" s="419"/>
      <c r="W1797" s="419">
        <f t="shared" si="82"/>
        <v>0</v>
      </c>
      <c r="X1797" s="412"/>
      <c r="Y1797" s="412"/>
      <c r="Z1797" s="412"/>
      <c r="AA1797" s="412"/>
      <c r="AB1797" s="412"/>
      <c r="AC1797" s="412">
        <v>250</v>
      </c>
      <c r="AD1797" s="412">
        <v>250</v>
      </c>
      <c r="AE1797" s="427">
        <v>250</v>
      </c>
      <c r="AF1797" s="412"/>
      <c r="AG1797" s="412"/>
      <c r="AH1797" s="412"/>
      <c r="AI1797" s="412"/>
      <c r="AJ1797" s="412">
        <f t="shared" si="83"/>
        <v>750</v>
      </c>
      <c r="AK1797" s="208"/>
      <c r="AL1797" s="250" t="s">
        <v>2067</v>
      </c>
    </row>
    <row r="1798" spans="1:38" x14ac:dyDescent="0.2">
      <c r="A1798" t="s">
        <v>890</v>
      </c>
      <c r="B1798" s="209">
        <v>5367</v>
      </c>
      <c r="C1798" s="341" t="s">
        <v>978</v>
      </c>
      <c r="D1798" s="230" t="s">
        <v>1616</v>
      </c>
      <c r="E1798" s="230" t="s">
        <v>726</v>
      </c>
      <c r="F1798" s="242">
        <v>250</v>
      </c>
      <c r="G1798" s="205">
        <v>4</v>
      </c>
      <c r="H1798" s="206">
        <v>160</v>
      </c>
      <c r="I1798" s="207">
        <v>41490</v>
      </c>
      <c r="J1798" s="197" t="str">
        <f t="shared" si="84"/>
        <v>ok</v>
      </c>
      <c r="K1798" s="419"/>
      <c r="L1798" s="419"/>
      <c r="M1798" s="419"/>
      <c r="N1798" s="419"/>
      <c r="O1798" s="419"/>
      <c r="P1798" s="419"/>
      <c r="Q1798" s="419"/>
      <c r="R1798" s="419"/>
      <c r="S1798" s="419"/>
      <c r="T1798" s="419"/>
      <c r="U1798" s="419"/>
      <c r="V1798" s="419"/>
      <c r="W1798" s="419">
        <f t="shared" si="82"/>
        <v>0</v>
      </c>
      <c r="X1798" s="412"/>
      <c r="Y1798" s="412"/>
      <c r="Z1798" s="412"/>
      <c r="AA1798" s="412"/>
      <c r="AB1798" s="412"/>
      <c r="AC1798" s="412"/>
      <c r="AD1798" s="412"/>
      <c r="AE1798" s="427"/>
      <c r="AF1798" s="412"/>
      <c r="AG1798" s="412"/>
      <c r="AH1798" s="412"/>
      <c r="AI1798" s="412"/>
      <c r="AJ1798" s="412">
        <f t="shared" si="83"/>
        <v>0</v>
      </c>
      <c r="AK1798" s="208"/>
      <c r="AL1798" s="250" t="s">
        <v>2068</v>
      </c>
    </row>
    <row r="1799" spans="1:38" x14ac:dyDescent="0.2">
      <c r="A1799" t="s">
        <v>893</v>
      </c>
      <c r="B1799" s="209">
        <v>5368</v>
      </c>
      <c r="C1799" s="341" t="s">
        <v>1139</v>
      </c>
      <c r="D1799" s="230" t="s">
        <v>1528</v>
      </c>
      <c r="E1799" s="230" t="s">
        <v>313</v>
      </c>
      <c r="F1799" s="242">
        <v>300</v>
      </c>
      <c r="G1799" s="205">
        <v>1</v>
      </c>
      <c r="H1799" s="206">
        <v>300</v>
      </c>
      <c r="I1799" s="207">
        <v>41490</v>
      </c>
      <c r="J1799" s="197" t="str">
        <f t="shared" si="84"/>
        <v>ok</v>
      </c>
      <c r="K1799" s="419"/>
      <c r="L1799" s="419"/>
      <c r="M1799" s="419"/>
      <c r="N1799" s="419"/>
      <c r="O1799" s="419"/>
      <c r="P1799" s="419"/>
      <c r="Q1799" s="419"/>
      <c r="R1799" s="419"/>
      <c r="S1799" s="419"/>
      <c r="T1799" s="419"/>
      <c r="U1799" s="419"/>
      <c r="V1799" s="419"/>
      <c r="W1799" s="419">
        <f t="shared" ref="W1799:W1862" si="85">SUM(K1799:V1799)</f>
        <v>0</v>
      </c>
      <c r="X1799" s="412"/>
      <c r="Y1799" s="412"/>
      <c r="Z1799" s="412"/>
      <c r="AA1799" s="412"/>
      <c r="AB1799" s="412"/>
      <c r="AC1799" s="412"/>
      <c r="AD1799" s="412"/>
      <c r="AE1799" s="427">
        <v>300</v>
      </c>
      <c r="AF1799" s="412"/>
      <c r="AG1799" s="412"/>
      <c r="AH1799" s="412"/>
      <c r="AI1799" s="412"/>
      <c r="AJ1799" s="412">
        <f t="shared" ref="AJ1799:AJ1862" si="86">SUM(X1799:AI1799)</f>
        <v>300</v>
      </c>
      <c r="AK1799" s="208"/>
      <c r="AL1799" s="250" t="s">
        <v>2067</v>
      </c>
    </row>
    <row r="1800" spans="1:38" x14ac:dyDescent="0.2">
      <c r="A1800" t="s">
        <v>892</v>
      </c>
      <c r="B1800" s="209">
        <v>5369</v>
      </c>
      <c r="C1800" s="341" t="s">
        <v>1181</v>
      </c>
      <c r="D1800" s="230" t="s">
        <v>1425</v>
      </c>
      <c r="E1800" s="230" t="s">
        <v>557</v>
      </c>
      <c r="F1800" s="242">
        <v>300</v>
      </c>
      <c r="G1800" s="205">
        <v>1</v>
      </c>
      <c r="H1800" s="206">
        <v>300</v>
      </c>
      <c r="I1800" s="207">
        <v>41490</v>
      </c>
      <c r="J1800" s="197" t="str">
        <f t="shared" si="84"/>
        <v>ok</v>
      </c>
      <c r="K1800" s="419"/>
      <c r="L1800" s="419"/>
      <c r="M1800" s="419"/>
      <c r="N1800" s="419"/>
      <c r="O1800" s="419"/>
      <c r="P1800" s="419"/>
      <c r="Q1800" s="419"/>
      <c r="R1800" s="419"/>
      <c r="S1800" s="419"/>
      <c r="T1800" s="419"/>
      <c r="U1800" s="419"/>
      <c r="V1800" s="419"/>
      <c r="W1800" s="419">
        <f t="shared" si="85"/>
        <v>0</v>
      </c>
      <c r="X1800" s="412"/>
      <c r="Y1800" s="412"/>
      <c r="Z1800" s="412"/>
      <c r="AA1800" s="412"/>
      <c r="AB1800" s="412"/>
      <c r="AC1800" s="412"/>
      <c r="AD1800" s="412"/>
      <c r="AE1800" s="427">
        <v>300</v>
      </c>
      <c r="AF1800" s="412"/>
      <c r="AG1800" s="412"/>
      <c r="AH1800" s="412"/>
      <c r="AI1800" s="412"/>
      <c r="AJ1800" s="412">
        <f t="shared" si="86"/>
        <v>300</v>
      </c>
      <c r="AK1800" s="208"/>
      <c r="AL1800" s="250" t="s">
        <v>2067</v>
      </c>
    </row>
    <row r="1801" spans="1:38" x14ac:dyDescent="0.2">
      <c r="A1801" t="s">
        <v>884</v>
      </c>
      <c r="B1801" s="209">
        <v>5370</v>
      </c>
      <c r="C1801" s="341" t="s">
        <v>802</v>
      </c>
      <c r="D1801" s="230" t="s">
        <v>1412</v>
      </c>
      <c r="E1801" s="230" t="s">
        <v>19</v>
      </c>
      <c r="F1801" s="242">
        <v>300</v>
      </c>
      <c r="G1801" s="205">
        <v>1</v>
      </c>
      <c r="H1801" s="206">
        <v>300</v>
      </c>
      <c r="I1801" s="207">
        <v>41490</v>
      </c>
      <c r="J1801" s="197" t="str">
        <f t="shared" si="84"/>
        <v>ok</v>
      </c>
      <c r="K1801" s="419"/>
      <c r="L1801" s="419"/>
      <c r="M1801" s="419"/>
      <c r="N1801" s="419"/>
      <c r="O1801" s="419"/>
      <c r="P1801" s="419"/>
      <c r="Q1801" s="419"/>
      <c r="R1801" s="419"/>
      <c r="S1801" s="419"/>
      <c r="T1801" s="419"/>
      <c r="U1801" s="419"/>
      <c r="V1801" s="419"/>
      <c r="W1801" s="419">
        <f t="shared" si="85"/>
        <v>0</v>
      </c>
      <c r="X1801" s="412"/>
      <c r="Y1801" s="412"/>
      <c r="Z1801" s="412"/>
      <c r="AA1801" s="412"/>
      <c r="AB1801" s="412"/>
      <c r="AC1801" s="412"/>
      <c r="AD1801" s="412"/>
      <c r="AE1801" s="427">
        <v>300</v>
      </c>
      <c r="AF1801" s="412"/>
      <c r="AG1801" s="412"/>
      <c r="AH1801" s="412"/>
      <c r="AI1801" s="412"/>
      <c r="AJ1801" s="412">
        <f t="shared" si="86"/>
        <v>300</v>
      </c>
      <c r="AK1801" s="208"/>
      <c r="AL1801" s="250" t="s">
        <v>2067</v>
      </c>
    </row>
    <row r="1802" spans="1:38" x14ac:dyDescent="0.2">
      <c r="A1802" t="s">
        <v>893</v>
      </c>
      <c r="B1802" s="209">
        <v>5371</v>
      </c>
      <c r="C1802" s="341" t="s">
        <v>1146</v>
      </c>
      <c r="D1802" s="230" t="s">
        <v>1576</v>
      </c>
      <c r="E1802" s="230" t="s">
        <v>327</v>
      </c>
      <c r="F1802" s="242">
        <v>300</v>
      </c>
      <c r="G1802" s="205">
        <v>1</v>
      </c>
      <c r="H1802" s="206">
        <v>300</v>
      </c>
      <c r="I1802" s="207">
        <v>41490</v>
      </c>
      <c r="J1802" s="197" t="str">
        <f t="shared" si="84"/>
        <v>ok</v>
      </c>
      <c r="K1802" s="419"/>
      <c r="L1802" s="419"/>
      <c r="M1802" s="419"/>
      <c r="N1802" s="419"/>
      <c r="O1802" s="419"/>
      <c r="P1802" s="419"/>
      <c r="Q1802" s="419"/>
      <c r="R1802" s="419"/>
      <c r="S1802" s="419"/>
      <c r="T1802" s="419"/>
      <c r="U1802" s="419"/>
      <c r="V1802" s="419"/>
      <c r="W1802" s="419">
        <f t="shared" si="85"/>
        <v>0</v>
      </c>
      <c r="X1802" s="412"/>
      <c r="Y1802" s="412"/>
      <c r="Z1802" s="412"/>
      <c r="AA1802" s="412"/>
      <c r="AB1802" s="412"/>
      <c r="AC1802" s="412"/>
      <c r="AD1802" s="412"/>
      <c r="AE1802" s="427">
        <v>300</v>
      </c>
      <c r="AF1802" s="412"/>
      <c r="AG1802" s="412"/>
      <c r="AH1802" s="412"/>
      <c r="AI1802" s="412"/>
      <c r="AJ1802" s="412">
        <f t="shared" si="86"/>
        <v>300</v>
      </c>
      <c r="AK1802" s="208"/>
      <c r="AL1802" s="250" t="s">
        <v>2067</v>
      </c>
    </row>
    <row r="1803" spans="1:38" x14ac:dyDescent="0.2">
      <c r="A1803" t="s">
        <v>888</v>
      </c>
      <c r="B1803" s="209">
        <v>5372</v>
      </c>
      <c r="C1803" s="341" t="s">
        <v>914</v>
      </c>
      <c r="D1803" s="230" t="s">
        <v>1567</v>
      </c>
      <c r="E1803" s="230" t="s">
        <v>350</v>
      </c>
      <c r="F1803" s="242">
        <v>300</v>
      </c>
      <c r="G1803" s="205">
        <v>1</v>
      </c>
      <c r="H1803" s="206">
        <v>600</v>
      </c>
      <c r="I1803" s="207">
        <v>41490</v>
      </c>
      <c r="J1803" s="197" t="str">
        <f t="shared" si="84"/>
        <v>ok</v>
      </c>
      <c r="K1803" s="419"/>
      <c r="L1803" s="419"/>
      <c r="M1803" s="419"/>
      <c r="N1803" s="419"/>
      <c r="O1803" s="419"/>
      <c r="P1803" s="419"/>
      <c r="Q1803" s="419"/>
      <c r="R1803" s="419"/>
      <c r="S1803" s="419"/>
      <c r="T1803" s="419"/>
      <c r="U1803" s="419"/>
      <c r="V1803" s="419"/>
      <c r="W1803" s="419">
        <f t="shared" si="85"/>
        <v>0</v>
      </c>
      <c r="X1803" s="412"/>
      <c r="Y1803" s="412"/>
      <c r="Z1803" s="412"/>
      <c r="AA1803" s="412"/>
      <c r="AB1803" s="412"/>
      <c r="AC1803" s="412"/>
      <c r="AD1803" s="412">
        <v>300</v>
      </c>
      <c r="AE1803" s="427">
        <v>300</v>
      </c>
      <c r="AF1803" s="412"/>
      <c r="AG1803" s="412"/>
      <c r="AH1803" s="412"/>
      <c r="AI1803" s="412"/>
      <c r="AJ1803" s="412">
        <f t="shared" si="86"/>
        <v>600</v>
      </c>
      <c r="AK1803" s="208"/>
      <c r="AL1803" s="250" t="s">
        <v>2067</v>
      </c>
    </row>
    <row r="1804" spans="1:38" x14ac:dyDescent="0.2">
      <c r="A1804" t="s">
        <v>884</v>
      </c>
      <c r="B1804" s="209">
        <v>5373</v>
      </c>
      <c r="C1804" s="341" t="s">
        <v>775</v>
      </c>
      <c r="D1804" s="230" t="s">
        <v>1388</v>
      </c>
      <c r="E1804" s="230" t="s">
        <v>1207</v>
      </c>
      <c r="F1804" s="242">
        <v>300</v>
      </c>
      <c r="G1804" s="205">
        <v>1</v>
      </c>
      <c r="H1804" s="206">
        <v>300</v>
      </c>
      <c r="I1804" s="207">
        <v>41490</v>
      </c>
      <c r="J1804" s="197" t="str">
        <f t="shared" si="84"/>
        <v>ok</v>
      </c>
      <c r="K1804" s="419"/>
      <c r="L1804" s="419"/>
      <c r="M1804" s="419"/>
      <c r="N1804" s="419"/>
      <c r="O1804" s="419"/>
      <c r="P1804" s="419"/>
      <c r="Q1804" s="419"/>
      <c r="R1804" s="419"/>
      <c r="S1804" s="419"/>
      <c r="T1804" s="419"/>
      <c r="U1804" s="419"/>
      <c r="V1804" s="419"/>
      <c r="W1804" s="419">
        <f t="shared" si="85"/>
        <v>0</v>
      </c>
      <c r="X1804" s="412"/>
      <c r="Y1804" s="412"/>
      <c r="Z1804" s="412"/>
      <c r="AA1804" s="412"/>
      <c r="AB1804" s="412"/>
      <c r="AC1804" s="412"/>
      <c r="AD1804" s="412"/>
      <c r="AE1804" s="427">
        <v>300</v>
      </c>
      <c r="AF1804" s="412"/>
      <c r="AG1804" s="412"/>
      <c r="AH1804" s="412"/>
      <c r="AI1804" s="412"/>
      <c r="AJ1804" s="412">
        <f t="shared" si="86"/>
        <v>300</v>
      </c>
      <c r="AK1804" s="208"/>
      <c r="AL1804" s="250" t="s">
        <v>2067</v>
      </c>
    </row>
    <row r="1805" spans="1:38" x14ac:dyDescent="0.2">
      <c r="A1805" t="s">
        <v>890</v>
      </c>
      <c r="B1805" s="209">
        <v>5374</v>
      </c>
      <c r="C1805" s="341" t="s">
        <v>787</v>
      </c>
      <c r="D1805" s="230" t="s">
        <v>1618</v>
      </c>
      <c r="E1805" s="230" t="s">
        <v>1723</v>
      </c>
      <c r="F1805" s="242">
        <v>300</v>
      </c>
      <c r="G1805" s="205">
        <v>1</v>
      </c>
      <c r="H1805" s="206">
        <v>300</v>
      </c>
      <c r="I1805" s="207">
        <v>41490</v>
      </c>
      <c r="J1805" s="197" t="str">
        <f t="shared" si="84"/>
        <v>ok</v>
      </c>
      <c r="K1805" s="419"/>
      <c r="L1805" s="419"/>
      <c r="M1805" s="419"/>
      <c r="N1805" s="419"/>
      <c r="O1805" s="419"/>
      <c r="P1805" s="419"/>
      <c r="Q1805" s="419"/>
      <c r="R1805" s="419"/>
      <c r="S1805" s="419"/>
      <c r="T1805" s="419"/>
      <c r="U1805" s="419"/>
      <c r="V1805" s="419"/>
      <c r="W1805" s="419">
        <f t="shared" si="85"/>
        <v>0</v>
      </c>
      <c r="X1805" s="412"/>
      <c r="Y1805" s="412"/>
      <c r="Z1805" s="412"/>
      <c r="AA1805" s="412"/>
      <c r="AB1805" s="412"/>
      <c r="AC1805" s="412"/>
      <c r="AD1805" s="412"/>
      <c r="AE1805" s="427">
        <v>300</v>
      </c>
      <c r="AF1805" s="412"/>
      <c r="AG1805" s="412"/>
      <c r="AH1805" s="412"/>
      <c r="AI1805" s="412"/>
      <c r="AJ1805" s="412">
        <f t="shared" si="86"/>
        <v>300</v>
      </c>
      <c r="AK1805" s="208"/>
      <c r="AL1805" s="250" t="s">
        <v>2067</v>
      </c>
    </row>
    <row r="1806" spans="1:38" x14ac:dyDescent="0.2">
      <c r="A1806" t="s">
        <v>884</v>
      </c>
      <c r="B1806" s="209">
        <v>5375</v>
      </c>
      <c r="C1806" s="341" t="s">
        <v>852</v>
      </c>
      <c r="D1806" s="230" t="s">
        <v>1477</v>
      </c>
      <c r="E1806" s="230" t="s">
        <v>92</v>
      </c>
      <c r="F1806" s="242">
        <v>300</v>
      </c>
      <c r="G1806" s="205">
        <v>1</v>
      </c>
      <c r="H1806" s="206">
        <v>300</v>
      </c>
      <c r="I1806" s="207">
        <v>41490</v>
      </c>
      <c r="J1806" s="197" t="str">
        <f t="shared" ref="J1806:J1869" si="87">IF(OR(G1806&lt;&gt;1,SUM(W1806,AJ1806)=H1806),"ok","error")</f>
        <v>ok</v>
      </c>
      <c r="K1806" s="419"/>
      <c r="L1806" s="419"/>
      <c r="M1806" s="419"/>
      <c r="N1806" s="419"/>
      <c r="O1806" s="419"/>
      <c r="P1806" s="419"/>
      <c r="Q1806" s="419"/>
      <c r="R1806" s="419"/>
      <c r="S1806" s="419"/>
      <c r="T1806" s="419"/>
      <c r="U1806" s="419"/>
      <c r="V1806" s="419"/>
      <c r="W1806" s="419">
        <f t="shared" si="85"/>
        <v>0</v>
      </c>
      <c r="X1806" s="412"/>
      <c r="Y1806" s="412"/>
      <c r="Z1806" s="412"/>
      <c r="AA1806" s="412"/>
      <c r="AB1806" s="412"/>
      <c r="AC1806" s="412"/>
      <c r="AD1806" s="412">
        <v>300</v>
      </c>
      <c r="AE1806" s="427"/>
      <c r="AF1806" s="412"/>
      <c r="AG1806" s="412"/>
      <c r="AH1806" s="412"/>
      <c r="AI1806" s="412"/>
      <c r="AJ1806" s="412">
        <f t="shared" si="86"/>
        <v>300</v>
      </c>
      <c r="AK1806" s="208"/>
      <c r="AL1806" s="250" t="s">
        <v>2067</v>
      </c>
    </row>
    <row r="1807" spans="1:38" x14ac:dyDescent="0.2">
      <c r="A1807" t="s">
        <v>884</v>
      </c>
      <c r="B1807" s="209">
        <v>5376</v>
      </c>
      <c r="C1807" s="341" t="s">
        <v>867</v>
      </c>
      <c r="D1807" s="230" t="s">
        <v>1513</v>
      </c>
      <c r="E1807" s="230" t="s">
        <v>118</v>
      </c>
      <c r="F1807" s="242">
        <v>300</v>
      </c>
      <c r="G1807" s="205">
        <v>1</v>
      </c>
      <c r="H1807" s="206">
        <v>300</v>
      </c>
      <c r="I1807" s="207">
        <v>41490</v>
      </c>
      <c r="J1807" s="197" t="str">
        <f t="shared" si="87"/>
        <v>ok</v>
      </c>
      <c r="K1807" s="419"/>
      <c r="L1807" s="419"/>
      <c r="M1807" s="419"/>
      <c r="N1807" s="419"/>
      <c r="O1807" s="419"/>
      <c r="P1807" s="419"/>
      <c r="Q1807" s="419"/>
      <c r="R1807" s="419"/>
      <c r="S1807" s="419"/>
      <c r="T1807" s="419"/>
      <c r="U1807" s="419"/>
      <c r="V1807" s="419"/>
      <c r="W1807" s="419">
        <f t="shared" si="85"/>
        <v>0</v>
      </c>
      <c r="X1807" s="412"/>
      <c r="Y1807" s="412"/>
      <c r="Z1807" s="412"/>
      <c r="AA1807" s="412"/>
      <c r="AB1807" s="412"/>
      <c r="AC1807" s="412"/>
      <c r="AD1807" s="412"/>
      <c r="AE1807" s="427">
        <v>300</v>
      </c>
      <c r="AF1807" s="412"/>
      <c r="AG1807" s="412"/>
      <c r="AH1807" s="412"/>
      <c r="AI1807" s="412"/>
      <c r="AJ1807" s="412">
        <f t="shared" si="86"/>
        <v>300</v>
      </c>
      <c r="AK1807" s="208"/>
      <c r="AL1807" s="250" t="s">
        <v>2067</v>
      </c>
    </row>
    <row r="1808" spans="1:38" x14ac:dyDescent="0.2">
      <c r="A1808" t="s">
        <v>884</v>
      </c>
      <c r="B1808" s="209">
        <v>5377</v>
      </c>
      <c r="C1808" s="341" t="s">
        <v>817</v>
      </c>
      <c r="D1808" s="230" t="s">
        <v>1382</v>
      </c>
      <c r="E1808" s="230" t="s">
        <v>40</v>
      </c>
      <c r="F1808" s="242">
        <v>300</v>
      </c>
      <c r="G1808" s="205">
        <v>1</v>
      </c>
      <c r="H1808" s="206">
        <v>300</v>
      </c>
      <c r="I1808" s="207">
        <v>41490</v>
      </c>
      <c r="J1808" s="197" t="str">
        <f t="shared" si="87"/>
        <v>ok</v>
      </c>
      <c r="K1808" s="419"/>
      <c r="L1808" s="419"/>
      <c r="M1808" s="419"/>
      <c r="N1808" s="419"/>
      <c r="O1808" s="419"/>
      <c r="P1808" s="419"/>
      <c r="Q1808" s="419"/>
      <c r="R1808" s="419"/>
      <c r="S1808" s="419"/>
      <c r="T1808" s="419"/>
      <c r="U1808" s="419"/>
      <c r="V1808" s="419"/>
      <c r="W1808" s="419">
        <f t="shared" si="85"/>
        <v>0</v>
      </c>
      <c r="X1808" s="412"/>
      <c r="Y1808" s="412"/>
      <c r="Z1808" s="412"/>
      <c r="AA1808" s="412"/>
      <c r="AB1808" s="412"/>
      <c r="AC1808" s="412"/>
      <c r="AD1808" s="412"/>
      <c r="AE1808" s="427">
        <v>300</v>
      </c>
      <c r="AF1808" s="412"/>
      <c r="AG1808" s="412"/>
      <c r="AH1808" s="412"/>
      <c r="AI1808" s="412"/>
      <c r="AJ1808" s="412">
        <f t="shared" si="86"/>
        <v>300</v>
      </c>
      <c r="AK1808" s="208"/>
      <c r="AL1808" s="250" t="s">
        <v>2067</v>
      </c>
    </row>
    <row r="1809" spans="1:38" x14ac:dyDescent="0.2">
      <c r="A1809" t="s">
        <v>884</v>
      </c>
      <c r="B1809" s="209">
        <v>5378</v>
      </c>
      <c r="C1809" s="341" t="s">
        <v>799</v>
      </c>
      <c r="D1809" s="230" t="s">
        <v>1661</v>
      </c>
      <c r="E1809" s="230" t="s">
        <v>1722</v>
      </c>
      <c r="F1809" s="242">
        <v>300</v>
      </c>
      <c r="G1809" s="205">
        <v>1</v>
      </c>
      <c r="H1809" s="206">
        <v>300</v>
      </c>
      <c r="I1809" s="207">
        <v>41490</v>
      </c>
      <c r="J1809" s="197" t="str">
        <f t="shared" si="87"/>
        <v>ok</v>
      </c>
      <c r="K1809" s="419"/>
      <c r="L1809" s="419"/>
      <c r="M1809" s="419"/>
      <c r="N1809" s="419"/>
      <c r="O1809" s="419"/>
      <c r="P1809" s="419"/>
      <c r="Q1809" s="419"/>
      <c r="R1809" s="419"/>
      <c r="S1809" s="419"/>
      <c r="T1809" s="419"/>
      <c r="U1809" s="419"/>
      <c r="V1809" s="419"/>
      <c r="W1809" s="419">
        <f t="shared" si="85"/>
        <v>0</v>
      </c>
      <c r="X1809" s="412"/>
      <c r="Y1809" s="412"/>
      <c r="Z1809" s="412"/>
      <c r="AA1809" s="412"/>
      <c r="AB1809" s="412"/>
      <c r="AC1809" s="412"/>
      <c r="AD1809" s="412"/>
      <c r="AE1809" s="427">
        <v>300</v>
      </c>
      <c r="AF1809" s="412"/>
      <c r="AG1809" s="412"/>
      <c r="AH1809" s="412"/>
      <c r="AI1809" s="412"/>
      <c r="AJ1809" s="412">
        <f t="shared" si="86"/>
        <v>300</v>
      </c>
      <c r="AK1809" s="208"/>
      <c r="AL1809" s="250" t="s">
        <v>2067</v>
      </c>
    </row>
    <row r="1810" spans="1:38" x14ac:dyDescent="0.2">
      <c r="A1810" t="s">
        <v>892</v>
      </c>
      <c r="B1810" s="209">
        <v>5379</v>
      </c>
      <c r="C1810" s="341" t="s">
        <v>776</v>
      </c>
      <c r="D1810" s="230" t="s">
        <v>1413</v>
      </c>
      <c r="E1810" s="230" t="s">
        <v>736</v>
      </c>
      <c r="F1810" s="242">
        <v>300</v>
      </c>
      <c r="G1810" s="205">
        <v>1</v>
      </c>
      <c r="H1810" s="206">
        <v>300</v>
      </c>
      <c r="I1810" s="207">
        <v>41490</v>
      </c>
      <c r="J1810" s="197" t="str">
        <f t="shared" si="87"/>
        <v>ok</v>
      </c>
      <c r="K1810" s="419"/>
      <c r="L1810" s="419"/>
      <c r="M1810" s="419"/>
      <c r="N1810" s="419"/>
      <c r="O1810" s="419"/>
      <c r="P1810" s="419"/>
      <c r="Q1810" s="419"/>
      <c r="R1810" s="419"/>
      <c r="S1810" s="419"/>
      <c r="T1810" s="419"/>
      <c r="U1810" s="419"/>
      <c r="V1810" s="419"/>
      <c r="W1810" s="419">
        <f t="shared" si="85"/>
        <v>0</v>
      </c>
      <c r="X1810" s="412"/>
      <c r="Y1810" s="412"/>
      <c r="Z1810" s="412"/>
      <c r="AA1810" s="412"/>
      <c r="AB1810" s="412"/>
      <c r="AC1810" s="412"/>
      <c r="AD1810" s="412"/>
      <c r="AE1810" s="427">
        <v>300</v>
      </c>
      <c r="AF1810" s="412"/>
      <c r="AG1810" s="412"/>
      <c r="AH1810" s="412"/>
      <c r="AI1810" s="412"/>
      <c r="AJ1810" s="412">
        <f t="shared" si="86"/>
        <v>300</v>
      </c>
      <c r="AK1810" s="208"/>
      <c r="AL1810" s="250" t="s">
        <v>2067</v>
      </c>
    </row>
    <row r="1811" spans="1:38" x14ac:dyDescent="0.2">
      <c r="A1811" t="s">
        <v>891</v>
      </c>
      <c r="B1811" s="209">
        <v>5380</v>
      </c>
      <c r="C1811" s="341" t="s">
        <v>1054</v>
      </c>
      <c r="D1811" s="230" t="s">
        <v>1471</v>
      </c>
      <c r="E1811" s="230" t="s">
        <v>659</v>
      </c>
      <c r="F1811" s="242">
        <v>300</v>
      </c>
      <c r="G1811" s="205">
        <v>1</v>
      </c>
      <c r="H1811" s="206">
        <v>600</v>
      </c>
      <c r="I1811" s="207">
        <v>41490</v>
      </c>
      <c r="J1811" s="197" t="str">
        <f t="shared" si="87"/>
        <v>ok</v>
      </c>
      <c r="K1811" s="419"/>
      <c r="L1811" s="419"/>
      <c r="M1811" s="419"/>
      <c r="N1811" s="419"/>
      <c r="O1811" s="419"/>
      <c r="P1811" s="419"/>
      <c r="Q1811" s="419"/>
      <c r="R1811" s="419"/>
      <c r="S1811" s="419"/>
      <c r="T1811" s="419"/>
      <c r="U1811" s="419"/>
      <c r="V1811" s="419"/>
      <c r="W1811" s="419">
        <f t="shared" si="85"/>
        <v>0</v>
      </c>
      <c r="X1811" s="412"/>
      <c r="Y1811" s="412"/>
      <c r="Z1811" s="412"/>
      <c r="AA1811" s="412"/>
      <c r="AB1811" s="412"/>
      <c r="AC1811" s="412"/>
      <c r="AD1811" s="412">
        <v>300</v>
      </c>
      <c r="AE1811" s="427">
        <v>300</v>
      </c>
      <c r="AF1811" s="412"/>
      <c r="AG1811" s="412"/>
      <c r="AH1811" s="412"/>
      <c r="AI1811" s="412"/>
      <c r="AJ1811" s="412">
        <f t="shared" si="86"/>
        <v>600</v>
      </c>
      <c r="AK1811" s="208"/>
      <c r="AL1811" s="250" t="s">
        <v>2067</v>
      </c>
    </row>
    <row r="1812" spans="1:38" x14ac:dyDescent="0.2">
      <c r="A1812" t="s">
        <v>893</v>
      </c>
      <c r="B1812" s="209">
        <v>5381</v>
      </c>
      <c r="C1812" s="341" t="s">
        <v>779</v>
      </c>
      <c r="D1812" s="230" t="s">
        <v>1391</v>
      </c>
      <c r="E1812" s="230" t="s">
        <v>713</v>
      </c>
      <c r="F1812" s="242">
        <v>300</v>
      </c>
      <c r="G1812" s="205">
        <v>1</v>
      </c>
      <c r="H1812" s="206">
        <v>300</v>
      </c>
      <c r="I1812" s="207">
        <v>41490</v>
      </c>
      <c r="J1812" s="197" t="str">
        <f t="shared" si="87"/>
        <v>ok</v>
      </c>
      <c r="K1812" s="419"/>
      <c r="L1812" s="419"/>
      <c r="M1812" s="419"/>
      <c r="N1812" s="419"/>
      <c r="O1812" s="419"/>
      <c r="P1812" s="419"/>
      <c r="Q1812" s="419"/>
      <c r="R1812" s="419"/>
      <c r="S1812" s="419"/>
      <c r="T1812" s="419"/>
      <c r="U1812" s="419"/>
      <c r="V1812" s="419"/>
      <c r="W1812" s="419">
        <f t="shared" si="85"/>
        <v>0</v>
      </c>
      <c r="X1812" s="412"/>
      <c r="Y1812" s="412"/>
      <c r="Z1812" s="412"/>
      <c r="AA1812" s="412"/>
      <c r="AB1812" s="412"/>
      <c r="AC1812" s="412"/>
      <c r="AD1812" s="412"/>
      <c r="AE1812" s="427">
        <v>300</v>
      </c>
      <c r="AF1812" s="412"/>
      <c r="AG1812" s="412"/>
      <c r="AH1812" s="412"/>
      <c r="AI1812" s="412"/>
      <c r="AJ1812" s="412">
        <f t="shared" si="86"/>
        <v>300</v>
      </c>
      <c r="AK1812" s="208"/>
      <c r="AL1812" s="250" t="s">
        <v>2067</v>
      </c>
    </row>
    <row r="1813" spans="1:38" x14ac:dyDescent="0.2">
      <c r="A1813" t="s">
        <v>884</v>
      </c>
      <c r="B1813" s="209">
        <v>5382</v>
      </c>
      <c r="C1813" s="341" t="s">
        <v>1263</v>
      </c>
      <c r="D1813" s="230" t="s">
        <v>1606</v>
      </c>
      <c r="E1813" s="230" t="s">
        <v>137</v>
      </c>
      <c r="F1813" s="242">
        <v>300</v>
      </c>
      <c r="G1813" s="205">
        <v>1</v>
      </c>
      <c r="H1813" s="206">
        <v>600</v>
      </c>
      <c r="I1813" s="207">
        <v>41490</v>
      </c>
      <c r="J1813" s="197" t="str">
        <f t="shared" si="87"/>
        <v>ok</v>
      </c>
      <c r="K1813" s="419"/>
      <c r="L1813" s="419"/>
      <c r="M1813" s="419"/>
      <c r="N1813" s="419"/>
      <c r="O1813" s="419"/>
      <c r="P1813" s="419"/>
      <c r="Q1813" s="419"/>
      <c r="R1813" s="419"/>
      <c r="S1813" s="419"/>
      <c r="T1813" s="419"/>
      <c r="U1813" s="419"/>
      <c r="V1813" s="419"/>
      <c r="W1813" s="419">
        <f t="shared" si="85"/>
        <v>0</v>
      </c>
      <c r="X1813" s="412"/>
      <c r="Y1813" s="412"/>
      <c r="Z1813" s="412">
        <v>300</v>
      </c>
      <c r="AA1813" s="412">
        <v>300</v>
      </c>
      <c r="AB1813" s="412"/>
      <c r="AC1813" s="412"/>
      <c r="AD1813" s="412"/>
      <c r="AE1813" s="427"/>
      <c r="AF1813" s="412"/>
      <c r="AG1813" s="412"/>
      <c r="AH1813" s="412"/>
      <c r="AI1813" s="412"/>
      <c r="AJ1813" s="412">
        <f t="shared" si="86"/>
        <v>600</v>
      </c>
      <c r="AK1813" s="208"/>
      <c r="AL1813" s="250" t="s">
        <v>2067</v>
      </c>
    </row>
    <row r="1814" spans="1:38" x14ac:dyDescent="0.2">
      <c r="A1814" t="s">
        <v>893</v>
      </c>
      <c r="B1814" s="209">
        <v>5383</v>
      </c>
      <c r="C1814" s="341" t="s">
        <v>1113</v>
      </c>
      <c r="D1814" s="230" t="s">
        <v>1531</v>
      </c>
      <c r="E1814" s="230" t="s">
        <v>57</v>
      </c>
      <c r="F1814" s="242">
        <v>150</v>
      </c>
      <c r="G1814" s="205">
        <v>1</v>
      </c>
      <c r="H1814" s="206">
        <v>150</v>
      </c>
      <c r="I1814" s="207">
        <v>41490</v>
      </c>
      <c r="J1814" s="197" t="str">
        <f t="shared" si="87"/>
        <v>ok</v>
      </c>
      <c r="K1814" s="419"/>
      <c r="L1814" s="419"/>
      <c r="M1814" s="419"/>
      <c r="N1814" s="419"/>
      <c r="O1814" s="419"/>
      <c r="P1814" s="419"/>
      <c r="Q1814" s="419"/>
      <c r="R1814" s="419"/>
      <c r="S1814" s="419"/>
      <c r="T1814" s="419"/>
      <c r="U1814" s="419"/>
      <c r="V1814" s="419"/>
      <c r="W1814" s="419">
        <f t="shared" si="85"/>
        <v>0</v>
      </c>
      <c r="X1814" s="412"/>
      <c r="Y1814" s="412"/>
      <c r="Z1814" s="412"/>
      <c r="AA1814" s="412"/>
      <c r="AB1814" s="412"/>
      <c r="AC1814" s="412"/>
      <c r="AD1814" s="412"/>
      <c r="AE1814" s="427">
        <v>150</v>
      </c>
      <c r="AF1814" s="412"/>
      <c r="AG1814" s="412"/>
      <c r="AH1814" s="412"/>
      <c r="AI1814" s="412"/>
      <c r="AJ1814" s="412">
        <f t="shared" si="86"/>
        <v>150</v>
      </c>
      <c r="AK1814" s="208"/>
      <c r="AL1814" s="250" t="s">
        <v>2067</v>
      </c>
    </row>
    <row r="1815" spans="1:38" x14ac:dyDescent="0.2">
      <c r="A1815" t="s">
        <v>890</v>
      </c>
      <c r="B1815" s="209">
        <v>5384</v>
      </c>
      <c r="C1815" s="341" t="s">
        <v>1043</v>
      </c>
      <c r="D1815" s="230" t="s">
        <v>1568</v>
      </c>
      <c r="E1815" s="230" t="s">
        <v>554</v>
      </c>
      <c r="F1815" s="242">
        <v>300</v>
      </c>
      <c r="G1815" s="205">
        <v>1</v>
      </c>
      <c r="H1815" s="206">
        <v>600</v>
      </c>
      <c r="I1815" s="207">
        <v>41490</v>
      </c>
      <c r="J1815" s="197" t="str">
        <f t="shared" si="87"/>
        <v>ok</v>
      </c>
      <c r="K1815" s="419"/>
      <c r="L1815" s="419"/>
      <c r="M1815" s="419"/>
      <c r="N1815" s="419"/>
      <c r="O1815" s="419"/>
      <c r="P1815" s="419"/>
      <c r="Q1815" s="419"/>
      <c r="R1815" s="419"/>
      <c r="S1815" s="419"/>
      <c r="T1815" s="419"/>
      <c r="U1815" s="419"/>
      <c r="V1815" s="419"/>
      <c r="W1815" s="419">
        <f t="shared" si="85"/>
        <v>0</v>
      </c>
      <c r="X1815" s="412"/>
      <c r="Y1815" s="412"/>
      <c r="Z1815" s="412"/>
      <c r="AA1815" s="412"/>
      <c r="AB1815" s="412">
        <v>300</v>
      </c>
      <c r="AC1815" s="412">
        <v>300</v>
      </c>
      <c r="AD1815" s="412"/>
      <c r="AE1815" s="427"/>
      <c r="AF1815" s="412"/>
      <c r="AG1815" s="412"/>
      <c r="AH1815" s="412"/>
      <c r="AI1815" s="412"/>
      <c r="AJ1815" s="412">
        <f t="shared" si="86"/>
        <v>600</v>
      </c>
      <c r="AK1815" s="208"/>
      <c r="AL1815" s="250" t="s">
        <v>2067</v>
      </c>
    </row>
    <row r="1816" spans="1:38" x14ac:dyDescent="0.2">
      <c r="A1816" t="s">
        <v>884</v>
      </c>
      <c r="B1816" s="209">
        <v>5385</v>
      </c>
      <c r="C1816" s="341" t="s">
        <v>789</v>
      </c>
      <c r="D1816" s="230" t="s">
        <v>1485</v>
      </c>
      <c r="E1816" s="230" t="s">
        <v>1666</v>
      </c>
      <c r="F1816" s="242">
        <v>300</v>
      </c>
      <c r="G1816" s="205">
        <v>1</v>
      </c>
      <c r="H1816" s="206">
        <v>300</v>
      </c>
      <c r="I1816" s="207">
        <v>41490</v>
      </c>
      <c r="J1816" s="197" t="str">
        <f t="shared" si="87"/>
        <v>ok</v>
      </c>
      <c r="K1816" s="419"/>
      <c r="L1816" s="419"/>
      <c r="M1816" s="419"/>
      <c r="N1816" s="419"/>
      <c r="O1816" s="419"/>
      <c r="P1816" s="419"/>
      <c r="Q1816" s="419"/>
      <c r="R1816" s="419"/>
      <c r="S1816" s="419"/>
      <c r="T1816" s="419"/>
      <c r="U1816" s="419"/>
      <c r="V1816" s="419"/>
      <c r="W1816" s="419">
        <f t="shared" si="85"/>
        <v>0</v>
      </c>
      <c r="X1816" s="412"/>
      <c r="Y1816" s="412"/>
      <c r="Z1816" s="412"/>
      <c r="AA1816" s="412"/>
      <c r="AB1816" s="412"/>
      <c r="AC1816" s="412"/>
      <c r="AD1816" s="412"/>
      <c r="AE1816" s="427">
        <v>300</v>
      </c>
      <c r="AF1816" s="412"/>
      <c r="AG1816" s="412"/>
      <c r="AH1816" s="412"/>
      <c r="AI1816" s="412"/>
      <c r="AJ1816" s="412">
        <f t="shared" si="86"/>
        <v>300</v>
      </c>
      <c r="AK1816" s="208"/>
      <c r="AL1816" s="250" t="s">
        <v>2067</v>
      </c>
    </row>
    <row r="1817" spans="1:38" x14ac:dyDescent="0.2">
      <c r="A1817" t="s">
        <v>884</v>
      </c>
      <c r="B1817" s="209">
        <v>5386</v>
      </c>
      <c r="C1817" s="341" t="s">
        <v>848</v>
      </c>
      <c r="D1817" s="230" t="s">
        <v>1545</v>
      </c>
      <c r="E1817" s="230" t="s">
        <v>1206</v>
      </c>
      <c r="F1817" s="242">
        <v>300</v>
      </c>
      <c r="G1817" s="205">
        <v>1</v>
      </c>
      <c r="H1817" s="206">
        <v>300</v>
      </c>
      <c r="I1817" s="207">
        <v>41490</v>
      </c>
      <c r="J1817" s="197" t="str">
        <f t="shared" si="87"/>
        <v>ok</v>
      </c>
      <c r="K1817" s="419"/>
      <c r="L1817" s="419"/>
      <c r="M1817" s="419"/>
      <c r="N1817" s="419"/>
      <c r="O1817" s="419"/>
      <c r="P1817" s="419"/>
      <c r="Q1817" s="419"/>
      <c r="R1817" s="419"/>
      <c r="S1817" s="419"/>
      <c r="T1817" s="419"/>
      <c r="U1817" s="419"/>
      <c r="V1817" s="419"/>
      <c r="W1817" s="419">
        <f t="shared" si="85"/>
        <v>0</v>
      </c>
      <c r="X1817" s="412"/>
      <c r="Y1817" s="412"/>
      <c r="Z1817" s="412"/>
      <c r="AA1817" s="412"/>
      <c r="AB1817" s="412"/>
      <c r="AC1817" s="412"/>
      <c r="AD1817" s="412"/>
      <c r="AE1817" s="427">
        <v>300</v>
      </c>
      <c r="AF1817" s="412"/>
      <c r="AG1817" s="412"/>
      <c r="AH1817" s="412"/>
      <c r="AI1817" s="412"/>
      <c r="AJ1817" s="412">
        <f t="shared" si="86"/>
        <v>300</v>
      </c>
      <c r="AK1817" s="208"/>
      <c r="AL1817" s="250" t="s">
        <v>2067</v>
      </c>
    </row>
    <row r="1818" spans="1:38" x14ac:dyDescent="0.2">
      <c r="A1818" t="s">
        <v>884</v>
      </c>
      <c r="B1818" s="209">
        <v>5387</v>
      </c>
      <c r="C1818" s="341" t="s">
        <v>810</v>
      </c>
      <c r="D1818" s="230" t="s">
        <v>2063</v>
      </c>
      <c r="E1818" s="230" t="s">
        <v>30</v>
      </c>
      <c r="F1818" s="242">
        <v>300</v>
      </c>
      <c r="G1818" s="205">
        <v>1</v>
      </c>
      <c r="H1818" s="206">
        <v>1000</v>
      </c>
      <c r="I1818" s="207">
        <v>41490</v>
      </c>
      <c r="J1818" s="197" t="str">
        <f t="shared" si="87"/>
        <v>ok</v>
      </c>
      <c r="K1818" s="419"/>
      <c r="L1818" s="419"/>
      <c r="M1818" s="419"/>
      <c r="N1818" s="419"/>
      <c r="O1818" s="419"/>
      <c r="P1818" s="419"/>
      <c r="Q1818" s="419"/>
      <c r="R1818" s="419"/>
      <c r="S1818" s="419"/>
      <c r="T1818" s="419"/>
      <c r="U1818" s="419"/>
      <c r="V1818" s="419"/>
      <c r="W1818" s="419">
        <f t="shared" si="85"/>
        <v>0</v>
      </c>
      <c r="X1818" s="412">
        <v>300</v>
      </c>
      <c r="Y1818" s="412">
        <v>300</v>
      </c>
      <c r="Z1818" s="412">
        <v>300</v>
      </c>
      <c r="AA1818" s="412">
        <v>100</v>
      </c>
      <c r="AB1818" s="412"/>
      <c r="AC1818" s="412"/>
      <c r="AD1818" s="412"/>
      <c r="AE1818" s="427"/>
      <c r="AF1818" s="412"/>
      <c r="AG1818" s="412"/>
      <c r="AH1818" s="412"/>
      <c r="AI1818" s="412"/>
      <c r="AJ1818" s="412">
        <f t="shared" si="86"/>
        <v>1000</v>
      </c>
      <c r="AK1818" s="208"/>
      <c r="AL1818" s="250" t="s">
        <v>2067</v>
      </c>
    </row>
    <row r="1819" spans="1:38" x14ac:dyDescent="0.2">
      <c r="A1819" t="s">
        <v>888</v>
      </c>
      <c r="B1819" s="209">
        <v>5388</v>
      </c>
      <c r="C1819" s="341" t="s">
        <v>786</v>
      </c>
      <c r="D1819" s="230" t="s">
        <v>1588</v>
      </c>
      <c r="E1819" s="230" t="s">
        <v>718</v>
      </c>
      <c r="F1819" s="242">
        <v>300</v>
      </c>
      <c r="G1819" s="205">
        <v>1</v>
      </c>
      <c r="H1819" s="206">
        <v>900</v>
      </c>
      <c r="I1819" s="207">
        <v>41490</v>
      </c>
      <c r="J1819" s="197" t="str">
        <f t="shared" si="87"/>
        <v>ok</v>
      </c>
      <c r="K1819" s="419"/>
      <c r="L1819" s="419"/>
      <c r="M1819" s="419"/>
      <c r="N1819" s="419"/>
      <c r="O1819" s="419"/>
      <c r="P1819" s="419"/>
      <c r="Q1819" s="419"/>
      <c r="R1819" s="419"/>
      <c r="S1819" s="419"/>
      <c r="T1819" s="419"/>
      <c r="U1819" s="419"/>
      <c r="V1819" s="419"/>
      <c r="W1819" s="419">
        <f t="shared" si="85"/>
        <v>0</v>
      </c>
      <c r="X1819" s="412"/>
      <c r="Y1819" s="412"/>
      <c r="Z1819" s="412"/>
      <c r="AA1819" s="412"/>
      <c r="AB1819" s="412"/>
      <c r="AC1819" s="412">
        <v>300</v>
      </c>
      <c r="AD1819" s="412">
        <v>300</v>
      </c>
      <c r="AE1819" s="427">
        <v>300</v>
      </c>
      <c r="AF1819" s="412"/>
      <c r="AG1819" s="412"/>
      <c r="AH1819" s="412"/>
      <c r="AI1819" s="412"/>
      <c r="AJ1819" s="412">
        <f t="shared" si="86"/>
        <v>900</v>
      </c>
      <c r="AK1819" s="208"/>
      <c r="AL1819" s="250" t="s">
        <v>2067</v>
      </c>
    </row>
    <row r="1820" spans="1:38" x14ac:dyDescent="0.2">
      <c r="A1820" t="s">
        <v>890</v>
      </c>
      <c r="B1820" s="209">
        <v>5389</v>
      </c>
      <c r="C1820" s="341" t="s">
        <v>999</v>
      </c>
      <c r="D1820" s="230" t="s">
        <v>1634</v>
      </c>
      <c r="E1820" s="230" t="s">
        <v>489</v>
      </c>
      <c r="F1820" s="242">
        <v>300</v>
      </c>
      <c r="G1820" s="205">
        <v>1</v>
      </c>
      <c r="H1820" s="206">
        <v>300</v>
      </c>
      <c r="I1820" s="207">
        <v>41490</v>
      </c>
      <c r="J1820" s="197" t="str">
        <f t="shared" si="87"/>
        <v>ok</v>
      </c>
      <c r="K1820" s="419"/>
      <c r="L1820" s="419"/>
      <c r="M1820" s="419"/>
      <c r="N1820" s="419"/>
      <c r="O1820" s="419"/>
      <c r="P1820" s="419"/>
      <c r="Q1820" s="419"/>
      <c r="R1820" s="419"/>
      <c r="S1820" s="419"/>
      <c r="T1820" s="419"/>
      <c r="U1820" s="419"/>
      <c r="V1820" s="419"/>
      <c r="W1820" s="419">
        <f t="shared" si="85"/>
        <v>0</v>
      </c>
      <c r="X1820" s="412"/>
      <c r="Y1820" s="412"/>
      <c r="Z1820" s="412"/>
      <c r="AA1820" s="412">
        <v>300</v>
      </c>
      <c r="AB1820" s="412"/>
      <c r="AC1820" s="412"/>
      <c r="AD1820" s="412"/>
      <c r="AE1820" s="427"/>
      <c r="AF1820" s="412"/>
      <c r="AG1820" s="412"/>
      <c r="AH1820" s="412"/>
      <c r="AI1820" s="412"/>
      <c r="AJ1820" s="412">
        <f t="shared" si="86"/>
        <v>300</v>
      </c>
      <c r="AK1820" s="208"/>
      <c r="AL1820" s="250" t="s">
        <v>2067</v>
      </c>
    </row>
    <row r="1821" spans="1:38" x14ac:dyDescent="0.2">
      <c r="A1821" t="s">
        <v>884</v>
      </c>
      <c r="B1821" s="209">
        <v>5390</v>
      </c>
      <c r="C1821" s="341" t="s">
        <v>794</v>
      </c>
      <c r="D1821" s="230" t="s">
        <v>1518</v>
      </c>
      <c r="E1821" s="230" t="s">
        <v>6</v>
      </c>
      <c r="F1821" s="242">
        <v>100</v>
      </c>
      <c r="G1821" s="205">
        <v>1</v>
      </c>
      <c r="H1821" s="206">
        <v>200</v>
      </c>
      <c r="I1821" s="207">
        <v>41490</v>
      </c>
      <c r="J1821" s="197" t="str">
        <f t="shared" si="87"/>
        <v>ok</v>
      </c>
      <c r="K1821" s="419"/>
      <c r="L1821" s="419"/>
      <c r="M1821" s="419"/>
      <c r="N1821" s="419"/>
      <c r="O1821" s="419"/>
      <c r="P1821" s="419"/>
      <c r="Q1821" s="419"/>
      <c r="R1821" s="419"/>
      <c r="S1821" s="419"/>
      <c r="T1821" s="419"/>
      <c r="U1821" s="419"/>
      <c r="V1821" s="419"/>
      <c r="W1821" s="419">
        <f t="shared" si="85"/>
        <v>0</v>
      </c>
      <c r="X1821" s="412"/>
      <c r="Y1821" s="412"/>
      <c r="Z1821" s="412"/>
      <c r="AA1821" s="412"/>
      <c r="AB1821" s="412"/>
      <c r="AC1821" s="412"/>
      <c r="AD1821" s="412">
        <v>100</v>
      </c>
      <c r="AE1821" s="427">
        <v>100</v>
      </c>
      <c r="AF1821" s="412"/>
      <c r="AG1821" s="412"/>
      <c r="AH1821" s="412"/>
      <c r="AI1821" s="412"/>
      <c r="AJ1821" s="412">
        <f t="shared" si="86"/>
        <v>200</v>
      </c>
      <c r="AK1821" s="208"/>
      <c r="AL1821" s="250" t="s">
        <v>2067</v>
      </c>
    </row>
    <row r="1822" spans="1:38" x14ac:dyDescent="0.2">
      <c r="A1822" t="s">
        <v>884</v>
      </c>
      <c r="B1822" s="209">
        <v>5391</v>
      </c>
      <c r="C1822" s="341" t="s">
        <v>792</v>
      </c>
      <c r="D1822" s="230" t="s">
        <v>1517</v>
      </c>
      <c r="E1822" s="230" t="s">
        <v>3</v>
      </c>
      <c r="F1822" s="242">
        <v>100</v>
      </c>
      <c r="G1822" s="205">
        <v>1</v>
      </c>
      <c r="H1822" s="206">
        <v>100</v>
      </c>
      <c r="I1822" s="207">
        <v>41490</v>
      </c>
      <c r="J1822" s="197" t="str">
        <f t="shared" si="87"/>
        <v>ok</v>
      </c>
      <c r="K1822" s="419"/>
      <c r="L1822" s="419"/>
      <c r="M1822" s="419"/>
      <c r="N1822" s="419"/>
      <c r="O1822" s="419"/>
      <c r="P1822" s="419"/>
      <c r="Q1822" s="419"/>
      <c r="R1822" s="419"/>
      <c r="S1822" s="419"/>
      <c r="T1822" s="419"/>
      <c r="U1822" s="419"/>
      <c r="V1822" s="419"/>
      <c r="W1822" s="419">
        <f t="shared" si="85"/>
        <v>0</v>
      </c>
      <c r="X1822" s="412"/>
      <c r="Y1822" s="412"/>
      <c r="Z1822" s="412"/>
      <c r="AA1822" s="412"/>
      <c r="AB1822" s="412"/>
      <c r="AC1822" s="412"/>
      <c r="AD1822" s="412"/>
      <c r="AE1822" s="427">
        <v>100</v>
      </c>
      <c r="AF1822" s="412"/>
      <c r="AG1822" s="412"/>
      <c r="AH1822" s="412"/>
      <c r="AI1822" s="412"/>
      <c r="AJ1822" s="412">
        <f t="shared" si="86"/>
        <v>100</v>
      </c>
      <c r="AK1822" s="208"/>
      <c r="AL1822" s="250" t="s">
        <v>2067</v>
      </c>
    </row>
    <row r="1823" spans="1:38" x14ac:dyDescent="0.2">
      <c r="A1823" t="s">
        <v>884</v>
      </c>
      <c r="B1823" s="209">
        <v>5392</v>
      </c>
      <c r="C1823" s="341" t="s">
        <v>827</v>
      </c>
      <c r="D1823" s="230" t="s">
        <v>1431</v>
      </c>
      <c r="E1823" s="230" t="s">
        <v>1271</v>
      </c>
      <c r="F1823" s="242">
        <v>300</v>
      </c>
      <c r="G1823" s="205">
        <v>1</v>
      </c>
      <c r="H1823" s="206">
        <v>600</v>
      </c>
      <c r="I1823" s="207">
        <v>41490</v>
      </c>
      <c r="J1823" s="197" t="str">
        <f t="shared" si="87"/>
        <v>ok</v>
      </c>
      <c r="K1823" s="419"/>
      <c r="L1823" s="419"/>
      <c r="M1823" s="419"/>
      <c r="N1823" s="419"/>
      <c r="O1823" s="419"/>
      <c r="P1823" s="419"/>
      <c r="Q1823" s="419"/>
      <c r="R1823" s="419"/>
      <c r="S1823" s="419"/>
      <c r="T1823" s="419"/>
      <c r="U1823" s="419"/>
      <c r="V1823" s="419"/>
      <c r="W1823" s="419">
        <f t="shared" si="85"/>
        <v>0</v>
      </c>
      <c r="X1823" s="412"/>
      <c r="Y1823" s="412"/>
      <c r="Z1823" s="412"/>
      <c r="AA1823" s="412"/>
      <c r="AB1823" s="412"/>
      <c r="AC1823" s="412">
        <v>300</v>
      </c>
      <c r="AD1823" s="412">
        <v>300</v>
      </c>
      <c r="AE1823" s="427"/>
      <c r="AF1823" s="412"/>
      <c r="AG1823" s="412"/>
      <c r="AH1823" s="412"/>
      <c r="AI1823" s="412"/>
      <c r="AJ1823" s="412">
        <f t="shared" si="86"/>
        <v>600</v>
      </c>
      <c r="AK1823" s="208"/>
      <c r="AL1823" s="250" t="s">
        <v>2067</v>
      </c>
    </row>
    <row r="1824" spans="1:38" x14ac:dyDescent="0.2">
      <c r="A1824" t="s">
        <v>890</v>
      </c>
      <c r="B1824" s="209">
        <v>5393</v>
      </c>
      <c r="C1824" s="341" t="s">
        <v>1027</v>
      </c>
      <c r="D1824" s="230" t="s">
        <v>1565</v>
      </c>
      <c r="E1824" s="230" t="s">
        <v>527</v>
      </c>
      <c r="F1824" s="242">
        <v>300</v>
      </c>
      <c r="G1824" s="205">
        <v>1</v>
      </c>
      <c r="H1824" s="206">
        <v>300</v>
      </c>
      <c r="I1824" s="207">
        <v>41490</v>
      </c>
      <c r="J1824" s="197" t="str">
        <f t="shared" si="87"/>
        <v>ok</v>
      </c>
      <c r="K1824" s="419"/>
      <c r="L1824" s="419"/>
      <c r="M1824" s="419"/>
      <c r="N1824" s="419"/>
      <c r="O1824" s="419"/>
      <c r="P1824" s="419"/>
      <c r="Q1824" s="419"/>
      <c r="R1824" s="419"/>
      <c r="S1824" s="419"/>
      <c r="T1824" s="419"/>
      <c r="U1824" s="419"/>
      <c r="V1824" s="419"/>
      <c r="W1824" s="419">
        <f t="shared" si="85"/>
        <v>0</v>
      </c>
      <c r="X1824" s="412"/>
      <c r="Y1824" s="412"/>
      <c r="Z1824" s="412"/>
      <c r="AA1824" s="412"/>
      <c r="AB1824" s="412"/>
      <c r="AC1824" s="412"/>
      <c r="AD1824" s="412"/>
      <c r="AE1824" s="427">
        <v>300</v>
      </c>
      <c r="AF1824" s="412"/>
      <c r="AG1824" s="412"/>
      <c r="AH1824" s="412"/>
      <c r="AI1824" s="412"/>
      <c r="AJ1824" s="412">
        <f t="shared" si="86"/>
        <v>300</v>
      </c>
      <c r="AK1824" s="208"/>
      <c r="AL1824" s="250" t="s">
        <v>2067</v>
      </c>
    </row>
    <row r="1825" spans="1:38" x14ac:dyDescent="0.2">
      <c r="A1825" t="s">
        <v>888</v>
      </c>
      <c r="B1825" s="209">
        <v>5394</v>
      </c>
      <c r="C1825" s="341" t="s">
        <v>1336</v>
      </c>
      <c r="D1825" s="230" t="s">
        <v>1381</v>
      </c>
      <c r="E1825" s="230" t="s">
        <v>1306</v>
      </c>
      <c r="F1825" s="242">
        <v>450</v>
      </c>
      <c r="G1825" s="205">
        <v>5</v>
      </c>
      <c r="H1825" s="206">
        <v>20</v>
      </c>
      <c r="I1825" s="207">
        <v>41490</v>
      </c>
      <c r="J1825" s="197" t="str">
        <f t="shared" si="87"/>
        <v>ok</v>
      </c>
      <c r="K1825" s="419"/>
      <c r="L1825" s="419"/>
      <c r="M1825" s="419"/>
      <c r="N1825" s="419"/>
      <c r="O1825" s="419"/>
      <c r="P1825" s="419"/>
      <c r="Q1825" s="419"/>
      <c r="R1825" s="419"/>
      <c r="S1825" s="419"/>
      <c r="T1825" s="419"/>
      <c r="U1825" s="419"/>
      <c r="V1825" s="419"/>
      <c r="W1825" s="419">
        <f t="shared" si="85"/>
        <v>0</v>
      </c>
      <c r="X1825" s="412"/>
      <c r="Y1825" s="412"/>
      <c r="Z1825" s="412"/>
      <c r="AA1825" s="412"/>
      <c r="AB1825" s="412"/>
      <c r="AC1825" s="412"/>
      <c r="AD1825" s="412"/>
      <c r="AE1825" s="427"/>
      <c r="AF1825" s="412"/>
      <c r="AG1825" s="412"/>
      <c r="AH1825" s="412"/>
      <c r="AI1825" s="412"/>
      <c r="AJ1825" s="412">
        <f t="shared" si="86"/>
        <v>0</v>
      </c>
      <c r="AK1825" s="208"/>
      <c r="AL1825" s="250" t="s">
        <v>2068</v>
      </c>
    </row>
    <row r="1826" spans="1:38" x14ac:dyDescent="0.2">
      <c r="A1826" t="s">
        <v>884</v>
      </c>
      <c r="B1826" s="209">
        <v>5395</v>
      </c>
      <c r="C1826" s="341" t="s">
        <v>783</v>
      </c>
      <c r="D1826" s="230" t="s">
        <v>1572</v>
      </c>
      <c r="E1826" s="230" t="s">
        <v>1202</v>
      </c>
      <c r="F1826" s="242">
        <v>300</v>
      </c>
      <c r="G1826" s="205">
        <v>1</v>
      </c>
      <c r="H1826" s="206">
        <v>300</v>
      </c>
      <c r="I1826" s="207">
        <v>41490</v>
      </c>
      <c r="J1826" s="197" t="str">
        <f t="shared" si="87"/>
        <v>ok</v>
      </c>
      <c r="K1826" s="419"/>
      <c r="L1826" s="419"/>
      <c r="M1826" s="419"/>
      <c r="N1826" s="419"/>
      <c r="O1826" s="419"/>
      <c r="P1826" s="419"/>
      <c r="Q1826" s="419"/>
      <c r="R1826" s="419"/>
      <c r="S1826" s="419"/>
      <c r="T1826" s="419"/>
      <c r="U1826" s="419"/>
      <c r="V1826" s="419"/>
      <c r="W1826" s="419">
        <f t="shared" si="85"/>
        <v>0</v>
      </c>
      <c r="X1826" s="412"/>
      <c r="Y1826" s="412"/>
      <c r="Z1826" s="412"/>
      <c r="AA1826" s="412"/>
      <c r="AB1826" s="412"/>
      <c r="AC1826" s="412"/>
      <c r="AD1826" s="412"/>
      <c r="AE1826" s="427">
        <v>300</v>
      </c>
      <c r="AF1826" s="412"/>
      <c r="AG1826" s="412"/>
      <c r="AH1826" s="412"/>
      <c r="AI1826" s="412"/>
      <c r="AJ1826" s="412">
        <f t="shared" si="86"/>
        <v>300</v>
      </c>
      <c r="AK1826" s="208"/>
      <c r="AL1826" s="250" t="s">
        <v>2067</v>
      </c>
    </row>
    <row r="1827" spans="1:38" x14ac:dyDescent="0.2">
      <c r="A1827" t="s">
        <v>884</v>
      </c>
      <c r="B1827" s="209">
        <v>5395</v>
      </c>
      <c r="C1827" s="341" t="s">
        <v>783</v>
      </c>
      <c r="D1827" s="230" t="s">
        <v>1572</v>
      </c>
      <c r="E1827" s="230" t="s">
        <v>1202</v>
      </c>
      <c r="F1827" s="242">
        <v>300</v>
      </c>
      <c r="G1827" s="205">
        <v>5</v>
      </c>
      <c r="H1827" s="206">
        <v>80</v>
      </c>
      <c r="I1827" s="207">
        <v>41490</v>
      </c>
      <c r="J1827" s="197" t="str">
        <f t="shared" si="87"/>
        <v>ok</v>
      </c>
      <c r="K1827" s="419"/>
      <c r="L1827" s="419"/>
      <c r="M1827" s="419"/>
      <c r="N1827" s="419"/>
      <c r="O1827" s="419"/>
      <c r="P1827" s="419"/>
      <c r="Q1827" s="419"/>
      <c r="R1827" s="419"/>
      <c r="S1827" s="419"/>
      <c r="T1827" s="419"/>
      <c r="U1827" s="419"/>
      <c r="V1827" s="419"/>
      <c r="W1827" s="419">
        <f t="shared" si="85"/>
        <v>0</v>
      </c>
      <c r="X1827" s="412"/>
      <c r="Y1827" s="412"/>
      <c r="Z1827" s="412"/>
      <c r="AA1827" s="412"/>
      <c r="AB1827" s="412"/>
      <c r="AC1827" s="412"/>
      <c r="AD1827" s="412"/>
      <c r="AE1827" s="427"/>
      <c r="AF1827" s="412"/>
      <c r="AG1827" s="412"/>
      <c r="AH1827" s="412"/>
      <c r="AI1827" s="412"/>
      <c r="AJ1827" s="412">
        <f t="shared" si="86"/>
        <v>0</v>
      </c>
      <c r="AK1827" s="208"/>
      <c r="AL1827" s="250" t="s">
        <v>2068</v>
      </c>
    </row>
    <row r="1828" spans="1:38" x14ac:dyDescent="0.2">
      <c r="A1828" t="s">
        <v>894</v>
      </c>
      <c r="B1828" s="209">
        <v>5396</v>
      </c>
      <c r="C1828" s="341" t="s">
        <v>1167</v>
      </c>
      <c r="D1828" s="230" t="s">
        <v>1432</v>
      </c>
      <c r="E1828" s="230" t="s">
        <v>617</v>
      </c>
      <c r="F1828" s="242">
        <v>250</v>
      </c>
      <c r="G1828" s="205">
        <v>1</v>
      </c>
      <c r="H1828" s="206">
        <v>250</v>
      </c>
      <c r="I1828" s="207">
        <v>41490</v>
      </c>
      <c r="J1828" s="197" t="str">
        <f t="shared" si="87"/>
        <v>ok</v>
      </c>
      <c r="K1828" s="419"/>
      <c r="L1828" s="419"/>
      <c r="M1828" s="419"/>
      <c r="N1828" s="419"/>
      <c r="O1828" s="419"/>
      <c r="P1828" s="419"/>
      <c r="Q1828" s="419"/>
      <c r="R1828" s="419"/>
      <c r="S1828" s="419"/>
      <c r="T1828" s="419"/>
      <c r="U1828" s="419"/>
      <c r="V1828" s="419"/>
      <c r="W1828" s="419">
        <f t="shared" si="85"/>
        <v>0</v>
      </c>
      <c r="X1828" s="412"/>
      <c r="Y1828" s="412"/>
      <c r="Z1828" s="412"/>
      <c r="AA1828" s="412"/>
      <c r="AB1828" s="412"/>
      <c r="AC1828" s="412"/>
      <c r="AD1828" s="412"/>
      <c r="AE1828" s="427">
        <v>250</v>
      </c>
      <c r="AF1828" s="412"/>
      <c r="AG1828" s="412"/>
      <c r="AH1828" s="412"/>
      <c r="AI1828" s="412"/>
      <c r="AJ1828" s="412">
        <f t="shared" si="86"/>
        <v>250</v>
      </c>
      <c r="AK1828" s="208"/>
      <c r="AL1828" s="250" t="s">
        <v>2067</v>
      </c>
    </row>
    <row r="1829" spans="1:38" x14ac:dyDescent="0.2">
      <c r="A1829" t="s">
        <v>894</v>
      </c>
      <c r="B1829" s="209">
        <v>5397</v>
      </c>
      <c r="C1829" s="341" t="s">
        <v>1163</v>
      </c>
      <c r="D1829" s="230" t="s">
        <v>1492</v>
      </c>
      <c r="E1829" s="230" t="s">
        <v>1225</v>
      </c>
      <c r="F1829" s="242">
        <v>250</v>
      </c>
      <c r="G1829" s="205">
        <v>1</v>
      </c>
      <c r="H1829" s="206">
        <v>250</v>
      </c>
      <c r="I1829" s="207">
        <v>41490</v>
      </c>
      <c r="J1829" s="197" t="str">
        <f t="shared" si="87"/>
        <v>ok</v>
      </c>
      <c r="K1829" s="419"/>
      <c r="L1829" s="419"/>
      <c r="M1829" s="419"/>
      <c r="N1829" s="419"/>
      <c r="O1829" s="419"/>
      <c r="P1829" s="419"/>
      <c r="Q1829" s="419"/>
      <c r="R1829" s="419"/>
      <c r="S1829" s="419"/>
      <c r="T1829" s="419"/>
      <c r="U1829" s="419"/>
      <c r="V1829" s="419"/>
      <c r="W1829" s="419">
        <f t="shared" si="85"/>
        <v>0</v>
      </c>
      <c r="X1829" s="412"/>
      <c r="Y1829" s="412"/>
      <c r="Z1829" s="412"/>
      <c r="AA1829" s="412"/>
      <c r="AB1829" s="412"/>
      <c r="AC1829" s="412"/>
      <c r="AD1829" s="412"/>
      <c r="AE1829" s="427">
        <v>250</v>
      </c>
      <c r="AF1829" s="412"/>
      <c r="AG1829" s="412"/>
      <c r="AH1829" s="412"/>
      <c r="AI1829" s="412"/>
      <c r="AJ1829" s="412">
        <f t="shared" si="86"/>
        <v>250</v>
      </c>
      <c r="AK1829" s="208"/>
      <c r="AL1829" s="250" t="s">
        <v>2067</v>
      </c>
    </row>
    <row r="1830" spans="1:38" x14ac:dyDescent="0.2">
      <c r="A1830" t="s">
        <v>884</v>
      </c>
      <c r="B1830" s="209">
        <v>5398</v>
      </c>
      <c r="C1830" s="341" t="s">
        <v>843</v>
      </c>
      <c r="D1830" s="230" t="s">
        <v>1434</v>
      </c>
      <c r="E1830" s="230" t="s">
        <v>1189</v>
      </c>
      <c r="F1830" s="242">
        <v>300</v>
      </c>
      <c r="G1830" s="205">
        <v>1</v>
      </c>
      <c r="H1830" s="206">
        <v>300</v>
      </c>
      <c r="I1830" s="207">
        <v>41490</v>
      </c>
      <c r="J1830" s="197" t="str">
        <f t="shared" si="87"/>
        <v>ok</v>
      </c>
      <c r="K1830" s="419"/>
      <c r="L1830" s="419"/>
      <c r="M1830" s="419"/>
      <c r="N1830" s="419"/>
      <c r="O1830" s="419"/>
      <c r="P1830" s="419"/>
      <c r="Q1830" s="419"/>
      <c r="R1830" s="419"/>
      <c r="S1830" s="419"/>
      <c r="T1830" s="419"/>
      <c r="U1830" s="419"/>
      <c r="V1830" s="419"/>
      <c r="W1830" s="419">
        <f t="shared" si="85"/>
        <v>0</v>
      </c>
      <c r="X1830" s="412"/>
      <c r="Y1830" s="412"/>
      <c r="Z1830" s="412"/>
      <c r="AA1830" s="412"/>
      <c r="AB1830" s="412"/>
      <c r="AC1830" s="412"/>
      <c r="AD1830" s="412"/>
      <c r="AE1830" s="427">
        <v>300</v>
      </c>
      <c r="AF1830" s="412"/>
      <c r="AG1830" s="412"/>
      <c r="AH1830" s="412"/>
      <c r="AI1830" s="412"/>
      <c r="AJ1830" s="412">
        <f t="shared" si="86"/>
        <v>300</v>
      </c>
      <c r="AK1830" s="208"/>
      <c r="AL1830" s="250" t="s">
        <v>2067</v>
      </c>
    </row>
    <row r="1831" spans="1:38" x14ac:dyDescent="0.2">
      <c r="A1831" t="s">
        <v>884</v>
      </c>
      <c r="B1831" s="209">
        <v>5399</v>
      </c>
      <c r="C1831" s="341" t="s">
        <v>849</v>
      </c>
      <c r="D1831" s="230" t="s">
        <v>1558</v>
      </c>
      <c r="E1831" s="230" t="s">
        <v>89</v>
      </c>
      <c r="F1831" s="242">
        <v>150</v>
      </c>
      <c r="G1831" s="205">
        <v>1</v>
      </c>
      <c r="H1831" s="206">
        <v>150</v>
      </c>
      <c r="I1831" s="207">
        <v>41493</v>
      </c>
      <c r="J1831" s="197" t="str">
        <f t="shared" si="87"/>
        <v>ok</v>
      </c>
      <c r="K1831" s="419"/>
      <c r="L1831" s="419"/>
      <c r="M1831" s="419"/>
      <c r="N1831" s="419"/>
      <c r="O1831" s="419"/>
      <c r="P1831" s="419"/>
      <c r="Q1831" s="419"/>
      <c r="R1831" s="419"/>
      <c r="S1831" s="419"/>
      <c r="T1831" s="419"/>
      <c r="U1831" s="419"/>
      <c r="V1831" s="419"/>
      <c r="W1831" s="419">
        <f t="shared" si="85"/>
        <v>0</v>
      </c>
      <c r="X1831" s="412"/>
      <c r="Y1831" s="412"/>
      <c r="Z1831" s="412"/>
      <c r="AA1831" s="412"/>
      <c r="AB1831" s="412"/>
      <c r="AC1831" s="412">
        <v>150</v>
      </c>
      <c r="AD1831" s="412"/>
      <c r="AE1831" s="427"/>
      <c r="AF1831" s="412"/>
      <c r="AG1831" s="412"/>
      <c r="AH1831" s="412"/>
      <c r="AI1831" s="412"/>
      <c r="AJ1831" s="412">
        <f t="shared" si="86"/>
        <v>150</v>
      </c>
      <c r="AK1831" s="208"/>
      <c r="AL1831" s="250" t="s">
        <v>2067</v>
      </c>
    </row>
    <row r="1832" spans="1:38" x14ac:dyDescent="0.2">
      <c r="A1832" t="s">
        <v>884</v>
      </c>
      <c r="B1832" s="209">
        <v>5399</v>
      </c>
      <c r="C1832" s="341" t="s">
        <v>849</v>
      </c>
      <c r="D1832" s="230" t="s">
        <v>1558</v>
      </c>
      <c r="E1832" s="230" t="s">
        <v>89</v>
      </c>
      <c r="F1832" s="242">
        <v>150</v>
      </c>
      <c r="G1832" s="205">
        <v>4</v>
      </c>
      <c r="H1832" s="206">
        <v>160</v>
      </c>
      <c r="I1832" s="207">
        <v>41493</v>
      </c>
      <c r="J1832" s="197" t="str">
        <f t="shared" si="87"/>
        <v>ok</v>
      </c>
      <c r="K1832" s="419"/>
      <c r="L1832" s="419"/>
      <c r="M1832" s="419"/>
      <c r="N1832" s="419"/>
      <c r="O1832" s="419"/>
      <c r="P1832" s="419"/>
      <c r="Q1832" s="419"/>
      <c r="R1832" s="419"/>
      <c r="S1832" s="419"/>
      <c r="T1832" s="419"/>
      <c r="U1832" s="419"/>
      <c r="V1832" s="419"/>
      <c r="W1832" s="419">
        <f t="shared" si="85"/>
        <v>0</v>
      </c>
      <c r="X1832" s="412"/>
      <c r="Y1832" s="412"/>
      <c r="Z1832" s="412"/>
      <c r="AA1832" s="412"/>
      <c r="AB1832" s="412"/>
      <c r="AC1832" s="412"/>
      <c r="AD1832" s="412"/>
      <c r="AE1832" s="427"/>
      <c r="AF1832" s="412"/>
      <c r="AG1832" s="412"/>
      <c r="AH1832" s="412"/>
      <c r="AI1832" s="412"/>
      <c r="AJ1832" s="412">
        <f t="shared" si="86"/>
        <v>0</v>
      </c>
      <c r="AK1832" s="208"/>
      <c r="AL1832" s="250" t="s">
        <v>2068</v>
      </c>
    </row>
    <row r="1833" spans="1:38" x14ac:dyDescent="0.2">
      <c r="A1833" t="s">
        <v>884</v>
      </c>
      <c r="B1833" s="209">
        <v>5400</v>
      </c>
      <c r="C1833" s="341" t="s">
        <v>847</v>
      </c>
      <c r="D1833" s="230" t="s">
        <v>1647</v>
      </c>
      <c r="E1833" s="230" t="s">
        <v>88</v>
      </c>
      <c r="F1833" s="242">
        <v>300</v>
      </c>
      <c r="G1833" s="205">
        <v>1</v>
      </c>
      <c r="H1833" s="206">
        <v>900</v>
      </c>
      <c r="I1833" s="207">
        <v>41494</v>
      </c>
      <c r="J1833" s="197" t="str">
        <f t="shared" si="87"/>
        <v>ok</v>
      </c>
      <c r="K1833" s="419"/>
      <c r="L1833" s="419"/>
      <c r="M1833" s="419"/>
      <c r="N1833" s="419"/>
      <c r="O1833" s="419"/>
      <c r="P1833" s="419"/>
      <c r="Q1833" s="419"/>
      <c r="R1833" s="419"/>
      <c r="S1833" s="419"/>
      <c r="T1833" s="419"/>
      <c r="U1833" s="419"/>
      <c r="V1833" s="419"/>
      <c r="W1833" s="419">
        <f t="shared" si="85"/>
        <v>0</v>
      </c>
      <c r="X1833" s="412"/>
      <c r="Y1833" s="412"/>
      <c r="Z1833" s="412"/>
      <c r="AA1833" s="412"/>
      <c r="AB1833" s="412"/>
      <c r="AC1833" s="412">
        <v>300</v>
      </c>
      <c r="AD1833" s="412">
        <v>300</v>
      </c>
      <c r="AE1833" s="427">
        <v>300</v>
      </c>
      <c r="AF1833" s="412"/>
      <c r="AG1833" s="412"/>
      <c r="AH1833" s="412"/>
      <c r="AI1833" s="412"/>
      <c r="AJ1833" s="412">
        <f t="shared" si="86"/>
        <v>900</v>
      </c>
      <c r="AK1833" s="208"/>
      <c r="AL1833" s="250" t="s">
        <v>2067</v>
      </c>
    </row>
    <row r="1834" spans="1:38" x14ac:dyDescent="0.2">
      <c r="A1834" t="s">
        <v>890</v>
      </c>
      <c r="B1834" s="209">
        <v>5401</v>
      </c>
      <c r="C1834" s="341" t="s">
        <v>1035</v>
      </c>
      <c r="D1834" s="230" t="s">
        <v>1521</v>
      </c>
      <c r="E1834" s="230" t="s">
        <v>540</v>
      </c>
      <c r="F1834" s="242">
        <v>300</v>
      </c>
      <c r="G1834" s="205">
        <v>1</v>
      </c>
      <c r="H1834" s="206">
        <v>600</v>
      </c>
      <c r="I1834" s="207">
        <v>41492</v>
      </c>
      <c r="J1834" s="197" t="str">
        <f t="shared" si="87"/>
        <v>ok</v>
      </c>
      <c r="K1834" s="419"/>
      <c r="L1834" s="419"/>
      <c r="M1834" s="419"/>
      <c r="N1834" s="419"/>
      <c r="O1834" s="419"/>
      <c r="P1834" s="419"/>
      <c r="Q1834" s="419"/>
      <c r="R1834" s="419"/>
      <c r="S1834" s="419"/>
      <c r="T1834" s="419"/>
      <c r="U1834" s="419"/>
      <c r="V1834" s="419"/>
      <c r="W1834" s="419">
        <f t="shared" si="85"/>
        <v>0</v>
      </c>
      <c r="X1834" s="412"/>
      <c r="Y1834" s="412"/>
      <c r="Z1834" s="412"/>
      <c r="AA1834" s="412"/>
      <c r="AB1834" s="412"/>
      <c r="AC1834" s="412"/>
      <c r="AD1834" s="412">
        <v>300</v>
      </c>
      <c r="AE1834" s="427">
        <v>300</v>
      </c>
      <c r="AF1834" s="412"/>
      <c r="AG1834" s="412"/>
      <c r="AH1834" s="412"/>
      <c r="AI1834" s="412"/>
      <c r="AJ1834" s="412">
        <f t="shared" si="86"/>
        <v>600</v>
      </c>
      <c r="AK1834" s="208"/>
      <c r="AL1834" s="250" t="s">
        <v>2067</v>
      </c>
    </row>
    <row r="1835" spans="1:38" x14ac:dyDescent="0.2">
      <c r="A1835" t="s">
        <v>889</v>
      </c>
      <c r="B1835" s="209">
        <v>5402</v>
      </c>
      <c r="C1835" s="341" t="s">
        <v>970</v>
      </c>
      <c r="D1835" s="230" t="s">
        <v>1444</v>
      </c>
      <c r="E1835" s="230" t="s">
        <v>1247</v>
      </c>
      <c r="F1835" s="242">
        <v>300</v>
      </c>
      <c r="G1835" s="205">
        <v>1</v>
      </c>
      <c r="H1835" s="206">
        <v>300</v>
      </c>
      <c r="I1835" s="207">
        <v>41493</v>
      </c>
      <c r="J1835" s="197" t="str">
        <f t="shared" si="87"/>
        <v>ok</v>
      </c>
      <c r="K1835" s="419"/>
      <c r="L1835" s="419"/>
      <c r="M1835" s="419"/>
      <c r="N1835" s="419"/>
      <c r="O1835" s="419"/>
      <c r="P1835" s="419"/>
      <c r="Q1835" s="419"/>
      <c r="R1835" s="419"/>
      <c r="S1835" s="419"/>
      <c r="T1835" s="419"/>
      <c r="U1835" s="419"/>
      <c r="V1835" s="419"/>
      <c r="W1835" s="419">
        <f t="shared" si="85"/>
        <v>0</v>
      </c>
      <c r="X1835" s="412"/>
      <c r="Y1835" s="412"/>
      <c r="Z1835" s="412"/>
      <c r="AA1835" s="412"/>
      <c r="AB1835" s="412"/>
      <c r="AC1835" s="412"/>
      <c r="AD1835" s="412"/>
      <c r="AE1835" s="427">
        <v>300</v>
      </c>
      <c r="AF1835" s="412"/>
      <c r="AG1835" s="412"/>
      <c r="AH1835" s="412"/>
      <c r="AI1835" s="412"/>
      <c r="AJ1835" s="412">
        <f t="shared" si="86"/>
        <v>300</v>
      </c>
      <c r="AK1835" s="208"/>
      <c r="AL1835" s="250" t="s">
        <v>2067</v>
      </c>
    </row>
    <row r="1836" spans="1:38" x14ac:dyDescent="0.2">
      <c r="A1836" t="s">
        <v>889</v>
      </c>
      <c r="B1836" s="209">
        <v>5403</v>
      </c>
      <c r="C1836" s="341" t="s">
        <v>971</v>
      </c>
      <c r="D1836" s="230" t="s">
        <v>2064</v>
      </c>
      <c r="E1836" s="230" t="s">
        <v>643</v>
      </c>
      <c r="F1836" s="242">
        <v>300</v>
      </c>
      <c r="G1836" s="205">
        <v>3</v>
      </c>
      <c r="H1836" s="206">
        <v>150</v>
      </c>
      <c r="I1836" s="207">
        <v>41494</v>
      </c>
      <c r="J1836" s="197" t="str">
        <f t="shared" si="87"/>
        <v>ok</v>
      </c>
      <c r="K1836" s="419"/>
      <c r="L1836" s="419"/>
      <c r="M1836" s="419"/>
      <c r="N1836" s="419"/>
      <c r="O1836" s="419"/>
      <c r="P1836" s="419"/>
      <c r="Q1836" s="419"/>
      <c r="R1836" s="419"/>
      <c r="S1836" s="419"/>
      <c r="T1836" s="419"/>
      <c r="U1836" s="419"/>
      <c r="V1836" s="419"/>
      <c r="W1836" s="419">
        <f t="shared" si="85"/>
        <v>0</v>
      </c>
      <c r="X1836" s="412"/>
      <c r="Y1836" s="412"/>
      <c r="Z1836" s="412"/>
      <c r="AA1836" s="412"/>
      <c r="AB1836" s="412"/>
      <c r="AC1836" s="412"/>
      <c r="AD1836" s="412"/>
      <c r="AE1836" s="427"/>
      <c r="AF1836" s="412"/>
      <c r="AG1836" s="412"/>
      <c r="AH1836" s="412"/>
      <c r="AI1836" s="412"/>
      <c r="AJ1836" s="412">
        <f t="shared" si="86"/>
        <v>0</v>
      </c>
      <c r="AK1836" s="208"/>
      <c r="AL1836" s="250" t="s">
        <v>2068</v>
      </c>
    </row>
    <row r="1837" spans="1:38" x14ac:dyDescent="0.2">
      <c r="A1837" t="s">
        <v>884</v>
      </c>
      <c r="B1837" s="209">
        <v>5404</v>
      </c>
      <c r="C1837" s="341" t="s">
        <v>829</v>
      </c>
      <c r="D1837" s="230" t="s">
        <v>1640</v>
      </c>
      <c r="E1837" s="230" t="s">
        <v>61</v>
      </c>
      <c r="F1837" s="242">
        <v>200</v>
      </c>
      <c r="G1837" s="205">
        <v>1</v>
      </c>
      <c r="H1837" s="206">
        <v>1000</v>
      </c>
      <c r="I1837" s="207">
        <v>41500</v>
      </c>
      <c r="J1837" s="197" t="str">
        <f t="shared" si="87"/>
        <v>ok</v>
      </c>
      <c r="K1837" s="419"/>
      <c r="L1837" s="419"/>
      <c r="M1837" s="419"/>
      <c r="N1837" s="419"/>
      <c r="O1837" s="419"/>
      <c r="P1837" s="419"/>
      <c r="Q1837" s="419"/>
      <c r="R1837" s="419"/>
      <c r="S1837" s="419"/>
      <c r="T1837" s="419"/>
      <c r="U1837" s="419"/>
      <c r="V1837" s="419"/>
      <c r="W1837" s="419">
        <f t="shared" si="85"/>
        <v>0</v>
      </c>
      <c r="X1837" s="412"/>
      <c r="Y1837" s="412"/>
      <c r="Z1837" s="412"/>
      <c r="AA1837" s="412">
        <v>200</v>
      </c>
      <c r="AB1837" s="412">
        <v>200</v>
      </c>
      <c r="AC1837" s="412">
        <v>200</v>
      </c>
      <c r="AD1837" s="412">
        <v>200</v>
      </c>
      <c r="AE1837" s="427">
        <v>200</v>
      </c>
      <c r="AF1837" s="412"/>
      <c r="AG1837" s="412"/>
      <c r="AH1837" s="412"/>
      <c r="AI1837" s="412"/>
      <c r="AJ1837" s="412">
        <f t="shared" si="86"/>
        <v>1000</v>
      </c>
      <c r="AK1837" s="208" t="s">
        <v>1968</v>
      </c>
      <c r="AL1837" s="250" t="s">
        <v>2067</v>
      </c>
    </row>
    <row r="1838" spans="1:38" x14ac:dyDescent="0.2">
      <c r="A1838" t="s">
        <v>894</v>
      </c>
      <c r="B1838" s="209">
        <v>5405</v>
      </c>
      <c r="C1838" s="341" t="s">
        <v>1178</v>
      </c>
      <c r="D1838" s="230" t="s">
        <v>1578</v>
      </c>
      <c r="E1838" s="230" t="s">
        <v>637</v>
      </c>
      <c r="F1838" s="242">
        <v>300</v>
      </c>
      <c r="G1838" s="205">
        <v>1</v>
      </c>
      <c r="H1838" s="206">
        <v>300</v>
      </c>
      <c r="I1838" s="207">
        <v>41495</v>
      </c>
      <c r="J1838" s="197" t="str">
        <f t="shared" si="87"/>
        <v>ok</v>
      </c>
      <c r="K1838" s="419"/>
      <c r="L1838" s="419"/>
      <c r="M1838" s="419"/>
      <c r="N1838" s="419"/>
      <c r="O1838" s="419"/>
      <c r="P1838" s="419"/>
      <c r="Q1838" s="419"/>
      <c r="R1838" s="419"/>
      <c r="S1838" s="419"/>
      <c r="T1838" s="419"/>
      <c r="U1838" s="419"/>
      <c r="V1838" s="419"/>
      <c r="W1838" s="419">
        <f t="shared" si="85"/>
        <v>0</v>
      </c>
      <c r="X1838" s="412"/>
      <c r="Y1838" s="412"/>
      <c r="Z1838" s="412"/>
      <c r="AA1838" s="412"/>
      <c r="AB1838" s="412"/>
      <c r="AC1838" s="412"/>
      <c r="AD1838" s="412">
        <v>300</v>
      </c>
      <c r="AE1838" s="427"/>
      <c r="AF1838" s="412"/>
      <c r="AG1838" s="412"/>
      <c r="AH1838" s="412"/>
      <c r="AI1838" s="412"/>
      <c r="AJ1838" s="412">
        <f t="shared" si="86"/>
        <v>300</v>
      </c>
      <c r="AK1838" s="208"/>
      <c r="AL1838" s="250" t="s">
        <v>2067</v>
      </c>
    </row>
    <row r="1839" spans="1:38" x14ac:dyDescent="0.2">
      <c r="A1839" t="s">
        <v>884</v>
      </c>
      <c r="B1839" s="209">
        <v>5406</v>
      </c>
      <c r="C1839" s="341" t="s">
        <v>837</v>
      </c>
      <c r="D1839" s="230" t="s">
        <v>1628</v>
      </c>
      <c r="E1839" s="230" t="s">
        <v>75</v>
      </c>
      <c r="F1839" s="242">
        <v>300</v>
      </c>
      <c r="G1839" s="205">
        <v>1</v>
      </c>
      <c r="H1839" s="206">
        <v>900</v>
      </c>
      <c r="I1839" s="207">
        <v>41497</v>
      </c>
      <c r="J1839" s="197" t="str">
        <f t="shared" si="87"/>
        <v>ok</v>
      </c>
      <c r="K1839" s="419"/>
      <c r="L1839" s="419"/>
      <c r="M1839" s="419"/>
      <c r="N1839" s="419"/>
      <c r="O1839" s="419"/>
      <c r="P1839" s="419"/>
      <c r="Q1839" s="419"/>
      <c r="R1839" s="419"/>
      <c r="S1839" s="419"/>
      <c r="T1839" s="419"/>
      <c r="U1839" s="419"/>
      <c r="V1839" s="419"/>
      <c r="W1839" s="419">
        <f t="shared" si="85"/>
        <v>0</v>
      </c>
      <c r="X1839" s="412"/>
      <c r="Y1839" s="412"/>
      <c r="Z1839" s="412"/>
      <c r="AA1839" s="412"/>
      <c r="AB1839" s="412"/>
      <c r="AC1839" s="412">
        <v>300</v>
      </c>
      <c r="AD1839" s="412">
        <v>300</v>
      </c>
      <c r="AE1839" s="427">
        <v>300</v>
      </c>
      <c r="AF1839" s="412"/>
      <c r="AG1839" s="412"/>
      <c r="AH1839" s="412"/>
      <c r="AI1839" s="412"/>
      <c r="AJ1839" s="412">
        <f t="shared" si="86"/>
        <v>900</v>
      </c>
      <c r="AK1839" s="208"/>
      <c r="AL1839" s="250" t="s">
        <v>2067</v>
      </c>
    </row>
    <row r="1840" spans="1:38" x14ac:dyDescent="0.2">
      <c r="A1840" t="s">
        <v>893</v>
      </c>
      <c r="B1840" s="209">
        <v>5407</v>
      </c>
      <c r="C1840" s="341" t="s">
        <v>1136</v>
      </c>
      <c r="D1840" s="230" t="s">
        <v>1502</v>
      </c>
      <c r="E1840" s="230" t="s">
        <v>308</v>
      </c>
      <c r="F1840" s="242">
        <v>300</v>
      </c>
      <c r="G1840" s="205">
        <v>1</v>
      </c>
      <c r="H1840" s="206">
        <v>300</v>
      </c>
      <c r="I1840" s="207">
        <v>41497</v>
      </c>
      <c r="J1840" s="197" t="str">
        <f t="shared" si="87"/>
        <v>ok</v>
      </c>
      <c r="K1840" s="419"/>
      <c r="L1840" s="419"/>
      <c r="M1840" s="419"/>
      <c r="N1840" s="419"/>
      <c r="O1840" s="419"/>
      <c r="P1840" s="419"/>
      <c r="Q1840" s="419"/>
      <c r="R1840" s="419"/>
      <c r="S1840" s="419"/>
      <c r="T1840" s="419"/>
      <c r="U1840" s="419"/>
      <c r="V1840" s="419"/>
      <c r="W1840" s="419">
        <f t="shared" si="85"/>
        <v>0</v>
      </c>
      <c r="X1840" s="412"/>
      <c r="Y1840" s="412"/>
      <c r="Z1840" s="412"/>
      <c r="AA1840" s="412"/>
      <c r="AB1840" s="412"/>
      <c r="AC1840" s="412"/>
      <c r="AD1840" s="412"/>
      <c r="AE1840" s="427">
        <v>300</v>
      </c>
      <c r="AF1840" s="412"/>
      <c r="AG1840" s="412"/>
      <c r="AH1840" s="412"/>
      <c r="AI1840" s="412"/>
      <c r="AJ1840" s="412">
        <f t="shared" si="86"/>
        <v>300</v>
      </c>
      <c r="AK1840" s="208"/>
      <c r="AL1840" s="250" t="s">
        <v>2067</v>
      </c>
    </row>
    <row r="1841" spans="1:38" x14ac:dyDescent="0.2">
      <c r="A1841" t="s">
        <v>893</v>
      </c>
      <c r="B1841" s="209">
        <v>5408</v>
      </c>
      <c r="C1841" s="341" t="s">
        <v>1120</v>
      </c>
      <c r="D1841" s="230" t="s">
        <v>1601</v>
      </c>
      <c r="E1841" s="230" t="s">
        <v>276</v>
      </c>
      <c r="F1841" s="242">
        <v>300</v>
      </c>
      <c r="G1841" s="205">
        <v>1</v>
      </c>
      <c r="H1841" s="206">
        <v>900</v>
      </c>
      <c r="I1841" s="207">
        <v>41497</v>
      </c>
      <c r="J1841" s="197" t="str">
        <f t="shared" si="87"/>
        <v>ok</v>
      </c>
      <c r="K1841" s="419"/>
      <c r="L1841" s="419"/>
      <c r="M1841" s="419"/>
      <c r="N1841" s="419"/>
      <c r="O1841" s="419"/>
      <c r="P1841" s="419"/>
      <c r="Q1841" s="419"/>
      <c r="R1841" s="419"/>
      <c r="S1841" s="419"/>
      <c r="T1841" s="419"/>
      <c r="U1841" s="419"/>
      <c r="V1841" s="419"/>
      <c r="W1841" s="419">
        <f t="shared" si="85"/>
        <v>0</v>
      </c>
      <c r="X1841" s="412"/>
      <c r="Y1841" s="412"/>
      <c r="Z1841" s="412"/>
      <c r="AA1841" s="412"/>
      <c r="AB1841" s="412"/>
      <c r="AC1841" s="412"/>
      <c r="AD1841" s="412"/>
      <c r="AE1841" s="427">
        <v>300</v>
      </c>
      <c r="AF1841" s="412">
        <v>300</v>
      </c>
      <c r="AG1841" s="412">
        <v>300</v>
      </c>
      <c r="AH1841" s="412"/>
      <c r="AI1841" s="412"/>
      <c r="AJ1841" s="412">
        <f t="shared" si="86"/>
        <v>900</v>
      </c>
      <c r="AK1841" s="208"/>
      <c r="AL1841" s="250" t="s">
        <v>2067</v>
      </c>
    </row>
    <row r="1842" spans="1:38" x14ac:dyDescent="0.2">
      <c r="A1842" t="s">
        <v>894</v>
      </c>
      <c r="B1842" s="209">
        <v>5409</v>
      </c>
      <c r="C1842" s="341" t="s">
        <v>767</v>
      </c>
      <c r="D1842" s="230" t="s">
        <v>1411</v>
      </c>
      <c r="E1842" s="230" t="s">
        <v>607</v>
      </c>
      <c r="F1842" s="242">
        <v>300</v>
      </c>
      <c r="G1842" s="205">
        <v>1</v>
      </c>
      <c r="H1842" s="206">
        <v>300</v>
      </c>
      <c r="I1842" s="207">
        <v>41497</v>
      </c>
      <c r="J1842" s="197" t="str">
        <f t="shared" si="87"/>
        <v>ok</v>
      </c>
      <c r="K1842" s="419"/>
      <c r="L1842" s="419"/>
      <c r="M1842" s="419"/>
      <c r="N1842" s="419"/>
      <c r="O1842" s="419"/>
      <c r="P1842" s="419"/>
      <c r="Q1842" s="419"/>
      <c r="R1842" s="419"/>
      <c r="S1842" s="419"/>
      <c r="T1842" s="419"/>
      <c r="U1842" s="419"/>
      <c r="V1842" s="419"/>
      <c r="W1842" s="419">
        <f t="shared" si="85"/>
        <v>0</v>
      </c>
      <c r="X1842" s="412"/>
      <c r="Y1842" s="412"/>
      <c r="Z1842" s="412"/>
      <c r="AA1842" s="412"/>
      <c r="AB1842" s="412"/>
      <c r="AC1842" s="412"/>
      <c r="AD1842" s="412"/>
      <c r="AE1842" s="427">
        <v>300</v>
      </c>
      <c r="AF1842" s="412"/>
      <c r="AG1842" s="412"/>
      <c r="AH1842" s="412"/>
      <c r="AI1842" s="412"/>
      <c r="AJ1842" s="412">
        <f t="shared" si="86"/>
        <v>300</v>
      </c>
      <c r="AK1842" s="208"/>
      <c r="AL1842" s="250" t="s">
        <v>2067</v>
      </c>
    </row>
    <row r="1843" spans="1:38" x14ac:dyDescent="0.2">
      <c r="A1843" t="s">
        <v>884</v>
      </c>
      <c r="B1843" s="209">
        <v>5410</v>
      </c>
      <c r="C1843" s="341" t="s">
        <v>812</v>
      </c>
      <c r="D1843" s="230" t="s">
        <v>1420</v>
      </c>
      <c r="E1843" s="230" t="s">
        <v>33</v>
      </c>
      <c r="F1843" s="242">
        <v>300</v>
      </c>
      <c r="G1843" s="205">
        <v>1</v>
      </c>
      <c r="H1843" s="206">
        <v>300</v>
      </c>
      <c r="I1843" s="207">
        <v>41497</v>
      </c>
      <c r="J1843" s="197" t="str">
        <f t="shared" si="87"/>
        <v>ok</v>
      </c>
      <c r="K1843" s="419"/>
      <c r="L1843" s="419"/>
      <c r="M1843" s="419"/>
      <c r="N1843" s="419"/>
      <c r="O1843" s="419"/>
      <c r="P1843" s="419"/>
      <c r="Q1843" s="419"/>
      <c r="R1843" s="419"/>
      <c r="S1843" s="419"/>
      <c r="T1843" s="419"/>
      <c r="U1843" s="419"/>
      <c r="V1843" s="419"/>
      <c r="W1843" s="419">
        <f t="shared" si="85"/>
        <v>0</v>
      </c>
      <c r="X1843" s="412"/>
      <c r="Y1843" s="412"/>
      <c r="Z1843" s="412"/>
      <c r="AA1843" s="412"/>
      <c r="AB1843" s="412"/>
      <c r="AC1843" s="412"/>
      <c r="AD1843" s="412"/>
      <c r="AE1843" s="427">
        <v>300</v>
      </c>
      <c r="AF1843" s="412"/>
      <c r="AG1843" s="412"/>
      <c r="AH1843" s="412"/>
      <c r="AI1843" s="412"/>
      <c r="AJ1843" s="412">
        <f t="shared" si="86"/>
        <v>300</v>
      </c>
      <c r="AK1843" s="208"/>
      <c r="AL1843" s="250" t="s">
        <v>2067</v>
      </c>
    </row>
    <row r="1844" spans="1:38" x14ac:dyDescent="0.2">
      <c r="A1844" t="s">
        <v>884</v>
      </c>
      <c r="B1844" s="209">
        <v>5411</v>
      </c>
      <c r="C1844" s="341" t="s">
        <v>836</v>
      </c>
      <c r="D1844" s="230" t="s">
        <v>1383</v>
      </c>
      <c r="E1844" s="230" t="s">
        <v>73</v>
      </c>
      <c r="F1844" s="242">
        <v>300</v>
      </c>
      <c r="G1844" s="205">
        <v>1</v>
      </c>
      <c r="H1844" s="206">
        <v>300</v>
      </c>
      <c r="I1844" s="207">
        <v>41497</v>
      </c>
      <c r="J1844" s="197" t="str">
        <f t="shared" si="87"/>
        <v>ok</v>
      </c>
      <c r="K1844" s="419"/>
      <c r="L1844" s="419"/>
      <c r="M1844" s="419"/>
      <c r="N1844" s="419"/>
      <c r="O1844" s="419"/>
      <c r="P1844" s="419"/>
      <c r="Q1844" s="419"/>
      <c r="R1844" s="419"/>
      <c r="S1844" s="419"/>
      <c r="T1844" s="419"/>
      <c r="U1844" s="419"/>
      <c r="V1844" s="419"/>
      <c r="W1844" s="419">
        <f t="shared" si="85"/>
        <v>0</v>
      </c>
      <c r="X1844" s="412"/>
      <c r="Y1844" s="412"/>
      <c r="Z1844" s="412"/>
      <c r="AA1844" s="412"/>
      <c r="AB1844" s="412"/>
      <c r="AC1844" s="412"/>
      <c r="AD1844" s="412"/>
      <c r="AE1844" s="427">
        <v>300</v>
      </c>
      <c r="AF1844" s="412"/>
      <c r="AG1844" s="412"/>
      <c r="AH1844" s="412"/>
      <c r="AI1844" s="412"/>
      <c r="AJ1844" s="412">
        <f t="shared" si="86"/>
        <v>300</v>
      </c>
      <c r="AK1844" s="208"/>
      <c r="AL1844" s="250" t="s">
        <v>2067</v>
      </c>
    </row>
    <row r="1845" spans="1:38" x14ac:dyDescent="0.2">
      <c r="A1845" t="s">
        <v>891</v>
      </c>
      <c r="B1845" s="209">
        <v>5412</v>
      </c>
      <c r="C1845" s="341" t="s">
        <v>1049</v>
      </c>
      <c r="D1845" s="230" t="s">
        <v>1550</v>
      </c>
      <c r="E1845" s="230" t="s">
        <v>649</v>
      </c>
      <c r="F1845" s="242">
        <v>100</v>
      </c>
      <c r="G1845" s="205">
        <v>1</v>
      </c>
      <c r="H1845" s="206">
        <v>100</v>
      </c>
      <c r="I1845" s="207">
        <v>41497</v>
      </c>
      <c r="J1845" s="197" t="str">
        <f t="shared" si="87"/>
        <v>ok</v>
      </c>
      <c r="K1845" s="419"/>
      <c r="L1845" s="419"/>
      <c r="M1845" s="419"/>
      <c r="N1845" s="419"/>
      <c r="O1845" s="419"/>
      <c r="P1845" s="419"/>
      <c r="Q1845" s="419"/>
      <c r="R1845" s="419"/>
      <c r="S1845" s="419"/>
      <c r="T1845" s="419"/>
      <c r="U1845" s="419"/>
      <c r="V1845" s="419"/>
      <c r="W1845" s="419">
        <f t="shared" si="85"/>
        <v>0</v>
      </c>
      <c r="X1845" s="412"/>
      <c r="Y1845" s="412"/>
      <c r="Z1845" s="412"/>
      <c r="AA1845" s="412"/>
      <c r="AB1845" s="412"/>
      <c r="AC1845" s="412"/>
      <c r="AD1845" s="412"/>
      <c r="AE1845" s="427">
        <v>100</v>
      </c>
      <c r="AF1845" s="412"/>
      <c r="AG1845" s="412"/>
      <c r="AH1845" s="412"/>
      <c r="AI1845" s="412"/>
      <c r="AJ1845" s="412">
        <f t="shared" si="86"/>
        <v>100</v>
      </c>
      <c r="AK1845" s="208"/>
      <c r="AL1845" s="250" t="s">
        <v>2067</v>
      </c>
    </row>
    <row r="1846" spans="1:38" x14ac:dyDescent="0.2">
      <c r="A1846" t="s">
        <v>884</v>
      </c>
      <c r="B1846" s="209">
        <v>5413</v>
      </c>
      <c r="C1846" s="341" t="s">
        <v>859</v>
      </c>
      <c r="D1846" s="230" t="s">
        <v>1404</v>
      </c>
      <c r="E1846" s="230" t="s">
        <v>1969</v>
      </c>
      <c r="F1846" s="242">
        <v>150</v>
      </c>
      <c r="G1846" s="205">
        <v>1</v>
      </c>
      <c r="H1846" s="206">
        <v>200</v>
      </c>
      <c r="I1846" s="207">
        <v>41497</v>
      </c>
      <c r="J1846" s="197" t="str">
        <f t="shared" si="87"/>
        <v>ok</v>
      </c>
      <c r="K1846" s="419"/>
      <c r="L1846" s="419"/>
      <c r="M1846" s="419"/>
      <c r="N1846" s="419"/>
      <c r="O1846" s="419"/>
      <c r="P1846" s="419"/>
      <c r="Q1846" s="419"/>
      <c r="R1846" s="419"/>
      <c r="S1846" s="419"/>
      <c r="T1846" s="419"/>
      <c r="U1846" s="419"/>
      <c r="V1846" s="419"/>
      <c r="W1846" s="419">
        <f t="shared" si="85"/>
        <v>0</v>
      </c>
      <c r="X1846" s="412"/>
      <c r="Y1846" s="412"/>
      <c r="Z1846" s="412"/>
      <c r="AA1846" s="412"/>
      <c r="AB1846" s="412"/>
      <c r="AC1846" s="412"/>
      <c r="AD1846" s="412"/>
      <c r="AE1846" s="427">
        <v>200</v>
      </c>
      <c r="AF1846" s="412"/>
      <c r="AG1846" s="412"/>
      <c r="AH1846" s="412"/>
      <c r="AI1846" s="412"/>
      <c r="AJ1846" s="412">
        <f t="shared" si="86"/>
        <v>200</v>
      </c>
      <c r="AK1846" s="208"/>
      <c r="AL1846" s="250" t="s">
        <v>2067</v>
      </c>
    </row>
    <row r="1847" spans="1:38" x14ac:dyDescent="0.2">
      <c r="A1847" t="s">
        <v>890</v>
      </c>
      <c r="B1847" s="209">
        <v>5414</v>
      </c>
      <c r="C1847" s="341" t="s">
        <v>988</v>
      </c>
      <c r="D1847" s="230" t="s">
        <v>1410</v>
      </c>
      <c r="E1847" s="230" t="s">
        <v>477</v>
      </c>
      <c r="F1847" s="242">
        <v>300</v>
      </c>
      <c r="G1847" s="205">
        <v>1</v>
      </c>
      <c r="H1847" s="206">
        <v>600</v>
      </c>
      <c r="I1847" s="207">
        <v>41497</v>
      </c>
      <c r="J1847" s="197" t="str">
        <f t="shared" si="87"/>
        <v>ok</v>
      </c>
      <c r="K1847" s="419"/>
      <c r="L1847" s="419"/>
      <c r="M1847" s="419"/>
      <c r="N1847" s="419"/>
      <c r="O1847" s="419"/>
      <c r="P1847" s="419"/>
      <c r="Q1847" s="419"/>
      <c r="R1847" s="419"/>
      <c r="S1847" s="419"/>
      <c r="T1847" s="419"/>
      <c r="U1847" s="419"/>
      <c r="V1847" s="419"/>
      <c r="W1847" s="419">
        <f t="shared" si="85"/>
        <v>0</v>
      </c>
      <c r="X1847" s="412"/>
      <c r="Y1847" s="412"/>
      <c r="Z1847" s="412"/>
      <c r="AA1847" s="412"/>
      <c r="AB1847" s="412"/>
      <c r="AC1847" s="412"/>
      <c r="AD1847" s="412">
        <v>300</v>
      </c>
      <c r="AE1847" s="427">
        <v>300</v>
      </c>
      <c r="AF1847" s="412"/>
      <c r="AG1847" s="412"/>
      <c r="AH1847" s="412"/>
      <c r="AI1847" s="412"/>
      <c r="AJ1847" s="412">
        <f t="shared" si="86"/>
        <v>600</v>
      </c>
      <c r="AK1847" s="208"/>
      <c r="AL1847" s="250" t="s">
        <v>2067</v>
      </c>
    </row>
    <row r="1848" spans="1:38" x14ac:dyDescent="0.2">
      <c r="A1848" t="s">
        <v>890</v>
      </c>
      <c r="B1848" s="209">
        <v>5415</v>
      </c>
      <c r="C1848" s="341" t="s">
        <v>986</v>
      </c>
      <c r="D1848" s="230" t="s">
        <v>1483</v>
      </c>
      <c r="E1848" s="230" t="s">
        <v>473</v>
      </c>
      <c r="F1848" s="242">
        <v>250</v>
      </c>
      <c r="G1848" s="205">
        <v>1</v>
      </c>
      <c r="H1848" s="206">
        <v>250</v>
      </c>
      <c r="I1848" s="207">
        <v>41497</v>
      </c>
      <c r="J1848" s="197" t="str">
        <f t="shared" si="87"/>
        <v>ok</v>
      </c>
      <c r="K1848" s="419"/>
      <c r="L1848" s="419"/>
      <c r="M1848" s="419"/>
      <c r="N1848" s="419"/>
      <c r="O1848" s="419"/>
      <c r="P1848" s="419"/>
      <c r="Q1848" s="419"/>
      <c r="R1848" s="419"/>
      <c r="S1848" s="419"/>
      <c r="T1848" s="419"/>
      <c r="U1848" s="419"/>
      <c r="V1848" s="419"/>
      <c r="W1848" s="419">
        <f t="shared" si="85"/>
        <v>0</v>
      </c>
      <c r="X1848" s="412"/>
      <c r="Y1848" s="412"/>
      <c r="Z1848" s="412"/>
      <c r="AA1848" s="412"/>
      <c r="AB1848" s="412"/>
      <c r="AC1848" s="412"/>
      <c r="AD1848" s="412"/>
      <c r="AE1848" s="427">
        <v>250</v>
      </c>
      <c r="AF1848" s="412"/>
      <c r="AG1848" s="412"/>
      <c r="AH1848" s="412"/>
      <c r="AI1848" s="412"/>
      <c r="AJ1848" s="412">
        <f t="shared" si="86"/>
        <v>250</v>
      </c>
      <c r="AK1848" s="208"/>
      <c r="AL1848" s="250" t="s">
        <v>2067</v>
      </c>
    </row>
    <row r="1849" spans="1:38" x14ac:dyDescent="0.2">
      <c r="A1849" t="s">
        <v>888</v>
      </c>
      <c r="B1849" s="209">
        <v>5416</v>
      </c>
      <c r="C1849" s="341" t="s">
        <v>761</v>
      </c>
      <c r="D1849" s="230" t="s">
        <v>1419</v>
      </c>
      <c r="E1849" s="230" t="s">
        <v>443</v>
      </c>
      <c r="F1849" s="242">
        <v>300</v>
      </c>
      <c r="G1849" s="205">
        <v>1</v>
      </c>
      <c r="H1849" s="206">
        <v>300</v>
      </c>
      <c r="I1849" s="207">
        <v>41497</v>
      </c>
      <c r="J1849" s="197" t="str">
        <f t="shared" si="87"/>
        <v>ok</v>
      </c>
      <c r="K1849" s="419"/>
      <c r="L1849" s="419"/>
      <c r="M1849" s="419"/>
      <c r="N1849" s="419"/>
      <c r="O1849" s="419"/>
      <c r="P1849" s="419"/>
      <c r="Q1849" s="419"/>
      <c r="R1849" s="419"/>
      <c r="S1849" s="419"/>
      <c r="T1849" s="419"/>
      <c r="U1849" s="419"/>
      <c r="V1849" s="419"/>
      <c r="W1849" s="419">
        <f t="shared" si="85"/>
        <v>0</v>
      </c>
      <c r="X1849" s="412"/>
      <c r="Y1849" s="412"/>
      <c r="Z1849" s="412"/>
      <c r="AA1849" s="412"/>
      <c r="AB1849" s="412"/>
      <c r="AC1849" s="412"/>
      <c r="AD1849" s="412"/>
      <c r="AE1849" s="427">
        <v>300</v>
      </c>
      <c r="AF1849" s="412"/>
      <c r="AG1849" s="412"/>
      <c r="AH1849" s="412"/>
      <c r="AI1849" s="412"/>
      <c r="AJ1849" s="412">
        <f t="shared" si="86"/>
        <v>300</v>
      </c>
      <c r="AK1849" s="208"/>
      <c r="AL1849" s="250" t="s">
        <v>2067</v>
      </c>
    </row>
    <row r="1850" spans="1:38" x14ac:dyDescent="0.2">
      <c r="A1850" t="s">
        <v>893</v>
      </c>
      <c r="B1850" s="209">
        <v>5417</v>
      </c>
      <c r="C1850" s="341" t="s">
        <v>1122</v>
      </c>
      <c r="D1850" s="230" t="s">
        <v>1577</v>
      </c>
      <c r="E1850" s="230" t="s">
        <v>280</v>
      </c>
      <c r="F1850" s="242">
        <v>300</v>
      </c>
      <c r="G1850" s="205">
        <v>1</v>
      </c>
      <c r="H1850" s="206">
        <v>300</v>
      </c>
      <c r="I1850" s="207">
        <v>41497</v>
      </c>
      <c r="J1850" s="197" t="str">
        <f t="shared" si="87"/>
        <v>ok</v>
      </c>
      <c r="K1850" s="419"/>
      <c r="L1850" s="419"/>
      <c r="M1850" s="419"/>
      <c r="N1850" s="419"/>
      <c r="O1850" s="419"/>
      <c r="P1850" s="419"/>
      <c r="Q1850" s="419"/>
      <c r="R1850" s="419"/>
      <c r="S1850" s="419"/>
      <c r="T1850" s="419"/>
      <c r="U1850" s="419"/>
      <c r="V1850" s="419"/>
      <c r="W1850" s="419">
        <f t="shared" si="85"/>
        <v>0</v>
      </c>
      <c r="X1850" s="412"/>
      <c r="Y1850" s="412"/>
      <c r="Z1850" s="412"/>
      <c r="AA1850" s="412"/>
      <c r="AB1850" s="412"/>
      <c r="AC1850" s="412"/>
      <c r="AD1850" s="412"/>
      <c r="AE1850" s="427">
        <v>300</v>
      </c>
      <c r="AF1850" s="412"/>
      <c r="AG1850" s="412"/>
      <c r="AH1850" s="412"/>
      <c r="AI1850" s="412"/>
      <c r="AJ1850" s="412">
        <f t="shared" si="86"/>
        <v>300</v>
      </c>
      <c r="AK1850" s="208"/>
      <c r="AL1850" s="250" t="s">
        <v>2067</v>
      </c>
    </row>
    <row r="1851" spans="1:38" x14ac:dyDescent="0.2">
      <c r="A1851" t="s">
        <v>884</v>
      </c>
      <c r="B1851" s="209">
        <v>5418</v>
      </c>
      <c r="C1851" s="341" t="s">
        <v>861</v>
      </c>
      <c r="D1851" s="230" t="s">
        <v>1446</v>
      </c>
      <c r="E1851" s="230" t="s">
        <v>1208</v>
      </c>
      <c r="F1851" s="242">
        <v>150</v>
      </c>
      <c r="G1851" s="205">
        <v>1</v>
      </c>
      <c r="H1851" s="206">
        <v>150</v>
      </c>
      <c r="I1851" s="207">
        <v>41497</v>
      </c>
      <c r="J1851" s="197" t="str">
        <f t="shared" si="87"/>
        <v>ok</v>
      </c>
      <c r="K1851" s="419"/>
      <c r="L1851" s="419"/>
      <c r="M1851" s="419"/>
      <c r="N1851" s="419"/>
      <c r="O1851" s="419"/>
      <c r="P1851" s="419"/>
      <c r="Q1851" s="419"/>
      <c r="R1851" s="419"/>
      <c r="S1851" s="419"/>
      <c r="T1851" s="419"/>
      <c r="U1851" s="419"/>
      <c r="V1851" s="419"/>
      <c r="W1851" s="419">
        <f t="shared" si="85"/>
        <v>0</v>
      </c>
      <c r="X1851" s="412"/>
      <c r="Y1851" s="412"/>
      <c r="Z1851" s="412"/>
      <c r="AA1851" s="412"/>
      <c r="AB1851" s="412"/>
      <c r="AC1851" s="412"/>
      <c r="AD1851" s="412"/>
      <c r="AE1851" s="427">
        <v>150</v>
      </c>
      <c r="AF1851" s="412"/>
      <c r="AG1851" s="412"/>
      <c r="AH1851" s="412"/>
      <c r="AI1851" s="412"/>
      <c r="AJ1851" s="412">
        <f t="shared" si="86"/>
        <v>150</v>
      </c>
      <c r="AK1851" s="208"/>
      <c r="AL1851" s="250" t="s">
        <v>2067</v>
      </c>
    </row>
    <row r="1852" spans="1:38" x14ac:dyDescent="0.2">
      <c r="A1852" t="s">
        <v>893</v>
      </c>
      <c r="B1852" s="209">
        <v>5419</v>
      </c>
      <c r="C1852" s="341" t="s">
        <v>1124</v>
      </c>
      <c r="D1852" s="230" t="s">
        <v>1364</v>
      </c>
      <c r="E1852" s="230" t="s">
        <v>1630</v>
      </c>
      <c r="F1852" s="242">
        <v>300</v>
      </c>
      <c r="G1852" s="205">
        <v>1</v>
      </c>
      <c r="H1852" s="206">
        <v>300</v>
      </c>
      <c r="I1852" s="207">
        <v>41497</v>
      </c>
      <c r="J1852" s="197" t="str">
        <f t="shared" si="87"/>
        <v>ok</v>
      </c>
      <c r="K1852" s="419"/>
      <c r="L1852" s="419"/>
      <c r="M1852" s="419"/>
      <c r="N1852" s="419"/>
      <c r="O1852" s="419"/>
      <c r="P1852" s="419"/>
      <c r="Q1852" s="419"/>
      <c r="R1852" s="419"/>
      <c r="S1852" s="419"/>
      <c r="T1852" s="419"/>
      <c r="U1852" s="419"/>
      <c r="V1852" s="419"/>
      <c r="W1852" s="419">
        <f t="shared" si="85"/>
        <v>0</v>
      </c>
      <c r="X1852" s="412"/>
      <c r="Y1852" s="412"/>
      <c r="Z1852" s="412"/>
      <c r="AA1852" s="412"/>
      <c r="AB1852" s="412"/>
      <c r="AC1852" s="412"/>
      <c r="AD1852" s="412"/>
      <c r="AE1852" s="427">
        <v>300</v>
      </c>
      <c r="AF1852" s="412"/>
      <c r="AG1852" s="412"/>
      <c r="AH1852" s="412"/>
      <c r="AI1852" s="412"/>
      <c r="AJ1852" s="412">
        <f t="shared" si="86"/>
        <v>300</v>
      </c>
      <c r="AK1852" s="208"/>
      <c r="AL1852" s="250" t="s">
        <v>2067</v>
      </c>
    </row>
    <row r="1853" spans="1:38" x14ac:dyDescent="0.2">
      <c r="A1853" t="s">
        <v>893</v>
      </c>
      <c r="B1853" s="209">
        <v>5420</v>
      </c>
      <c r="C1853" s="341" t="s">
        <v>1076</v>
      </c>
      <c r="D1853" s="230" t="s">
        <v>1395</v>
      </c>
      <c r="E1853" s="230" t="s">
        <v>193</v>
      </c>
      <c r="F1853" s="242">
        <v>300</v>
      </c>
      <c r="G1853" s="205">
        <v>1</v>
      </c>
      <c r="H1853" s="206">
        <v>300</v>
      </c>
      <c r="I1853" s="207">
        <v>41497</v>
      </c>
      <c r="J1853" s="197" t="str">
        <f t="shared" si="87"/>
        <v>ok</v>
      </c>
      <c r="K1853" s="419"/>
      <c r="L1853" s="419"/>
      <c r="M1853" s="419"/>
      <c r="N1853" s="419"/>
      <c r="O1853" s="419"/>
      <c r="P1853" s="419"/>
      <c r="Q1853" s="419"/>
      <c r="R1853" s="419"/>
      <c r="S1853" s="419"/>
      <c r="T1853" s="419"/>
      <c r="U1853" s="419"/>
      <c r="V1853" s="419"/>
      <c r="W1853" s="419">
        <f t="shared" si="85"/>
        <v>0</v>
      </c>
      <c r="X1853" s="412"/>
      <c r="Y1853" s="412"/>
      <c r="Z1853" s="412"/>
      <c r="AA1853" s="412"/>
      <c r="AB1853" s="412"/>
      <c r="AC1853" s="412"/>
      <c r="AD1853" s="412"/>
      <c r="AE1853" s="427">
        <v>300</v>
      </c>
      <c r="AF1853" s="412"/>
      <c r="AG1853" s="412"/>
      <c r="AH1853" s="412"/>
      <c r="AI1853" s="412"/>
      <c r="AJ1853" s="412">
        <f t="shared" si="86"/>
        <v>300</v>
      </c>
      <c r="AK1853" s="208"/>
      <c r="AL1853" s="250" t="s">
        <v>2067</v>
      </c>
    </row>
    <row r="1854" spans="1:38" x14ac:dyDescent="0.2">
      <c r="A1854" t="s">
        <v>890</v>
      </c>
      <c r="B1854" s="209">
        <v>5421</v>
      </c>
      <c r="C1854" s="341" t="s">
        <v>1045</v>
      </c>
      <c r="D1854" s="230" t="s">
        <v>1435</v>
      </c>
      <c r="E1854" s="230" t="s">
        <v>557</v>
      </c>
      <c r="F1854" s="242">
        <v>300</v>
      </c>
      <c r="G1854" s="205">
        <v>1</v>
      </c>
      <c r="H1854" s="206">
        <v>900</v>
      </c>
      <c r="I1854" s="207">
        <v>41497</v>
      </c>
      <c r="J1854" s="197" t="str">
        <f t="shared" si="87"/>
        <v>ok</v>
      </c>
      <c r="K1854" s="419"/>
      <c r="L1854" s="419"/>
      <c r="M1854" s="419"/>
      <c r="N1854" s="419"/>
      <c r="O1854" s="419"/>
      <c r="P1854" s="419"/>
      <c r="Q1854" s="419"/>
      <c r="R1854" s="419"/>
      <c r="S1854" s="419"/>
      <c r="T1854" s="419"/>
      <c r="U1854" s="419"/>
      <c r="V1854" s="419"/>
      <c r="W1854" s="419">
        <f t="shared" si="85"/>
        <v>0</v>
      </c>
      <c r="X1854" s="412"/>
      <c r="Y1854" s="412"/>
      <c r="Z1854" s="412"/>
      <c r="AA1854" s="412"/>
      <c r="AB1854" s="412"/>
      <c r="AC1854" s="412">
        <v>300</v>
      </c>
      <c r="AD1854" s="412">
        <v>300</v>
      </c>
      <c r="AE1854" s="427">
        <v>300</v>
      </c>
      <c r="AF1854" s="412"/>
      <c r="AG1854" s="412"/>
      <c r="AH1854" s="412"/>
      <c r="AI1854" s="412"/>
      <c r="AJ1854" s="412">
        <f t="shared" si="86"/>
        <v>900</v>
      </c>
      <c r="AK1854" s="208"/>
      <c r="AL1854" s="250" t="s">
        <v>2067</v>
      </c>
    </row>
    <row r="1855" spans="1:38" x14ac:dyDescent="0.2">
      <c r="A1855" t="s">
        <v>884</v>
      </c>
      <c r="B1855" s="209">
        <v>5422</v>
      </c>
      <c r="C1855" s="341" t="s">
        <v>851</v>
      </c>
      <c r="D1855" s="230" t="s">
        <v>1465</v>
      </c>
      <c r="E1855" s="230" t="s">
        <v>91</v>
      </c>
      <c r="F1855" s="242">
        <v>300</v>
      </c>
      <c r="G1855" s="205">
        <v>1</v>
      </c>
      <c r="H1855" s="206">
        <v>300</v>
      </c>
      <c r="I1855" s="207">
        <v>41497</v>
      </c>
      <c r="J1855" s="197" t="str">
        <f t="shared" si="87"/>
        <v>ok</v>
      </c>
      <c r="K1855" s="419"/>
      <c r="L1855" s="419"/>
      <c r="M1855" s="419"/>
      <c r="N1855" s="419"/>
      <c r="O1855" s="419"/>
      <c r="P1855" s="419"/>
      <c r="Q1855" s="419"/>
      <c r="R1855" s="419"/>
      <c r="S1855" s="419"/>
      <c r="T1855" s="419"/>
      <c r="U1855" s="419"/>
      <c r="V1855" s="419"/>
      <c r="W1855" s="419">
        <f t="shared" si="85"/>
        <v>0</v>
      </c>
      <c r="X1855" s="412"/>
      <c r="Y1855" s="412"/>
      <c r="Z1855" s="412"/>
      <c r="AA1855" s="412"/>
      <c r="AB1855" s="412"/>
      <c r="AC1855" s="412"/>
      <c r="AD1855" s="412"/>
      <c r="AE1855" s="427">
        <v>300</v>
      </c>
      <c r="AF1855" s="412"/>
      <c r="AG1855" s="412"/>
      <c r="AH1855" s="412"/>
      <c r="AI1855" s="412"/>
      <c r="AJ1855" s="412">
        <f t="shared" si="86"/>
        <v>300</v>
      </c>
      <c r="AK1855" s="208"/>
      <c r="AL1855" s="250" t="s">
        <v>2067</v>
      </c>
    </row>
    <row r="1856" spans="1:38" x14ac:dyDescent="0.2">
      <c r="A1856" t="s">
        <v>1362</v>
      </c>
      <c r="B1856" s="209">
        <v>5423</v>
      </c>
      <c r="C1856" s="341"/>
      <c r="D1856" s="230" t="s">
        <v>1362</v>
      </c>
      <c r="E1856" s="230" t="s">
        <v>1362</v>
      </c>
      <c r="F1856" s="242" t="s">
        <v>1362</v>
      </c>
      <c r="G1856" s="205"/>
      <c r="H1856" s="206"/>
      <c r="I1856" s="207">
        <v>41497</v>
      </c>
      <c r="J1856" s="197" t="str">
        <f t="shared" si="87"/>
        <v>ok</v>
      </c>
      <c r="K1856" s="419"/>
      <c r="L1856" s="419"/>
      <c r="M1856" s="419"/>
      <c r="N1856" s="419"/>
      <c r="O1856" s="419"/>
      <c r="P1856" s="419"/>
      <c r="Q1856" s="419"/>
      <c r="R1856" s="419"/>
      <c r="S1856" s="419"/>
      <c r="T1856" s="419"/>
      <c r="U1856" s="419"/>
      <c r="V1856" s="419"/>
      <c r="W1856" s="419">
        <f t="shared" si="85"/>
        <v>0</v>
      </c>
      <c r="X1856" s="412"/>
      <c r="Y1856" s="412"/>
      <c r="Z1856" s="412"/>
      <c r="AA1856" s="412"/>
      <c r="AB1856" s="412"/>
      <c r="AC1856" s="412"/>
      <c r="AD1856" s="412"/>
      <c r="AE1856" s="427"/>
      <c r="AF1856" s="412"/>
      <c r="AG1856" s="412"/>
      <c r="AH1856" s="412"/>
      <c r="AI1856" s="412"/>
      <c r="AJ1856" s="412">
        <f t="shared" si="86"/>
        <v>0</v>
      </c>
      <c r="AK1856" s="208" t="s">
        <v>755</v>
      </c>
      <c r="AL1856" s="250" t="s">
        <v>2067</v>
      </c>
    </row>
    <row r="1857" spans="1:38" x14ac:dyDescent="0.2">
      <c r="A1857" t="s">
        <v>890</v>
      </c>
      <c r="B1857" s="209">
        <v>5424</v>
      </c>
      <c r="C1857" s="341" t="s">
        <v>977</v>
      </c>
      <c r="D1857" s="230" t="s">
        <v>1494</v>
      </c>
      <c r="E1857" s="230" t="s">
        <v>359</v>
      </c>
      <c r="F1857" s="242">
        <v>150</v>
      </c>
      <c r="G1857" s="205">
        <v>1</v>
      </c>
      <c r="H1857" s="206">
        <v>150</v>
      </c>
      <c r="I1857" s="207">
        <v>41497</v>
      </c>
      <c r="J1857" s="197" t="str">
        <f t="shared" si="87"/>
        <v>ok</v>
      </c>
      <c r="K1857" s="419"/>
      <c r="L1857" s="419"/>
      <c r="M1857" s="419"/>
      <c r="N1857" s="419"/>
      <c r="O1857" s="419"/>
      <c r="P1857" s="419"/>
      <c r="Q1857" s="419"/>
      <c r="R1857" s="419"/>
      <c r="S1857" s="419"/>
      <c r="T1857" s="419"/>
      <c r="U1857" s="419"/>
      <c r="V1857" s="419"/>
      <c r="W1857" s="419">
        <f t="shared" si="85"/>
        <v>0</v>
      </c>
      <c r="X1857" s="412"/>
      <c r="Y1857" s="412"/>
      <c r="Z1857" s="412"/>
      <c r="AA1857" s="412"/>
      <c r="AB1857" s="412"/>
      <c r="AC1857" s="412"/>
      <c r="AD1857" s="412"/>
      <c r="AE1857" s="427">
        <v>150</v>
      </c>
      <c r="AF1857" s="412"/>
      <c r="AG1857" s="412"/>
      <c r="AH1857" s="412"/>
      <c r="AI1857" s="412"/>
      <c r="AJ1857" s="412">
        <f t="shared" si="86"/>
        <v>150</v>
      </c>
      <c r="AK1857" s="208"/>
      <c r="AL1857" s="250" t="s">
        <v>2067</v>
      </c>
    </row>
    <row r="1858" spans="1:38" x14ac:dyDescent="0.2">
      <c r="A1858" t="s">
        <v>893</v>
      </c>
      <c r="B1858" s="209">
        <v>5425</v>
      </c>
      <c r="C1858" s="341" t="s">
        <v>1112</v>
      </c>
      <c r="D1858" s="230" t="s">
        <v>1566</v>
      </c>
      <c r="E1858" s="230" t="s">
        <v>263</v>
      </c>
      <c r="F1858" s="242">
        <v>300</v>
      </c>
      <c r="G1858" s="205">
        <v>1</v>
      </c>
      <c r="H1858" s="206">
        <v>300</v>
      </c>
      <c r="I1858" s="207">
        <v>41497</v>
      </c>
      <c r="J1858" s="197" t="str">
        <f t="shared" si="87"/>
        <v>ok</v>
      </c>
      <c r="K1858" s="419"/>
      <c r="L1858" s="419"/>
      <c r="M1858" s="419"/>
      <c r="N1858" s="419"/>
      <c r="O1858" s="419"/>
      <c r="P1858" s="419"/>
      <c r="Q1858" s="419"/>
      <c r="R1858" s="419"/>
      <c r="S1858" s="419"/>
      <c r="T1858" s="419"/>
      <c r="U1858" s="419"/>
      <c r="V1858" s="419"/>
      <c r="W1858" s="419">
        <f t="shared" si="85"/>
        <v>0</v>
      </c>
      <c r="X1858" s="412"/>
      <c r="Y1858" s="412"/>
      <c r="Z1858" s="412"/>
      <c r="AA1858" s="412"/>
      <c r="AB1858" s="412"/>
      <c r="AC1858" s="412"/>
      <c r="AD1858" s="412"/>
      <c r="AE1858" s="427">
        <v>300</v>
      </c>
      <c r="AF1858" s="412"/>
      <c r="AG1858" s="412"/>
      <c r="AH1858" s="412"/>
      <c r="AI1858" s="412"/>
      <c r="AJ1858" s="412">
        <f t="shared" si="86"/>
        <v>300</v>
      </c>
      <c r="AK1858" s="208"/>
      <c r="AL1858" s="250" t="s">
        <v>2067</v>
      </c>
    </row>
    <row r="1859" spans="1:38" x14ac:dyDescent="0.2">
      <c r="A1859" t="s">
        <v>888</v>
      </c>
      <c r="B1859" s="209">
        <v>5426</v>
      </c>
      <c r="C1859" s="341" t="s">
        <v>926</v>
      </c>
      <c r="D1859" s="230" t="s">
        <v>1389</v>
      </c>
      <c r="E1859" s="230" t="s">
        <v>375</v>
      </c>
      <c r="F1859" s="242">
        <v>300</v>
      </c>
      <c r="G1859" s="205">
        <v>1</v>
      </c>
      <c r="H1859" s="206">
        <v>600</v>
      </c>
      <c r="I1859" s="207">
        <v>41497</v>
      </c>
      <c r="J1859" s="197" t="str">
        <f t="shared" si="87"/>
        <v>ok</v>
      </c>
      <c r="K1859" s="419"/>
      <c r="L1859" s="419"/>
      <c r="M1859" s="419"/>
      <c r="N1859" s="419"/>
      <c r="O1859" s="419"/>
      <c r="P1859" s="419"/>
      <c r="Q1859" s="419"/>
      <c r="R1859" s="419"/>
      <c r="S1859" s="419"/>
      <c r="T1859" s="419"/>
      <c r="U1859" s="419"/>
      <c r="V1859" s="419"/>
      <c r="W1859" s="419">
        <f t="shared" si="85"/>
        <v>0</v>
      </c>
      <c r="X1859" s="412"/>
      <c r="Y1859" s="412"/>
      <c r="Z1859" s="412"/>
      <c r="AA1859" s="412">
        <v>300</v>
      </c>
      <c r="AB1859" s="412">
        <v>300</v>
      </c>
      <c r="AC1859" s="412"/>
      <c r="AD1859" s="412"/>
      <c r="AE1859" s="427"/>
      <c r="AF1859" s="412"/>
      <c r="AG1859" s="412"/>
      <c r="AH1859" s="412"/>
      <c r="AI1859" s="412"/>
      <c r="AJ1859" s="412">
        <f t="shared" si="86"/>
        <v>600</v>
      </c>
      <c r="AK1859" s="208"/>
      <c r="AL1859" s="250" t="s">
        <v>2067</v>
      </c>
    </row>
    <row r="1860" spans="1:38" x14ac:dyDescent="0.2">
      <c r="A1860" t="s">
        <v>884</v>
      </c>
      <c r="B1860" s="209">
        <v>5427</v>
      </c>
      <c r="C1860" s="341" t="s">
        <v>818</v>
      </c>
      <c r="D1860" s="230" t="s">
        <v>1375</v>
      </c>
      <c r="E1860" s="230" t="s">
        <v>42</v>
      </c>
      <c r="F1860" s="242">
        <v>250</v>
      </c>
      <c r="G1860" s="205">
        <v>1</v>
      </c>
      <c r="H1860" s="206">
        <v>300</v>
      </c>
      <c r="I1860" s="207">
        <v>41497</v>
      </c>
      <c r="J1860" s="197" t="str">
        <f t="shared" si="87"/>
        <v>ok</v>
      </c>
      <c r="K1860" s="419"/>
      <c r="L1860" s="419"/>
      <c r="M1860" s="419"/>
      <c r="N1860" s="419"/>
      <c r="O1860" s="419"/>
      <c r="P1860" s="419"/>
      <c r="Q1860" s="419"/>
      <c r="R1860" s="419"/>
      <c r="S1860" s="419"/>
      <c r="T1860" s="419"/>
      <c r="U1860" s="419"/>
      <c r="V1860" s="419"/>
      <c r="W1860" s="419">
        <f t="shared" si="85"/>
        <v>0</v>
      </c>
      <c r="X1860" s="412"/>
      <c r="Y1860" s="412"/>
      <c r="Z1860" s="412"/>
      <c r="AA1860" s="412"/>
      <c r="AB1860" s="412"/>
      <c r="AC1860" s="412"/>
      <c r="AD1860" s="412"/>
      <c r="AE1860" s="427">
        <v>300</v>
      </c>
      <c r="AF1860" s="412"/>
      <c r="AG1860" s="412"/>
      <c r="AH1860" s="412"/>
      <c r="AI1860" s="412"/>
      <c r="AJ1860" s="412">
        <f t="shared" si="86"/>
        <v>300</v>
      </c>
      <c r="AK1860" s="208"/>
      <c r="AL1860" s="250" t="s">
        <v>2067</v>
      </c>
    </row>
    <row r="1861" spans="1:38" x14ac:dyDescent="0.2">
      <c r="A1861" t="s">
        <v>884</v>
      </c>
      <c r="B1861" s="209">
        <v>5428</v>
      </c>
      <c r="C1861" s="341" t="s">
        <v>837</v>
      </c>
      <c r="D1861" s="230" t="s">
        <v>1628</v>
      </c>
      <c r="E1861" s="230" t="s">
        <v>75</v>
      </c>
      <c r="F1861" s="242">
        <v>300</v>
      </c>
      <c r="G1861" s="205">
        <v>3</v>
      </c>
      <c r="H1861" s="206">
        <v>150</v>
      </c>
      <c r="I1861" s="207">
        <v>41497</v>
      </c>
      <c r="J1861" s="197" t="str">
        <f t="shared" si="87"/>
        <v>ok</v>
      </c>
      <c r="K1861" s="419"/>
      <c r="L1861" s="419"/>
      <c r="M1861" s="419"/>
      <c r="N1861" s="419"/>
      <c r="O1861" s="419"/>
      <c r="P1861" s="419"/>
      <c r="Q1861" s="419"/>
      <c r="R1861" s="419"/>
      <c r="S1861" s="419"/>
      <c r="T1861" s="419"/>
      <c r="U1861" s="419"/>
      <c r="V1861" s="419"/>
      <c r="W1861" s="419">
        <f t="shared" si="85"/>
        <v>0</v>
      </c>
      <c r="X1861" s="412"/>
      <c r="Y1861" s="412"/>
      <c r="Z1861" s="412"/>
      <c r="AA1861" s="412"/>
      <c r="AB1861" s="412"/>
      <c r="AC1861" s="412"/>
      <c r="AD1861" s="412"/>
      <c r="AE1861" s="427"/>
      <c r="AF1861" s="412"/>
      <c r="AG1861" s="412"/>
      <c r="AH1861" s="412"/>
      <c r="AI1861" s="412"/>
      <c r="AJ1861" s="412">
        <f t="shared" si="86"/>
        <v>0</v>
      </c>
      <c r="AK1861" s="208"/>
      <c r="AL1861" s="250" t="s">
        <v>2068</v>
      </c>
    </row>
    <row r="1862" spans="1:38" x14ac:dyDescent="0.2">
      <c r="A1862" t="s">
        <v>894</v>
      </c>
      <c r="B1862" s="209">
        <v>5429</v>
      </c>
      <c r="C1862" s="341" t="s">
        <v>1166</v>
      </c>
      <c r="D1862" s="230" t="s">
        <v>1498</v>
      </c>
      <c r="E1862" s="230" t="s">
        <v>615</v>
      </c>
      <c r="F1862" s="242">
        <v>300</v>
      </c>
      <c r="G1862" s="205">
        <v>1</v>
      </c>
      <c r="H1862" s="206">
        <v>300</v>
      </c>
      <c r="I1862" s="207">
        <v>41497</v>
      </c>
      <c r="J1862" s="197" t="str">
        <f t="shared" si="87"/>
        <v>ok</v>
      </c>
      <c r="K1862" s="419"/>
      <c r="L1862" s="419"/>
      <c r="M1862" s="419"/>
      <c r="N1862" s="419"/>
      <c r="O1862" s="419"/>
      <c r="P1862" s="419"/>
      <c r="Q1862" s="419"/>
      <c r="R1862" s="419"/>
      <c r="S1862" s="419"/>
      <c r="T1862" s="419"/>
      <c r="U1862" s="419"/>
      <c r="V1862" s="419"/>
      <c r="W1862" s="419">
        <f t="shared" si="85"/>
        <v>0</v>
      </c>
      <c r="X1862" s="412"/>
      <c r="Y1862" s="412"/>
      <c r="Z1862" s="412"/>
      <c r="AA1862" s="412"/>
      <c r="AB1862" s="412"/>
      <c r="AC1862" s="412"/>
      <c r="AD1862" s="412">
        <v>300</v>
      </c>
      <c r="AE1862" s="427"/>
      <c r="AF1862" s="412"/>
      <c r="AG1862" s="412"/>
      <c r="AH1862" s="412"/>
      <c r="AI1862" s="412"/>
      <c r="AJ1862" s="412">
        <f t="shared" si="86"/>
        <v>300</v>
      </c>
      <c r="AK1862" s="208"/>
      <c r="AL1862" s="250" t="s">
        <v>2067</v>
      </c>
    </row>
    <row r="1863" spans="1:38" x14ac:dyDescent="0.2">
      <c r="A1863" t="s">
        <v>884</v>
      </c>
      <c r="B1863" s="209">
        <v>5430</v>
      </c>
      <c r="C1863" s="341" t="s">
        <v>871</v>
      </c>
      <c r="D1863" s="230" t="s">
        <v>1479</v>
      </c>
      <c r="E1863" s="230" t="s">
        <v>1252</v>
      </c>
      <c r="F1863" s="242">
        <v>200</v>
      </c>
      <c r="G1863" s="205">
        <v>1</v>
      </c>
      <c r="H1863" s="206">
        <v>200</v>
      </c>
      <c r="I1863" s="207">
        <v>41497</v>
      </c>
      <c r="J1863" s="197" t="str">
        <f t="shared" si="87"/>
        <v>ok</v>
      </c>
      <c r="K1863" s="419"/>
      <c r="L1863" s="419"/>
      <c r="M1863" s="419"/>
      <c r="N1863" s="419"/>
      <c r="O1863" s="419"/>
      <c r="P1863" s="419"/>
      <c r="Q1863" s="419"/>
      <c r="R1863" s="419"/>
      <c r="S1863" s="419"/>
      <c r="T1863" s="419"/>
      <c r="U1863" s="419"/>
      <c r="V1863" s="419"/>
      <c r="W1863" s="419">
        <f t="shared" ref="W1863:W1926" si="88">SUM(K1863:V1863)</f>
        <v>0</v>
      </c>
      <c r="X1863" s="412"/>
      <c r="Y1863" s="412"/>
      <c r="Z1863" s="412"/>
      <c r="AA1863" s="412"/>
      <c r="AB1863" s="412"/>
      <c r="AC1863" s="412"/>
      <c r="AD1863" s="412"/>
      <c r="AE1863" s="427">
        <v>200</v>
      </c>
      <c r="AF1863" s="412"/>
      <c r="AG1863" s="412"/>
      <c r="AH1863" s="412"/>
      <c r="AI1863" s="412"/>
      <c r="AJ1863" s="412">
        <f t="shared" ref="AJ1863:AJ1926" si="89">SUM(X1863:AI1863)</f>
        <v>200</v>
      </c>
      <c r="AK1863" s="208"/>
      <c r="AL1863" s="250" t="s">
        <v>2067</v>
      </c>
    </row>
    <row r="1864" spans="1:38" x14ac:dyDescent="0.2">
      <c r="A1864" t="s">
        <v>893</v>
      </c>
      <c r="B1864" s="209">
        <v>5431</v>
      </c>
      <c r="C1864" s="341" t="s">
        <v>1086</v>
      </c>
      <c r="D1864" s="230" t="s">
        <v>1376</v>
      </c>
      <c r="E1864" s="230" t="s">
        <v>1704</v>
      </c>
      <c r="F1864" s="242">
        <v>300</v>
      </c>
      <c r="G1864" s="205">
        <v>1</v>
      </c>
      <c r="H1864" s="206">
        <v>300</v>
      </c>
      <c r="I1864" s="207">
        <v>41497</v>
      </c>
      <c r="J1864" s="197" t="str">
        <f t="shared" si="87"/>
        <v>ok</v>
      </c>
      <c r="K1864" s="419"/>
      <c r="L1864" s="419"/>
      <c r="M1864" s="419"/>
      <c r="N1864" s="419"/>
      <c r="O1864" s="419"/>
      <c r="P1864" s="419"/>
      <c r="Q1864" s="419"/>
      <c r="R1864" s="419"/>
      <c r="S1864" s="419"/>
      <c r="T1864" s="419"/>
      <c r="U1864" s="419"/>
      <c r="V1864" s="419"/>
      <c r="W1864" s="419">
        <f t="shared" si="88"/>
        <v>0</v>
      </c>
      <c r="X1864" s="412"/>
      <c r="Y1864" s="412"/>
      <c r="Z1864" s="412"/>
      <c r="AA1864" s="412"/>
      <c r="AB1864" s="412"/>
      <c r="AC1864" s="412"/>
      <c r="AD1864" s="412"/>
      <c r="AE1864" s="427">
        <v>300</v>
      </c>
      <c r="AF1864" s="412"/>
      <c r="AG1864" s="412"/>
      <c r="AH1864" s="412"/>
      <c r="AI1864" s="412"/>
      <c r="AJ1864" s="412">
        <f t="shared" si="89"/>
        <v>300</v>
      </c>
      <c r="AK1864" s="208"/>
      <c r="AL1864" s="250" t="s">
        <v>2067</v>
      </c>
    </row>
    <row r="1865" spans="1:38" x14ac:dyDescent="0.2">
      <c r="A1865" t="s">
        <v>892</v>
      </c>
      <c r="B1865" s="209">
        <v>5432</v>
      </c>
      <c r="C1865" s="341" t="s">
        <v>1065</v>
      </c>
      <c r="D1865" s="230" t="s">
        <v>1662</v>
      </c>
      <c r="E1865" s="230" t="s">
        <v>1190</v>
      </c>
      <c r="F1865" s="242">
        <v>300</v>
      </c>
      <c r="G1865" s="205">
        <v>1</v>
      </c>
      <c r="H1865" s="206">
        <v>900</v>
      </c>
      <c r="I1865" s="207">
        <v>41497</v>
      </c>
      <c r="J1865" s="197" t="str">
        <f t="shared" si="87"/>
        <v>ok</v>
      </c>
      <c r="K1865" s="419"/>
      <c r="L1865" s="419"/>
      <c r="M1865" s="419"/>
      <c r="N1865" s="419"/>
      <c r="O1865" s="419"/>
      <c r="P1865" s="419"/>
      <c r="Q1865" s="419"/>
      <c r="R1865" s="419"/>
      <c r="S1865" s="419"/>
      <c r="T1865" s="419"/>
      <c r="U1865" s="419"/>
      <c r="V1865" s="419"/>
      <c r="W1865" s="419">
        <f t="shared" si="88"/>
        <v>0</v>
      </c>
      <c r="X1865" s="412"/>
      <c r="Y1865" s="412"/>
      <c r="Z1865" s="412"/>
      <c r="AA1865" s="412"/>
      <c r="AB1865" s="412"/>
      <c r="AC1865" s="412">
        <v>300</v>
      </c>
      <c r="AD1865" s="412">
        <v>300</v>
      </c>
      <c r="AE1865" s="427">
        <v>300</v>
      </c>
      <c r="AF1865" s="412"/>
      <c r="AG1865" s="412"/>
      <c r="AH1865" s="412"/>
      <c r="AI1865" s="412"/>
      <c r="AJ1865" s="412">
        <f t="shared" si="89"/>
        <v>900</v>
      </c>
      <c r="AK1865" s="208"/>
      <c r="AL1865" s="250" t="s">
        <v>2067</v>
      </c>
    </row>
    <row r="1866" spans="1:38" x14ac:dyDescent="0.2">
      <c r="A1866" t="s">
        <v>884</v>
      </c>
      <c r="B1866" s="209">
        <v>5433</v>
      </c>
      <c r="C1866" s="341" t="s">
        <v>821</v>
      </c>
      <c r="D1866" s="230" t="s">
        <v>1428</v>
      </c>
      <c r="E1866" s="230" t="s">
        <v>48</v>
      </c>
      <c r="F1866" s="242">
        <v>300</v>
      </c>
      <c r="G1866" s="205">
        <v>1</v>
      </c>
      <c r="H1866" s="206">
        <v>300</v>
      </c>
      <c r="I1866" s="207">
        <v>41497</v>
      </c>
      <c r="J1866" s="197" t="str">
        <f t="shared" si="87"/>
        <v>ok</v>
      </c>
      <c r="K1866" s="419"/>
      <c r="L1866" s="419"/>
      <c r="M1866" s="419"/>
      <c r="N1866" s="419"/>
      <c r="O1866" s="419"/>
      <c r="P1866" s="419"/>
      <c r="Q1866" s="419"/>
      <c r="R1866" s="419"/>
      <c r="S1866" s="419"/>
      <c r="T1866" s="419"/>
      <c r="U1866" s="419"/>
      <c r="V1866" s="419"/>
      <c r="W1866" s="419">
        <f t="shared" si="88"/>
        <v>0</v>
      </c>
      <c r="X1866" s="412"/>
      <c r="Y1866" s="412"/>
      <c r="Z1866" s="412"/>
      <c r="AA1866" s="412"/>
      <c r="AB1866" s="412"/>
      <c r="AC1866" s="412"/>
      <c r="AD1866" s="412"/>
      <c r="AE1866" s="427">
        <v>300</v>
      </c>
      <c r="AF1866" s="412"/>
      <c r="AG1866" s="412"/>
      <c r="AH1866" s="412"/>
      <c r="AI1866" s="412"/>
      <c r="AJ1866" s="412">
        <f t="shared" si="89"/>
        <v>300</v>
      </c>
      <c r="AK1866" s="208"/>
      <c r="AL1866" s="250" t="s">
        <v>2067</v>
      </c>
    </row>
    <row r="1867" spans="1:38" x14ac:dyDescent="0.2">
      <c r="A1867" t="s">
        <v>888</v>
      </c>
      <c r="B1867" s="209">
        <v>5434</v>
      </c>
      <c r="C1867" s="341" t="s">
        <v>933</v>
      </c>
      <c r="D1867" s="230" t="s">
        <v>1427</v>
      </c>
      <c r="E1867" s="230" t="s">
        <v>1212</v>
      </c>
      <c r="F1867" s="242">
        <v>300</v>
      </c>
      <c r="G1867" s="205">
        <v>1</v>
      </c>
      <c r="H1867" s="206">
        <v>300</v>
      </c>
      <c r="I1867" s="207">
        <v>41497</v>
      </c>
      <c r="J1867" s="197" t="str">
        <f t="shared" si="87"/>
        <v>ok</v>
      </c>
      <c r="K1867" s="419"/>
      <c r="L1867" s="419"/>
      <c r="M1867" s="419"/>
      <c r="N1867" s="419"/>
      <c r="O1867" s="419"/>
      <c r="P1867" s="419"/>
      <c r="Q1867" s="419"/>
      <c r="R1867" s="419"/>
      <c r="S1867" s="419"/>
      <c r="T1867" s="419"/>
      <c r="U1867" s="419"/>
      <c r="V1867" s="419"/>
      <c r="W1867" s="419">
        <f t="shared" si="88"/>
        <v>0</v>
      </c>
      <c r="X1867" s="412"/>
      <c r="Y1867" s="412"/>
      <c r="Z1867" s="412"/>
      <c r="AA1867" s="412"/>
      <c r="AB1867" s="412"/>
      <c r="AC1867" s="412"/>
      <c r="AD1867" s="412"/>
      <c r="AE1867" s="427">
        <v>300</v>
      </c>
      <c r="AF1867" s="412"/>
      <c r="AG1867" s="412"/>
      <c r="AH1867" s="412"/>
      <c r="AI1867" s="412"/>
      <c r="AJ1867" s="412">
        <f t="shared" si="89"/>
        <v>300</v>
      </c>
      <c r="AK1867" s="208"/>
      <c r="AL1867" s="250" t="s">
        <v>2067</v>
      </c>
    </row>
    <row r="1868" spans="1:38" x14ac:dyDescent="0.2">
      <c r="A1868" t="s">
        <v>888</v>
      </c>
      <c r="B1868" s="209">
        <v>5435</v>
      </c>
      <c r="C1868" s="341" t="s">
        <v>920</v>
      </c>
      <c r="D1868" s="230" t="s">
        <v>1424</v>
      </c>
      <c r="E1868" s="230" t="s">
        <v>361</v>
      </c>
      <c r="F1868" s="242">
        <v>300</v>
      </c>
      <c r="G1868" s="205">
        <v>4</v>
      </c>
      <c r="H1868" s="206">
        <v>160</v>
      </c>
      <c r="I1868" s="207">
        <v>41497</v>
      </c>
      <c r="J1868" s="197" t="str">
        <f t="shared" si="87"/>
        <v>ok</v>
      </c>
      <c r="K1868" s="419"/>
      <c r="L1868" s="419"/>
      <c r="M1868" s="419"/>
      <c r="N1868" s="419"/>
      <c r="O1868" s="419"/>
      <c r="P1868" s="419"/>
      <c r="Q1868" s="419"/>
      <c r="R1868" s="419"/>
      <c r="S1868" s="419"/>
      <c r="T1868" s="419"/>
      <c r="U1868" s="419"/>
      <c r="V1868" s="419"/>
      <c r="W1868" s="419">
        <f t="shared" si="88"/>
        <v>0</v>
      </c>
      <c r="X1868" s="412"/>
      <c r="Y1868" s="412"/>
      <c r="Z1868" s="412"/>
      <c r="AA1868" s="412"/>
      <c r="AB1868" s="412"/>
      <c r="AC1868" s="412"/>
      <c r="AD1868" s="412"/>
      <c r="AE1868" s="427"/>
      <c r="AF1868" s="412"/>
      <c r="AG1868" s="412"/>
      <c r="AH1868" s="412"/>
      <c r="AI1868" s="412"/>
      <c r="AJ1868" s="412">
        <f t="shared" si="89"/>
        <v>0</v>
      </c>
      <c r="AK1868" s="208"/>
      <c r="AL1868" s="250" t="s">
        <v>2068</v>
      </c>
    </row>
    <row r="1869" spans="1:38" x14ac:dyDescent="0.2">
      <c r="A1869" t="s">
        <v>893</v>
      </c>
      <c r="B1869" s="209">
        <v>5436</v>
      </c>
      <c r="C1869" s="341" t="s">
        <v>1131</v>
      </c>
      <c r="D1869" s="230" t="s">
        <v>1373</v>
      </c>
      <c r="E1869" s="230" t="s">
        <v>299</v>
      </c>
      <c r="F1869" s="242">
        <v>300</v>
      </c>
      <c r="G1869" s="205">
        <v>1</v>
      </c>
      <c r="H1869" s="206">
        <v>300</v>
      </c>
      <c r="I1869" s="207">
        <v>41497</v>
      </c>
      <c r="J1869" s="197" t="str">
        <f t="shared" si="87"/>
        <v>ok</v>
      </c>
      <c r="K1869" s="419"/>
      <c r="L1869" s="419"/>
      <c r="M1869" s="419"/>
      <c r="N1869" s="419"/>
      <c r="O1869" s="419"/>
      <c r="P1869" s="419"/>
      <c r="Q1869" s="419"/>
      <c r="R1869" s="419"/>
      <c r="S1869" s="419"/>
      <c r="T1869" s="419"/>
      <c r="U1869" s="419"/>
      <c r="V1869" s="419"/>
      <c r="W1869" s="419">
        <f t="shared" si="88"/>
        <v>0</v>
      </c>
      <c r="X1869" s="412"/>
      <c r="Y1869" s="412"/>
      <c r="Z1869" s="412"/>
      <c r="AA1869" s="412"/>
      <c r="AB1869" s="412"/>
      <c r="AC1869" s="412"/>
      <c r="AD1869" s="412"/>
      <c r="AE1869" s="427">
        <v>300</v>
      </c>
      <c r="AF1869" s="412"/>
      <c r="AG1869" s="412"/>
      <c r="AH1869" s="412"/>
      <c r="AI1869" s="412"/>
      <c r="AJ1869" s="412">
        <f t="shared" si="89"/>
        <v>300</v>
      </c>
      <c r="AK1869" s="208"/>
      <c r="AL1869" s="250" t="s">
        <v>2067</v>
      </c>
    </row>
    <row r="1870" spans="1:38" x14ac:dyDescent="0.2">
      <c r="A1870" t="s">
        <v>894</v>
      </c>
      <c r="B1870" s="209">
        <v>5437</v>
      </c>
      <c r="C1870" s="341" t="s">
        <v>1159</v>
      </c>
      <c r="D1870" s="230" t="s">
        <v>1402</v>
      </c>
      <c r="E1870" s="230" t="s">
        <v>602</v>
      </c>
      <c r="F1870" s="242">
        <v>300</v>
      </c>
      <c r="G1870" s="205">
        <v>1</v>
      </c>
      <c r="H1870" s="206">
        <v>1200</v>
      </c>
      <c r="I1870" s="207">
        <v>41497</v>
      </c>
      <c r="J1870" s="197" t="str">
        <f t="shared" ref="J1870:J1933" si="90">IF(OR(G1870&lt;&gt;1,SUM(W1870,AJ1870)=H1870),"ok","error")</f>
        <v>ok</v>
      </c>
      <c r="K1870" s="419"/>
      <c r="L1870" s="419"/>
      <c r="M1870" s="419"/>
      <c r="N1870" s="419"/>
      <c r="O1870" s="419"/>
      <c r="P1870" s="419"/>
      <c r="Q1870" s="419"/>
      <c r="R1870" s="419"/>
      <c r="S1870" s="419"/>
      <c r="T1870" s="419"/>
      <c r="U1870" s="419"/>
      <c r="V1870" s="419"/>
      <c r="W1870" s="419">
        <f t="shared" si="88"/>
        <v>0</v>
      </c>
      <c r="X1870" s="412"/>
      <c r="Y1870" s="412"/>
      <c r="Z1870" s="412"/>
      <c r="AA1870" s="412"/>
      <c r="AB1870" s="412"/>
      <c r="AC1870" s="412"/>
      <c r="AD1870" s="412">
        <v>300</v>
      </c>
      <c r="AE1870" s="427">
        <v>300</v>
      </c>
      <c r="AF1870" s="412">
        <v>300</v>
      </c>
      <c r="AG1870" s="412">
        <v>300</v>
      </c>
      <c r="AH1870" s="412"/>
      <c r="AI1870" s="412"/>
      <c r="AJ1870" s="412">
        <f t="shared" si="89"/>
        <v>1200</v>
      </c>
      <c r="AK1870" s="208"/>
      <c r="AL1870" s="250" t="s">
        <v>2067</v>
      </c>
    </row>
    <row r="1871" spans="1:38" x14ac:dyDescent="0.2">
      <c r="A1871" t="s">
        <v>884</v>
      </c>
      <c r="B1871" s="209">
        <v>5438</v>
      </c>
      <c r="C1871" s="341" t="s">
        <v>872</v>
      </c>
      <c r="D1871" s="230" t="s">
        <v>1501</v>
      </c>
      <c r="E1871" s="230" t="s">
        <v>125</v>
      </c>
      <c r="F1871" s="242">
        <v>300</v>
      </c>
      <c r="G1871" s="205">
        <v>1</v>
      </c>
      <c r="H1871" s="206">
        <v>300</v>
      </c>
      <c r="I1871" s="207">
        <v>41498</v>
      </c>
      <c r="J1871" s="197" t="str">
        <f t="shared" si="90"/>
        <v>ok</v>
      </c>
      <c r="K1871" s="419"/>
      <c r="L1871" s="419"/>
      <c r="M1871" s="419"/>
      <c r="N1871" s="419"/>
      <c r="O1871" s="419"/>
      <c r="P1871" s="419"/>
      <c r="Q1871" s="419"/>
      <c r="R1871" s="419"/>
      <c r="S1871" s="419"/>
      <c r="T1871" s="419"/>
      <c r="U1871" s="419"/>
      <c r="V1871" s="419"/>
      <c r="W1871" s="419">
        <f t="shared" si="88"/>
        <v>0</v>
      </c>
      <c r="X1871" s="412"/>
      <c r="Y1871" s="412"/>
      <c r="Z1871" s="412"/>
      <c r="AA1871" s="412"/>
      <c r="AB1871" s="412"/>
      <c r="AC1871" s="412"/>
      <c r="AD1871" s="412"/>
      <c r="AE1871" s="427">
        <v>300</v>
      </c>
      <c r="AF1871" s="412"/>
      <c r="AG1871" s="412"/>
      <c r="AH1871" s="412"/>
      <c r="AI1871" s="412"/>
      <c r="AJ1871" s="412">
        <f t="shared" si="89"/>
        <v>300</v>
      </c>
      <c r="AK1871" s="208"/>
      <c r="AL1871" s="250" t="s">
        <v>2067</v>
      </c>
    </row>
    <row r="1872" spans="1:38" x14ac:dyDescent="0.2">
      <c r="A1872" t="s">
        <v>890</v>
      </c>
      <c r="B1872" s="209">
        <v>5439</v>
      </c>
      <c r="C1872" s="341" t="s">
        <v>1033</v>
      </c>
      <c r="D1872" s="230" t="s">
        <v>1366</v>
      </c>
      <c r="E1872" s="230" t="s">
        <v>1218</v>
      </c>
      <c r="F1872" s="242">
        <v>300</v>
      </c>
      <c r="G1872" s="205">
        <v>1</v>
      </c>
      <c r="H1872" s="206">
        <v>300</v>
      </c>
      <c r="I1872" s="207">
        <v>41499</v>
      </c>
      <c r="J1872" s="197" t="str">
        <f t="shared" si="90"/>
        <v>ok</v>
      </c>
      <c r="K1872" s="419"/>
      <c r="L1872" s="419"/>
      <c r="M1872" s="419"/>
      <c r="N1872" s="419"/>
      <c r="O1872" s="419"/>
      <c r="P1872" s="419"/>
      <c r="Q1872" s="419"/>
      <c r="R1872" s="419"/>
      <c r="S1872" s="419"/>
      <c r="T1872" s="419"/>
      <c r="U1872" s="419"/>
      <c r="V1872" s="419"/>
      <c r="W1872" s="419">
        <f t="shared" si="88"/>
        <v>0</v>
      </c>
      <c r="X1872" s="412"/>
      <c r="Y1872" s="412"/>
      <c r="Z1872" s="412"/>
      <c r="AA1872" s="412"/>
      <c r="AB1872" s="412"/>
      <c r="AC1872" s="412"/>
      <c r="AD1872" s="412"/>
      <c r="AE1872" s="427">
        <v>300</v>
      </c>
      <c r="AF1872" s="412"/>
      <c r="AG1872" s="412"/>
      <c r="AH1872" s="412"/>
      <c r="AI1872" s="412"/>
      <c r="AJ1872" s="412">
        <f t="shared" si="89"/>
        <v>300</v>
      </c>
      <c r="AK1872" s="208"/>
      <c r="AL1872" s="250" t="s">
        <v>2067</v>
      </c>
    </row>
    <row r="1873" spans="1:38" x14ac:dyDescent="0.2">
      <c r="A1873" t="s">
        <v>893</v>
      </c>
      <c r="B1873" s="209">
        <v>5440</v>
      </c>
      <c r="C1873" s="341" t="s">
        <v>1107</v>
      </c>
      <c r="D1873" s="230" t="s">
        <v>1453</v>
      </c>
      <c r="E1873" s="230" t="s">
        <v>255</v>
      </c>
      <c r="F1873" s="242">
        <v>300</v>
      </c>
      <c r="G1873" s="205">
        <v>1</v>
      </c>
      <c r="H1873" s="206">
        <v>300</v>
      </c>
      <c r="I1873" s="207">
        <v>41500</v>
      </c>
      <c r="J1873" s="197" t="str">
        <f t="shared" si="90"/>
        <v>ok</v>
      </c>
      <c r="K1873" s="419"/>
      <c r="L1873" s="419"/>
      <c r="M1873" s="419"/>
      <c r="N1873" s="419"/>
      <c r="O1873" s="419"/>
      <c r="P1873" s="419"/>
      <c r="Q1873" s="419"/>
      <c r="R1873" s="419"/>
      <c r="S1873" s="419"/>
      <c r="T1873" s="419"/>
      <c r="U1873" s="419"/>
      <c r="V1873" s="419"/>
      <c r="W1873" s="419">
        <f t="shared" si="88"/>
        <v>0</v>
      </c>
      <c r="X1873" s="412"/>
      <c r="Y1873" s="412"/>
      <c r="Z1873" s="412"/>
      <c r="AA1873" s="412"/>
      <c r="AB1873" s="412"/>
      <c r="AC1873" s="412"/>
      <c r="AD1873" s="412"/>
      <c r="AE1873" s="427">
        <v>300</v>
      </c>
      <c r="AF1873" s="412"/>
      <c r="AG1873" s="412"/>
      <c r="AH1873" s="412"/>
      <c r="AI1873" s="412"/>
      <c r="AJ1873" s="412">
        <f t="shared" si="89"/>
        <v>300</v>
      </c>
      <c r="AK1873" s="208"/>
      <c r="AL1873" s="250" t="s">
        <v>2067</v>
      </c>
    </row>
    <row r="1874" spans="1:38" x14ac:dyDescent="0.2">
      <c r="A1874" t="s">
        <v>894</v>
      </c>
      <c r="B1874" s="209">
        <v>5441</v>
      </c>
      <c r="C1874" s="341" t="s">
        <v>1161</v>
      </c>
      <c r="D1874" s="230" t="s">
        <v>1582</v>
      </c>
      <c r="E1874" s="230" t="s">
        <v>605</v>
      </c>
      <c r="F1874" s="242">
        <v>300</v>
      </c>
      <c r="G1874" s="205">
        <v>1</v>
      </c>
      <c r="H1874" s="206">
        <v>300</v>
      </c>
      <c r="I1874" s="207">
        <v>41499</v>
      </c>
      <c r="J1874" s="197" t="str">
        <f t="shared" si="90"/>
        <v>ok</v>
      </c>
      <c r="K1874" s="419"/>
      <c r="L1874" s="419"/>
      <c r="M1874" s="419"/>
      <c r="N1874" s="419"/>
      <c r="O1874" s="419"/>
      <c r="P1874" s="419"/>
      <c r="Q1874" s="419"/>
      <c r="R1874" s="419"/>
      <c r="S1874" s="419"/>
      <c r="T1874" s="419"/>
      <c r="U1874" s="419"/>
      <c r="V1874" s="419"/>
      <c r="W1874" s="419">
        <f t="shared" si="88"/>
        <v>0</v>
      </c>
      <c r="X1874" s="412"/>
      <c r="Y1874" s="412"/>
      <c r="Z1874" s="412"/>
      <c r="AA1874" s="412"/>
      <c r="AB1874" s="412"/>
      <c r="AC1874" s="412"/>
      <c r="AD1874" s="412"/>
      <c r="AE1874" s="427">
        <v>300</v>
      </c>
      <c r="AF1874" s="412"/>
      <c r="AG1874" s="412"/>
      <c r="AH1874" s="412"/>
      <c r="AI1874" s="412"/>
      <c r="AJ1874" s="412">
        <f t="shared" si="89"/>
        <v>300</v>
      </c>
      <c r="AK1874" s="208"/>
      <c r="AL1874" s="250" t="s">
        <v>2067</v>
      </c>
    </row>
    <row r="1875" spans="1:38" x14ac:dyDescent="0.2">
      <c r="A1875" t="s">
        <v>1362</v>
      </c>
      <c r="B1875" s="209">
        <v>5442</v>
      </c>
      <c r="C1875" s="341"/>
      <c r="D1875" s="230" t="s">
        <v>1362</v>
      </c>
      <c r="E1875" s="230" t="s">
        <v>1362</v>
      </c>
      <c r="F1875" s="242" t="s">
        <v>1362</v>
      </c>
      <c r="G1875" s="205"/>
      <c r="H1875" s="206"/>
      <c r="I1875" s="207">
        <v>41504</v>
      </c>
      <c r="J1875" s="197" t="str">
        <f t="shared" si="90"/>
        <v>ok</v>
      </c>
      <c r="K1875" s="419"/>
      <c r="L1875" s="419"/>
      <c r="M1875" s="419"/>
      <c r="N1875" s="419"/>
      <c r="O1875" s="419"/>
      <c r="P1875" s="419"/>
      <c r="Q1875" s="419"/>
      <c r="R1875" s="419"/>
      <c r="S1875" s="419"/>
      <c r="T1875" s="419"/>
      <c r="U1875" s="419"/>
      <c r="V1875" s="419"/>
      <c r="W1875" s="419">
        <f t="shared" si="88"/>
        <v>0</v>
      </c>
      <c r="X1875" s="412"/>
      <c r="Y1875" s="412"/>
      <c r="Z1875" s="412"/>
      <c r="AA1875" s="412"/>
      <c r="AB1875" s="412"/>
      <c r="AC1875" s="412"/>
      <c r="AD1875" s="412"/>
      <c r="AE1875" s="427"/>
      <c r="AF1875" s="412"/>
      <c r="AG1875" s="412"/>
      <c r="AH1875" s="412"/>
      <c r="AI1875" s="412"/>
      <c r="AJ1875" s="412">
        <f t="shared" si="89"/>
        <v>0</v>
      </c>
      <c r="AK1875" s="208" t="s">
        <v>1971</v>
      </c>
      <c r="AL1875" s="250" t="s">
        <v>2067</v>
      </c>
    </row>
    <row r="1876" spans="1:38" x14ac:dyDescent="0.2">
      <c r="A1876" t="s">
        <v>893</v>
      </c>
      <c r="B1876" s="209">
        <v>5443</v>
      </c>
      <c r="C1876" s="341" t="s">
        <v>1125</v>
      </c>
      <c r="D1876" s="230" t="s">
        <v>1543</v>
      </c>
      <c r="E1876" s="230" t="s">
        <v>286</v>
      </c>
      <c r="F1876" s="242">
        <v>300</v>
      </c>
      <c r="G1876" s="205">
        <v>1</v>
      </c>
      <c r="H1876" s="206">
        <v>300</v>
      </c>
      <c r="I1876" s="207">
        <v>41504</v>
      </c>
      <c r="J1876" s="197" t="str">
        <f t="shared" si="90"/>
        <v>ok</v>
      </c>
      <c r="K1876" s="419"/>
      <c r="L1876" s="419"/>
      <c r="M1876" s="419"/>
      <c r="N1876" s="419"/>
      <c r="O1876" s="419"/>
      <c r="P1876" s="419"/>
      <c r="Q1876" s="419"/>
      <c r="R1876" s="419"/>
      <c r="S1876" s="419"/>
      <c r="T1876" s="419"/>
      <c r="U1876" s="419"/>
      <c r="V1876" s="419"/>
      <c r="W1876" s="419">
        <f t="shared" si="88"/>
        <v>0</v>
      </c>
      <c r="X1876" s="412"/>
      <c r="Y1876" s="412"/>
      <c r="Z1876" s="412"/>
      <c r="AA1876" s="412"/>
      <c r="AB1876" s="412"/>
      <c r="AC1876" s="412"/>
      <c r="AD1876" s="412"/>
      <c r="AE1876" s="427">
        <v>300</v>
      </c>
      <c r="AF1876" s="412"/>
      <c r="AG1876" s="412"/>
      <c r="AH1876" s="412"/>
      <c r="AI1876" s="412"/>
      <c r="AJ1876" s="412">
        <f t="shared" si="89"/>
        <v>300</v>
      </c>
      <c r="AK1876" s="208"/>
      <c r="AL1876" s="250" t="s">
        <v>2067</v>
      </c>
    </row>
    <row r="1877" spans="1:38" x14ac:dyDescent="0.2">
      <c r="A1877" t="s">
        <v>893</v>
      </c>
      <c r="B1877" s="209">
        <v>5444</v>
      </c>
      <c r="C1877" s="341" t="s">
        <v>1125</v>
      </c>
      <c r="D1877" s="230" t="s">
        <v>1543</v>
      </c>
      <c r="E1877" s="230" t="s">
        <v>286</v>
      </c>
      <c r="F1877" s="242">
        <v>300</v>
      </c>
      <c r="G1877" s="205">
        <v>3</v>
      </c>
      <c r="H1877" s="206">
        <v>150</v>
      </c>
      <c r="I1877" s="207">
        <v>41504</v>
      </c>
      <c r="J1877" s="197" t="str">
        <f t="shared" si="90"/>
        <v>ok</v>
      </c>
      <c r="K1877" s="419"/>
      <c r="L1877" s="419"/>
      <c r="M1877" s="419"/>
      <c r="N1877" s="419"/>
      <c r="O1877" s="419"/>
      <c r="P1877" s="419"/>
      <c r="Q1877" s="419"/>
      <c r="R1877" s="419"/>
      <c r="S1877" s="419"/>
      <c r="T1877" s="419"/>
      <c r="U1877" s="419"/>
      <c r="V1877" s="419"/>
      <c r="W1877" s="419">
        <f t="shared" si="88"/>
        <v>0</v>
      </c>
      <c r="X1877" s="412"/>
      <c r="Y1877" s="412"/>
      <c r="Z1877" s="412"/>
      <c r="AA1877" s="412"/>
      <c r="AB1877" s="412"/>
      <c r="AC1877" s="412"/>
      <c r="AD1877" s="412"/>
      <c r="AE1877" s="427"/>
      <c r="AF1877" s="412"/>
      <c r="AG1877" s="412"/>
      <c r="AH1877" s="412"/>
      <c r="AI1877" s="412"/>
      <c r="AJ1877" s="412">
        <f t="shared" si="89"/>
        <v>0</v>
      </c>
      <c r="AK1877" s="208"/>
      <c r="AL1877" s="250" t="s">
        <v>2068</v>
      </c>
    </row>
    <row r="1878" spans="1:38" x14ac:dyDescent="0.2">
      <c r="A1878" t="s">
        <v>892</v>
      </c>
      <c r="B1878" s="209">
        <v>5445</v>
      </c>
      <c r="C1878" s="341" t="s">
        <v>1057</v>
      </c>
      <c r="D1878" s="230" t="s">
        <v>1548</v>
      </c>
      <c r="E1878" s="230" t="s">
        <v>46</v>
      </c>
      <c r="F1878" s="242">
        <v>300</v>
      </c>
      <c r="G1878" s="205">
        <v>1</v>
      </c>
      <c r="H1878" s="206">
        <v>300</v>
      </c>
      <c r="I1878" s="207">
        <v>41504</v>
      </c>
      <c r="J1878" s="197" t="str">
        <f t="shared" si="90"/>
        <v>ok</v>
      </c>
      <c r="K1878" s="419"/>
      <c r="L1878" s="419"/>
      <c r="M1878" s="419"/>
      <c r="N1878" s="419"/>
      <c r="O1878" s="419"/>
      <c r="P1878" s="419"/>
      <c r="Q1878" s="419"/>
      <c r="R1878" s="419"/>
      <c r="S1878" s="419"/>
      <c r="T1878" s="419"/>
      <c r="U1878" s="419"/>
      <c r="V1878" s="419"/>
      <c r="W1878" s="419">
        <f t="shared" si="88"/>
        <v>0</v>
      </c>
      <c r="X1878" s="412"/>
      <c r="Y1878" s="412"/>
      <c r="Z1878" s="412"/>
      <c r="AA1878" s="412"/>
      <c r="AB1878" s="412"/>
      <c r="AC1878" s="412"/>
      <c r="AD1878" s="412"/>
      <c r="AE1878" s="427">
        <v>300</v>
      </c>
      <c r="AF1878" s="412"/>
      <c r="AG1878" s="412"/>
      <c r="AH1878" s="412"/>
      <c r="AI1878" s="412"/>
      <c r="AJ1878" s="412">
        <f t="shared" si="89"/>
        <v>300</v>
      </c>
      <c r="AK1878" s="208"/>
      <c r="AL1878" s="250" t="s">
        <v>2067</v>
      </c>
    </row>
    <row r="1879" spans="1:38" x14ac:dyDescent="0.2">
      <c r="B1879" s="209">
        <v>5445</v>
      </c>
      <c r="C1879" s="341" t="s">
        <v>1057</v>
      </c>
      <c r="D1879" s="230" t="s">
        <v>1548</v>
      </c>
      <c r="E1879" s="230" t="s">
        <v>46</v>
      </c>
      <c r="F1879" s="242">
        <v>300</v>
      </c>
      <c r="G1879" s="205">
        <v>3</v>
      </c>
      <c r="H1879" s="206">
        <v>150</v>
      </c>
      <c r="I1879" s="207">
        <v>41504</v>
      </c>
      <c r="J1879" s="197" t="str">
        <f t="shared" si="90"/>
        <v>ok</v>
      </c>
      <c r="K1879" s="419"/>
      <c r="L1879" s="419"/>
      <c r="M1879" s="419"/>
      <c r="N1879" s="419"/>
      <c r="O1879" s="419"/>
      <c r="P1879" s="419"/>
      <c r="Q1879" s="419"/>
      <c r="R1879" s="419"/>
      <c r="S1879" s="419"/>
      <c r="T1879" s="419"/>
      <c r="U1879" s="419"/>
      <c r="V1879" s="419"/>
      <c r="W1879" s="419">
        <f t="shared" si="88"/>
        <v>0</v>
      </c>
      <c r="X1879" s="412"/>
      <c r="Y1879" s="412"/>
      <c r="Z1879" s="412"/>
      <c r="AA1879" s="412"/>
      <c r="AB1879" s="412"/>
      <c r="AC1879" s="412"/>
      <c r="AD1879" s="412"/>
      <c r="AE1879" s="427"/>
      <c r="AF1879" s="412"/>
      <c r="AG1879" s="412"/>
      <c r="AH1879" s="412"/>
      <c r="AI1879" s="412"/>
      <c r="AJ1879" s="412">
        <f t="shared" si="89"/>
        <v>0</v>
      </c>
      <c r="AK1879" s="208"/>
      <c r="AL1879" s="250" t="s">
        <v>2068</v>
      </c>
    </row>
    <row r="1880" spans="1:38" x14ac:dyDescent="0.2">
      <c r="A1880" t="s">
        <v>890</v>
      </c>
      <c r="B1880" s="209">
        <v>5446</v>
      </c>
      <c r="C1880" s="341" t="s">
        <v>1016</v>
      </c>
      <c r="D1880" s="230" t="s">
        <v>1496</v>
      </c>
      <c r="E1880" s="230" t="s">
        <v>510</v>
      </c>
      <c r="F1880" s="242">
        <v>300</v>
      </c>
      <c r="G1880" s="205">
        <v>4</v>
      </c>
      <c r="H1880" s="206">
        <v>160</v>
      </c>
      <c r="I1880" s="207">
        <v>41504</v>
      </c>
      <c r="J1880" s="197" t="str">
        <f t="shared" si="90"/>
        <v>ok</v>
      </c>
      <c r="K1880" s="419"/>
      <c r="L1880" s="419"/>
      <c r="M1880" s="419"/>
      <c r="N1880" s="419"/>
      <c r="O1880" s="419"/>
      <c r="P1880" s="419"/>
      <c r="Q1880" s="419"/>
      <c r="R1880" s="419"/>
      <c r="S1880" s="419"/>
      <c r="T1880" s="419"/>
      <c r="U1880" s="419"/>
      <c r="V1880" s="419"/>
      <c r="W1880" s="419">
        <f t="shared" si="88"/>
        <v>0</v>
      </c>
      <c r="X1880" s="412"/>
      <c r="Y1880" s="412"/>
      <c r="Z1880" s="412"/>
      <c r="AA1880" s="412"/>
      <c r="AB1880" s="412"/>
      <c r="AC1880" s="412"/>
      <c r="AD1880" s="412"/>
      <c r="AE1880" s="427"/>
      <c r="AF1880" s="412"/>
      <c r="AG1880" s="412"/>
      <c r="AH1880" s="412"/>
      <c r="AI1880" s="412"/>
      <c r="AJ1880" s="412">
        <f t="shared" si="89"/>
        <v>0</v>
      </c>
      <c r="AK1880" s="208"/>
      <c r="AL1880" s="250" t="s">
        <v>2068</v>
      </c>
    </row>
    <row r="1881" spans="1:38" x14ac:dyDescent="0.2">
      <c r="A1881" t="s">
        <v>890</v>
      </c>
      <c r="B1881" s="209">
        <v>5447</v>
      </c>
      <c r="C1881" s="341" t="s">
        <v>1025</v>
      </c>
      <c r="D1881" s="230" t="s">
        <v>1378</v>
      </c>
      <c r="E1881" s="230" t="s">
        <v>525</v>
      </c>
      <c r="F1881" s="242">
        <v>300</v>
      </c>
      <c r="G1881" s="205">
        <v>1</v>
      </c>
      <c r="H1881" s="206">
        <v>300</v>
      </c>
      <c r="I1881" s="207">
        <v>41504</v>
      </c>
      <c r="J1881" s="197" t="str">
        <f t="shared" si="90"/>
        <v>ok</v>
      </c>
      <c r="K1881" s="419"/>
      <c r="L1881" s="419"/>
      <c r="M1881" s="419"/>
      <c r="N1881" s="419"/>
      <c r="O1881" s="419"/>
      <c r="P1881" s="419"/>
      <c r="Q1881" s="419"/>
      <c r="R1881" s="419"/>
      <c r="S1881" s="419"/>
      <c r="T1881" s="419"/>
      <c r="U1881" s="419"/>
      <c r="V1881" s="419"/>
      <c r="W1881" s="419">
        <f t="shared" si="88"/>
        <v>0</v>
      </c>
      <c r="X1881" s="412"/>
      <c r="Y1881" s="412"/>
      <c r="Z1881" s="412"/>
      <c r="AA1881" s="412"/>
      <c r="AB1881" s="412"/>
      <c r="AC1881" s="412"/>
      <c r="AD1881" s="412"/>
      <c r="AE1881" s="427">
        <v>300</v>
      </c>
      <c r="AF1881" s="412"/>
      <c r="AG1881" s="412"/>
      <c r="AH1881" s="412"/>
      <c r="AI1881" s="412"/>
      <c r="AJ1881" s="412">
        <f t="shared" si="89"/>
        <v>300</v>
      </c>
      <c r="AK1881" s="208"/>
      <c r="AL1881" s="250" t="s">
        <v>2067</v>
      </c>
    </row>
    <row r="1882" spans="1:38" x14ac:dyDescent="0.2">
      <c r="A1882" t="s">
        <v>884</v>
      </c>
      <c r="B1882" s="209">
        <v>5448</v>
      </c>
      <c r="C1882" s="341" t="s">
        <v>858</v>
      </c>
      <c r="D1882" s="230" t="s">
        <v>1527</v>
      </c>
      <c r="E1882" s="230" t="s">
        <v>103</v>
      </c>
      <c r="F1882" s="242">
        <v>300</v>
      </c>
      <c r="G1882" s="205">
        <v>1</v>
      </c>
      <c r="H1882" s="206">
        <v>300</v>
      </c>
      <c r="I1882" s="207">
        <v>41504</v>
      </c>
      <c r="J1882" s="197" t="str">
        <f t="shared" si="90"/>
        <v>ok</v>
      </c>
      <c r="K1882" s="419"/>
      <c r="L1882" s="419"/>
      <c r="M1882" s="419"/>
      <c r="N1882" s="419"/>
      <c r="O1882" s="419"/>
      <c r="P1882" s="419"/>
      <c r="Q1882" s="419"/>
      <c r="R1882" s="419"/>
      <c r="S1882" s="419"/>
      <c r="T1882" s="419"/>
      <c r="U1882" s="419"/>
      <c r="V1882" s="419"/>
      <c r="W1882" s="419">
        <f t="shared" si="88"/>
        <v>0</v>
      </c>
      <c r="X1882" s="412"/>
      <c r="Y1882" s="412"/>
      <c r="Z1882" s="412"/>
      <c r="AA1882" s="412"/>
      <c r="AB1882" s="412"/>
      <c r="AC1882" s="412"/>
      <c r="AD1882" s="412"/>
      <c r="AE1882" s="427">
        <v>300</v>
      </c>
      <c r="AF1882" s="412"/>
      <c r="AG1882" s="412"/>
      <c r="AH1882" s="412"/>
      <c r="AI1882" s="412"/>
      <c r="AJ1882" s="412">
        <f t="shared" si="89"/>
        <v>300</v>
      </c>
      <c r="AK1882" s="208"/>
      <c r="AL1882" s="250" t="s">
        <v>2067</v>
      </c>
    </row>
    <row r="1883" spans="1:38" x14ac:dyDescent="0.2">
      <c r="A1883" t="s">
        <v>888</v>
      </c>
      <c r="B1883" s="209">
        <v>5449</v>
      </c>
      <c r="C1883" s="341" t="s">
        <v>940</v>
      </c>
      <c r="D1883" s="230" t="s">
        <v>1575</v>
      </c>
      <c r="E1883" s="230" t="s">
        <v>397</v>
      </c>
      <c r="F1883" s="242">
        <v>300</v>
      </c>
      <c r="G1883" s="205">
        <v>1</v>
      </c>
      <c r="H1883" s="206">
        <v>300</v>
      </c>
      <c r="I1883" s="207">
        <v>41504</v>
      </c>
      <c r="J1883" s="197" t="str">
        <f t="shared" si="90"/>
        <v>ok</v>
      </c>
      <c r="K1883" s="419"/>
      <c r="L1883" s="419"/>
      <c r="M1883" s="419"/>
      <c r="N1883" s="419"/>
      <c r="O1883" s="419"/>
      <c r="P1883" s="419"/>
      <c r="Q1883" s="419"/>
      <c r="R1883" s="419"/>
      <c r="S1883" s="419"/>
      <c r="T1883" s="419"/>
      <c r="U1883" s="419"/>
      <c r="V1883" s="419"/>
      <c r="W1883" s="419">
        <f t="shared" si="88"/>
        <v>0</v>
      </c>
      <c r="X1883" s="412"/>
      <c r="Y1883" s="412"/>
      <c r="Z1883" s="412"/>
      <c r="AA1883" s="412"/>
      <c r="AB1883" s="412"/>
      <c r="AC1883" s="412"/>
      <c r="AD1883" s="412"/>
      <c r="AE1883" s="427">
        <v>300</v>
      </c>
      <c r="AF1883" s="412"/>
      <c r="AG1883" s="412"/>
      <c r="AH1883" s="412"/>
      <c r="AI1883" s="412"/>
      <c r="AJ1883" s="412">
        <f t="shared" si="89"/>
        <v>300</v>
      </c>
      <c r="AK1883" s="208"/>
      <c r="AL1883" s="250" t="s">
        <v>2067</v>
      </c>
    </row>
    <row r="1884" spans="1:38" x14ac:dyDescent="0.2">
      <c r="A1884" t="s">
        <v>893</v>
      </c>
      <c r="B1884" s="209">
        <v>5450</v>
      </c>
      <c r="C1884" s="341" t="s">
        <v>1138</v>
      </c>
      <c r="D1884" s="230" t="s">
        <v>1493</v>
      </c>
      <c r="E1884" s="230" t="s">
        <v>1274</v>
      </c>
      <c r="F1884" s="242">
        <v>300</v>
      </c>
      <c r="G1884" s="205">
        <v>1</v>
      </c>
      <c r="H1884" s="206">
        <v>300</v>
      </c>
      <c r="I1884" s="207">
        <v>41504</v>
      </c>
      <c r="J1884" s="197" t="str">
        <f t="shared" si="90"/>
        <v>ok</v>
      </c>
      <c r="K1884" s="419"/>
      <c r="L1884" s="419"/>
      <c r="M1884" s="419"/>
      <c r="N1884" s="419"/>
      <c r="O1884" s="419"/>
      <c r="P1884" s="419"/>
      <c r="Q1884" s="419"/>
      <c r="R1884" s="419"/>
      <c r="S1884" s="419"/>
      <c r="T1884" s="419"/>
      <c r="U1884" s="419"/>
      <c r="V1884" s="419"/>
      <c r="W1884" s="419">
        <f t="shared" si="88"/>
        <v>0</v>
      </c>
      <c r="X1884" s="412"/>
      <c r="Y1884" s="412"/>
      <c r="Z1884" s="412"/>
      <c r="AA1884" s="412"/>
      <c r="AB1884" s="412"/>
      <c r="AC1884" s="412"/>
      <c r="AD1884" s="412"/>
      <c r="AE1884" s="427">
        <v>300</v>
      </c>
      <c r="AF1884" s="412"/>
      <c r="AG1884" s="412"/>
      <c r="AH1884" s="412"/>
      <c r="AI1884" s="412"/>
      <c r="AJ1884" s="412">
        <f t="shared" si="89"/>
        <v>300</v>
      </c>
      <c r="AK1884" s="208"/>
      <c r="AL1884" s="250" t="s">
        <v>2067</v>
      </c>
    </row>
    <row r="1885" spans="1:38" x14ac:dyDescent="0.2">
      <c r="B1885" s="209">
        <v>5450</v>
      </c>
      <c r="C1885" s="341" t="s">
        <v>1138</v>
      </c>
      <c r="D1885" s="230" t="s">
        <v>1493</v>
      </c>
      <c r="E1885" s="230" t="s">
        <v>1274</v>
      </c>
      <c r="F1885" s="242">
        <v>300</v>
      </c>
      <c r="G1885" s="205">
        <v>4</v>
      </c>
      <c r="H1885" s="206">
        <v>160</v>
      </c>
      <c r="I1885" s="207">
        <v>41504</v>
      </c>
      <c r="J1885" s="197" t="str">
        <f t="shared" si="90"/>
        <v>ok</v>
      </c>
      <c r="K1885" s="419"/>
      <c r="L1885" s="419"/>
      <c r="M1885" s="419"/>
      <c r="N1885" s="419"/>
      <c r="O1885" s="419"/>
      <c r="P1885" s="419"/>
      <c r="Q1885" s="419"/>
      <c r="R1885" s="419"/>
      <c r="S1885" s="419"/>
      <c r="T1885" s="419"/>
      <c r="U1885" s="419"/>
      <c r="V1885" s="419"/>
      <c r="W1885" s="419">
        <f t="shared" si="88"/>
        <v>0</v>
      </c>
      <c r="X1885" s="412"/>
      <c r="Y1885" s="412"/>
      <c r="Z1885" s="412"/>
      <c r="AA1885" s="412"/>
      <c r="AB1885" s="412"/>
      <c r="AC1885" s="412"/>
      <c r="AD1885" s="412"/>
      <c r="AE1885" s="427"/>
      <c r="AF1885" s="412"/>
      <c r="AG1885" s="412"/>
      <c r="AH1885" s="412"/>
      <c r="AI1885" s="412"/>
      <c r="AJ1885" s="412">
        <f t="shared" si="89"/>
        <v>0</v>
      </c>
      <c r="AK1885" s="208"/>
      <c r="AL1885" s="250" t="s">
        <v>2068</v>
      </c>
    </row>
    <row r="1886" spans="1:38" x14ac:dyDescent="0.2">
      <c r="A1886" t="s">
        <v>892</v>
      </c>
      <c r="B1886" s="209">
        <v>5451</v>
      </c>
      <c r="C1886" s="341" t="s">
        <v>1060</v>
      </c>
      <c r="D1886" s="230" t="s">
        <v>1460</v>
      </c>
      <c r="E1886" s="230" t="s">
        <v>737</v>
      </c>
      <c r="F1886" s="242">
        <v>300</v>
      </c>
      <c r="G1886" s="205">
        <v>1</v>
      </c>
      <c r="H1886" s="206">
        <v>300</v>
      </c>
      <c r="I1886" s="207">
        <v>41504</v>
      </c>
      <c r="J1886" s="197" t="str">
        <f t="shared" si="90"/>
        <v>ok</v>
      </c>
      <c r="K1886" s="419"/>
      <c r="L1886" s="419"/>
      <c r="M1886" s="419"/>
      <c r="N1886" s="419"/>
      <c r="O1886" s="419"/>
      <c r="P1886" s="419"/>
      <c r="Q1886" s="419"/>
      <c r="R1886" s="419"/>
      <c r="S1886" s="419"/>
      <c r="T1886" s="419"/>
      <c r="U1886" s="419"/>
      <c r="V1886" s="419"/>
      <c r="W1886" s="419">
        <f t="shared" si="88"/>
        <v>0</v>
      </c>
      <c r="X1886" s="412"/>
      <c r="Y1886" s="412"/>
      <c r="Z1886" s="412"/>
      <c r="AA1886" s="412"/>
      <c r="AB1886" s="412"/>
      <c r="AC1886" s="412"/>
      <c r="AD1886" s="412"/>
      <c r="AE1886" s="427">
        <v>300</v>
      </c>
      <c r="AF1886" s="412"/>
      <c r="AG1886" s="412"/>
      <c r="AH1886" s="412"/>
      <c r="AI1886" s="412"/>
      <c r="AJ1886" s="412">
        <f t="shared" si="89"/>
        <v>300</v>
      </c>
      <c r="AK1886" s="208"/>
      <c r="AL1886" s="250" t="s">
        <v>2067</v>
      </c>
    </row>
    <row r="1887" spans="1:38" x14ac:dyDescent="0.2">
      <c r="A1887" t="s">
        <v>888</v>
      </c>
      <c r="B1887" s="209">
        <v>5452</v>
      </c>
      <c r="C1887" s="341" t="s">
        <v>913</v>
      </c>
      <c r="D1887" s="230" t="s">
        <v>1415</v>
      </c>
      <c r="E1887" s="230" t="s">
        <v>348</v>
      </c>
      <c r="F1887" s="242">
        <v>200</v>
      </c>
      <c r="G1887" s="205">
        <v>1</v>
      </c>
      <c r="H1887" s="206">
        <v>400</v>
      </c>
      <c r="I1887" s="207">
        <v>41504</v>
      </c>
      <c r="J1887" s="197" t="str">
        <f t="shared" si="90"/>
        <v>ok</v>
      </c>
      <c r="K1887" s="419"/>
      <c r="L1887" s="419"/>
      <c r="M1887" s="419"/>
      <c r="N1887" s="419"/>
      <c r="O1887" s="419"/>
      <c r="P1887" s="419"/>
      <c r="Q1887" s="419"/>
      <c r="R1887" s="419"/>
      <c r="S1887" s="419"/>
      <c r="T1887" s="419"/>
      <c r="U1887" s="419"/>
      <c r="V1887" s="419"/>
      <c r="W1887" s="419">
        <f t="shared" si="88"/>
        <v>0</v>
      </c>
      <c r="X1887" s="412"/>
      <c r="Y1887" s="412"/>
      <c r="Z1887" s="412"/>
      <c r="AA1887" s="412"/>
      <c r="AB1887" s="412"/>
      <c r="AC1887" s="412"/>
      <c r="AD1887" s="412">
        <v>200</v>
      </c>
      <c r="AE1887" s="427">
        <v>200</v>
      </c>
      <c r="AF1887" s="412"/>
      <c r="AG1887" s="412"/>
      <c r="AH1887" s="412"/>
      <c r="AI1887" s="412"/>
      <c r="AJ1887" s="412">
        <f t="shared" si="89"/>
        <v>400</v>
      </c>
      <c r="AK1887" s="208"/>
      <c r="AL1887" s="250" t="s">
        <v>2067</v>
      </c>
    </row>
    <row r="1888" spans="1:38" x14ac:dyDescent="0.2">
      <c r="A1888" t="s">
        <v>892</v>
      </c>
      <c r="B1888" s="209">
        <v>5453</v>
      </c>
      <c r="C1888" s="341" t="s">
        <v>1059</v>
      </c>
      <c r="D1888" s="230" t="s">
        <v>1426</v>
      </c>
      <c r="E1888" s="230" t="s">
        <v>660</v>
      </c>
      <c r="F1888" s="242">
        <v>150</v>
      </c>
      <c r="G1888" s="205">
        <v>1</v>
      </c>
      <c r="H1888" s="206">
        <v>150</v>
      </c>
      <c r="I1888" s="207">
        <v>41504</v>
      </c>
      <c r="J1888" s="197" t="str">
        <f t="shared" si="90"/>
        <v>ok</v>
      </c>
      <c r="K1888" s="419"/>
      <c r="L1888" s="419"/>
      <c r="M1888" s="419"/>
      <c r="N1888" s="419"/>
      <c r="O1888" s="419"/>
      <c r="P1888" s="419"/>
      <c r="Q1888" s="419"/>
      <c r="R1888" s="419"/>
      <c r="S1888" s="419"/>
      <c r="T1888" s="419"/>
      <c r="U1888" s="419"/>
      <c r="V1888" s="419"/>
      <c r="W1888" s="419">
        <f t="shared" si="88"/>
        <v>0</v>
      </c>
      <c r="X1888" s="412"/>
      <c r="Y1888" s="412"/>
      <c r="Z1888" s="412"/>
      <c r="AA1888" s="412"/>
      <c r="AB1888" s="412"/>
      <c r="AC1888" s="412"/>
      <c r="AD1888" s="412"/>
      <c r="AE1888" s="427">
        <v>150</v>
      </c>
      <c r="AF1888" s="412"/>
      <c r="AG1888" s="412"/>
      <c r="AH1888" s="412"/>
      <c r="AI1888" s="412"/>
      <c r="AJ1888" s="412">
        <f t="shared" si="89"/>
        <v>150</v>
      </c>
      <c r="AK1888" s="208"/>
      <c r="AL1888" s="250" t="s">
        <v>2067</v>
      </c>
    </row>
    <row r="1889" spans="1:38" x14ac:dyDescent="0.2">
      <c r="A1889" t="s">
        <v>884</v>
      </c>
      <c r="B1889" s="209">
        <v>5454</v>
      </c>
      <c r="C1889" s="341" t="s">
        <v>858</v>
      </c>
      <c r="D1889" s="230" t="s">
        <v>1527</v>
      </c>
      <c r="E1889" s="230" t="s">
        <v>103</v>
      </c>
      <c r="F1889" s="242">
        <v>300</v>
      </c>
      <c r="G1889" s="205">
        <v>1</v>
      </c>
      <c r="H1889" s="206">
        <v>300</v>
      </c>
      <c r="I1889" s="207">
        <v>41504</v>
      </c>
      <c r="J1889" s="197" t="str">
        <f t="shared" si="90"/>
        <v>ok</v>
      </c>
      <c r="K1889" s="419"/>
      <c r="L1889" s="419"/>
      <c r="M1889" s="419"/>
      <c r="N1889" s="419"/>
      <c r="O1889" s="419"/>
      <c r="P1889" s="419"/>
      <c r="Q1889" s="419"/>
      <c r="R1889" s="419"/>
      <c r="S1889" s="419"/>
      <c r="T1889" s="419"/>
      <c r="U1889" s="419"/>
      <c r="V1889" s="419"/>
      <c r="W1889" s="419">
        <f t="shared" si="88"/>
        <v>0</v>
      </c>
      <c r="X1889" s="412"/>
      <c r="Y1889" s="412"/>
      <c r="Z1889" s="412"/>
      <c r="AA1889" s="412"/>
      <c r="AB1889" s="412"/>
      <c r="AC1889" s="412"/>
      <c r="AD1889" s="412">
        <v>300</v>
      </c>
      <c r="AE1889" s="427"/>
      <c r="AF1889" s="412"/>
      <c r="AG1889" s="412"/>
      <c r="AH1889" s="412"/>
      <c r="AI1889" s="412"/>
      <c r="AJ1889" s="412">
        <f t="shared" si="89"/>
        <v>300</v>
      </c>
      <c r="AK1889" s="208"/>
      <c r="AL1889" s="250" t="s">
        <v>2067</v>
      </c>
    </row>
    <row r="1890" spans="1:38" x14ac:dyDescent="0.2">
      <c r="A1890" t="s">
        <v>888</v>
      </c>
      <c r="B1890" s="209">
        <v>5455</v>
      </c>
      <c r="C1890" s="341" t="s">
        <v>937</v>
      </c>
      <c r="D1890" s="230" t="s">
        <v>1535</v>
      </c>
      <c r="E1890" s="230" t="s">
        <v>392</v>
      </c>
      <c r="F1890" s="242">
        <v>300</v>
      </c>
      <c r="G1890" s="205">
        <v>1</v>
      </c>
      <c r="H1890" s="206">
        <v>600</v>
      </c>
      <c r="I1890" s="207">
        <v>41504</v>
      </c>
      <c r="J1890" s="197" t="str">
        <f t="shared" si="90"/>
        <v>ok</v>
      </c>
      <c r="K1890" s="419"/>
      <c r="L1890" s="419"/>
      <c r="M1890" s="419"/>
      <c r="N1890" s="419"/>
      <c r="O1890" s="419"/>
      <c r="P1890" s="419"/>
      <c r="Q1890" s="419"/>
      <c r="R1890" s="419"/>
      <c r="S1890" s="419"/>
      <c r="T1890" s="419"/>
      <c r="U1890" s="419"/>
      <c r="V1890" s="419"/>
      <c r="W1890" s="419">
        <f t="shared" si="88"/>
        <v>0</v>
      </c>
      <c r="X1890" s="412"/>
      <c r="Y1890" s="412"/>
      <c r="Z1890" s="412"/>
      <c r="AA1890" s="412"/>
      <c r="AB1890" s="412">
        <v>300</v>
      </c>
      <c r="AC1890" s="412">
        <v>300</v>
      </c>
      <c r="AD1890" s="412"/>
      <c r="AE1890" s="427"/>
      <c r="AF1890" s="412"/>
      <c r="AG1890" s="412"/>
      <c r="AH1890" s="412"/>
      <c r="AI1890" s="412"/>
      <c r="AJ1890" s="412">
        <f t="shared" si="89"/>
        <v>600</v>
      </c>
      <c r="AK1890" s="208"/>
      <c r="AL1890" s="250" t="s">
        <v>2067</v>
      </c>
    </row>
    <row r="1891" spans="1:38" x14ac:dyDescent="0.2">
      <c r="A1891" t="s">
        <v>892</v>
      </c>
      <c r="B1891" s="209">
        <v>5456</v>
      </c>
      <c r="C1891" s="341" t="s">
        <v>782</v>
      </c>
      <c r="D1891" s="230" t="s">
        <v>1418</v>
      </c>
      <c r="E1891" s="230" t="s">
        <v>662</v>
      </c>
      <c r="F1891" s="242">
        <v>300</v>
      </c>
      <c r="G1891" s="205">
        <v>1</v>
      </c>
      <c r="H1891" s="206">
        <v>600</v>
      </c>
      <c r="I1891" s="207">
        <v>41504</v>
      </c>
      <c r="J1891" s="197" t="str">
        <f t="shared" si="90"/>
        <v>ok</v>
      </c>
      <c r="K1891" s="419"/>
      <c r="L1891" s="419"/>
      <c r="M1891" s="419"/>
      <c r="N1891" s="419"/>
      <c r="O1891" s="419"/>
      <c r="P1891" s="419"/>
      <c r="Q1891" s="419"/>
      <c r="R1891" s="419"/>
      <c r="S1891" s="419"/>
      <c r="T1891" s="419"/>
      <c r="U1891" s="419"/>
      <c r="V1891" s="419"/>
      <c r="W1891" s="419">
        <f t="shared" si="88"/>
        <v>0</v>
      </c>
      <c r="X1891" s="412"/>
      <c r="Y1891" s="412"/>
      <c r="Z1891" s="412"/>
      <c r="AA1891" s="412"/>
      <c r="AB1891" s="412"/>
      <c r="AC1891" s="412"/>
      <c r="AD1891" s="412">
        <v>300</v>
      </c>
      <c r="AE1891" s="427">
        <v>300</v>
      </c>
      <c r="AF1891" s="412"/>
      <c r="AG1891" s="412"/>
      <c r="AH1891" s="412"/>
      <c r="AI1891" s="412"/>
      <c r="AJ1891" s="412">
        <f t="shared" si="89"/>
        <v>600</v>
      </c>
      <c r="AK1891" s="208"/>
      <c r="AL1891" s="250" t="s">
        <v>2067</v>
      </c>
    </row>
    <row r="1892" spans="1:38" x14ac:dyDescent="0.2">
      <c r="A1892" t="s">
        <v>1362</v>
      </c>
      <c r="B1892" s="209">
        <v>5457</v>
      </c>
      <c r="C1892" s="341"/>
      <c r="D1892" s="230" t="s">
        <v>1362</v>
      </c>
      <c r="E1892" s="230" t="s">
        <v>1362</v>
      </c>
      <c r="F1892" s="242" t="s">
        <v>1362</v>
      </c>
      <c r="G1892" s="205"/>
      <c r="H1892" s="206"/>
      <c r="I1892" s="207">
        <v>41504</v>
      </c>
      <c r="J1892" s="197" t="str">
        <f t="shared" si="90"/>
        <v>ok</v>
      </c>
      <c r="K1892" s="419"/>
      <c r="L1892" s="419"/>
      <c r="M1892" s="419"/>
      <c r="N1892" s="419"/>
      <c r="O1892" s="419"/>
      <c r="P1892" s="419"/>
      <c r="Q1892" s="419"/>
      <c r="R1892" s="419"/>
      <c r="S1892" s="419"/>
      <c r="T1892" s="419"/>
      <c r="U1892" s="419"/>
      <c r="V1892" s="419"/>
      <c r="W1892" s="419">
        <f t="shared" si="88"/>
        <v>0</v>
      </c>
      <c r="X1892" s="412"/>
      <c r="Y1892" s="412"/>
      <c r="Z1892" s="412"/>
      <c r="AA1892" s="412"/>
      <c r="AB1892" s="412"/>
      <c r="AC1892" s="412"/>
      <c r="AD1892" s="412"/>
      <c r="AE1892" s="427"/>
      <c r="AF1892" s="412"/>
      <c r="AG1892" s="412"/>
      <c r="AH1892" s="412"/>
      <c r="AI1892" s="412"/>
      <c r="AJ1892" s="412">
        <f t="shared" si="89"/>
        <v>0</v>
      </c>
      <c r="AK1892" s="208" t="s">
        <v>755</v>
      </c>
      <c r="AL1892" s="250" t="s">
        <v>2067</v>
      </c>
    </row>
    <row r="1893" spans="1:38" x14ac:dyDescent="0.2">
      <c r="A1893" t="s">
        <v>884</v>
      </c>
      <c r="B1893" s="209">
        <v>5458</v>
      </c>
      <c r="C1893" s="341" t="s">
        <v>819</v>
      </c>
      <c r="D1893" s="230" t="s">
        <v>1530</v>
      </c>
      <c r="E1893" s="230" t="s">
        <v>1183</v>
      </c>
      <c r="F1893" s="242">
        <v>200</v>
      </c>
      <c r="G1893" s="205">
        <v>1</v>
      </c>
      <c r="H1893" s="206">
        <v>200</v>
      </c>
      <c r="I1893" s="207">
        <v>41504</v>
      </c>
      <c r="J1893" s="197" t="str">
        <f t="shared" si="90"/>
        <v>ok</v>
      </c>
      <c r="K1893" s="419"/>
      <c r="L1893" s="419"/>
      <c r="M1893" s="419"/>
      <c r="N1893" s="419"/>
      <c r="O1893" s="419"/>
      <c r="P1893" s="419"/>
      <c r="Q1893" s="419"/>
      <c r="R1893" s="419"/>
      <c r="S1893" s="419"/>
      <c r="T1893" s="419"/>
      <c r="U1893" s="419"/>
      <c r="V1893" s="419"/>
      <c r="W1893" s="419">
        <f t="shared" si="88"/>
        <v>0</v>
      </c>
      <c r="X1893" s="412"/>
      <c r="Y1893" s="412"/>
      <c r="Z1893" s="412"/>
      <c r="AA1893" s="412"/>
      <c r="AB1893" s="412"/>
      <c r="AC1893" s="412"/>
      <c r="AD1893" s="412"/>
      <c r="AE1893" s="427">
        <v>200</v>
      </c>
      <c r="AF1893" s="412"/>
      <c r="AG1893" s="412"/>
      <c r="AH1893" s="412"/>
      <c r="AI1893" s="412"/>
      <c r="AJ1893" s="412">
        <f t="shared" si="89"/>
        <v>200</v>
      </c>
      <c r="AK1893" s="208"/>
      <c r="AL1893" s="250" t="s">
        <v>2067</v>
      </c>
    </row>
    <row r="1894" spans="1:38" x14ac:dyDescent="0.2">
      <c r="A1894" t="s">
        <v>890</v>
      </c>
      <c r="B1894" s="209">
        <v>5459</v>
      </c>
      <c r="C1894" s="341" t="s">
        <v>1008</v>
      </c>
      <c r="D1894" s="230" t="s">
        <v>1587</v>
      </c>
      <c r="E1894" s="230" t="s">
        <v>501</v>
      </c>
      <c r="F1894" s="242">
        <v>250</v>
      </c>
      <c r="G1894" s="205">
        <v>1</v>
      </c>
      <c r="H1894" s="206">
        <v>300</v>
      </c>
      <c r="I1894" s="207">
        <v>41504</v>
      </c>
      <c r="J1894" s="197" t="str">
        <f t="shared" si="90"/>
        <v>ok</v>
      </c>
      <c r="K1894" s="419"/>
      <c r="L1894" s="419"/>
      <c r="M1894" s="419"/>
      <c r="N1894" s="419"/>
      <c r="O1894" s="419"/>
      <c r="P1894" s="419"/>
      <c r="Q1894" s="419"/>
      <c r="R1894" s="419"/>
      <c r="S1894" s="419"/>
      <c r="T1894" s="419"/>
      <c r="U1894" s="419"/>
      <c r="V1894" s="419"/>
      <c r="W1894" s="419">
        <f t="shared" si="88"/>
        <v>0</v>
      </c>
      <c r="X1894" s="412"/>
      <c r="Y1894" s="412"/>
      <c r="Z1894" s="412"/>
      <c r="AA1894" s="412"/>
      <c r="AB1894" s="412"/>
      <c r="AC1894" s="412"/>
      <c r="AD1894" s="412"/>
      <c r="AE1894" s="427">
        <v>300</v>
      </c>
      <c r="AF1894" s="412"/>
      <c r="AG1894" s="412"/>
      <c r="AH1894" s="412"/>
      <c r="AI1894" s="412"/>
      <c r="AJ1894" s="412">
        <f t="shared" si="89"/>
        <v>300</v>
      </c>
      <c r="AK1894" s="208"/>
      <c r="AL1894" s="250" t="s">
        <v>2067</v>
      </c>
    </row>
    <row r="1895" spans="1:38" x14ac:dyDescent="0.2">
      <c r="A1895" t="s">
        <v>890</v>
      </c>
      <c r="B1895" s="209">
        <v>5460</v>
      </c>
      <c r="C1895" s="341" t="s">
        <v>1008</v>
      </c>
      <c r="D1895" s="230" t="s">
        <v>1587</v>
      </c>
      <c r="E1895" s="230" t="s">
        <v>501</v>
      </c>
      <c r="F1895" s="242">
        <v>250</v>
      </c>
      <c r="G1895" s="205">
        <v>4</v>
      </c>
      <c r="H1895" s="206">
        <v>160</v>
      </c>
      <c r="I1895" s="207">
        <v>41504</v>
      </c>
      <c r="J1895" s="197" t="str">
        <f t="shared" si="90"/>
        <v>ok</v>
      </c>
      <c r="K1895" s="419"/>
      <c r="L1895" s="419"/>
      <c r="M1895" s="419"/>
      <c r="N1895" s="419"/>
      <c r="O1895" s="419"/>
      <c r="P1895" s="419"/>
      <c r="Q1895" s="419"/>
      <c r="R1895" s="419"/>
      <c r="S1895" s="419"/>
      <c r="T1895" s="419"/>
      <c r="U1895" s="419"/>
      <c r="V1895" s="419"/>
      <c r="W1895" s="419">
        <f t="shared" si="88"/>
        <v>0</v>
      </c>
      <c r="X1895" s="412"/>
      <c r="Y1895" s="412"/>
      <c r="Z1895" s="412"/>
      <c r="AA1895" s="412"/>
      <c r="AB1895" s="412"/>
      <c r="AC1895" s="412"/>
      <c r="AD1895" s="412"/>
      <c r="AE1895" s="427"/>
      <c r="AF1895" s="412"/>
      <c r="AG1895" s="412"/>
      <c r="AH1895" s="412"/>
      <c r="AI1895" s="412"/>
      <c r="AJ1895" s="412">
        <f t="shared" si="89"/>
        <v>0</v>
      </c>
      <c r="AK1895" s="208"/>
      <c r="AL1895" s="250" t="s">
        <v>2068</v>
      </c>
    </row>
    <row r="1896" spans="1:38" x14ac:dyDescent="0.2">
      <c r="A1896" t="s">
        <v>884</v>
      </c>
      <c r="B1896" s="209">
        <v>5461</v>
      </c>
      <c r="C1896" s="341" t="s">
        <v>874</v>
      </c>
      <c r="D1896" s="230" t="s">
        <v>1459</v>
      </c>
      <c r="E1896" s="230" t="s">
        <v>127</v>
      </c>
      <c r="F1896" s="242">
        <v>300</v>
      </c>
      <c r="G1896" s="205">
        <v>1</v>
      </c>
      <c r="H1896" s="206">
        <v>300</v>
      </c>
      <c r="I1896" s="207">
        <v>41504</v>
      </c>
      <c r="J1896" s="197" t="str">
        <f t="shared" si="90"/>
        <v>ok</v>
      </c>
      <c r="K1896" s="419"/>
      <c r="L1896" s="419"/>
      <c r="M1896" s="419"/>
      <c r="N1896" s="419"/>
      <c r="O1896" s="419"/>
      <c r="P1896" s="419"/>
      <c r="Q1896" s="419"/>
      <c r="R1896" s="419"/>
      <c r="S1896" s="419"/>
      <c r="T1896" s="419"/>
      <c r="U1896" s="419"/>
      <c r="V1896" s="419"/>
      <c r="W1896" s="419">
        <f t="shared" si="88"/>
        <v>0</v>
      </c>
      <c r="X1896" s="412"/>
      <c r="Y1896" s="412"/>
      <c r="Z1896" s="412"/>
      <c r="AA1896" s="412"/>
      <c r="AB1896" s="412"/>
      <c r="AC1896" s="412"/>
      <c r="AD1896" s="412"/>
      <c r="AE1896" s="427">
        <v>300</v>
      </c>
      <c r="AF1896" s="412"/>
      <c r="AG1896" s="412"/>
      <c r="AH1896" s="412"/>
      <c r="AI1896" s="412"/>
      <c r="AJ1896" s="412">
        <f t="shared" si="89"/>
        <v>300</v>
      </c>
      <c r="AK1896" s="208"/>
      <c r="AL1896" s="250" t="s">
        <v>2067</v>
      </c>
    </row>
    <row r="1897" spans="1:38" x14ac:dyDescent="0.2">
      <c r="A1897" t="s">
        <v>888</v>
      </c>
      <c r="B1897" s="209">
        <v>5462</v>
      </c>
      <c r="C1897" s="341" t="s">
        <v>944</v>
      </c>
      <c r="D1897" s="230" t="s">
        <v>1525</v>
      </c>
      <c r="E1897" s="230" t="s">
        <v>405</v>
      </c>
      <c r="F1897" s="242">
        <v>300</v>
      </c>
      <c r="G1897" s="205">
        <v>1</v>
      </c>
      <c r="H1897" s="206">
        <v>300</v>
      </c>
      <c r="I1897" s="207">
        <v>41504</v>
      </c>
      <c r="J1897" s="197" t="str">
        <f t="shared" si="90"/>
        <v>ok</v>
      </c>
      <c r="K1897" s="419"/>
      <c r="L1897" s="419"/>
      <c r="M1897" s="419"/>
      <c r="N1897" s="419"/>
      <c r="O1897" s="419"/>
      <c r="P1897" s="419"/>
      <c r="Q1897" s="419"/>
      <c r="R1897" s="419"/>
      <c r="S1897" s="419"/>
      <c r="T1897" s="419"/>
      <c r="U1897" s="419"/>
      <c r="V1897" s="419"/>
      <c r="W1897" s="419">
        <f t="shared" si="88"/>
        <v>0</v>
      </c>
      <c r="X1897" s="412"/>
      <c r="Y1897" s="412"/>
      <c r="Z1897" s="412"/>
      <c r="AA1897" s="412"/>
      <c r="AB1897" s="412"/>
      <c r="AC1897" s="412"/>
      <c r="AD1897" s="412"/>
      <c r="AE1897" s="427">
        <v>300</v>
      </c>
      <c r="AF1897" s="412"/>
      <c r="AG1897" s="412"/>
      <c r="AH1897" s="412"/>
      <c r="AI1897" s="412"/>
      <c r="AJ1897" s="412">
        <f t="shared" si="89"/>
        <v>300</v>
      </c>
      <c r="AK1897" s="208"/>
      <c r="AL1897" s="250" t="s">
        <v>2067</v>
      </c>
    </row>
    <row r="1898" spans="1:38" x14ac:dyDescent="0.2">
      <c r="A1898" t="s">
        <v>884</v>
      </c>
      <c r="B1898" s="209">
        <v>5463</v>
      </c>
      <c r="C1898" s="341" t="s">
        <v>831</v>
      </c>
      <c r="D1898" s="230" t="s">
        <v>1534</v>
      </c>
      <c r="E1898" s="230" t="s">
        <v>64</v>
      </c>
      <c r="F1898" s="242">
        <v>300</v>
      </c>
      <c r="G1898" s="205">
        <v>1</v>
      </c>
      <c r="H1898" s="206">
        <v>300</v>
      </c>
      <c r="I1898" s="207">
        <v>41504</v>
      </c>
      <c r="J1898" s="197" t="str">
        <f t="shared" si="90"/>
        <v>ok</v>
      </c>
      <c r="K1898" s="419"/>
      <c r="L1898" s="419"/>
      <c r="M1898" s="419"/>
      <c r="N1898" s="419"/>
      <c r="O1898" s="419"/>
      <c r="P1898" s="419"/>
      <c r="Q1898" s="419"/>
      <c r="R1898" s="419"/>
      <c r="S1898" s="419"/>
      <c r="T1898" s="419"/>
      <c r="U1898" s="419"/>
      <c r="V1898" s="419"/>
      <c r="W1898" s="419">
        <f t="shared" si="88"/>
        <v>0</v>
      </c>
      <c r="X1898" s="412"/>
      <c r="Y1898" s="412"/>
      <c r="Z1898" s="412"/>
      <c r="AA1898" s="412"/>
      <c r="AB1898" s="412"/>
      <c r="AC1898" s="412"/>
      <c r="AD1898" s="412"/>
      <c r="AE1898" s="427">
        <v>300</v>
      </c>
      <c r="AF1898" s="412"/>
      <c r="AG1898" s="412"/>
      <c r="AH1898" s="412"/>
      <c r="AI1898" s="412"/>
      <c r="AJ1898" s="412">
        <f t="shared" si="89"/>
        <v>300</v>
      </c>
      <c r="AK1898" s="208"/>
      <c r="AL1898" s="250" t="s">
        <v>2067</v>
      </c>
    </row>
    <row r="1899" spans="1:38" x14ac:dyDescent="0.2">
      <c r="A1899" t="s">
        <v>884</v>
      </c>
      <c r="B1899" s="209">
        <v>5464</v>
      </c>
      <c r="C1899" s="341" t="s">
        <v>854</v>
      </c>
      <c r="D1899" s="230" t="s">
        <v>1478</v>
      </c>
      <c r="E1899" s="230" t="s">
        <v>95</v>
      </c>
      <c r="F1899" s="242">
        <v>300</v>
      </c>
      <c r="G1899" s="205">
        <v>1</v>
      </c>
      <c r="H1899" s="206">
        <v>900</v>
      </c>
      <c r="I1899" s="207">
        <v>41504</v>
      </c>
      <c r="J1899" s="197" t="str">
        <f t="shared" si="90"/>
        <v>ok</v>
      </c>
      <c r="K1899" s="419"/>
      <c r="L1899" s="419"/>
      <c r="M1899" s="419"/>
      <c r="N1899" s="419"/>
      <c r="O1899" s="419"/>
      <c r="P1899" s="419"/>
      <c r="Q1899" s="419"/>
      <c r="R1899" s="419"/>
      <c r="S1899" s="419"/>
      <c r="T1899" s="419"/>
      <c r="U1899" s="419"/>
      <c r="V1899" s="419"/>
      <c r="W1899" s="419">
        <f t="shared" si="88"/>
        <v>0</v>
      </c>
      <c r="X1899" s="412"/>
      <c r="Y1899" s="412"/>
      <c r="Z1899" s="412"/>
      <c r="AA1899" s="412"/>
      <c r="AB1899" s="412"/>
      <c r="AC1899" s="412"/>
      <c r="AD1899" s="412"/>
      <c r="AE1899" s="427">
        <v>300</v>
      </c>
      <c r="AF1899" s="412">
        <v>300</v>
      </c>
      <c r="AG1899" s="412">
        <v>300</v>
      </c>
      <c r="AH1899" s="412"/>
      <c r="AI1899" s="412"/>
      <c r="AJ1899" s="412">
        <f t="shared" si="89"/>
        <v>900</v>
      </c>
      <c r="AK1899" s="208"/>
      <c r="AL1899" s="250" t="s">
        <v>2067</v>
      </c>
    </row>
    <row r="1900" spans="1:38" x14ac:dyDescent="0.2">
      <c r="A1900" t="s">
        <v>893</v>
      </c>
      <c r="B1900" s="209">
        <v>5465</v>
      </c>
      <c r="C1900" s="341" t="s">
        <v>1143</v>
      </c>
      <c r="D1900" s="230" t="s">
        <v>1475</v>
      </c>
      <c r="E1900" s="230" t="s">
        <v>322</v>
      </c>
      <c r="F1900" s="242">
        <v>150</v>
      </c>
      <c r="G1900" s="205">
        <v>1</v>
      </c>
      <c r="H1900" s="206">
        <v>300</v>
      </c>
      <c r="I1900" s="207">
        <v>41504</v>
      </c>
      <c r="J1900" s="197" t="str">
        <f t="shared" si="90"/>
        <v>ok</v>
      </c>
      <c r="K1900" s="419"/>
      <c r="L1900" s="419"/>
      <c r="M1900" s="419"/>
      <c r="N1900" s="419"/>
      <c r="O1900" s="419"/>
      <c r="P1900" s="419"/>
      <c r="Q1900" s="419"/>
      <c r="R1900" s="419"/>
      <c r="S1900" s="419"/>
      <c r="T1900" s="419"/>
      <c r="U1900" s="419"/>
      <c r="V1900" s="419"/>
      <c r="W1900" s="419">
        <f t="shared" si="88"/>
        <v>0</v>
      </c>
      <c r="X1900" s="412"/>
      <c r="Y1900" s="412"/>
      <c r="Z1900" s="412"/>
      <c r="AA1900" s="412"/>
      <c r="AB1900" s="412"/>
      <c r="AC1900" s="412"/>
      <c r="AD1900" s="412">
        <v>150</v>
      </c>
      <c r="AE1900" s="427">
        <v>150</v>
      </c>
      <c r="AF1900" s="412"/>
      <c r="AG1900" s="412"/>
      <c r="AH1900" s="412"/>
      <c r="AI1900" s="412"/>
      <c r="AJ1900" s="412">
        <f t="shared" si="89"/>
        <v>300</v>
      </c>
      <c r="AK1900" s="208"/>
      <c r="AL1900" s="250" t="s">
        <v>2067</v>
      </c>
    </row>
    <row r="1901" spans="1:38" x14ac:dyDescent="0.2">
      <c r="A1901" t="s">
        <v>884</v>
      </c>
      <c r="B1901" s="209">
        <v>5466</v>
      </c>
      <c r="C1901" s="341" t="s">
        <v>856</v>
      </c>
      <c r="D1901" s="230" t="s">
        <v>1515</v>
      </c>
      <c r="E1901" s="230" t="s">
        <v>99</v>
      </c>
      <c r="F1901" s="242">
        <v>300</v>
      </c>
      <c r="G1901" s="205">
        <v>1</v>
      </c>
      <c r="H1901" s="206">
        <v>300</v>
      </c>
      <c r="I1901" s="207">
        <v>41504</v>
      </c>
      <c r="J1901" s="197" t="str">
        <f t="shared" si="90"/>
        <v>ok</v>
      </c>
      <c r="K1901" s="419"/>
      <c r="L1901" s="419"/>
      <c r="M1901" s="419"/>
      <c r="N1901" s="419"/>
      <c r="O1901" s="419"/>
      <c r="P1901" s="419"/>
      <c r="Q1901" s="419"/>
      <c r="R1901" s="419"/>
      <c r="S1901" s="419"/>
      <c r="T1901" s="419"/>
      <c r="U1901" s="419"/>
      <c r="V1901" s="419"/>
      <c r="W1901" s="419">
        <f t="shared" si="88"/>
        <v>0</v>
      </c>
      <c r="X1901" s="412"/>
      <c r="Y1901" s="412"/>
      <c r="Z1901" s="412"/>
      <c r="AA1901" s="412"/>
      <c r="AB1901" s="412"/>
      <c r="AC1901" s="412"/>
      <c r="AD1901" s="412"/>
      <c r="AE1901" s="427">
        <v>300</v>
      </c>
      <c r="AF1901" s="412"/>
      <c r="AG1901" s="412"/>
      <c r="AH1901" s="412"/>
      <c r="AI1901" s="412"/>
      <c r="AJ1901" s="412">
        <f t="shared" si="89"/>
        <v>300</v>
      </c>
      <c r="AK1901" s="208"/>
      <c r="AL1901" s="250" t="s">
        <v>2067</v>
      </c>
    </row>
    <row r="1902" spans="1:38" x14ac:dyDescent="0.2">
      <c r="A1902" t="s">
        <v>890</v>
      </c>
      <c r="B1902" s="209">
        <v>5467</v>
      </c>
      <c r="C1902" s="341" t="s">
        <v>998</v>
      </c>
      <c r="D1902" s="230" t="s">
        <v>1562</v>
      </c>
      <c r="E1902" s="230" t="s">
        <v>487</v>
      </c>
      <c r="F1902" s="242">
        <v>300</v>
      </c>
      <c r="G1902" s="205">
        <v>1</v>
      </c>
      <c r="H1902" s="206">
        <v>600</v>
      </c>
      <c r="I1902" s="207">
        <v>41504</v>
      </c>
      <c r="J1902" s="197" t="str">
        <f t="shared" si="90"/>
        <v>ok</v>
      </c>
      <c r="K1902" s="419"/>
      <c r="L1902" s="419"/>
      <c r="M1902" s="419"/>
      <c r="N1902" s="419"/>
      <c r="O1902" s="419"/>
      <c r="P1902" s="419"/>
      <c r="Q1902" s="419"/>
      <c r="R1902" s="419"/>
      <c r="S1902" s="419"/>
      <c r="T1902" s="419"/>
      <c r="U1902" s="419"/>
      <c r="V1902" s="419"/>
      <c r="W1902" s="419">
        <f t="shared" si="88"/>
        <v>0</v>
      </c>
      <c r="X1902" s="412"/>
      <c r="Y1902" s="412"/>
      <c r="Z1902" s="412"/>
      <c r="AA1902" s="412"/>
      <c r="AB1902" s="412"/>
      <c r="AC1902" s="412">
        <v>300</v>
      </c>
      <c r="AD1902" s="412">
        <v>300</v>
      </c>
      <c r="AE1902" s="427"/>
      <c r="AF1902" s="412"/>
      <c r="AG1902" s="412"/>
      <c r="AH1902" s="412"/>
      <c r="AI1902" s="412"/>
      <c r="AJ1902" s="412">
        <f t="shared" si="89"/>
        <v>600</v>
      </c>
      <c r="AK1902" s="208"/>
      <c r="AL1902" s="250" t="s">
        <v>2067</v>
      </c>
    </row>
    <row r="1903" spans="1:38" x14ac:dyDescent="0.2">
      <c r="A1903" t="s">
        <v>890</v>
      </c>
      <c r="B1903" s="209">
        <v>5468</v>
      </c>
      <c r="C1903" s="341" t="s">
        <v>1012</v>
      </c>
      <c r="D1903" s="230" t="s">
        <v>1474</v>
      </c>
      <c r="E1903" s="230" t="s">
        <v>729</v>
      </c>
      <c r="F1903" s="242">
        <v>300</v>
      </c>
      <c r="G1903" s="205">
        <v>1</v>
      </c>
      <c r="H1903" s="206">
        <v>300</v>
      </c>
      <c r="I1903" s="207">
        <v>41504</v>
      </c>
      <c r="J1903" s="197" t="str">
        <f t="shared" si="90"/>
        <v>ok</v>
      </c>
      <c r="K1903" s="419"/>
      <c r="L1903" s="419"/>
      <c r="M1903" s="419"/>
      <c r="N1903" s="419"/>
      <c r="O1903" s="419"/>
      <c r="P1903" s="419"/>
      <c r="Q1903" s="419"/>
      <c r="R1903" s="419"/>
      <c r="S1903" s="419"/>
      <c r="T1903" s="419"/>
      <c r="U1903" s="419"/>
      <c r="V1903" s="419"/>
      <c r="W1903" s="419">
        <f t="shared" si="88"/>
        <v>0</v>
      </c>
      <c r="X1903" s="412"/>
      <c r="Y1903" s="412"/>
      <c r="Z1903" s="412"/>
      <c r="AA1903" s="412"/>
      <c r="AB1903" s="412"/>
      <c r="AC1903" s="412"/>
      <c r="AD1903" s="412"/>
      <c r="AE1903" s="427">
        <v>300</v>
      </c>
      <c r="AF1903" s="412"/>
      <c r="AG1903" s="412"/>
      <c r="AH1903" s="412"/>
      <c r="AI1903" s="412"/>
      <c r="AJ1903" s="412">
        <f t="shared" si="89"/>
        <v>300</v>
      </c>
      <c r="AK1903" s="208"/>
      <c r="AL1903" s="250" t="s">
        <v>2067</v>
      </c>
    </row>
    <row r="1904" spans="1:38" x14ac:dyDescent="0.2">
      <c r="A1904" t="s">
        <v>893</v>
      </c>
      <c r="B1904" s="209">
        <v>5469</v>
      </c>
      <c r="C1904" s="341" t="s">
        <v>1121</v>
      </c>
      <c r="D1904" s="230" t="s">
        <v>1584</v>
      </c>
      <c r="E1904" s="230" t="s">
        <v>278</v>
      </c>
      <c r="F1904" s="242">
        <v>300</v>
      </c>
      <c r="G1904" s="205">
        <v>1</v>
      </c>
      <c r="H1904" s="206">
        <v>300</v>
      </c>
      <c r="I1904" s="207">
        <v>41504</v>
      </c>
      <c r="J1904" s="197" t="str">
        <f t="shared" si="90"/>
        <v>ok</v>
      </c>
      <c r="K1904" s="419"/>
      <c r="L1904" s="419"/>
      <c r="M1904" s="419"/>
      <c r="N1904" s="419"/>
      <c r="O1904" s="419"/>
      <c r="P1904" s="419"/>
      <c r="Q1904" s="419"/>
      <c r="R1904" s="419"/>
      <c r="S1904" s="419"/>
      <c r="T1904" s="419"/>
      <c r="U1904" s="419"/>
      <c r="V1904" s="419"/>
      <c r="W1904" s="419">
        <f t="shared" si="88"/>
        <v>0</v>
      </c>
      <c r="X1904" s="412"/>
      <c r="Y1904" s="412"/>
      <c r="Z1904" s="412"/>
      <c r="AA1904" s="412"/>
      <c r="AB1904" s="412"/>
      <c r="AC1904" s="412"/>
      <c r="AD1904" s="412"/>
      <c r="AE1904" s="427">
        <v>300</v>
      </c>
      <c r="AF1904" s="412"/>
      <c r="AG1904" s="412"/>
      <c r="AH1904" s="412"/>
      <c r="AI1904" s="412"/>
      <c r="AJ1904" s="412">
        <f t="shared" si="89"/>
        <v>300</v>
      </c>
      <c r="AK1904" s="208"/>
      <c r="AL1904" s="250" t="s">
        <v>2067</v>
      </c>
    </row>
    <row r="1905" spans="1:38" x14ac:dyDescent="0.2">
      <c r="A1905" t="s">
        <v>893</v>
      </c>
      <c r="B1905" s="209">
        <v>5470</v>
      </c>
      <c r="C1905" s="341" t="s">
        <v>1077</v>
      </c>
      <c r="D1905" s="230" t="s">
        <v>1429</v>
      </c>
      <c r="E1905" s="230" t="s">
        <v>195</v>
      </c>
      <c r="F1905" s="242">
        <v>200</v>
      </c>
      <c r="G1905" s="205">
        <v>1</v>
      </c>
      <c r="H1905" s="206">
        <v>200</v>
      </c>
      <c r="I1905" s="207">
        <v>41504</v>
      </c>
      <c r="J1905" s="197" t="str">
        <f t="shared" si="90"/>
        <v>ok</v>
      </c>
      <c r="K1905" s="419"/>
      <c r="L1905" s="419"/>
      <c r="M1905" s="419"/>
      <c r="N1905" s="419"/>
      <c r="O1905" s="419"/>
      <c r="P1905" s="419"/>
      <c r="Q1905" s="419"/>
      <c r="R1905" s="419"/>
      <c r="S1905" s="419"/>
      <c r="T1905" s="419"/>
      <c r="U1905" s="419"/>
      <c r="V1905" s="419"/>
      <c r="W1905" s="419">
        <f t="shared" si="88"/>
        <v>0</v>
      </c>
      <c r="X1905" s="412"/>
      <c r="Y1905" s="412"/>
      <c r="Z1905" s="412"/>
      <c r="AA1905" s="412"/>
      <c r="AB1905" s="412"/>
      <c r="AC1905" s="412"/>
      <c r="AD1905" s="412"/>
      <c r="AE1905" s="427">
        <v>200</v>
      </c>
      <c r="AF1905" s="412"/>
      <c r="AG1905" s="412"/>
      <c r="AH1905" s="412"/>
      <c r="AI1905" s="412"/>
      <c r="AJ1905" s="412">
        <f t="shared" si="89"/>
        <v>200</v>
      </c>
      <c r="AK1905" s="208"/>
      <c r="AL1905" s="250" t="s">
        <v>2067</v>
      </c>
    </row>
    <row r="1906" spans="1:38" x14ac:dyDescent="0.2">
      <c r="A1906" t="s">
        <v>894</v>
      </c>
      <c r="B1906" s="209">
        <v>5471</v>
      </c>
      <c r="C1906" s="341" t="s">
        <v>1158</v>
      </c>
      <c r="D1906" s="230" t="s">
        <v>1590</v>
      </c>
      <c r="E1906" s="230" t="s">
        <v>600</v>
      </c>
      <c r="F1906" s="242">
        <v>300</v>
      </c>
      <c r="G1906" s="205">
        <v>1</v>
      </c>
      <c r="H1906" s="206">
        <v>300</v>
      </c>
      <c r="I1906" s="207">
        <v>41504</v>
      </c>
      <c r="J1906" s="197" t="str">
        <f t="shared" si="90"/>
        <v>ok</v>
      </c>
      <c r="K1906" s="419"/>
      <c r="L1906" s="419"/>
      <c r="M1906" s="419"/>
      <c r="N1906" s="419"/>
      <c r="O1906" s="419"/>
      <c r="P1906" s="419"/>
      <c r="Q1906" s="419"/>
      <c r="R1906" s="419"/>
      <c r="S1906" s="419"/>
      <c r="T1906" s="419"/>
      <c r="U1906" s="419"/>
      <c r="V1906" s="419"/>
      <c r="W1906" s="419">
        <f t="shared" si="88"/>
        <v>0</v>
      </c>
      <c r="X1906" s="412"/>
      <c r="Y1906" s="412"/>
      <c r="Z1906" s="412"/>
      <c r="AA1906" s="412"/>
      <c r="AB1906" s="412"/>
      <c r="AC1906" s="412"/>
      <c r="AD1906" s="412">
        <v>300</v>
      </c>
      <c r="AE1906" s="427"/>
      <c r="AF1906" s="412"/>
      <c r="AG1906" s="412"/>
      <c r="AH1906" s="412"/>
      <c r="AI1906" s="412"/>
      <c r="AJ1906" s="412">
        <f t="shared" si="89"/>
        <v>300</v>
      </c>
      <c r="AK1906" s="208"/>
      <c r="AL1906" s="250" t="s">
        <v>2067</v>
      </c>
    </row>
    <row r="1907" spans="1:38" x14ac:dyDescent="0.2">
      <c r="A1907" t="s">
        <v>884</v>
      </c>
      <c r="B1907" s="209">
        <v>5472</v>
      </c>
      <c r="C1907" s="341" t="s">
        <v>827</v>
      </c>
      <c r="D1907" s="230" t="s">
        <v>1431</v>
      </c>
      <c r="E1907" s="230" t="s">
        <v>1271</v>
      </c>
      <c r="F1907" s="242">
        <v>300</v>
      </c>
      <c r="G1907" s="205">
        <v>1</v>
      </c>
      <c r="H1907" s="206">
        <v>300</v>
      </c>
      <c r="I1907" s="207">
        <v>41504</v>
      </c>
      <c r="J1907" s="197" t="str">
        <f t="shared" si="90"/>
        <v>ok</v>
      </c>
      <c r="K1907" s="419"/>
      <c r="L1907" s="419"/>
      <c r="M1907" s="419"/>
      <c r="N1907" s="419"/>
      <c r="O1907" s="419"/>
      <c r="P1907" s="419"/>
      <c r="Q1907" s="419"/>
      <c r="R1907" s="419"/>
      <c r="S1907" s="419"/>
      <c r="T1907" s="419"/>
      <c r="U1907" s="419"/>
      <c r="V1907" s="419"/>
      <c r="W1907" s="419">
        <f t="shared" si="88"/>
        <v>0</v>
      </c>
      <c r="X1907" s="412"/>
      <c r="Y1907" s="412"/>
      <c r="Z1907" s="412"/>
      <c r="AA1907" s="412"/>
      <c r="AB1907" s="412"/>
      <c r="AC1907" s="412"/>
      <c r="AD1907" s="412"/>
      <c r="AE1907" s="427">
        <v>300</v>
      </c>
      <c r="AF1907" s="412"/>
      <c r="AG1907" s="412"/>
      <c r="AH1907" s="412"/>
      <c r="AI1907" s="412"/>
      <c r="AJ1907" s="412">
        <f t="shared" si="89"/>
        <v>300</v>
      </c>
      <c r="AK1907" s="208"/>
      <c r="AL1907" s="250" t="s">
        <v>2067</v>
      </c>
    </row>
    <row r="1908" spans="1:38" x14ac:dyDescent="0.2">
      <c r="A1908" t="s">
        <v>890</v>
      </c>
      <c r="B1908" s="209">
        <v>5473</v>
      </c>
      <c r="C1908" s="341" t="s">
        <v>1024</v>
      </c>
      <c r="D1908" s="230" t="s">
        <v>1599</v>
      </c>
      <c r="E1908" s="230" t="s">
        <v>257</v>
      </c>
      <c r="F1908" s="242">
        <v>100</v>
      </c>
      <c r="G1908" s="205">
        <v>1</v>
      </c>
      <c r="H1908" s="206">
        <v>100</v>
      </c>
      <c r="I1908" s="207">
        <v>41504</v>
      </c>
      <c r="J1908" s="197" t="str">
        <f t="shared" si="90"/>
        <v>ok</v>
      </c>
      <c r="K1908" s="419"/>
      <c r="L1908" s="419"/>
      <c r="M1908" s="419"/>
      <c r="N1908" s="419"/>
      <c r="O1908" s="419"/>
      <c r="P1908" s="419"/>
      <c r="Q1908" s="419"/>
      <c r="R1908" s="419"/>
      <c r="S1908" s="419"/>
      <c r="T1908" s="419"/>
      <c r="U1908" s="419"/>
      <c r="V1908" s="419"/>
      <c r="W1908" s="419">
        <f t="shared" si="88"/>
        <v>0</v>
      </c>
      <c r="X1908" s="412"/>
      <c r="Y1908" s="412"/>
      <c r="Z1908" s="412"/>
      <c r="AA1908" s="412"/>
      <c r="AB1908" s="412"/>
      <c r="AC1908" s="412"/>
      <c r="AD1908" s="412"/>
      <c r="AE1908" s="427">
        <v>100</v>
      </c>
      <c r="AF1908" s="412"/>
      <c r="AG1908" s="412"/>
      <c r="AH1908" s="412"/>
      <c r="AI1908" s="412"/>
      <c r="AJ1908" s="412">
        <f t="shared" si="89"/>
        <v>100</v>
      </c>
      <c r="AK1908" s="208"/>
      <c r="AL1908" s="250" t="s">
        <v>2067</v>
      </c>
    </row>
    <row r="1909" spans="1:38" x14ac:dyDescent="0.2">
      <c r="A1909" t="s">
        <v>894</v>
      </c>
      <c r="B1909" s="209">
        <v>5474</v>
      </c>
      <c r="C1909" s="341" t="s">
        <v>1153</v>
      </c>
      <c r="D1909" s="230" t="s">
        <v>1436</v>
      </c>
      <c r="E1909" s="230" t="s">
        <v>191</v>
      </c>
      <c r="F1909" s="242">
        <v>400</v>
      </c>
      <c r="G1909" s="205">
        <v>1</v>
      </c>
      <c r="H1909" s="206">
        <v>400</v>
      </c>
      <c r="I1909" s="207">
        <v>41506</v>
      </c>
      <c r="J1909" s="197" t="str">
        <f t="shared" si="90"/>
        <v>ok</v>
      </c>
      <c r="K1909" s="419"/>
      <c r="L1909" s="419"/>
      <c r="M1909" s="419"/>
      <c r="N1909" s="419"/>
      <c r="O1909" s="419"/>
      <c r="P1909" s="419"/>
      <c r="Q1909" s="419"/>
      <c r="R1909" s="419"/>
      <c r="S1909" s="419"/>
      <c r="T1909" s="419"/>
      <c r="U1909" s="419"/>
      <c r="V1909" s="419"/>
      <c r="W1909" s="419">
        <f t="shared" si="88"/>
        <v>0</v>
      </c>
      <c r="X1909" s="412"/>
      <c r="Y1909" s="412"/>
      <c r="Z1909" s="412"/>
      <c r="AA1909" s="412"/>
      <c r="AB1909" s="412"/>
      <c r="AC1909" s="412"/>
      <c r="AD1909" s="412"/>
      <c r="AE1909" s="427">
        <v>400</v>
      </c>
      <c r="AF1909" s="412"/>
      <c r="AG1909" s="412"/>
      <c r="AH1909" s="412"/>
      <c r="AI1909" s="412"/>
      <c r="AJ1909" s="412">
        <f t="shared" si="89"/>
        <v>400</v>
      </c>
      <c r="AK1909" s="208"/>
      <c r="AL1909" s="250" t="s">
        <v>2067</v>
      </c>
    </row>
    <row r="1910" spans="1:38" x14ac:dyDescent="0.2">
      <c r="A1910" t="s">
        <v>889</v>
      </c>
      <c r="B1910" s="373">
        <v>51</v>
      </c>
      <c r="C1910" s="341" t="s">
        <v>973</v>
      </c>
      <c r="D1910" s="230" t="s">
        <v>1855</v>
      </c>
      <c r="E1910" s="230" t="s">
        <v>1987</v>
      </c>
      <c r="F1910" s="242">
        <v>1000</v>
      </c>
      <c r="G1910" s="205">
        <v>1</v>
      </c>
      <c r="H1910" s="206">
        <v>1000</v>
      </c>
      <c r="I1910" s="207">
        <v>41509</v>
      </c>
      <c r="J1910" s="197" t="str">
        <f t="shared" si="90"/>
        <v>ok</v>
      </c>
      <c r="K1910" s="419"/>
      <c r="L1910" s="419"/>
      <c r="M1910" s="419"/>
      <c r="N1910" s="419"/>
      <c r="O1910" s="419"/>
      <c r="P1910" s="419"/>
      <c r="Q1910" s="419"/>
      <c r="R1910" s="419"/>
      <c r="S1910" s="419"/>
      <c r="T1910" s="419"/>
      <c r="U1910" s="419"/>
      <c r="V1910" s="419"/>
      <c r="W1910" s="419">
        <f t="shared" si="88"/>
        <v>0</v>
      </c>
      <c r="X1910" s="412"/>
      <c r="Y1910" s="412"/>
      <c r="Z1910" s="412"/>
      <c r="AA1910" s="412"/>
      <c r="AB1910" s="412"/>
      <c r="AC1910" s="412"/>
      <c r="AD1910" s="412"/>
      <c r="AE1910" s="427">
        <v>1000</v>
      </c>
      <c r="AF1910" s="412"/>
      <c r="AG1910" s="412"/>
      <c r="AH1910" s="412"/>
      <c r="AI1910" s="412"/>
      <c r="AJ1910" s="412">
        <f t="shared" si="89"/>
        <v>1000</v>
      </c>
      <c r="AK1910" s="208"/>
      <c r="AL1910" s="250" t="s">
        <v>2067</v>
      </c>
    </row>
    <row r="1911" spans="1:38" x14ac:dyDescent="0.2">
      <c r="A1911" t="s">
        <v>884</v>
      </c>
      <c r="B1911" s="209">
        <v>5475</v>
      </c>
      <c r="C1911" s="341" t="s">
        <v>835</v>
      </c>
      <c r="D1911" s="230" t="s">
        <v>1597</v>
      </c>
      <c r="E1911" s="230" t="s">
        <v>72</v>
      </c>
      <c r="F1911" s="242">
        <v>300</v>
      </c>
      <c r="G1911" s="205">
        <v>1</v>
      </c>
      <c r="H1911" s="206">
        <v>300</v>
      </c>
      <c r="I1911" s="207">
        <v>41511</v>
      </c>
      <c r="J1911" s="197" t="str">
        <f t="shared" si="90"/>
        <v>ok</v>
      </c>
      <c r="K1911" s="419"/>
      <c r="L1911" s="419"/>
      <c r="M1911" s="419"/>
      <c r="N1911" s="419"/>
      <c r="O1911" s="419"/>
      <c r="P1911" s="419"/>
      <c r="Q1911" s="419"/>
      <c r="R1911" s="419"/>
      <c r="S1911" s="419"/>
      <c r="T1911" s="419"/>
      <c r="U1911" s="419"/>
      <c r="V1911" s="419"/>
      <c r="W1911" s="419">
        <f t="shared" si="88"/>
        <v>0</v>
      </c>
      <c r="X1911" s="412"/>
      <c r="Y1911" s="412"/>
      <c r="Z1911" s="412"/>
      <c r="AA1911" s="412"/>
      <c r="AB1911" s="412"/>
      <c r="AC1911" s="412"/>
      <c r="AD1911" s="412"/>
      <c r="AE1911" s="427">
        <v>300</v>
      </c>
      <c r="AF1911" s="412"/>
      <c r="AG1911" s="412"/>
      <c r="AH1911" s="412"/>
      <c r="AI1911" s="412"/>
      <c r="AJ1911" s="412">
        <f t="shared" si="89"/>
        <v>300</v>
      </c>
      <c r="AK1911" s="208"/>
      <c r="AL1911" s="250" t="s">
        <v>2067</v>
      </c>
    </row>
    <row r="1912" spans="1:38" x14ac:dyDescent="0.2">
      <c r="A1912" t="s">
        <v>894</v>
      </c>
      <c r="B1912" s="209">
        <v>5476</v>
      </c>
      <c r="C1912" s="341" t="s">
        <v>1160</v>
      </c>
      <c r="D1912" s="230" t="s">
        <v>1608</v>
      </c>
      <c r="E1912" s="230" t="s">
        <v>1275</v>
      </c>
      <c r="F1912" s="242">
        <v>300</v>
      </c>
      <c r="G1912" s="205">
        <v>1</v>
      </c>
      <c r="H1912" s="206">
        <v>300</v>
      </c>
      <c r="I1912" s="207">
        <v>41511</v>
      </c>
      <c r="J1912" s="197" t="str">
        <f t="shared" si="90"/>
        <v>ok</v>
      </c>
      <c r="K1912" s="419"/>
      <c r="L1912" s="419"/>
      <c r="M1912" s="419"/>
      <c r="N1912" s="419"/>
      <c r="O1912" s="419"/>
      <c r="P1912" s="419"/>
      <c r="Q1912" s="419"/>
      <c r="R1912" s="419"/>
      <c r="S1912" s="419"/>
      <c r="T1912" s="419"/>
      <c r="U1912" s="419"/>
      <c r="V1912" s="419"/>
      <c r="W1912" s="419">
        <f t="shared" si="88"/>
        <v>0</v>
      </c>
      <c r="X1912" s="412"/>
      <c r="Y1912" s="412"/>
      <c r="Z1912" s="412"/>
      <c r="AA1912" s="412"/>
      <c r="AB1912" s="412"/>
      <c r="AC1912" s="412"/>
      <c r="AD1912" s="412"/>
      <c r="AE1912" s="427">
        <v>300</v>
      </c>
      <c r="AF1912" s="412"/>
      <c r="AG1912" s="412"/>
      <c r="AH1912" s="412"/>
      <c r="AI1912" s="412"/>
      <c r="AJ1912" s="412">
        <f t="shared" si="89"/>
        <v>300</v>
      </c>
      <c r="AK1912" s="208"/>
      <c r="AL1912" s="250" t="s">
        <v>2067</v>
      </c>
    </row>
    <row r="1913" spans="1:38" x14ac:dyDescent="0.2">
      <c r="A1913" t="s">
        <v>893</v>
      </c>
      <c r="B1913" s="209">
        <v>5477</v>
      </c>
      <c r="C1913" s="341" t="s">
        <v>1094</v>
      </c>
      <c r="D1913" s="230" t="s">
        <v>1985</v>
      </c>
      <c r="E1913" s="230" t="s">
        <v>229</v>
      </c>
      <c r="F1913" s="242">
        <v>300</v>
      </c>
      <c r="G1913" s="205">
        <v>3</v>
      </c>
      <c r="H1913" s="206">
        <v>160</v>
      </c>
      <c r="I1913" s="207">
        <v>41511</v>
      </c>
      <c r="J1913" s="197" t="str">
        <f t="shared" si="90"/>
        <v>ok</v>
      </c>
      <c r="K1913" s="419"/>
      <c r="L1913" s="419"/>
      <c r="M1913" s="419"/>
      <c r="N1913" s="419"/>
      <c r="O1913" s="419"/>
      <c r="P1913" s="419"/>
      <c r="Q1913" s="419"/>
      <c r="R1913" s="419"/>
      <c r="S1913" s="419"/>
      <c r="T1913" s="419"/>
      <c r="U1913" s="419"/>
      <c r="V1913" s="419"/>
      <c r="W1913" s="419">
        <f t="shared" si="88"/>
        <v>0</v>
      </c>
      <c r="X1913" s="412"/>
      <c r="Y1913" s="412"/>
      <c r="Z1913" s="412"/>
      <c r="AA1913" s="412"/>
      <c r="AB1913" s="412"/>
      <c r="AC1913" s="412"/>
      <c r="AD1913" s="412"/>
      <c r="AE1913" s="427"/>
      <c r="AF1913" s="412"/>
      <c r="AG1913" s="412"/>
      <c r="AH1913" s="412"/>
      <c r="AI1913" s="412"/>
      <c r="AJ1913" s="412">
        <f t="shared" si="89"/>
        <v>0</v>
      </c>
      <c r="AK1913" s="208"/>
      <c r="AL1913" s="250" t="s">
        <v>2068</v>
      </c>
    </row>
    <row r="1914" spans="1:38" x14ac:dyDescent="0.2">
      <c r="A1914" t="s">
        <v>884</v>
      </c>
      <c r="B1914" s="209">
        <v>5478</v>
      </c>
      <c r="C1914" s="341" t="s">
        <v>808</v>
      </c>
      <c r="D1914" s="230" t="s">
        <v>1986</v>
      </c>
      <c r="E1914" s="230" t="s">
        <v>1200</v>
      </c>
      <c r="F1914" s="242">
        <v>300</v>
      </c>
      <c r="G1914" s="205">
        <v>3</v>
      </c>
      <c r="H1914" s="206">
        <v>160</v>
      </c>
      <c r="I1914" s="207">
        <v>41511</v>
      </c>
      <c r="J1914" s="197" t="str">
        <f t="shared" si="90"/>
        <v>ok</v>
      </c>
      <c r="K1914" s="419"/>
      <c r="L1914" s="419"/>
      <c r="M1914" s="419"/>
      <c r="N1914" s="419"/>
      <c r="O1914" s="419"/>
      <c r="P1914" s="419"/>
      <c r="Q1914" s="419"/>
      <c r="R1914" s="419"/>
      <c r="S1914" s="419"/>
      <c r="T1914" s="419"/>
      <c r="U1914" s="419"/>
      <c r="V1914" s="419"/>
      <c r="W1914" s="419">
        <f t="shared" si="88"/>
        <v>0</v>
      </c>
      <c r="X1914" s="412"/>
      <c r="Y1914" s="412"/>
      <c r="Z1914" s="412"/>
      <c r="AA1914" s="412"/>
      <c r="AB1914" s="412"/>
      <c r="AC1914" s="412"/>
      <c r="AD1914" s="412"/>
      <c r="AE1914" s="427"/>
      <c r="AF1914" s="412"/>
      <c r="AG1914" s="412"/>
      <c r="AH1914" s="412"/>
      <c r="AI1914" s="412"/>
      <c r="AJ1914" s="412">
        <f t="shared" si="89"/>
        <v>0</v>
      </c>
      <c r="AK1914" s="208"/>
      <c r="AL1914" s="250" t="s">
        <v>2068</v>
      </c>
    </row>
    <row r="1915" spans="1:38" x14ac:dyDescent="0.2">
      <c r="A1915" t="s">
        <v>890</v>
      </c>
      <c r="B1915" s="209">
        <v>5479</v>
      </c>
      <c r="C1915" s="341" t="s">
        <v>1009</v>
      </c>
      <c r="D1915" s="230" t="s">
        <v>1632</v>
      </c>
      <c r="E1915" s="230" t="s">
        <v>502</v>
      </c>
      <c r="F1915" s="242">
        <v>300</v>
      </c>
      <c r="G1915" s="205">
        <v>1</v>
      </c>
      <c r="H1915" s="206">
        <v>300</v>
      </c>
      <c r="I1915" s="207">
        <v>41511</v>
      </c>
      <c r="J1915" s="197" t="str">
        <f t="shared" si="90"/>
        <v>ok</v>
      </c>
      <c r="K1915" s="419"/>
      <c r="L1915" s="419"/>
      <c r="M1915" s="419"/>
      <c r="N1915" s="419"/>
      <c r="O1915" s="419"/>
      <c r="P1915" s="419"/>
      <c r="Q1915" s="419"/>
      <c r="R1915" s="419"/>
      <c r="S1915" s="419"/>
      <c r="T1915" s="419"/>
      <c r="U1915" s="419"/>
      <c r="V1915" s="419"/>
      <c r="W1915" s="419">
        <f t="shared" si="88"/>
        <v>0</v>
      </c>
      <c r="X1915" s="412"/>
      <c r="Y1915" s="412"/>
      <c r="Z1915" s="412"/>
      <c r="AA1915" s="412"/>
      <c r="AB1915" s="412"/>
      <c r="AC1915" s="412"/>
      <c r="AD1915" s="412"/>
      <c r="AE1915" s="427">
        <v>300</v>
      </c>
      <c r="AF1915" s="412"/>
      <c r="AG1915" s="412"/>
      <c r="AH1915" s="412"/>
      <c r="AI1915" s="412"/>
      <c r="AJ1915" s="412">
        <f t="shared" si="89"/>
        <v>300</v>
      </c>
      <c r="AK1915" s="208"/>
      <c r="AL1915" s="250" t="s">
        <v>2067</v>
      </c>
    </row>
    <row r="1916" spans="1:38" x14ac:dyDescent="0.2">
      <c r="A1916" t="s">
        <v>894</v>
      </c>
      <c r="B1916" s="209">
        <v>5480</v>
      </c>
      <c r="C1916" s="341" t="s">
        <v>1154</v>
      </c>
      <c r="D1916" s="230" t="s">
        <v>1367</v>
      </c>
      <c r="E1916" s="230" t="s">
        <v>1239</v>
      </c>
      <c r="F1916" s="242">
        <v>300</v>
      </c>
      <c r="G1916" s="205">
        <v>1</v>
      </c>
      <c r="H1916" s="206">
        <v>300</v>
      </c>
      <c r="I1916" s="207">
        <v>41511</v>
      </c>
      <c r="J1916" s="197" t="str">
        <f t="shared" si="90"/>
        <v>ok</v>
      </c>
      <c r="K1916" s="419"/>
      <c r="L1916" s="419"/>
      <c r="M1916" s="419"/>
      <c r="N1916" s="419"/>
      <c r="O1916" s="419"/>
      <c r="P1916" s="419"/>
      <c r="Q1916" s="419"/>
      <c r="R1916" s="419"/>
      <c r="S1916" s="419"/>
      <c r="T1916" s="419"/>
      <c r="U1916" s="419"/>
      <c r="V1916" s="419"/>
      <c r="W1916" s="419">
        <f t="shared" si="88"/>
        <v>0</v>
      </c>
      <c r="X1916" s="412"/>
      <c r="Y1916" s="412"/>
      <c r="Z1916" s="412"/>
      <c r="AA1916" s="412"/>
      <c r="AB1916" s="412"/>
      <c r="AC1916" s="412"/>
      <c r="AD1916" s="412"/>
      <c r="AE1916" s="427">
        <v>300</v>
      </c>
      <c r="AF1916" s="412"/>
      <c r="AG1916" s="412"/>
      <c r="AH1916" s="412"/>
      <c r="AI1916" s="412"/>
      <c r="AJ1916" s="412">
        <f t="shared" si="89"/>
        <v>300</v>
      </c>
      <c r="AK1916" s="208"/>
      <c r="AL1916" s="250" t="s">
        <v>2067</v>
      </c>
    </row>
    <row r="1917" spans="1:38" x14ac:dyDescent="0.2">
      <c r="A1917" t="s">
        <v>894</v>
      </c>
      <c r="B1917" s="209">
        <v>5480</v>
      </c>
      <c r="C1917" s="341" t="s">
        <v>1154</v>
      </c>
      <c r="D1917" s="230" t="s">
        <v>1367</v>
      </c>
      <c r="E1917" s="230" t="s">
        <v>1239</v>
      </c>
      <c r="F1917" s="242">
        <v>300</v>
      </c>
      <c r="G1917" s="205">
        <v>3</v>
      </c>
      <c r="H1917" s="206">
        <v>160</v>
      </c>
      <c r="I1917" s="207">
        <v>41511</v>
      </c>
      <c r="J1917" s="197" t="str">
        <f t="shared" si="90"/>
        <v>ok</v>
      </c>
      <c r="K1917" s="419"/>
      <c r="L1917" s="419"/>
      <c r="M1917" s="419"/>
      <c r="N1917" s="419"/>
      <c r="O1917" s="419"/>
      <c r="P1917" s="419"/>
      <c r="Q1917" s="419"/>
      <c r="R1917" s="419"/>
      <c r="S1917" s="419"/>
      <c r="T1917" s="419"/>
      <c r="U1917" s="419"/>
      <c r="V1917" s="419"/>
      <c r="W1917" s="419">
        <f t="shared" si="88"/>
        <v>0</v>
      </c>
      <c r="X1917" s="412"/>
      <c r="Y1917" s="412"/>
      <c r="Z1917" s="412"/>
      <c r="AA1917" s="412"/>
      <c r="AB1917" s="412"/>
      <c r="AC1917" s="412"/>
      <c r="AD1917" s="412"/>
      <c r="AE1917" s="427"/>
      <c r="AF1917" s="412"/>
      <c r="AG1917" s="412"/>
      <c r="AH1917" s="412"/>
      <c r="AI1917" s="412"/>
      <c r="AJ1917" s="412">
        <f t="shared" si="89"/>
        <v>0</v>
      </c>
      <c r="AK1917" s="208"/>
      <c r="AL1917" s="250" t="s">
        <v>2068</v>
      </c>
    </row>
    <row r="1918" spans="1:38" x14ac:dyDescent="0.2">
      <c r="A1918" t="s">
        <v>884</v>
      </c>
      <c r="B1918" s="209">
        <v>5481</v>
      </c>
      <c r="C1918" s="341" t="s">
        <v>839</v>
      </c>
      <c r="D1918" s="230" t="s">
        <v>1365</v>
      </c>
      <c r="E1918" s="230" t="s">
        <v>1204</v>
      </c>
      <c r="F1918" s="242">
        <v>300</v>
      </c>
      <c r="G1918" s="205">
        <v>1</v>
      </c>
      <c r="H1918" s="206">
        <v>300</v>
      </c>
      <c r="I1918" s="207">
        <v>41511</v>
      </c>
      <c r="J1918" s="197" t="str">
        <f t="shared" si="90"/>
        <v>ok</v>
      </c>
      <c r="K1918" s="419"/>
      <c r="L1918" s="419"/>
      <c r="M1918" s="419"/>
      <c r="N1918" s="419"/>
      <c r="O1918" s="419"/>
      <c r="P1918" s="419"/>
      <c r="Q1918" s="419"/>
      <c r="R1918" s="419"/>
      <c r="S1918" s="419"/>
      <c r="T1918" s="419"/>
      <c r="U1918" s="419"/>
      <c r="V1918" s="419"/>
      <c r="W1918" s="419">
        <f t="shared" si="88"/>
        <v>0</v>
      </c>
      <c r="X1918" s="412"/>
      <c r="Y1918" s="412"/>
      <c r="Z1918" s="412"/>
      <c r="AA1918" s="412"/>
      <c r="AB1918" s="412"/>
      <c r="AC1918" s="412"/>
      <c r="AD1918" s="412"/>
      <c r="AE1918" s="427">
        <v>300</v>
      </c>
      <c r="AF1918" s="412"/>
      <c r="AG1918" s="412"/>
      <c r="AH1918" s="412"/>
      <c r="AI1918" s="412"/>
      <c r="AJ1918" s="412">
        <f t="shared" si="89"/>
        <v>300</v>
      </c>
      <c r="AK1918" s="208"/>
      <c r="AL1918" s="250" t="s">
        <v>2067</v>
      </c>
    </row>
    <row r="1919" spans="1:38" x14ac:dyDescent="0.2">
      <c r="A1919" t="s">
        <v>890</v>
      </c>
      <c r="B1919" s="209">
        <v>5482</v>
      </c>
      <c r="C1919" s="341" t="s">
        <v>1038</v>
      </c>
      <c r="D1919" s="230" t="s">
        <v>1645</v>
      </c>
      <c r="E1919" s="230" t="s">
        <v>545</v>
      </c>
      <c r="F1919" s="242">
        <v>300</v>
      </c>
      <c r="G1919" s="205">
        <v>1</v>
      </c>
      <c r="H1919" s="206">
        <v>600</v>
      </c>
      <c r="I1919" s="207">
        <v>41511</v>
      </c>
      <c r="J1919" s="197" t="str">
        <f t="shared" si="90"/>
        <v>ok</v>
      </c>
      <c r="K1919" s="419"/>
      <c r="L1919" s="419"/>
      <c r="M1919" s="419"/>
      <c r="N1919" s="419"/>
      <c r="O1919" s="419"/>
      <c r="P1919" s="419"/>
      <c r="Q1919" s="419"/>
      <c r="R1919" s="419"/>
      <c r="S1919" s="419"/>
      <c r="T1919" s="419"/>
      <c r="U1919" s="419"/>
      <c r="V1919" s="419"/>
      <c r="W1919" s="419">
        <f t="shared" si="88"/>
        <v>0</v>
      </c>
      <c r="X1919" s="412"/>
      <c r="Y1919" s="412"/>
      <c r="Z1919" s="412"/>
      <c r="AA1919" s="412"/>
      <c r="AB1919" s="412"/>
      <c r="AC1919" s="412"/>
      <c r="AD1919" s="412"/>
      <c r="AE1919" s="427">
        <v>300</v>
      </c>
      <c r="AF1919" s="412">
        <v>300</v>
      </c>
      <c r="AG1919" s="412"/>
      <c r="AH1919" s="412"/>
      <c r="AI1919" s="412"/>
      <c r="AJ1919" s="412">
        <f t="shared" si="89"/>
        <v>600</v>
      </c>
      <c r="AK1919" s="208"/>
      <c r="AL1919" s="250" t="s">
        <v>2067</v>
      </c>
    </row>
    <row r="1920" spans="1:38" x14ac:dyDescent="0.2">
      <c r="A1920" t="s">
        <v>887</v>
      </c>
      <c r="B1920" s="209">
        <v>5483</v>
      </c>
      <c r="C1920" s="341" t="s">
        <v>905</v>
      </c>
      <c r="D1920" s="230" t="s">
        <v>1524</v>
      </c>
      <c r="E1920" s="230" t="s">
        <v>669</v>
      </c>
      <c r="F1920" s="242">
        <v>150</v>
      </c>
      <c r="G1920" s="205">
        <v>1</v>
      </c>
      <c r="H1920" s="206">
        <v>150</v>
      </c>
      <c r="I1920" s="207">
        <v>41511</v>
      </c>
      <c r="J1920" s="197" t="str">
        <f t="shared" si="90"/>
        <v>ok</v>
      </c>
      <c r="K1920" s="419"/>
      <c r="L1920" s="419"/>
      <c r="M1920" s="419"/>
      <c r="N1920" s="419"/>
      <c r="O1920" s="419"/>
      <c r="P1920" s="419"/>
      <c r="Q1920" s="419"/>
      <c r="R1920" s="419"/>
      <c r="S1920" s="419"/>
      <c r="T1920" s="419"/>
      <c r="U1920" s="419"/>
      <c r="V1920" s="419"/>
      <c r="W1920" s="419">
        <f t="shared" si="88"/>
        <v>0</v>
      </c>
      <c r="X1920" s="412"/>
      <c r="Y1920" s="412"/>
      <c r="Z1920" s="412"/>
      <c r="AA1920" s="412"/>
      <c r="AB1920" s="412"/>
      <c r="AC1920" s="412"/>
      <c r="AD1920" s="412"/>
      <c r="AE1920" s="427">
        <v>150</v>
      </c>
      <c r="AF1920" s="412"/>
      <c r="AG1920" s="412"/>
      <c r="AH1920" s="412"/>
      <c r="AI1920" s="412"/>
      <c r="AJ1920" s="412">
        <f t="shared" si="89"/>
        <v>150</v>
      </c>
      <c r="AK1920" s="208"/>
      <c r="AL1920" s="250" t="s">
        <v>2067</v>
      </c>
    </row>
    <row r="1921" spans="1:38" x14ac:dyDescent="0.2">
      <c r="A1921" t="s">
        <v>894</v>
      </c>
      <c r="B1921" s="209">
        <v>5484</v>
      </c>
      <c r="C1921" s="341" t="s">
        <v>1151</v>
      </c>
      <c r="D1921" s="230" t="s">
        <v>1560</v>
      </c>
      <c r="E1921" s="230" t="s">
        <v>588</v>
      </c>
      <c r="F1921" s="242">
        <v>300</v>
      </c>
      <c r="G1921" s="205">
        <v>1</v>
      </c>
      <c r="H1921" s="206">
        <v>300</v>
      </c>
      <c r="I1921" s="207">
        <v>41511</v>
      </c>
      <c r="J1921" s="197" t="str">
        <f t="shared" si="90"/>
        <v>ok</v>
      </c>
      <c r="K1921" s="419"/>
      <c r="L1921" s="419"/>
      <c r="M1921" s="419"/>
      <c r="N1921" s="419"/>
      <c r="O1921" s="419"/>
      <c r="P1921" s="419"/>
      <c r="Q1921" s="419"/>
      <c r="R1921" s="419"/>
      <c r="S1921" s="419"/>
      <c r="T1921" s="419"/>
      <c r="U1921" s="419"/>
      <c r="V1921" s="419"/>
      <c r="W1921" s="419">
        <f t="shared" si="88"/>
        <v>0</v>
      </c>
      <c r="X1921" s="412"/>
      <c r="Y1921" s="412"/>
      <c r="Z1921" s="412"/>
      <c r="AA1921" s="412"/>
      <c r="AB1921" s="412"/>
      <c r="AC1921" s="412"/>
      <c r="AD1921" s="412"/>
      <c r="AE1921" s="427">
        <v>300</v>
      </c>
      <c r="AF1921" s="412"/>
      <c r="AG1921" s="412"/>
      <c r="AH1921" s="412"/>
      <c r="AI1921" s="412"/>
      <c r="AJ1921" s="412">
        <f t="shared" si="89"/>
        <v>300</v>
      </c>
      <c r="AK1921" s="208"/>
      <c r="AL1921" s="250" t="s">
        <v>2067</v>
      </c>
    </row>
    <row r="1922" spans="1:38" x14ac:dyDescent="0.2">
      <c r="A1922" t="s">
        <v>892</v>
      </c>
      <c r="B1922" s="209">
        <v>5485</v>
      </c>
      <c r="C1922" s="341" t="s">
        <v>1058</v>
      </c>
      <c r="D1922" s="230" t="s">
        <v>1594</v>
      </c>
      <c r="E1922" s="230" t="s">
        <v>1309</v>
      </c>
      <c r="F1922" s="242">
        <v>300</v>
      </c>
      <c r="G1922" s="205">
        <v>1</v>
      </c>
      <c r="H1922" s="206">
        <v>300</v>
      </c>
      <c r="I1922" s="207">
        <v>41511</v>
      </c>
      <c r="J1922" s="197" t="str">
        <f t="shared" si="90"/>
        <v>ok</v>
      </c>
      <c r="K1922" s="419"/>
      <c r="L1922" s="419"/>
      <c r="M1922" s="419"/>
      <c r="N1922" s="419"/>
      <c r="O1922" s="419"/>
      <c r="P1922" s="419"/>
      <c r="Q1922" s="419"/>
      <c r="R1922" s="419"/>
      <c r="S1922" s="419"/>
      <c r="T1922" s="419"/>
      <c r="U1922" s="419"/>
      <c r="V1922" s="419"/>
      <c r="W1922" s="419">
        <f t="shared" si="88"/>
        <v>0</v>
      </c>
      <c r="X1922" s="412"/>
      <c r="Y1922" s="412"/>
      <c r="Z1922" s="412"/>
      <c r="AA1922" s="412"/>
      <c r="AB1922" s="412"/>
      <c r="AC1922" s="412"/>
      <c r="AD1922" s="412"/>
      <c r="AE1922" s="427">
        <v>300</v>
      </c>
      <c r="AF1922" s="412"/>
      <c r="AG1922" s="412"/>
      <c r="AH1922" s="412"/>
      <c r="AI1922" s="412"/>
      <c r="AJ1922" s="412">
        <f t="shared" si="89"/>
        <v>300</v>
      </c>
      <c r="AK1922" s="208"/>
      <c r="AL1922" s="250" t="s">
        <v>2067</v>
      </c>
    </row>
    <row r="1923" spans="1:38" x14ac:dyDescent="0.2">
      <c r="A1923" t="s">
        <v>892</v>
      </c>
      <c r="B1923" s="209">
        <v>5486</v>
      </c>
      <c r="C1923" s="341" t="s">
        <v>1058</v>
      </c>
      <c r="D1923" s="230" t="s">
        <v>1594</v>
      </c>
      <c r="E1923" s="230" t="s">
        <v>1309</v>
      </c>
      <c r="F1923" s="242">
        <v>300</v>
      </c>
      <c r="G1923" s="205">
        <v>4</v>
      </c>
      <c r="H1923" s="206">
        <v>160</v>
      </c>
      <c r="I1923" s="207">
        <v>41511</v>
      </c>
      <c r="J1923" s="197" t="str">
        <f t="shared" si="90"/>
        <v>ok</v>
      </c>
      <c r="K1923" s="419"/>
      <c r="L1923" s="419"/>
      <c r="M1923" s="419"/>
      <c r="N1923" s="419"/>
      <c r="O1923" s="419"/>
      <c r="P1923" s="419"/>
      <c r="Q1923" s="419"/>
      <c r="R1923" s="419"/>
      <c r="S1923" s="419"/>
      <c r="T1923" s="419"/>
      <c r="U1923" s="419"/>
      <c r="V1923" s="419"/>
      <c r="W1923" s="419">
        <f t="shared" si="88"/>
        <v>0</v>
      </c>
      <c r="X1923" s="412"/>
      <c r="Y1923" s="412"/>
      <c r="Z1923" s="412"/>
      <c r="AA1923" s="412"/>
      <c r="AB1923" s="412"/>
      <c r="AC1923" s="412"/>
      <c r="AD1923" s="412"/>
      <c r="AE1923" s="427"/>
      <c r="AF1923" s="412"/>
      <c r="AG1923" s="412"/>
      <c r="AH1923" s="412"/>
      <c r="AI1923" s="412"/>
      <c r="AJ1923" s="412">
        <f t="shared" si="89"/>
        <v>0</v>
      </c>
      <c r="AK1923" s="208"/>
      <c r="AL1923" s="250" t="s">
        <v>2068</v>
      </c>
    </row>
    <row r="1924" spans="1:38" x14ac:dyDescent="0.2">
      <c r="A1924" t="s">
        <v>892</v>
      </c>
      <c r="B1924" s="209">
        <v>5487</v>
      </c>
      <c r="C1924" s="341" t="s">
        <v>1058</v>
      </c>
      <c r="D1924" s="230" t="s">
        <v>1594</v>
      </c>
      <c r="E1924" s="230" t="s">
        <v>1309</v>
      </c>
      <c r="F1924" s="242">
        <v>300</v>
      </c>
      <c r="G1924" s="205">
        <v>4</v>
      </c>
      <c r="H1924" s="206">
        <v>160</v>
      </c>
      <c r="I1924" s="207">
        <v>41511</v>
      </c>
      <c r="J1924" s="197" t="str">
        <f t="shared" si="90"/>
        <v>ok</v>
      </c>
      <c r="K1924" s="419"/>
      <c r="L1924" s="419"/>
      <c r="M1924" s="419"/>
      <c r="N1924" s="419"/>
      <c r="O1924" s="419"/>
      <c r="P1924" s="419"/>
      <c r="Q1924" s="419"/>
      <c r="R1924" s="419"/>
      <c r="S1924" s="419"/>
      <c r="T1924" s="419"/>
      <c r="U1924" s="419"/>
      <c r="V1924" s="419"/>
      <c r="W1924" s="419">
        <f t="shared" si="88"/>
        <v>0</v>
      </c>
      <c r="X1924" s="412"/>
      <c r="Y1924" s="412"/>
      <c r="Z1924" s="412"/>
      <c r="AA1924" s="412"/>
      <c r="AB1924" s="412"/>
      <c r="AC1924" s="412"/>
      <c r="AD1924" s="412"/>
      <c r="AE1924" s="427"/>
      <c r="AF1924" s="412"/>
      <c r="AG1924" s="412"/>
      <c r="AH1924" s="412"/>
      <c r="AI1924" s="412"/>
      <c r="AJ1924" s="412">
        <f t="shared" si="89"/>
        <v>0</v>
      </c>
      <c r="AK1924" s="208"/>
      <c r="AL1924" s="250" t="s">
        <v>2068</v>
      </c>
    </row>
    <row r="1925" spans="1:38" x14ac:dyDescent="0.2">
      <c r="A1925" t="s">
        <v>894</v>
      </c>
      <c r="B1925" s="209">
        <v>5488</v>
      </c>
      <c r="C1925" s="341" t="s">
        <v>1160</v>
      </c>
      <c r="D1925" s="230" t="s">
        <v>1608</v>
      </c>
      <c r="E1925" s="230" t="s">
        <v>1275</v>
      </c>
      <c r="F1925" s="242">
        <v>300</v>
      </c>
      <c r="G1925" s="205">
        <v>4</v>
      </c>
      <c r="H1925" s="206">
        <v>160</v>
      </c>
      <c r="I1925" s="207">
        <v>41511</v>
      </c>
      <c r="J1925" s="197" t="str">
        <f t="shared" si="90"/>
        <v>ok</v>
      </c>
      <c r="K1925" s="419"/>
      <c r="L1925" s="419"/>
      <c r="M1925" s="419"/>
      <c r="N1925" s="419"/>
      <c r="O1925" s="419"/>
      <c r="P1925" s="419"/>
      <c r="Q1925" s="419"/>
      <c r="R1925" s="419"/>
      <c r="S1925" s="419"/>
      <c r="T1925" s="419"/>
      <c r="U1925" s="419"/>
      <c r="V1925" s="419"/>
      <c r="W1925" s="419">
        <f t="shared" si="88"/>
        <v>0</v>
      </c>
      <c r="X1925" s="412"/>
      <c r="Y1925" s="412"/>
      <c r="Z1925" s="412"/>
      <c r="AA1925" s="412"/>
      <c r="AB1925" s="412"/>
      <c r="AC1925" s="412"/>
      <c r="AD1925" s="412"/>
      <c r="AE1925" s="427"/>
      <c r="AF1925" s="412"/>
      <c r="AG1925" s="412"/>
      <c r="AH1925" s="412"/>
      <c r="AI1925" s="412"/>
      <c r="AJ1925" s="412">
        <f t="shared" si="89"/>
        <v>0</v>
      </c>
      <c r="AK1925" s="208"/>
      <c r="AL1925" s="250" t="s">
        <v>2068</v>
      </c>
    </row>
    <row r="1926" spans="1:38" x14ac:dyDescent="0.2">
      <c r="A1926" t="s">
        <v>1362</v>
      </c>
      <c r="B1926" s="209">
        <v>5489</v>
      </c>
      <c r="C1926" s="341"/>
      <c r="D1926" s="230" t="s">
        <v>1362</v>
      </c>
      <c r="E1926" s="230" t="s">
        <v>1362</v>
      </c>
      <c r="F1926" s="242" t="s">
        <v>1362</v>
      </c>
      <c r="G1926" s="205"/>
      <c r="H1926" s="206"/>
      <c r="I1926" s="207">
        <v>41511</v>
      </c>
      <c r="J1926" s="197" t="str">
        <f t="shared" si="90"/>
        <v>ok</v>
      </c>
      <c r="K1926" s="419"/>
      <c r="L1926" s="419"/>
      <c r="M1926" s="419"/>
      <c r="N1926" s="419"/>
      <c r="O1926" s="419"/>
      <c r="P1926" s="419"/>
      <c r="Q1926" s="419"/>
      <c r="R1926" s="419"/>
      <c r="S1926" s="419"/>
      <c r="T1926" s="419"/>
      <c r="U1926" s="419"/>
      <c r="V1926" s="419"/>
      <c r="W1926" s="419">
        <f t="shared" si="88"/>
        <v>0</v>
      </c>
      <c r="X1926" s="412"/>
      <c r="Y1926" s="412"/>
      <c r="Z1926" s="412"/>
      <c r="AA1926" s="412"/>
      <c r="AB1926" s="412"/>
      <c r="AC1926" s="412"/>
      <c r="AD1926" s="412"/>
      <c r="AE1926" s="427"/>
      <c r="AF1926" s="412"/>
      <c r="AG1926" s="412"/>
      <c r="AH1926" s="412"/>
      <c r="AI1926" s="412"/>
      <c r="AJ1926" s="412">
        <f t="shared" si="89"/>
        <v>0</v>
      </c>
      <c r="AK1926" s="208" t="s">
        <v>755</v>
      </c>
      <c r="AL1926" s="250" t="s">
        <v>2067</v>
      </c>
    </row>
    <row r="1927" spans="1:38" x14ac:dyDescent="0.2">
      <c r="A1927" t="s">
        <v>890</v>
      </c>
      <c r="B1927" s="209">
        <v>5490</v>
      </c>
      <c r="C1927" s="341" t="s">
        <v>1002</v>
      </c>
      <c r="D1927" s="230" t="s">
        <v>1639</v>
      </c>
      <c r="E1927" s="230" t="s">
        <v>32</v>
      </c>
      <c r="F1927" s="242">
        <v>300</v>
      </c>
      <c r="G1927" s="205">
        <v>1</v>
      </c>
      <c r="H1927" s="206">
        <v>1500</v>
      </c>
      <c r="I1927" s="207">
        <v>41511</v>
      </c>
      <c r="J1927" s="197" t="str">
        <f t="shared" si="90"/>
        <v>ok</v>
      </c>
      <c r="K1927" s="419"/>
      <c r="L1927" s="419"/>
      <c r="M1927" s="419"/>
      <c r="N1927" s="419"/>
      <c r="O1927" s="419"/>
      <c r="P1927" s="419"/>
      <c r="Q1927" s="419"/>
      <c r="R1927" s="419"/>
      <c r="S1927" s="419"/>
      <c r="T1927" s="419"/>
      <c r="U1927" s="419"/>
      <c r="V1927" s="419"/>
      <c r="W1927" s="419">
        <f t="shared" ref="W1927:W1990" si="91">SUM(K1927:V1927)</f>
        <v>0</v>
      </c>
      <c r="X1927" s="412"/>
      <c r="Y1927" s="412"/>
      <c r="Z1927" s="412"/>
      <c r="AA1927" s="412"/>
      <c r="AB1927" s="412">
        <v>300</v>
      </c>
      <c r="AC1927" s="412">
        <v>300</v>
      </c>
      <c r="AD1927" s="412">
        <v>300</v>
      </c>
      <c r="AE1927" s="427">
        <v>300</v>
      </c>
      <c r="AF1927" s="412">
        <v>300</v>
      </c>
      <c r="AG1927" s="412"/>
      <c r="AH1927" s="412"/>
      <c r="AI1927" s="412"/>
      <c r="AJ1927" s="412">
        <f t="shared" ref="AJ1927:AJ1990" si="92">SUM(X1927:AI1927)</f>
        <v>1500</v>
      </c>
      <c r="AK1927" s="208"/>
      <c r="AL1927" s="250" t="s">
        <v>2067</v>
      </c>
    </row>
    <row r="1928" spans="1:38" x14ac:dyDescent="0.2">
      <c r="A1928" t="s">
        <v>894</v>
      </c>
      <c r="B1928" s="209">
        <v>5491</v>
      </c>
      <c r="C1928" s="341" t="s">
        <v>1172</v>
      </c>
      <c r="D1928" s="230" t="s">
        <v>1390</v>
      </c>
      <c r="E1928" s="230" t="s">
        <v>626</v>
      </c>
      <c r="F1928" s="242">
        <v>300</v>
      </c>
      <c r="G1928" s="205">
        <v>1</v>
      </c>
      <c r="H1928" s="206">
        <v>300</v>
      </c>
      <c r="I1928" s="207">
        <v>41511</v>
      </c>
      <c r="J1928" s="197" t="str">
        <f t="shared" si="90"/>
        <v>ok</v>
      </c>
      <c r="K1928" s="419"/>
      <c r="L1928" s="419"/>
      <c r="M1928" s="419"/>
      <c r="N1928" s="419"/>
      <c r="O1928" s="419"/>
      <c r="P1928" s="419"/>
      <c r="Q1928" s="419"/>
      <c r="R1928" s="419"/>
      <c r="S1928" s="419"/>
      <c r="T1928" s="419"/>
      <c r="U1928" s="419"/>
      <c r="V1928" s="419"/>
      <c r="W1928" s="419">
        <f t="shared" si="91"/>
        <v>0</v>
      </c>
      <c r="X1928" s="412"/>
      <c r="Y1928" s="412"/>
      <c r="Z1928" s="412"/>
      <c r="AA1928" s="412"/>
      <c r="AB1928" s="412"/>
      <c r="AC1928" s="412"/>
      <c r="AD1928" s="412"/>
      <c r="AE1928" s="427">
        <v>300</v>
      </c>
      <c r="AF1928" s="412"/>
      <c r="AG1928" s="412"/>
      <c r="AH1928" s="412"/>
      <c r="AI1928" s="412"/>
      <c r="AJ1928" s="412">
        <f t="shared" si="92"/>
        <v>300</v>
      </c>
      <c r="AK1928" s="208"/>
      <c r="AL1928" s="250" t="s">
        <v>2067</v>
      </c>
    </row>
    <row r="1929" spans="1:38" x14ac:dyDescent="0.2">
      <c r="A1929" t="s">
        <v>888</v>
      </c>
      <c r="B1929" s="209">
        <v>5492</v>
      </c>
      <c r="C1929" s="341" t="s">
        <v>945</v>
      </c>
      <c r="D1929" s="230" t="s">
        <v>1379</v>
      </c>
      <c r="E1929" s="230" t="s">
        <v>407</v>
      </c>
      <c r="F1929" s="242">
        <v>300</v>
      </c>
      <c r="G1929" s="205">
        <v>1</v>
      </c>
      <c r="H1929" s="206">
        <v>900</v>
      </c>
      <c r="I1929" s="207">
        <v>41511</v>
      </c>
      <c r="J1929" s="197" t="str">
        <f t="shared" si="90"/>
        <v>ok</v>
      </c>
      <c r="K1929" s="419"/>
      <c r="L1929" s="419"/>
      <c r="M1929" s="419"/>
      <c r="N1929" s="419"/>
      <c r="O1929" s="419"/>
      <c r="P1929" s="419"/>
      <c r="Q1929" s="419"/>
      <c r="R1929" s="419"/>
      <c r="S1929" s="419"/>
      <c r="T1929" s="419"/>
      <c r="U1929" s="419"/>
      <c r="V1929" s="419"/>
      <c r="W1929" s="419">
        <f t="shared" si="91"/>
        <v>0</v>
      </c>
      <c r="X1929" s="412"/>
      <c r="Y1929" s="412"/>
      <c r="Z1929" s="412"/>
      <c r="AA1929" s="412"/>
      <c r="AB1929" s="412"/>
      <c r="AC1929" s="412">
        <v>300</v>
      </c>
      <c r="AD1929" s="412">
        <v>300</v>
      </c>
      <c r="AE1929" s="427">
        <v>300</v>
      </c>
      <c r="AF1929" s="412"/>
      <c r="AG1929" s="412"/>
      <c r="AH1929" s="412"/>
      <c r="AI1929" s="412"/>
      <c r="AJ1929" s="412">
        <f t="shared" si="92"/>
        <v>900</v>
      </c>
      <c r="AK1929" s="208"/>
      <c r="AL1929" s="250" t="s">
        <v>2067</v>
      </c>
    </row>
    <row r="1930" spans="1:38" x14ac:dyDescent="0.2">
      <c r="A1930" t="s">
        <v>888</v>
      </c>
      <c r="B1930" s="209">
        <v>5493</v>
      </c>
      <c r="C1930" s="341" t="s">
        <v>921</v>
      </c>
      <c r="D1930" s="230" t="s">
        <v>1546</v>
      </c>
      <c r="E1930" s="230" t="s">
        <v>363</v>
      </c>
      <c r="F1930" s="242">
        <v>300</v>
      </c>
      <c r="G1930" s="205">
        <v>1</v>
      </c>
      <c r="H1930" s="206">
        <v>300</v>
      </c>
      <c r="I1930" s="207">
        <v>41511</v>
      </c>
      <c r="J1930" s="197" t="str">
        <f t="shared" si="90"/>
        <v>ok</v>
      </c>
      <c r="K1930" s="419"/>
      <c r="L1930" s="419"/>
      <c r="M1930" s="419"/>
      <c r="N1930" s="419"/>
      <c r="O1930" s="419"/>
      <c r="P1930" s="419"/>
      <c r="Q1930" s="419"/>
      <c r="R1930" s="419"/>
      <c r="S1930" s="419"/>
      <c r="T1930" s="419"/>
      <c r="U1930" s="419"/>
      <c r="V1930" s="419"/>
      <c r="W1930" s="419">
        <f t="shared" si="91"/>
        <v>0</v>
      </c>
      <c r="X1930" s="412"/>
      <c r="Y1930" s="412"/>
      <c r="Z1930" s="412"/>
      <c r="AA1930" s="412"/>
      <c r="AB1930" s="412"/>
      <c r="AC1930" s="412"/>
      <c r="AD1930" s="412"/>
      <c r="AE1930" s="427">
        <v>300</v>
      </c>
      <c r="AF1930" s="412"/>
      <c r="AG1930" s="412"/>
      <c r="AH1930" s="412"/>
      <c r="AI1930" s="412"/>
      <c r="AJ1930" s="412">
        <f t="shared" si="92"/>
        <v>300</v>
      </c>
      <c r="AK1930" s="208"/>
      <c r="AL1930" s="250" t="s">
        <v>2067</v>
      </c>
    </row>
    <row r="1931" spans="1:38" x14ac:dyDescent="0.2">
      <c r="A1931" t="s">
        <v>892</v>
      </c>
      <c r="B1931" s="209">
        <v>5494</v>
      </c>
      <c r="C1931" s="341" t="s">
        <v>1062</v>
      </c>
      <c r="D1931" s="230" t="s">
        <v>1503</v>
      </c>
      <c r="E1931" s="230" t="s">
        <v>739</v>
      </c>
      <c r="F1931" s="242">
        <v>300</v>
      </c>
      <c r="G1931" s="205">
        <v>2</v>
      </c>
      <c r="H1931" s="206">
        <v>3360.71</v>
      </c>
      <c r="I1931" s="207">
        <v>41512</v>
      </c>
      <c r="J1931" s="197" t="str">
        <f t="shared" si="90"/>
        <v>ok</v>
      </c>
      <c r="K1931" s="419"/>
      <c r="L1931" s="419"/>
      <c r="M1931" s="419"/>
      <c r="N1931" s="419"/>
      <c r="O1931" s="419"/>
      <c r="P1931" s="419"/>
      <c r="Q1931" s="419"/>
      <c r="R1931" s="419"/>
      <c r="S1931" s="419"/>
      <c r="T1931" s="419"/>
      <c r="U1931" s="419"/>
      <c r="V1931" s="419"/>
      <c r="W1931" s="419">
        <f t="shared" si="91"/>
        <v>0</v>
      </c>
      <c r="X1931" s="412"/>
      <c r="Y1931" s="412"/>
      <c r="Z1931" s="412"/>
      <c r="AA1931" s="412"/>
      <c r="AB1931" s="412"/>
      <c r="AC1931" s="412"/>
      <c r="AD1931" s="412"/>
      <c r="AE1931" s="427"/>
      <c r="AF1931" s="412"/>
      <c r="AG1931" s="412"/>
      <c r="AH1931" s="412"/>
      <c r="AI1931" s="412"/>
      <c r="AJ1931" s="412">
        <f t="shared" si="92"/>
        <v>0</v>
      </c>
      <c r="AK1931" s="208"/>
      <c r="AL1931" s="250" t="s">
        <v>2068</v>
      </c>
    </row>
    <row r="1932" spans="1:38" x14ac:dyDescent="0.2">
      <c r="A1932" t="s">
        <v>888</v>
      </c>
      <c r="B1932" s="209">
        <v>5495</v>
      </c>
      <c r="C1932" s="341" t="s">
        <v>948</v>
      </c>
      <c r="D1932" s="230" t="s">
        <v>1504</v>
      </c>
      <c r="E1932" s="230" t="s">
        <v>325</v>
      </c>
      <c r="F1932" s="242">
        <v>300</v>
      </c>
      <c r="G1932" s="205">
        <v>1</v>
      </c>
      <c r="H1932" s="206">
        <v>300</v>
      </c>
      <c r="I1932" s="207">
        <v>41515</v>
      </c>
      <c r="J1932" s="197" t="str">
        <f t="shared" si="90"/>
        <v>ok</v>
      </c>
      <c r="K1932" s="419"/>
      <c r="L1932" s="419"/>
      <c r="M1932" s="419"/>
      <c r="N1932" s="419"/>
      <c r="O1932" s="419"/>
      <c r="P1932" s="419"/>
      <c r="Q1932" s="419"/>
      <c r="R1932" s="419"/>
      <c r="S1932" s="419"/>
      <c r="T1932" s="419"/>
      <c r="U1932" s="419"/>
      <c r="V1932" s="419"/>
      <c r="W1932" s="419">
        <f t="shared" si="91"/>
        <v>0</v>
      </c>
      <c r="X1932" s="412"/>
      <c r="Y1932" s="412"/>
      <c r="Z1932" s="412"/>
      <c r="AA1932" s="412"/>
      <c r="AB1932" s="412"/>
      <c r="AC1932" s="412"/>
      <c r="AD1932" s="412"/>
      <c r="AE1932" s="427">
        <v>300</v>
      </c>
      <c r="AF1932" s="412"/>
      <c r="AG1932" s="412"/>
      <c r="AH1932" s="412"/>
      <c r="AI1932" s="412"/>
      <c r="AJ1932" s="412">
        <f t="shared" si="92"/>
        <v>300</v>
      </c>
      <c r="AK1932" s="208"/>
      <c r="AL1932" s="250" t="s">
        <v>2067</v>
      </c>
    </row>
    <row r="1933" spans="1:38" x14ac:dyDescent="0.2">
      <c r="A1933" t="s">
        <v>892</v>
      </c>
      <c r="B1933" s="209">
        <v>5496</v>
      </c>
      <c r="C1933" s="341" t="s">
        <v>1063</v>
      </c>
      <c r="D1933" s="230" t="s">
        <v>1359</v>
      </c>
      <c r="E1933" s="230" t="s">
        <v>521</v>
      </c>
      <c r="F1933" s="242">
        <v>300</v>
      </c>
      <c r="G1933" s="205">
        <v>1</v>
      </c>
      <c r="H1933" s="206">
        <v>600</v>
      </c>
      <c r="I1933" s="207">
        <v>41517</v>
      </c>
      <c r="J1933" s="197" t="str">
        <f t="shared" si="90"/>
        <v>ok</v>
      </c>
      <c r="K1933" s="419"/>
      <c r="L1933" s="419"/>
      <c r="M1933" s="419"/>
      <c r="N1933" s="419"/>
      <c r="O1933" s="419"/>
      <c r="P1933" s="419"/>
      <c r="Q1933" s="419"/>
      <c r="R1933" s="419"/>
      <c r="S1933" s="419"/>
      <c r="T1933" s="419"/>
      <c r="U1933" s="419"/>
      <c r="V1933" s="419"/>
      <c r="W1933" s="419">
        <f t="shared" si="91"/>
        <v>0</v>
      </c>
      <c r="X1933" s="412"/>
      <c r="Y1933" s="412"/>
      <c r="Z1933" s="412"/>
      <c r="AA1933" s="412"/>
      <c r="AB1933" s="412"/>
      <c r="AC1933" s="412"/>
      <c r="AD1933" s="412">
        <v>300</v>
      </c>
      <c r="AE1933" s="427">
        <v>300</v>
      </c>
      <c r="AF1933" s="412"/>
      <c r="AG1933" s="412"/>
      <c r="AH1933" s="412"/>
      <c r="AI1933" s="412"/>
      <c r="AJ1933" s="412">
        <f t="shared" si="92"/>
        <v>600</v>
      </c>
      <c r="AK1933" s="208"/>
      <c r="AL1933" s="250" t="s">
        <v>2067</v>
      </c>
    </row>
    <row r="1934" spans="1:38" ht="21.95" customHeight="1" x14ac:dyDescent="0.2">
      <c r="A1934" s="405" t="s">
        <v>686</v>
      </c>
      <c r="B1934" s="405" t="s">
        <v>756</v>
      </c>
      <c r="C1934" s="405" t="s">
        <v>903</v>
      </c>
      <c r="D1934" s="405" t="s">
        <v>885</v>
      </c>
      <c r="E1934" s="405" t="s">
        <v>689</v>
      </c>
      <c r="F1934" s="406" t="s">
        <v>702</v>
      </c>
      <c r="G1934" s="405" t="s">
        <v>1182</v>
      </c>
      <c r="H1934" s="405" t="s">
        <v>757</v>
      </c>
      <c r="I1934" s="405" t="s">
        <v>758</v>
      </c>
      <c r="J1934" s="126" t="s">
        <v>2069</v>
      </c>
      <c r="K1934" s="126" t="s">
        <v>690</v>
      </c>
      <c r="L1934" s="126" t="s">
        <v>691</v>
      </c>
      <c r="M1934" s="126" t="s">
        <v>692</v>
      </c>
      <c r="N1934" s="126" t="s">
        <v>693</v>
      </c>
      <c r="O1934" s="126" t="s">
        <v>694</v>
      </c>
      <c r="P1934" s="126" t="s">
        <v>695</v>
      </c>
      <c r="Q1934" s="126" t="s">
        <v>696</v>
      </c>
      <c r="R1934" s="126" t="s">
        <v>697</v>
      </c>
      <c r="S1934" s="126" t="s">
        <v>698</v>
      </c>
      <c r="T1934" s="126" t="s">
        <v>699</v>
      </c>
      <c r="U1934" s="126" t="s">
        <v>700</v>
      </c>
      <c r="V1934" s="126" t="s">
        <v>701</v>
      </c>
      <c r="W1934" s="248" t="s">
        <v>1715</v>
      </c>
      <c r="X1934" s="126" t="s">
        <v>690</v>
      </c>
      <c r="Y1934" s="126" t="s">
        <v>691</v>
      </c>
      <c r="Z1934" s="126" t="s">
        <v>692</v>
      </c>
      <c r="AA1934" s="126" t="s">
        <v>693</v>
      </c>
      <c r="AB1934" s="126" t="s">
        <v>694</v>
      </c>
      <c r="AC1934" s="126" t="s">
        <v>695</v>
      </c>
      <c r="AD1934" s="126" t="s">
        <v>696</v>
      </c>
      <c r="AE1934" s="126" t="s">
        <v>697</v>
      </c>
      <c r="AF1934" s="126" t="s">
        <v>698</v>
      </c>
      <c r="AG1934" s="126" t="s">
        <v>699</v>
      </c>
      <c r="AH1934" s="126" t="s">
        <v>700</v>
      </c>
      <c r="AI1934" s="126" t="s">
        <v>701</v>
      </c>
      <c r="AJ1934" s="248" t="s">
        <v>1834</v>
      </c>
      <c r="AK1934" s="126" t="s">
        <v>759</v>
      </c>
      <c r="AL1934" s="250" t="e">
        <v>#VALUE!</v>
      </c>
    </row>
    <row r="1935" spans="1:38" x14ac:dyDescent="0.2">
      <c r="A1935" s="407" t="s">
        <v>891</v>
      </c>
      <c r="B1935" s="217">
        <v>5497</v>
      </c>
      <c r="C1935" s="218" t="s">
        <v>1051</v>
      </c>
      <c r="D1935" s="232" t="s">
        <v>1442</v>
      </c>
      <c r="E1935" s="232" t="s">
        <v>651</v>
      </c>
      <c r="F1935" s="239">
        <v>300</v>
      </c>
      <c r="G1935" s="219">
        <v>1</v>
      </c>
      <c r="H1935" s="220">
        <v>1200</v>
      </c>
      <c r="I1935" s="221">
        <v>41518</v>
      </c>
      <c r="J1935" s="197" t="str">
        <f t="shared" ref="J1935:J1997" si="93">IF(OR(G1935&lt;&gt;1,SUM(W1935,AJ1935)=H1935),"ok","error")</f>
        <v>ok</v>
      </c>
      <c r="K1935" s="418"/>
      <c r="L1935" s="418"/>
      <c r="M1935" s="418"/>
      <c r="N1935" s="418"/>
      <c r="O1935" s="418"/>
      <c r="P1935" s="418"/>
      <c r="Q1935" s="418"/>
      <c r="R1935" s="418"/>
      <c r="S1935" s="418"/>
      <c r="T1935" s="418"/>
      <c r="U1935" s="418"/>
      <c r="V1935" s="418"/>
      <c r="W1935" s="419">
        <f t="shared" si="91"/>
        <v>0</v>
      </c>
      <c r="X1935" s="420"/>
      <c r="Y1935" s="420"/>
      <c r="Z1935" s="420"/>
      <c r="AA1935" s="420"/>
      <c r="AB1935" s="420"/>
      <c r="AC1935" s="420">
        <v>300</v>
      </c>
      <c r="AD1935" s="420">
        <v>300</v>
      </c>
      <c r="AE1935" s="420">
        <v>300</v>
      </c>
      <c r="AF1935" s="428">
        <v>300</v>
      </c>
      <c r="AG1935" s="420"/>
      <c r="AH1935" s="420"/>
      <c r="AI1935" s="420"/>
      <c r="AJ1935" s="420">
        <f t="shared" si="92"/>
        <v>1200</v>
      </c>
      <c r="AK1935" s="408"/>
      <c r="AL1935" s="250" t="s">
        <v>2067</v>
      </c>
    </row>
    <row r="1936" spans="1:38" x14ac:dyDescent="0.2">
      <c r="A1936" s="409" t="s">
        <v>884</v>
      </c>
      <c r="B1936" s="209">
        <v>5498</v>
      </c>
      <c r="C1936" s="210" t="s">
        <v>772</v>
      </c>
      <c r="D1936" s="229" t="s">
        <v>1409</v>
      </c>
      <c r="E1936" s="229" t="s">
        <v>705</v>
      </c>
      <c r="F1936" s="240">
        <v>125</v>
      </c>
      <c r="G1936" s="205">
        <v>1</v>
      </c>
      <c r="H1936" s="206">
        <v>125</v>
      </c>
      <c r="I1936" s="207">
        <v>41518</v>
      </c>
      <c r="J1936" s="197" t="str">
        <f t="shared" si="93"/>
        <v>ok</v>
      </c>
      <c r="K1936" s="419"/>
      <c r="L1936" s="419"/>
      <c r="M1936" s="419"/>
      <c r="N1936" s="419"/>
      <c r="O1936" s="419"/>
      <c r="P1936" s="419"/>
      <c r="Q1936" s="419"/>
      <c r="R1936" s="419"/>
      <c r="S1936" s="419"/>
      <c r="T1936" s="419"/>
      <c r="U1936" s="419"/>
      <c r="V1936" s="419"/>
      <c r="W1936" s="419">
        <f t="shared" si="91"/>
        <v>0</v>
      </c>
      <c r="X1936" s="412"/>
      <c r="Y1936" s="412"/>
      <c r="Z1936" s="412"/>
      <c r="AA1936" s="412"/>
      <c r="AB1936" s="412"/>
      <c r="AC1936" s="412"/>
      <c r="AD1936" s="412"/>
      <c r="AE1936" s="412"/>
      <c r="AF1936" s="427">
        <v>125</v>
      </c>
      <c r="AG1936" s="412"/>
      <c r="AH1936" s="412"/>
      <c r="AI1936" s="412"/>
      <c r="AJ1936" s="412">
        <f t="shared" si="92"/>
        <v>125</v>
      </c>
      <c r="AK1936" s="410"/>
      <c r="AL1936" s="250" t="s">
        <v>2067</v>
      </c>
    </row>
    <row r="1937" spans="1:38" x14ac:dyDescent="0.2">
      <c r="A1937" s="409" t="s">
        <v>884</v>
      </c>
      <c r="B1937" s="209">
        <v>5499</v>
      </c>
      <c r="C1937" s="210" t="s">
        <v>775</v>
      </c>
      <c r="D1937" s="229" t="s">
        <v>1388</v>
      </c>
      <c r="E1937" s="229" t="s">
        <v>1207</v>
      </c>
      <c r="F1937" s="240">
        <v>300</v>
      </c>
      <c r="G1937" s="205">
        <v>1</v>
      </c>
      <c r="H1937" s="206">
        <v>300</v>
      </c>
      <c r="I1937" s="207">
        <v>41518</v>
      </c>
      <c r="J1937" s="197" t="str">
        <f t="shared" si="93"/>
        <v>ok</v>
      </c>
      <c r="K1937" s="419"/>
      <c r="L1937" s="419"/>
      <c r="M1937" s="419"/>
      <c r="N1937" s="419"/>
      <c r="O1937" s="419"/>
      <c r="P1937" s="419"/>
      <c r="Q1937" s="419"/>
      <c r="R1937" s="419"/>
      <c r="S1937" s="419"/>
      <c r="T1937" s="419"/>
      <c r="U1937" s="419"/>
      <c r="V1937" s="419"/>
      <c r="W1937" s="419">
        <f t="shared" si="91"/>
        <v>0</v>
      </c>
      <c r="X1937" s="412"/>
      <c r="Y1937" s="412"/>
      <c r="Z1937" s="412"/>
      <c r="AA1937" s="412"/>
      <c r="AB1937" s="412"/>
      <c r="AC1937" s="412"/>
      <c r="AD1937" s="412"/>
      <c r="AE1937" s="412"/>
      <c r="AF1937" s="427">
        <v>300</v>
      </c>
      <c r="AG1937" s="412"/>
      <c r="AH1937" s="412"/>
      <c r="AI1937" s="412"/>
      <c r="AJ1937" s="412">
        <f t="shared" si="92"/>
        <v>300</v>
      </c>
      <c r="AK1937" s="410"/>
      <c r="AL1937" s="250" t="s">
        <v>2067</v>
      </c>
    </row>
    <row r="1938" spans="1:38" x14ac:dyDescent="0.2">
      <c r="A1938" s="409" t="s">
        <v>890</v>
      </c>
      <c r="B1938" s="209">
        <v>5500</v>
      </c>
      <c r="C1938" s="210" t="s">
        <v>1000</v>
      </c>
      <c r="D1938" s="229" t="s">
        <v>1384</v>
      </c>
      <c r="E1938" s="229" t="s">
        <v>79</v>
      </c>
      <c r="F1938" s="240">
        <v>300</v>
      </c>
      <c r="G1938" s="205">
        <v>1</v>
      </c>
      <c r="H1938" s="206">
        <v>600</v>
      </c>
      <c r="I1938" s="207">
        <v>41518</v>
      </c>
      <c r="J1938" s="197" t="str">
        <f t="shared" si="93"/>
        <v>ok</v>
      </c>
      <c r="K1938" s="419"/>
      <c r="L1938" s="419"/>
      <c r="M1938" s="419"/>
      <c r="N1938" s="419"/>
      <c r="O1938" s="419"/>
      <c r="P1938" s="419"/>
      <c r="Q1938" s="419"/>
      <c r="R1938" s="419"/>
      <c r="S1938" s="419"/>
      <c r="T1938" s="419"/>
      <c r="U1938" s="419"/>
      <c r="V1938" s="419"/>
      <c r="W1938" s="419">
        <f t="shared" si="91"/>
        <v>0</v>
      </c>
      <c r="X1938" s="412"/>
      <c r="Y1938" s="412"/>
      <c r="Z1938" s="412">
        <v>300</v>
      </c>
      <c r="AA1938" s="412">
        <v>300</v>
      </c>
      <c r="AB1938" s="412"/>
      <c r="AC1938" s="412"/>
      <c r="AD1938" s="412"/>
      <c r="AE1938" s="412"/>
      <c r="AF1938" s="427"/>
      <c r="AG1938" s="412"/>
      <c r="AH1938" s="412"/>
      <c r="AI1938" s="412"/>
      <c r="AJ1938" s="412">
        <f t="shared" si="92"/>
        <v>600</v>
      </c>
      <c r="AK1938" s="410"/>
      <c r="AL1938" s="250" t="s">
        <v>2067</v>
      </c>
    </row>
    <row r="1939" spans="1:38" x14ac:dyDescent="0.2">
      <c r="A1939" s="409" t="s">
        <v>890</v>
      </c>
      <c r="B1939" s="209">
        <v>5501</v>
      </c>
      <c r="C1939" s="210" t="s">
        <v>1000</v>
      </c>
      <c r="D1939" s="229" t="s">
        <v>1384</v>
      </c>
      <c r="E1939" s="229" t="s">
        <v>79</v>
      </c>
      <c r="F1939" s="240">
        <v>300</v>
      </c>
      <c r="G1939" s="205">
        <v>4</v>
      </c>
      <c r="H1939" s="206">
        <v>160</v>
      </c>
      <c r="I1939" s="207">
        <v>41518</v>
      </c>
      <c r="J1939" s="197" t="str">
        <f t="shared" si="93"/>
        <v>ok</v>
      </c>
      <c r="K1939" s="419"/>
      <c r="L1939" s="419"/>
      <c r="M1939" s="419"/>
      <c r="N1939" s="419"/>
      <c r="O1939" s="419"/>
      <c r="P1939" s="419"/>
      <c r="Q1939" s="419"/>
      <c r="R1939" s="419"/>
      <c r="S1939" s="419"/>
      <c r="T1939" s="419"/>
      <c r="U1939" s="419"/>
      <c r="V1939" s="419"/>
      <c r="W1939" s="419">
        <f t="shared" si="91"/>
        <v>0</v>
      </c>
      <c r="X1939" s="412"/>
      <c r="Y1939" s="412"/>
      <c r="Z1939" s="412"/>
      <c r="AA1939" s="412"/>
      <c r="AB1939" s="412"/>
      <c r="AC1939" s="412"/>
      <c r="AD1939" s="412"/>
      <c r="AE1939" s="412"/>
      <c r="AF1939" s="427"/>
      <c r="AG1939" s="412"/>
      <c r="AH1939" s="412"/>
      <c r="AI1939" s="412"/>
      <c r="AJ1939" s="412">
        <f t="shared" si="92"/>
        <v>0</v>
      </c>
      <c r="AK1939" s="410"/>
      <c r="AL1939" s="250" t="s">
        <v>2068</v>
      </c>
    </row>
    <row r="1940" spans="1:38" x14ac:dyDescent="0.2">
      <c r="A1940" s="409" t="s">
        <v>888</v>
      </c>
      <c r="B1940" s="209">
        <v>5502</v>
      </c>
      <c r="C1940" s="210" t="s">
        <v>962</v>
      </c>
      <c r="D1940" s="229" t="s">
        <v>1609</v>
      </c>
      <c r="E1940" s="229" t="s">
        <v>451</v>
      </c>
      <c r="F1940" s="240">
        <v>150</v>
      </c>
      <c r="G1940" s="205">
        <v>1</v>
      </c>
      <c r="H1940" s="206">
        <v>150</v>
      </c>
      <c r="I1940" s="207">
        <v>41518</v>
      </c>
      <c r="J1940" s="197" t="str">
        <f t="shared" si="93"/>
        <v>ok</v>
      </c>
      <c r="K1940" s="419"/>
      <c r="L1940" s="419"/>
      <c r="M1940" s="419"/>
      <c r="N1940" s="419"/>
      <c r="O1940" s="419"/>
      <c r="P1940" s="419"/>
      <c r="Q1940" s="419"/>
      <c r="R1940" s="419"/>
      <c r="S1940" s="419"/>
      <c r="T1940" s="419"/>
      <c r="U1940" s="419"/>
      <c r="V1940" s="419"/>
      <c r="W1940" s="419">
        <f t="shared" si="91"/>
        <v>0</v>
      </c>
      <c r="X1940" s="412"/>
      <c r="Y1940" s="412"/>
      <c r="Z1940" s="412"/>
      <c r="AA1940" s="412"/>
      <c r="AB1940" s="412"/>
      <c r="AC1940" s="412"/>
      <c r="AD1940" s="412"/>
      <c r="AE1940" s="412"/>
      <c r="AF1940" s="427">
        <v>150</v>
      </c>
      <c r="AG1940" s="412"/>
      <c r="AH1940" s="412"/>
      <c r="AI1940" s="412"/>
      <c r="AJ1940" s="412">
        <f t="shared" si="92"/>
        <v>150</v>
      </c>
      <c r="AK1940" s="410"/>
      <c r="AL1940" s="250" t="s">
        <v>2067</v>
      </c>
    </row>
    <row r="1941" spans="1:38" x14ac:dyDescent="0.2">
      <c r="A1941" s="409" t="s">
        <v>890</v>
      </c>
      <c r="B1941" s="209">
        <v>5503</v>
      </c>
      <c r="C1941" s="210" t="s">
        <v>990</v>
      </c>
      <c r="D1941" s="229" t="s">
        <v>1542</v>
      </c>
      <c r="E1941" s="229" t="s">
        <v>449</v>
      </c>
      <c r="F1941" s="240">
        <v>150</v>
      </c>
      <c r="G1941" s="205">
        <v>1</v>
      </c>
      <c r="H1941" s="206">
        <v>300</v>
      </c>
      <c r="I1941" s="207">
        <v>41518</v>
      </c>
      <c r="J1941" s="197" t="str">
        <f t="shared" si="93"/>
        <v>ok</v>
      </c>
      <c r="K1941" s="419"/>
      <c r="L1941" s="419"/>
      <c r="M1941" s="419"/>
      <c r="N1941" s="419"/>
      <c r="O1941" s="419"/>
      <c r="P1941" s="419"/>
      <c r="Q1941" s="419"/>
      <c r="R1941" s="419"/>
      <c r="S1941" s="419"/>
      <c r="T1941" s="419"/>
      <c r="U1941" s="419"/>
      <c r="V1941" s="419"/>
      <c r="W1941" s="419">
        <f t="shared" si="91"/>
        <v>0</v>
      </c>
      <c r="X1941" s="412"/>
      <c r="Y1941" s="412"/>
      <c r="Z1941" s="412"/>
      <c r="AA1941" s="412"/>
      <c r="AB1941" s="412"/>
      <c r="AC1941" s="412"/>
      <c r="AD1941" s="412">
        <v>150</v>
      </c>
      <c r="AE1941" s="412">
        <v>150</v>
      </c>
      <c r="AF1941" s="427"/>
      <c r="AG1941" s="412"/>
      <c r="AH1941" s="412"/>
      <c r="AI1941" s="412"/>
      <c r="AJ1941" s="412">
        <f t="shared" si="92"/>
        <v>300</v>
      </c>
      <c r="AK1941" s="410"/>
      <c r="AL1941" s="250" t="s">
        <v>2067</v>
      </c>
    </row>
    <row r="1942" spans="1:38" x14ac:dyDescent="0.2">
      <c r="A1942" s="409" t="s">
        <v>890</v>
      </c>
      <c r="B1942" s="209">
        <v>5504</v>
      </c>
      <c r="C1942" s="210" t="s">
        <v>990</v>
      </c>
      <c r="D1942" s="229" t="s">
        <v>1542</v>
      </c>
      <c r="E1942" s="229" t="s">
        <v>449</v>
      </c>
      <c r="F1942" s="240">
        <v>150</v>
      </c>
      <c r="G1942" s="205">
        <v>3</v>
      </c>
      <c r="H1942" s="206">
        <v>160</v>
      </c>
      <c r="I1942" s="207">
        <v>41518</v>
      </c>
      <c r="J1942" s="197" t="str">
        <f t="shared" si="93"/>
        <v>ok</v>
      </c>
      <c r="K1942" s="419"/>
      <c r="L1942" s="419"/>
      <c r="M1942" s="419"/>
      <c r="N1942" s="419"/>
      <c r="O1942" s="419"/>
      <c r="P1942" s="419"/>
      <c r="Q1942" s="419"/>
      <c r="R1942" s="419"/>
      <c r="S1942" s="419"/>
      <c r="T1942" s="419"/>
      <c r="U1942" s="419"/>
      <c r="V1942" s="419"/>
      <c r="W1942" s="419">
        <f t="shared" si="91"/>
        <v>0</v>
      </c>
      <c r="X1942" s="412"/>
      <c r="Y1942" s="412"/>
      <c r="Z1942" s="412"/>
      <c r="AA1942" s="412"/>
      <c r="AB1942" s="412"/>
      <c r="AC1942" s="412"/>
      <c r="AD1942" s="412"/>
      <c r="AE1942" s="412"/>
      <c r="AF1942" s="427"/>
      <c r="AG1942" s="412"/>
      <c r="AH1942" s="412"/>
      <c r="AI1942" s="412"/>
      <c r="AJ1942" s="412">
        <f t="shared" si="92"/>
        <v>0</v>
      </c>
      <c r="AK1942" s="410"/>
      <c r="AL1942" s="250" t="s">
        <v>2068</v>
      </c>
    </row>
    <row r="1943" spans="1:38" x14ac:dyDescent="0.2">
      <c r="A1943" s="409" t="s">
        <v>894</v>
      </c>
      <c r="B1943" s="209">
        <v>5505</v>
      </c>
      <c r="C1943" s="210" t="s">
        <v>1172</v>
      </c>
      <c r="D1943" s="229" t="s">
        <v>1390</v>
      </c>
      <c r="E1943" s="229" t="s">
        <v>626</v>
      </c>
      <c r="F1943" s="240">
        <v>300</v>
      </c>
      <c r="G1943" s="205">
        <v>1</v>
      </c>
      <c r="H1943" s="206">
        <v>600</v>
      </c>
      <c r="I1943" s="207">
        <v>41518</v>
      </c>
      <c r="J1943" s="197" t="str">
        <f t="shared" si="93"/>
        <v>ok</v>
      </c>
      <c r="K1943" s="419"/>
      <c r="L1943" s="419"/>
      <c r="M1943" s="419"/>
      <c r="N1943" s="419"/>
      <c r="O1943" s="419"/>
      <c r="P1943" s="419"/>
      <c r="Q1943" s="419"/>
      <c r="R1943" s="419"/>
      <c r="S1943" s="419"/>
      <c r="T1943" s="419"/>
      <c r="U1943" s="419"/>
      <c r="V1943" s="419"/>
      <c r="W1943" s="419">
        <f t="shared" si="91"/>
        <v>0</v>
      </c>
      <c r="X1943" s="412"/>
      <c r="Y1943" s="412"/>
      <c r="Z1943" s="412"/>
      <c r="AA1943" s="412"/>
      <c r="AB1943" s="412"/>
      <c r="AC1943" s="412"/>
      <c r="AD1943" s="412"/>
      <c r="AE1943" s="412"/>
      <c r="AF1943" s="427">
        <v>300</v>
      </c>
      <c r="AG1943" s="412">
        <v>300</v>
      </c>
      <c r="AH1943" s="412"/>
      <c r="AI1943" s="412"/>
      <c r="AJ1943" s="412">
        <f t="shared" si="92"/>
        <v>600</v>
      </c>
      <c r="AK1943" s="410"/>
      <c r="AL1943" s="250" t="s">
        <v>2067</v>
      </c>
    </row>
    <row r="1944" spans="1:38" x14ac:dyDescent="0.2">
      <c r="A1944" s="409" t="s">
        <v>890</v>
      </c>
      <c r="B1944" s="209">
        <v>5506</v>
      </c>
      <c r="C1944" s="210" t="s">
        <v>990</v>
      </c>
      <c r="D1944" s="229" t="s">
        <v>1542</v>
      </c>
      <c r="E1944" s="229" t="s">
        <v>449</v>
      </c>
      <c r="F1944" s="240">
        <v>150</v>
      </c>
      <c r="G1944" s="205">
        <v>1</v>
      </c>
      <c r="H1944" s="206">
        <v>150</v>
      </c>
      <c r="I1944" s="207">
        <v>41518</v>
      </c>
      <c r="J1944" s="197" t="str">
        <f t="shared" si="93"/>
        <v>ok</v>
      </c>
      <c r="K1944" s="419"/>
      <c r="L1944" s="419"/>
      <c r="M1944" s="419"/>
      <c r="N1944" s="419"/>
      <c r="O1944" s="419"/>
      <c r="P1944" s="419"/>
      <c r="Q1944" s="419"/>
      <c r="R1944" s="419"/>
      <c r="S1944" s="419"/>
      <c r="T1944" s="419"/>
      <c r="U1944" s="419"/>
      <c r="V1944" s="419"/>
      <c r="W1944" s="419">
        <f t="shared" si="91"/>
        <v>0</v>
      </c>
      <c r="X1944" s="412"/>
      <c r="Y1944" s="412"/>
      <c r="Z1944" s="412"/>
      <c r="AA1944" s="412"/>
      <c r="AB1944" s="412"/>
      <c r="AC1944" s="412"/>
      <c r="AD1944" s="412"/>
      <c r="AE1944" s="412"/>
      <c r="AF1944" s="427">
        <v>150</v>
      </c>
      <c r="AG1944" s="412"/>
      <c r="AH1944" s="412"/>
      <c r="AI1944" s="412"/>
      <c r="AJ1944" s="412">
        <f t="shared" si="92"/>
        <v>150</v>
      </c>
      <c r="AK1944" s="410"/>
      <c r="AL1944" s="250" t="s">
        <v>2067</v>
      </c>
    </row>
    <row r="1945" spans="1:38" x14ac:dyDescent="0.2">
      <c r="A1945" s="409" t="s">
        <v>890</v>
      </c>
      <c r="B1945" s="209">
        <v>5507</v>
      </c>
      <c r="C1945" s="210" t="s">
        <v>1012</v>
      </c>
      <c r="D1945" s="229" t="s">
        <v>1474</v>
      </c>
      <c r="E1945" s="229" t="s">
        <v>729</v>
      </c>
      <c r="F1945" s="240">
        <v>300</v>
      </c>
      <c r="G1945" s="205">
        <v>1</v>
      </c>
      <c r="H1945" s="206">
        <v>300</v>
      </c>
      <c r="I1945" s="207">
        <v>41518</v>
      </c>
      <c r="J1945" s="197" t="str">
        <f t="shared" si="93"/>
        <v>ok</v>
      </c>
      <c r="K1945" s="419"/>
      <c r="L1945" s="419"/>
      <c r="M1945" s="419"/>
      <c r="N1945" s="419"/>
      <c r="O1945" s="419"/>
      <c r="P1945" s="419"/>
      <c r="Q1945" s="419"/>
      <c r="R1945" s="419"/>
      <c r="S1945" s="419"/>
      <c r="T1945" s="419"/>
      <c r="U1945" s="419"/>
      <c r="V1945" s="419"/>
      <c r="W1945" s="419">
        <f t="shared" si="91"/>
        <v>0</v>
      </c>
      <c r="X1945" s="412"/>
      <c r="Y1945" s="412"/>
      <c r="Z1945" s="412"/>
      <c r="AA1945" s="412"/>
      <c r="AB1945" s="412"/>
      <c r="AC1945" s="412"/>
      <c r="AD1945" s="412"/>
      <c r="AE1945" s="412"/>
      <c r="AF1945" s="427">
        <v>300</v>
      </c>
      <c r="AG1945" s="412"/>
      <c r="AH1945" s="412"/>
      <c r="AI1945" s="412"/>
      <c r="AJ1945" s="412">
        <f t="shared" si="92"/>
        <v>300</v>
      </c>
      <c r="AK1945" s="410"/>
      <c r="AL1945" s="250" t="s">
        <v>2067</v>
      </c>
    </row>
    <row r="1946" spans="1:38" x14ac:dyDescent="0.2">
      <c r="A1946" s="409" t="s">
        <v>894</v>
      </c>
      <c r="B1946" s="209">
        <v>5508</v>
      </c>
      <c r="C1946" s="210" t="s">
        <v>1164</v>
      </c>
      <c r="D1946" s="229" t="s">
        <v>1406</v>
      </c>
      <c r="E1946" s="229" t="s">
        <v>612</v>
      </c>
      <c r="F1946" s="240">
        <v>300</v>
      </c>
      <c r="G1946" s="205">
        <v>1</v>
      </c>
      <c r="H1946" s="206">
        <v>300</v>
      </c>
      <c r="I1946" s="207">
        <v>41518</v>
      </c>
      <c r="J1946" s="197" t="str">
        <f t="shared" si="93"/>
        <v>ok</v>
      </c>
      <c r="K1946" s="419"/>
      <c r="L1946" s="419"/>
      <c r="M1946" s="419"/>
      <c r="N1946" s="419"/>
      <c r="O1946" s="419"/>
      <c r="P1946" s="419"/>
      <c r="Q1946" s="419"/>
      <c r="R1946" s="419"/>
      <c r="S1946" s="419"/>
      <c r="T1946" s="419"/>
      <c r="U1946" s="419"/>
      <c r="V1946" s="419"/>
      <c r="W1946" s="419">
        <f t="shared" si="91"/>
        <v>0</v>
      </c>
      <c r="X1946" s="412"/>
      <c r="Y1946" s="412"/>
      <c r="Z1946" s="412"/>
      <c r="AA1946" s="412"/>
      <c r="AB1946" s="412"/>
      <c r="AC1946" s="412"/>
      <c r="AD1946" s="412"/>
      <c r="AE1946" s="412"/>
      <c r="AF1946" s="427">
        <v>300</v>
      </c>
      <c r="AG1946" s="412"/>
      <c r="AH1946" s="412"/>
      <c r="AI1946" s="412"/>
      <c r="AJ1946" s="412">
        <f t="shared" si="92"/>
        <v>300</v>
      </c>
      <c r="AK1946" s="410"/>
      <c r="AL1946" s="250" t="s">
        <v>2067</v>
      </c>
    </row>
    <row r="1947" spans="1:38" x14ac:dyDescent="0.2">
      <c r="A1947" s="409" t="s">
        <v>893</v>
      </c>
      <c r="B1947" s="209">
        <v>5509</v>
      </c>
      <c r="C1947" s="210" t="s">
        <v>778</v>
      </c>
      <c r="D1947" s="229" t="s">
        <v>1573</v>
      </c>
      <c r="E1947" s="229" t="s">
        <v>715</v>
      </c>
      <c r="F1947" s="240">
        <v>300</v>
      </c>
      <c r="G1947" s="205">
        <v>1</v>
      </c>
      <c r="H1947" s="206">
        <v>300</v>
      </c>
      <c r="I1947" s="207">
        <v>41518</v>
      </c>
      <c r="J1947" s="197" t="str">
        <f t="shared" si="93"/>
        <v>ok</v>
      </c>
      <c r="K1947" s="419"/>
      <c r="L1947" s="419"/>
      <c r="M1947" s="419"/>
      <c r="N1947" s="419"/>
      <c r="O1947" s="419"/>
      <c r="P1947" s="419"/>
      <c r="Q1947" s="419"/>
      <c r="R1947" s="419"/>
      <c r="S1947" s="419"/>
      <c r="T1947" s="419"/>
      <c r="U1947" s="419"/>
      <c r="V1947" s="419"/>
      <c r="W1947" s="419">
        <f t="shared" si="91"/>
        <v>0</v>
      </c>
      <c r="X1947" s="412"/>
      <c r="Y1947" s="412"/>
      <c r="Z1947" s="412"/>
      <c r="AA1947" s="412"/>
      <c r="AB1947" s="412"/>
      <c r="AC1947" s="412"/>
      <c r="AD1947" s="412"/>
      <c r="AE1947" s="412"/>
      <c r="AF1947" s="427">
        <v>300</v>
      </c>
      <c r="AG1947" s="412"/>
      <c r="AH1947" s="412"/>
      <c r="AI1947" s="412"/>
      <c r="AJ1947" s="412">
        <f t="shared" si="92"/>
        <v>300</v>
      </c>
      <c r="AK1947" s="410"/>
      <c r="AL1947" s="250" t="s">
        <v>2067</v>
      </c>
    </row>
    <row r="1948" spans="1:38" x14ac:dyDescent="0.2">
      <c r="A1948" s="409" t="s">
        <v>893</v>
      </c>
      <c r="B1948" s="209">
        <v>5510</v>
      </c>
      <c r="C1948" s="210" t="s">
        <v>1108</v>
      </c>
      <c r="D1948" s="229" t="s">
        <v>1466</v>
      </c>
      <c r="E1948" s="229" t="s">
        <v>257</v>
      </c>
      <c r="F1948" s="240">
        <v>300</v>
      </c>
      <c r="G1948" s="205">
        <v>1</v>
      </c>
      <c r="H1948" s="206">
        <v>300</v>
      </c>
      <c r="I1948" s="207">
        <v>41518</v>
      </c>
      <c r="J1948" s="197" t="str">
        <f t="shared" si="93"/>
        <v>ok</v>
      </c>
      <c r="K1948" s="419"/>
      <c r="L1948" s="419"/>
      <c r="M1948" s="419"/>
      <c r="N1948" s="419"/>
      <c r="O1948" s="419"/>
      <c r="P1948" s="419"/>
      <c r="Q1948" s="419"/>
      <c r="R1948" s="419"/>
      <c r="S1948" s="419"/>
      <c r="T1948" s="419"/>
      <c r="U1948" s="419"/>
      <c r="V1948" s="419"/>
      <c r="W1948" s="419">
        <f t="shared" si="91"/>
        <v>0</v>
      </c>
      <c r="X1948" s="412"/>
      <c r="Y1948" s="412"/>
      <c r="Z1948" s="412"/>
      <c r="AA1948" s="412"/>
      <c r="AB1948" s="412"/>
      <c r="AC1948" s="412"/>
      <c r="AD1948" s="412"/>
      <c r="AE1948" s="412">
        <v>300</v>
      </c>
      <c r="AF1948" s="427"/>
      <c r="AG1948" s="412"/>
      <c r="AH1948" s="412"/>
      <c r="AI1948" s="412"/>
      <c r="AJ1948" s="412">
        <f t="shared" si="92"/>
        <v>300</v>
      </c>
      <c r="AK1948" s="410"/>
      <c r="AL1948" s="250" t="s">
        <v>2067</v>
      </c>
    </row>
    <row r="1949" spans="1:38" x14ac:dyDescent="0.2">
      <c r="A1949" s="409" t="s">
        <v>891</v>
      </c>
      <c r="B1949" s="209">
        <v>5511</v>
      </c>
      <c r="C1949" s="210" t="s">
        <v>1050</v>
      </c>
      <c r="D1949" s="229" t="s">
        <v>1380</v>
      </c>
      <c r="E1949" s="229" t="s">
        <v>1220</v>
      </c>
      <c r="F1949" s="240">
        <v>150</v>
      </c>
      <c r="G1949" s="205">
        <v>1</v>
      </c>
      <c r="H1949" s="206">
        <v>150</v>
      </c>
      <c r="I1949" s="207">
        <v>41518</v>
      </c>
      <c r="J1949" s="197" t="str">
        <f t="shared" si="93"/>
        <v>ok</v>
      </c>
      <c r="K1949" s="419"/>
      <c r="L1949" s="419"/>
      <c r="M1949" s="419"/>
      <c r="N1949" s="419"/>
      <c r="O1949" s="419"/>
      <c r="P1949" s="419"/>
      <c r="Q1949" s="419"/>
      <c r="R1949" s="419"/>
      <c r="S1949" s="419"/>
      <c r="T1949" s="419"/>
      <c r="U1949" s="419"/>
      <c r="V1949" s="419"/>
      <c r="W1949" s="419">
        <f t="shared" si="91"/>
        <v>0</v>
      </c>
      <c r="X1949" s="412"/>
      <c r="Y1949" s="412"/>
      <c r="Z1949" s="412"/>
      <c r="AA1949" s="412"/>
      <c r="AB1949" s="412"/>
      <c r="AC1949" s="412"/>
      <c r="AD1949" s="412"/>
      <c r="AE1949" s="412"/>
      <c r="AF1949" s="427">
        <v>150</v>
      </c>
      <c r="AG1949" s="412"/>
      <c r="AH1949" s="412"/>
      <c r="AI1949" s="412"/>
      <c r="AJ1949" s="412">
        <f t="shared" si="92"/>
        <v>150</v>
      </c>
      <c r="AK1949" s="410"/>
      <c r="AL1949" s="250" t="s">
        <v>2067</v>
      </c>
    </row>
    <row r="1950" spans="1:38" x14ac:dyDescent="0.2">
      <c r="A1950" s="409" t="s">
        <v>890</v>
      </c>
      <c r="B1950" s="209">
        <v>5512</v>
      </c>
      <c r="C1950" s="210" t="s">
        <v>1028</v>
      </c>
      <c r="D1950" s="229" t="s">
        <v>1617</v>
      </c>
      <c r="E1950" s="229" t="s">
        <v>732</v>
      </c>
      <c r="F1950" s="240">
        <v>300</v>
      </c>
      <c r="G1950" s="205">
        <v>1</v>
      </c>
      <c r="H1950" s="206">
        <v>600</v>
      </c>
      <c r="I1950" s="207">
        <v>41518</v>
      </c>
      <c r="J1950" s="197" t="str">
        <f t="shared" si="93"/>
        <v>ok</v>
      </c>
      <c r="K1950" s="419"/>
      <c r="L1950" s="419"/>
      <c r="M1950" s="419"/>
      <c r="N1950" s="419"/>
      <c r="O1950" s="419"/>
      <c r="P1950" s="419"/>
      <c r="Q1950" s="419"/>
      <c r="R1950" s="419"/>
      <c r="S1950" s="419"/>
      <c r="T1950" s="419"/>
      <c r="U1950" s="419"/>
      <c r="V1950" s="419"/>
      <c r="W1950" s="419">
        <f t="shared" si="91"/>
        <v>0</v>
      </c>
      <c r="X1950" s="412"/>
      <c r="Y1950" s="412"/>
      <c r="Z1950" s="412"/>
      <c r="AA1950" s="412"/>
      <c r="AB1950" s="412"/>
      <c r="AC1950" s="412"/>
      <c r="AD1950" s="412"/>
      <c r="AE1950" s="412">
        <v>300</v>
      </c>
      <c r="AF1950" s="427">
        <v>300</v>
      </c>
      <c r="AG1950" s="412"/>
      <c r="AH1950" s="412"/>
      <c r="AI1950" s="412"/>
      <c r="AJ1950" s="412">
        <f t="shared" si="92"/>
        <v>600</v>
      </c>
      <c r="AK1950" s="410"/>
      <c r="AL1950" s="250" t="s">
        <v>2067</v>
      </c>
    </row>
    <row r="1951" spans="1:38" x14ac:dyDescent="0.2">
      <c r="A1951" s="409" t="s">
        <v>893</v>
      </c>
      <c r="B1951" s="209">
        <v>5513</v>
      </c>
      <c r="C1951" s="210" t="s">
        <v>1092</v>
      </c>
      <c r="D1951" s="229" t="s">
        <v>1569</v>
      </c>
      <c r="E1951" s="229" t="s">
        <v>223</v>
      </c>
      <c r="F1951" s="240">
        <v>300</v>
      </c>
      <c r="G1951" s="205">
        <v>1</v>
      </c>
      <c r="H1951" s="206">
        <v>600</v>
      </c>
      <c r="I1951" s="207">
        <v>41518</v>
      </c>
      <c r="J1951" s="197" t="str">
        <f t="shared" si="93"/>
        <v>ok</v>
      </c>
      <c r="K1951" s="419"/>
      <c r="L1951" s="419"/>
      <c r="M1951" s="419"/>
      <c r="N1951" s="419"/>
      <c r="O1951" s="419"/>
      <c r="P1951" s="419"/>
      <c r="Q1951" s="419"/>
      <c r="R1951" s="419"/>
      <c r="S1951" s="419"/>
      <c r="T1951" s="419"/>
      <c r="U1951" s="419"/>
      <c r="V1951" s="419"/>
      <c r="W1951" s="419">
        <f t="shared" si="91"/>
        <v>0</v>
      </c>
      <c r="X1951" s="412"/>
      <c r="Y1951" s="412"/>
      <c r="Z1951" s="412"/>
      <c r="AA1951" s="412"/>
      <c r="AB1951" s="412"/>
      <c r="AC1951" s="412"/>
      <c r="AD1951" s="412">
        <v>300</v>
      </c>
      <c r="AE1951" s="412">
        <v>300</v>
      </c>
      <c r="AF1951" s="427"/>
      <c r="AG1951" s="412"/>
      <c r="AH1951" s="412"/>
      <c r="AI1951" s="412"/>
      <c r="AJ1951" s="412">
        <f t="shared" si="92"/>
        <v>600</v>
      </c>
      <c r="AK1951" s="410"/>
      <c r="AL1951" s="250" t="s">
        <v>2067</v>
      </c>
    </row>
    <row r="1952" spans="1:38" x14ac:dyDescent="0.2">
      <c r="A1952" s="409" t="s">
        <v>893</v>
      </c>
      <c r="B1952" s="209">
        <v>5514</v>
      </c>
      <c r="C1952" s="210" t="s">
        <v>773</v>
      </c>
      <c r="D1952" s="229" t="s">
        <v>1537</v>
      </c>
      <c r="E1952" s="229" t="s">
        <v>317</v>
      </c>
      <c r="F1952" s="240">
        <v>300</v>
      </c>
      <c r="G1952" s="205">
        <v>1</v>
      </c>
      <c r="H1952" s="206">
        <v>300</v>
      </c>
      <c r="I1952" s="207">
        <v>41518</v>
      </c>
      <c r="J1952" s="197" t="str">
        <f t="shared" si="93"/>
        <v>ok</v>
      </c>
      <c r="K1952" s="419"/>
      <c r="L1952" s="419"/>
      <c r="M1952" s="419"/>
      <c r="N1952" s="419"/>
      <c r="O1952" s="419"/>
      <c r="P1952" s="419"/>
      <c r="Q1952" s="419"/>
      <c r="R1952" s="419"/>
      <c r="S1952" s="419"/>
      <c r="T1952" s="419"/>
      <c r="U1952" s="419"/>
      <c r="V1952" s="419"/>
      <c r="W1952" s="419">
        <f t="shared" si="91"/>
        <v>0</v>
      </c>
      <c r="X1952" s="412"/>
      <c r="Y1952" s="412"/>
      <c r="Z1952" s="412"/>
      <c r="AA1952" s="412"/>
      <c r="AB1952" s="412"/>
      <c r="AC1952" s="412"/>
      <c r="AD1952" s="412"/>
      <c r="AE1952" s="412"/>
      <c r="AF1952" s="427">
        <v>300</v>
      </c>
      <c r="AG1952" s="412"/>
      <c r="AH1952" s="412"/>
      <c r="AI1952" s="412"/>
      <c r="AJ1952" s="412">
        <f t="shared" si="92"/>
        <v>300</v>
      </c>
      <c r="AK1952" s="410"/>
      <c r="AL1952" s="250" t="s">
        <v>2067</v>
      </c>
    </row>
    <row r="1953" spans="1:38" x14ac:dyDescent="0.2">
      <c r="A1953" s="409" t="s">
        <v>893</v>
      </c>
      <c r="B1953" s="209">
        <v>5515</v>
      </c>
      <c r="C1953" s="210" t="s">
        <v>1132</v>
      </c>
      <c r="D1953" s="229" t="s">
        <v>1363</v>
      </c>
      <c r="E1953" s="229" t="s">
        <v>1270</v>
      </c>
      <c r="F1953" s="240">
        <v>300</v>
      </c>
      <c r="G1953" s="205">
        <v>1</v>
      </c>
      <c r="H1953" s="206">
        <v>600</v>
      </c>
      <c r="I1953" s="207">
        <v>41518</v>
      </c>
      <c r="J1953" s="197" t="str">
        <f t="shared" si="93"/>
        <v>ok</v>
      </c>
      <c r="K1953" s="419"/>
      <c r="L1953" s="419"/>
      <c r="M1953" s="419"/>
      <c r="N1953" s="419"/>
      <c r="O1953" s="419"/>
      <c r="P1953" s="419"/>
      <c r="Q1953" s="419"/>
      <c r="R1953" s="419"/>
      <c r="S1953" s="419"/>
      <c r="T1953" s="419"/>
      <c r="U1953" s="419"/>
      <c r="V1953" s="419"/>
      <c r="W1953" s="419">
        <f t="shared" si="91"/>
        <v>0</v>
      </c>
      <c r="X1953" s="412"/>
      <c r="Y1953" s="412"/>
      <c r="Z1953" s="412"/>
      <c r="AA1953" s="412"/>
      <c r="AB1953" s="412"/>
      <c r="AC1953" s="412"/>
      <c r="AD1953" s="412"/>
      <c r="AE1953" s="412"/>
      <c r="AF1953" s="427">
        <v>300</v>
      </c>
      <c r="AG1953" s="412">
        <v>300</v>
      </c>
      <c r="AH1953" s="412"/>
      <c r="AI1953" s="412"/>
      <c r="AJ1953" s="412">
        <f t="shared" si="92"/>
        <v>600</v>
      </c>
      <c r="AK1953" s="410"/>
      <c r="AL1953" s="250" t="s">
        <v>2067</v>
      </c>
    </row>
    <row r="1954" spans="1:38" x14ac:dyDescent="0.2">
      <c r="A1954" s="409" t="s">
        <v>893</v>
      </c>
      <c r="B1954" s="209">
        <v>5516</v>
      </c>
      <c r="C1954" s="210" t="s">
        <v>1149</v>
      </c>
      <c r="D1954" s="229" t="s">
        <v>1440</v>
      </c>
      <c r="E1954" s="229" t="s">
        <v>335</v>
      </c>
      <c r="F1954" s="240">
        <v>300</v>
      </c>
      <c r="G1954" s="205">
        <v>1</v>
      </c>
      <c r="H1954" s="206">
        <v>600</v>
      </c>
      <c r="I1954" s="207">
        <v>41518</v>
      </c>
      <c r="J1954" s="197" t="str">
        <f t="shared" si="93"/>
        <v>ok</v>
      </c>
      <c r="K1954" s="419"/>
      <c r="L1954" s="419"/>
      <c r="M1954" s="419"/>
      <c r="N1954" s="419"/>
      <c r="O1954" s="419"/>
      <c r="P1954" s="419"/>
      <c r="Q1954" s="419"/>
      <c r="R1954" s="419"/>
      <c r="S1954" s="419"/>
      <c r="T1954" s="419"/>
      <c r="U1954" s="419"/>
      <c r="V1954" s="419"/>
      <c r="W1954" s="419">
        <f t="shared" si="91"/>
        <v>0</v>
      </c>
      <c r="X1954" s="412"/>
      <c r="Y1954" s="412"/>
      <c r="Z1954" s="412"/>
      <c r="AA1954" s="412"/>
      <c r="AB1954" s="412"/>
      <c r="AC1954" s="412"/>
      <c r="AD1954" s="412">
        <v>300</v>
      </c>
      <c r="AE1954" s="412">
        <v>300</v>
      </c>
      <c r="AF1954" s="427"/>
      <c r="AG1954" s="412"/>
      <c r="AH1954" s="412"/>
      <c r="AI1954" s="412"/>
      <c r="AJ1954" s="412">
        <f t="shared" si="92"/>
        <v>600</v>
      </c>
      <c r="AK1954" s="410"/>
      <c r="AL1954" s="250" t="s">
        <v>2067</v>
      </c>
    </row>
    <row r="1955" spans="1:38" x14ac:dyDescent="0.2">
      <c r="A1955" s="409" t="s">
        <v>894</v>
      </c>
      <c r="B1955" s="209">
        <v>5517</v>
      </c>
      <c r="C1955" s="210" t="s">
        <v>1179</v>
      </c>
      <c r="D1955" s="229" t="s">
        <v>1452</v>
      </c>
      <c r="E1955" s="229" t="s">
        <v>639</v>
      </c>
      <c r="F1955" s="240">
        <v>250</v>
      </c>
      <c r="G1955" s="205">
        <v>1</v>
      </c>
      <c r="H1955" s="206">
        <v>250</v>
      </c>
      <c r="I1955" s="207">
        <v>41518</v>
      </c>
      <c r="J1955" s="197" t="str">
        <f t="shared" si="93"/>
        <v>ok</v>
      </c>
      <c r="K1955" s="419"/>
      <c r="L1955" s="419"/>
      <c r="M1955" s="419"/>
      <c r="N1955" s="419"/>
      <c r="O1955" s="419"/>
      <c r="P1955" s="419"/>
      <c r="Q1955" s="419"/>
      <c r="R1955" s="419"/>
      <c r="S1955" s="419"/>
      <c r="T1955" s="419"/>
      <c r="U1955" s="419"/>
      <c r="V1955" s="419"/>
      <c r="W1955" s="419">
        <f t="shared" si="91"/>
        <v>0</v>
      </c>
      <c r="X1955" s="412"/>
      <c r="Y1955" s="412"/>
      <c r="Z1955" s="412"/>
      <c r="AA1955" s="412"/>
      <c r="AB1955" s="412"/>
      <c r="AC1955" s="412"/>
      <c r="AD1955" s="412"/>
      <c r="AE1955" s="412">
        <v>250</v>
      </c>
      <c r="AF1955" s="427"/>
      <c r="AG1955" s="412"/>
      <c r="AH1955" s="412"/>
      <c r="AI1955" s="412"/>
      <c r="AJ1955" s="412">
        <f t="shared" si="92"/>
        <v>250</v>
      </c>
      <c r="AK1955" s="410"/>
      <c r="AL1955" s="250" t="s">
        <v>2067</v>
      </c>
    </row>
    <row r="1956" spans="1:38" x14ac:dyDescent="0.2">
      <c r="A1956" s="409" t="s">
        <v>890</v>
      </c>
      <c r="B1956" s="209">
        <v>5518</v>
      </c>
      <c r="C1956" s="210" t="s">
        <v>1016</v>
      </c>
      <c r="D1956" s="229" t="s">
        <v>1496</v>
      </c>
      <c r="E1956" s="229" t="s">
        <v>510</v>
      </c>
      <c r="F1956" s="240">
        <v>300</v>
      </c>
      <c r="G1956" s="205">
        <v>1</v>
      </c>
      <c r="H1956" s="206">
        <v>300</v>
      </c>
      <c r="I1956" s="207">
        <v>41518</v>
      </c>
      <c r="J1956" s="197" t="str">
        <f t="shared" si="93"/>
        <v>ok</v>
      </c>
      <c r="K1956" s="419"/>
      <c r="L1956" s="419"/>
      <c r="M1956" s="419"/>
      <c r="N1956" s="419"/>
      <c r="O1956" s="419"/>
      <c r="P1956" s="419"/>
      <c r="Q1956" s="419"/>
      <c r="R1956" s="419"/>
      <c r="S1956" s="419"/>
      <c r="T1956" s="419"/>
      <c r="U1956" s="419"/>
      <c r="V1956" s="419"/>
      <c r="W1956" s="419">
        <f t="shared" si="91"/>
        <v>0</v>
      </c>
      <c r="X1956" s="412"/>
      <c r="Y1956" s="412"/>
      <c r="Z1956" s="412"/>
      <c r="AA1956" s="412"/>
      <c r="AB1956" s="412"/>
      <c r="AC1956" s="412"/>
      <c r="AD1956" s="412"/>
      <c r="AE1956" s="412"/>
      <c r="AF1956" s="427">
        <v>300</v>
      </c>
      <c r="AG1956" s="412"/>
      <c r="AH1956" s="412"/>
      <c r="AI1956" s="412"/>
      <c r="AJ1956" s="412">
        <f t="shared" si="92"/>
        <v>300</v>
      </c>
      <c r="AK1956" s="410"/>
      <c r="AL1956" s="250" t="s">
        <v>2067</v>
      </c>
    </row>
    <row r="1957" spans="1:38" x14ac:dyDescent="0.2">
      <c r="A1957" s="409" t="s">
        <v>893</v>
      </c>
      <c r="B1957" s="209">
        <v>5519</v>
      </c>
      <c r="C1957" s="210" t="s">
        <v>1079</v>
      </c>
      <c r="D1957" s="229" t="s">
        <v>1552</v>
      </c>
      <c r="E1957" s="229" t="s">
        <v>198</v>
      </c>
      <c r="F1957" s="240">
        <v>150</v>
      </c>
      <c r="G1957" s="205">
        <v>1</v>
      </c>
      <c r="H1957" s="206">
        <v>150</v>
      </c>
      <c r="I1957" s="207">
        <v>41518</v>
      </c>
      <c r="J1957" s="197" t="str">
        <f t="shared" si="93"/>
        <v>ok</v>
      </c>
      <c r="K1957" s="419"/>
      <c r="L1957" s="419"/>
      <c r="M1957" s="419"/>
      <c r="N1957" s="419"/>
      <c r="O1957" s="419"/>
      <c r="P1957" s="419"/>
      <c r="Q1957" s="419"/>
      <c r="R1957" s="419"/>
      <c r="S1957" s="419"/>
      <c r="T1957" s="419"/>
      <c r="U1957" s="419"/>
      <c r="V1957" s="419"/>
      <c r="W1957" s="419">
        <f t="shared" si="91"/>
        <v>0</v>
      </c>
      <c r="X1957" s="412"/>
      <c r="Y1957" s="412"/>
      <c r="Z1957" s="412"/>
      <c r="AA1957" s="412"/>
      <c r="AB1957" s="412"/>
      <c r="AC1957" s="412"/>
      <c r="AD1957" s="412"/>
      <c r="AE1957" s="412">
        <v>150</v>
      </c>
      <c r="AF1957" s="427"/>
      <c r="AG1957" s="412"/>
      <c r="AH1957" s="412"/>
      <c r="AI1957" s="412"/>
      <c r="AJ1957" s="412">
        <f t="shared" si="92"/>
        <v>150</v>
      </c>
      <c r="AK1957" s="410"/>
      <c r="AL1957" s="250" t="s">
        <v>2067</v>
      </c>
    </row>
    <row r="1958" spans="1:38" x14ac:dyDescent="0.2">
      <c r="A1958" s="409" t="s">
        <v>890</v>
      </c>
      <c r="B1958" s="209">
        <v>5520</v>
      </c>
      <c r="C1958" s="210" t="s">
        <v>787</v>
      </c>
      <c r="D1958" s="229" t="s">
        <v>1618</v>
      </c>
      <c r="E1958" s="229" t="s">
        <v>1723</v>
      </c>
      <c r="F1958" s="240">
        <v>300</v>
      </c>
      <c r="G1958" s="205">
        <v>1</v>
      </c>
      <c r="H1958" s="206">
        <v>300</v>
      </c>
      <c r="I1958" s="207">
        <v>41518</v>
      </c>
      <c r="J1958" s="197" t="str">
        <f t="shared" si="93"/>
        <v>ok</v>
      </c>
      <c r="K1958" s="419"/>
      <c r="L1958" s="419"/>
      <c r="M1958" s="419"/>
      <c r="N1958" s="419"/>
      <c r="O1958" s="419"/>
      <c r="P1958" s="419"/>
      <c r="Q1958" s="419"/>
      <c r="R1958" s="419"/>
      <c r="S1958" s="419"/>
      <c r="T1958" s="419"/>
      <c r="U1958" s="419"/>
      <c r="V1958" s="419"/>
      <c r="W1958" s="419">
        <f t="shared" si="91"/>
        <v>0</v>
      </c>
      <c r="X1958" s="412"/>
      <c r="Y1958" s="412"/>
      <c r="Z1958" s="412"/>
      <c r="AA1958" s="412"/>
      <c r="AB1958" s="412"/>
      <c r="AC1958" s="412"/>
      <c r="AD1958" s="412"/>
      <c r="AE1958" s="412"/>
      <c r="AF1958" s="427">
        <v>300</v>
      </c>
      <c r="AG1958" s="412"/>
      <c r="AH1958" s="412"/>
      <c r="AI1958" s="412"/>
      <c r="AJ1958" s="412">
        <f t="shared" si="92"/>
        <v>300</v>
      </c>
      <c r="AK1958" s="410"/>
      <c r="AL1958" s="250" t="s">
        <v>2067</v>
      </c>
    </row>
    <row r="1959" spans="1:38" x14ac:dyDescent="0.2">
      <c r="A1959" s="409" t="s">
        <v>884</v>
      </c>
      <c r="B1959" s="209">
        <v>5521</v>
      </c>
      <c r="C1959" s="210" t="s">
        <v>825</v>
      </c>
      <c r="D1959" s="229" t="s">
        <v>1580</v>
      </c>
      <c r="E1959" s="229" t="s">
        <v>53</v>
      </c>
      <c r="F1959" s="240">
        <v>300</v>
      </c>
      <c r="G1959" s="205">
        <v>1</v>
      </c>
      <c r="H1959" s="206">
        <v>300</v>
      </c>
      <c r="I1959" s="207">
        <v>41518</v>
      </c>
      <c r="J1959" s="197" t="str">
        <f t="shared" si="93"/>
        <v>ok</v>
      </c>
      <c r="K1959" s="419"/>
      <c r="L1959" s="419"/>
      <c r="M1959" s="419"/>
      <c r="N1959" s="419"/>
      <c r="O1959" s="419"/>
      <c r="P1959" s="419"/>
      <c r="Q1959" s="419"/>
      <c r="R1959" s="419"/>
      <c r="S1959" s="419"/>
      <c r="T1959" s="419"/>
      <c r="U1959" s="419"/>
      <c r="V1959" s="419"/>
      <c r="W1959" s="419">
        <f t="shared" si="91"/>
        <v>0</v>
      </c>
      <c r="X1959" s="412"/>
      <c r="Y1959" s="412"/>
      <c r="Z1959" s="412"/>
      <c r="AA1959" s="412"/>
      <c r="AB1959" s="412"/>
      <c r="AC1959" s="412"/>
      <c r="AD1959" s="412"/>
      <c r="AE1959" s="412">
        <v>300</v>
      </c>
      <c r="AF1959" s="427"/>
      <c r="AG1959" s="412"/>
      <c r="AH1959" s="412"/>
      <c r="AI1959" s="412"/>
      <c r="AJ1959" s="412">
        <f t="shared" si="92"/>
        <v>300</v>
      </c>
      <c r="AK1959" s="410"/>
      <c r="AL1959" s="250" t="s">
        <v>2067</v>
      </c>
    </row>
    <row r="1960" spans="1:38" x14ac:dyDescent="0.2">
      <c r="A1960" s="409" t="s">
        <v>884</v>
      </c>
      <c r="B1960" s="209">
        <v>5522</v>
      </c>
      <c r="C1960" s="210" t="s">
        <v>783</v>
      </c>
      <c r="D1960" s="229" t="s">
        <v>1572</v>
      </c>
      <c r="E1960" s="229" t="s">
        <v>1202</v>
      </c>
      <c r="F1960" s="240">
        <v>300</v>
      </c>
      <c r="G1960" s="205">
        <v>1</v>
      </c>
      <c r="H1960" s="206">
        <v>300</v>
      </c>
      <c r="I1960" s="207">
        <v>41518</v>
      </c>
      <c r="J1960" s="197" t="str">
        <f t="shared" si="93"/>
        <v>ok</v>
      </c>
      <c r="K1960" s="419"/>
      <c r="L1960" s="419"/>
      <c r="M1960" s="419"/>
      <c r="N1960" s="419"/>
      <c r="O1960" s="419"/>
      <c r="P1960" s="419"/>
      <c r="Q1960" s="419"/>
      <c r="R1960" s="419"/>
      <c r="S1960" s="419"/>
      <c r="T1960" s="419"/>
      <c r="U1960" s="419"/>
      <c r="V1960" s="419"/>
      <c r="W1960" s="419">
        <f t="shared" si="91"/>
        <v>0</v>
      </c>
      <c r="X1960" s="412"/>
      <c r="Y1960" s="412"/>
      <c r="Z1960" s="412"/>
      <c r="AA1960" s="412"/>
      <c r="AB1960" s="412"/>
      <c r="AC1960" s="412"/>
      <c r="AD1960" s="412"/>
      <c r="AE1960" s="412"/>
      <c r="AF1960" s="427">
        <v>300</v>
      </c>
      <c r="AG1960" s="412"/>
      <c r="AH1960" s="412"/>
      <c r="AI1960" s="412"/>
      <c r="AJ1960" s="412">
        <f t="shared" si="92"/>
        <v>300</v>
      </c>
      <c r="AK1960" s="410"/>
      <c r="AL1960" s="250" t="s">
        <v>2067</v>
      </c>
    </row>
    <row r="1961" spans="1:38" x14ac:dyDescent="0.2">
      <c r="A1961" s="409" t="s">
        <v>890</v>
      </c>
      <c r="B1961" s="209">
        <v>5523</v>
      </c>
      <c r="C1961" s="210" t="s">
        <v>1006</v>
      </c>
      <c r="D1961" s="229" t="s">
        <v>1370</v>
      </c>
      <c r="E1961" s="229" t="s">
        <v>1217</v>
      </c>
      <c r="F1961" s="240">
        <v>300</v>
      </c>
      <c r="G1961" s="205">
        <v>1</v>
      </c>
      <c r="H1961" s="206">
        <v>300</v>
      </c>
      <c r="I1961" s="207">
        <v>41518</v>
      </c>
      <c r="J1961" s="197" t="str">
        <f t="shared" si="93"/>
        <v>ok</v>
      </c>
      <c r="K1961" s="419"/>
      <c r="L1961" s="419"/>
      <c r="M1961" s="419"/>
      <c r="N1961" s="419"/>
      <c r="O1961" s="419"/>
      <c r="P1961" s="419"/>
      <c r="Q1961" s="419"/>
      <c r="R1961" s="419"/>
      <c r="S1961" s="419"/>
      <c r="T1961" s="419"/>
      <c r="U1961" s="419"/>
      <c r="V1961" s="419"/>
      <c r="W1961" s="419">
        <f t="shared" si="91"/>
        <v>0</v>
      </c>
      <c r="X1961" s="412"/>
      <c r="Y1961" s="412"/>
      <c r="Z1961" s="412"/>
      <c r="AA1961" s="412"/>
      <c r="AB1961" s="412"/>
      <c r="AC1961" s="412"/>
      <c r="AD1961" s="412"/>
      <c r="AE1961" s="412"/>
      <c r="AF1961" s="427">
        <v>300</v>
      </c>
      <c r="AG1961" s="412"/>
      <c r="AH1961" s="412"/>
      <c r="AI1961" s="412"/>
      <c r="AJ1961" s="412">
        <f t="shared" si="92"/>
        <v>300</v>
      </c>
      <c r="AK1961" s="410"/>
      <c r="AL1961" s="250" t="s">
        <v>2067</v>
      </c>
    </row>
    <row r="1962" spans="1:38" x14ac:dyDescent="0.2">
      <c r="A1962" s="409" t="s">
        <v>888</v>
      </c>
      <c r="B1962" s="209">
        <v>5524</v>
      </c>
      <c r="C1962" s="210" t="s">
        <v>768</v>
      </c>
      <c r="D1962" s="229" t="s">
        <v>1399</v>
      </c>
      <c r="E1962" s="229" t="s">
        <v>365</v>
      </c>
      <c r="F1962" s="240">
        <v>300</v>
      </c>
      <c r="G1962" s="205">
        <v>1</v>
      </c>
      <c r="H1962" s="206">
        <v>300</v>
      </c>
      <c r="I1962" s="207">
        <v>41518</v>
      </c>
      <c r="J1962" s="197" t="str">
        <f t="shared" si="93"/>
        <v>ok</v>
      </c>
      <c r="K1962" s="419"/>
      <c r="L1962" s="419"/>
      <c r="M1962" s="419"/>
      <c r="N1962" s="419"/>
      <c r="O1962" s="419"/>
      <c r="P1962" s="419"/>
      <c r="Q1962" s="419"/>
      <c r="R1962" s="419"/>
      <c r="S1962" s="419"/>
      <c r="T1962" s="419"/>
      <c r="U1962" s="419"/>
      <c r="V1962" s="419"/>
      <c r="W1962" s="419">
        <f t="shared" si="91"/>
        <v>0</v>
      </c>
      <c r="X1962" s="412"/>
      <c r="Y1962" s="412"/>
      <c r="Z1962" s="412"/>
      <c r="AA1962" s="412"/>
      <c r="AB1962" s="412"/>
      <c r="AC1962" s="412"/>
      <c r="AD1962" s="412"/>
      <c r="AE1962" s="412"/>
      <c r="AF1962" s="427">
        <v>300</v>
      </c>
      <c r="AG1962" s="412"/>
      <c r="AH1962" s="412"/>
      <c r="AI1962" s="412"/>
      <c r="AJ1962" s="412">
        <f t="shared" si="92"/>
        <v>300</v>
      </c>
      <c r="AK1962" s="410"/>
      <c r="AL1962" s="250" t="s">
        <v>2067</v>
      </c>
    </row>
    <row r="1963" spans="1:38" x14ac:dyDescent="0.2">
      <c r="A1963" s="409" t="s">
        <v>888</v>
      </c>
      <c r="B1963" s="209">
        <v>5525</v>
      </c>
      <c r="C1963" s="210" t="s">
        <v>961</v>
      </c>
      <c r="D1963" s="229" t="s">
        <v>1481</v>
      </c>
      <c r="E1963" s="229" t="s">
        <v>1663</v>
      </c>
      <c r="F1963" s="240">
        <v>250</v>
      </c>
      <c r="G1963" s="205">
        <v>1</v>
      </c>
      <c r="H1963" s="206">
        <v>500</v>
      </c>
      <c r="I1963" s="207">
        <v>41518</v>
      </c>
      <c r="J1963" s="197" t="str">
        <f t="shared" si="93"/>
        <v>ok</v>
      </c>
      <c r="K1963" s="419"/>
      <c r="L1963" s="419"/>
      <c r="M1963" s="419"/>
      <c r="N1963" s="419"/>
      <c r="O1963" s="419"/>
      <c r="P1963" s="419"/>
      <c r="Q1963" s="419"/>
      <c r="R1963" s="419"/>
      <c r="S1963" s="419"/>
      <c r="T1963" s="419"/>
      <c r="U1963" s="419"/>
      <c r="V1963" s="419"/>
      <c r="W1963" s="419">
        <f t="shared" si="91"/>
        <v>0</v>
      </c>
      <c r="X1963" s="412"/>
      <c r="Y1963" s="412"/>
      <c r="Z1963" s="412"/>
      <c r="AA1963" s="412"/>
      <c r="AB1963" s="412"/>
      <c r="AC1963" s="412"/>
      <c r="AD1963" s="412"/>
      <c r="AE1963" s="412">
        <v>250</v>
      </c>
      <c r="AF1963" s="427">
        <v>250</v>
      </c>
      <c r="AG1963" s="412"/>
      <c r="AH1963" s="412"/>
      <c r="AI1963" s="412"/>
      <c r="AJ1963" s="412">
        <f t="shared" si="92"/>
        <v>500</v>
      </c>
      <c r="AK1963" s="410"/>
      <c r="AL1963" s="250" t="s">
        <v>2067</v>
      </c>
    </row>
    <row r="1964" spans="1:38" x14ac:dyDescent="0.2">
      <c r="A1964" s="409" t="s">
        <v>894</v>
      </c>
      <c r="B1964" s="209">
        <v>5526</v>
      </c>
      <c r="C1964" s="210" t="s">
        <v>1170</v>
      </c>
      <c r="D1964" s="229" t="s">
        <v>2059</v>
      </c>
      <c r="E1964" s="229" t="s">
        <v>1226</v>
      </c>
      <c r="F1964" s="240">
        <v>250</v>
      </c>
      <c r="G1964" s="205">
        <v>1</v>
      </c>
      <c r="H1964" s="206">
        <v>1000</v>
      </c>
      <c r="I1964" s="207">
        <v>41518</v>
      </c>
      <c r="J1964" s="197" t="str">
        <f t="shared" si="93"/>
        <v>ok</v>
      </c>
      <c r="K1964" s="419"/>
      <c r="L1964" s="419"/>
      <c r="M1964" s="419"/>
      <c r="N1964" s="419"/>
      <c r="O1964" s="419"/>
      <c r="P1964" s="419"/>
      <c r="Q1964" s="419"/>
      <c r="R1964" s="419"/>
      <c r="S1964" s="419"/>
      <c r="T1964" s="419"/>
      <c r="U1964" s="419"/>
      <c r="V1964" s="419"/>
      <c r="W1964" s="419">
        <f t="shared" si="91"/>
        <v>0</v>
      </c>
      <c r="X1964" s="412">
        <v>250</v>
      </c>
      <c r="Y1964" s="412">
        <v>250</v>
      </c>
      <c r="Z1964" s="412">
        <v>250</v>
      </c>
      <c r="AA1964" s="412">
        <v>250</v>
      </c>
      <c r="AB1964" s="412"/>
      <c r="AC1964" s="412"/>
      <c r="AD1964" s="412"/>
      <c r="AE1964" s="412"/>
      <c r="AF1964" s="427"/>
      <c r="AG1964" s="412"/>
      <c r="AH1964" s="412"/>
      <c r="AI1964" s="412"/>
      <c r="AJ1964" s="412">
        <f t="shared" si="92"/>
        <v>1000</v>
      </c>
      <c r="AK1964" s="410"/>
      <c r="AL1964" s="250" t="s">
        <v>2067</v>
      </c>
    </row>
    <row r="1965" spans="1:38" x14ac:dyDescent="0.2">
      <c r="A1965" s="409" t="s">
        <v>893</v>
      </c>
      <c r="B1965" s="209">
        <v>5527</v>
      </c>
      <c r="C1965" s="210" t="s">
        <v>780</v>
      </c>
      <c r="D1965" s="229" t="s">
        <v>1593</v>
      </c>
      <c r="E1965" s="229" t="s">
        <v>294</v>
      </c>
      <c r="F1965" s="240">
        <v>300</v>
      </c>
      <c r="G1965" s="205">
        <v>1</v>
      </c>
      <c r="H1965" s="206">
        <v>300</v>
      </c>
      <c r="I1965" s="207">
        <v>41518</v>
      </c>
      <c r="J1965" s="197" t="str">
        <f t="shared" si="93"/>
        <v>ok</v>
      </c>
      <c r="K1965" s="419"/>
      <c r="L1965" s="419"/>
      <c r="M1965" s="419"/>
      <c r="N1965" s="419"/>
      <c r="O1965" s="419"/>
      <c r="P1965" s="419"/>
      <c r="Q1965" s="419"/>
      <c r="R1965" s="419"/>
      <c r="S1965" s="419"/>
      <c r="T1965" s="419"/>
      <c r="U1965" s="419"/>
      <c r="V1965" s="419"/>
      <c r="W1965" s="419">
        <f t="shared" si="91"/>
        <v>0</v>
      </c>
      <c r="X1965" s="412"/>
      <c r="Y1965" s="412"/>
      <c r="Z1965" s="412"/>
      <c r="AA1965" s="412"/>
      <c r="AB1965" s="412"/>
      <c r="AC1965" s="412"/>
      <c r="AD1965" s="412"/>
      <c r="AE1965" s="412"/>
      <c r="AF1965" s="427">
        <v>300</v>
      </c>
      <c r="AG1965" s="412"/>
      <c r="AH1965" s="412"/>
      <c r="AI1965" s="412"/>
      <c r="AJ1965" s="412">
        <f t="shared" si="92"/>
        <v>300</v>
      </c>
      <c r="AK1965" s="410"/>
      <c r="AL1965" s="250" t="s">
        <v>2067</v>
      </c>
    </row>
    <row r="1966" spans="1:38" x14ac:dyDescent="0.2">
      <c r="A1966" s="409" t="s">
        <v>892</v>
      </c>
      <c r="B1966" s="209">
        <v>5528</v>
      </c>
      <c r="C1966" s="210" t="s">
        <v>1055</v>
      </c>
      <c r="D1966" s="229" t="s">
        <v>1467</v>
      </c>
      <c r="E1966" s="229" t="s">
        <v>371</v>
      </c>
      <c r="F1966" s="240">
        <v>300</v>
      </c>
      <c r="G1966" s="205">
        <v>1</v>
      </c>
      <c r="H1966" s="206">
        <v>300</v>
      </c>
      <c r="I1966" s="207">
        <v>41518</v>
      </c>
      <c r="J1966" s="197" t="str">
        <f t="shared" si="93"/>
        <v>ok</v>
      </c>
      <c r="K1966" s="419"/>
      <c r="L1966" s="419"/>
      <c r="M1966" s="419"/>
      <c r="N1966" s="419"/>
      <c r="O1966" s="419"/>
      <c r="P1966" s="419"/>
      <c r="Q1966" s="419"/>
      <c r="R1966" s="419"/>
      <c r="S1966" s="419"/>
      <c r="T1966" s="419"/>
      <c r="U1966" s="419"/>
      <c r="V1966" s="419"/>
      <c r="W1966" s="419">
        <f t="shared" si="91"/>
        <v>0</v>
      </c>
      <c r="X1966" s="412"/>
      <c r="Y1966" s="412"/>
      <c r="Z1966" s="412"/>
      <c r="AA1966" s="412"/>
      <c r="AB1966" s="412"/>
      <c r="AC1966" s="412"/>
      <c r="AD1966" s="412"/>
      <c r="AE1966" s="412"/>
      <c r="AF1966" s="427">
        <v>300</v>
      </c>
      <c r="AG1966" s="412"/>
      <c r="AH1966" s="412"/>
      <c r="AI1966" s="412"/>
      <c r="AJ1966" s="412">
        <f t="shared" si="92"/>
        <v>300</v>
      </c>
      <c r="AK1966" s="410"/>
      <c r="AL1966" s="250" t="s">
        <v>2067</v>
      </c>
    </row>
    <row r="1967" spans="1:38" x14ac:dyDescent="0.2">
      <c r="A1967" s="409" t="s">
        <v>893</v>
      </c>
      <c r="B1967" s="209">
        <v>5529</v>
      </c>
      <c r="C1967" s="210" t="s">
        <v>1135</v>
      </c>
      <c r="D1967" s="229" t="s">
        <v>1625</v>
      </c>
      <c r="E1967" s="229" t="s">
        <v>1266</v>
      </c>
      <c r="F1967" s="240">
        <v>300</v>
      </c>
      <c r="G1967" s="205">
        <v>1</v>
      </c>
      <c r="H1967" s="206">
        <v>900</v>
      </c>
      <c r="I1967" s="207">
        <v>41518</v>
      </c>
      <c r="J1967" s="197" t="str">
        <f t="shared" si="93"/>
        <v>ok</v>
      </c>
      <c r="K1967" s="419"/>
      <c r="L1967" s="419"/>
      <c r="M1967" s="419"/>
      <c r="N1967" s="419"/>
      <c r="O1967" s="419"/>
      <c r="P1967" s="419"/>
      <c r="Q1967" s="419"/>
      <c r="R1967" s="419"/>
      <c r="S1967" s="419"/>
      <c r="T1967" s="419"/>
      <c r="U1967" s="419"/>
      <c r="V1967" s="419"/>
      <c r="W1967" s="419">
        <f t="shared" si="91"/>
        <v>0</v>
      </c>
      <c r="X1967" s="412"/>
      <c r="Y1967" s="412"/>
      <c r="Z1967" s="412"/>
      <c r="AA1967" s="412">
        <v>300</v>
      </c>
      <c r="AB1967" s="412">
        <v>300</v>
      </c>
      <c r="AC1967" s="412">
        <v>300</v>
      </c>
      <c r="AD1967" s="412"/>
      <c r="AE1967" s="412"/>
      <c r="AF1967" s="427"/>
      <c r="AG1967" s="412"/>
      <c r="AH1967" s="412"/>
      <c r="AI1967" s="412"/>
      <c r="AJ1967" s="412">
        <f t="shared" si="92"/>
        <v>900</v>
      </c>
      <c r="AK1967" s="410"/>
      <c r="AL1967" s="250" t="s">
        <v>2067</v>
      </c>
    </row>
    <row r="1968" spans="1:38" x14ac:dyDescent="0.2">
      <c r="A1968" s="409" t="s">
        <v>893</v>
      </c>
      <c r="B1968" s="209">
        <v>5530</v>
      </c>
      <c r="C1968" s="210" t="s">
        <v>779</v>
      </c>
      <c r="D1968" s="229" t="s">
        <v>1391</v>
      </c>
      <c r="E1968" s="229" t="s">
        <v>713</v>
      </c>
      <c r="F1968" s="240">
        <v>300</v>
      </c>
      <c r="G1968" s="205">
        <v>1</v>
      </c>
      <c r="H1968" s="206">
        <v>300</v>
      </c>
      <c r="I1968" s="207">
        <v>41518</v>
      </c>
      <c r="J1968" s="197" t="str">
        <f t="shared" si="93"/>
        <v>ok</v>
      </c>
      <c r="K1968" s="419"/>
      <c r="L1968" s="419"/>
      <c r="M1968" s="419"/>
      <c r="N1968" s="419"/>
      <c r="O1968" s="419"/>
      <c r="P1968" s="419"/>
      <c r="Q1968" s="419"/>
      <c r="R1968" s="419"/>
      <c r="S1968" s="419"/>
      <c r="T1968" s="419"/>
      <c r="U1968" s="419"/>
      <c r="V1968" s="419"/>
      <c r="W1968" s="419">
        <f t="shared" si="91"/>
        <v>0</v>
      </c>
      <c r="X1968" s="412"/>
      <c r="Y1968" s="412"/>
      <c r="Z1968" s="412"/>
      <c r="AA1968" s="412"/>
      <c r="AB1968" s="412"/>
      <c r="AC1968" s="412"/>
      <c r="AD1968" s="412"/>
      <c r="AE1968" s="412"/>
      <c r="AF1968" s="427">
        <v>300</v>
      </c>
      <c r="AG1968" s="412"/>
      <c r="AH1968" s="412"/>
      <c r="AI1968" s="412"/>
      <c r="AJ1968" s="412">
        <f t="shared" si="92"/>
        <v>300</v>
      </c>
      <c r="AK1968" s="410"/>
      <c r="AL1968" s="250" t="s">
        <v>2067</v>
      </c>
    </row>
    <row r="1969" spans="1:38" x14ac:dyDescent="0.2">
      <c r="A1969" s="409" t="s">
        <v>892</v>
      </c>
      <c r="B1969" s="209">
        <v>5531</v>
      </c>
      <c r="C1969" s="210" t="s">
        <v>1060</v>
      </c>
      <c r="D1969" s="229" t="s">
        <v>1460</v>
      </c>
      <c r="E1969" s="229" t="s">
        <v>737</v>
      </c>
      <c r="F1969" s="240">
        <v>300</v>
      </c>
      <c r="G1969" s="205">
        <v>1</v>
      </c>
      <c r="H1969" s="206">
        <v>300</v>
      </c>
      <c r="I1969" s="207">
        <v>41518</v>
      </c>
      <c r="J1969" s="197" t="str">
        <f t="shared" si="93"/>
        <v>ok</v>
      </c>
      <c r="K1969" s="419"/>
      <c r="L1969" s="419"/>
      <c r="M1969" s="419"/>
      <c r="N1969" s="419"/>
      <c r="O1969" s="419"/>
      <c r="P1969" s="419"/>
      <c r="Q1969" s="419"/>
      <c r="R1969" s="419"/>
      <c r="S1969" s="419"/>
      <c r="T1969" s="419"/>
      <c r="U1969" s="419"/>
      <c r="V1969" s="419"/>
      <c r="W1969" s="419">
        <f t="shared" si="91"/>
        <v>0</v>
      </c>
      <c r="X1969" s="412"/>
      <c r="Y1969" s="412"/>
      <c r="Z1969" s="412"/>
      <c r="AA1969" s="412"/>
      <c r="AB1969" s="412"/>
      <c r="AC1969" s="412"/>
      <c r="AD1969" s="412"/>
      <c r="AE1969" s="412"/>
      <c r="AF1969" s="427">
        <v>300</v>
      </c>
      <c r="AG1969" s="412"/>
      <c r="AH1969" s="412"/>
      <c r="AI1969" s="412"/>
      <c r="AJ1969" s="412">
        <f t="shared" si="92"/>
        <v>300</v>
      </c>
      <c r="AK1969" s="410"/>
      <c r="AL1969" s="250" t="s">
        <v>2067</v>
      </c>
    </row>
    <row r="1970" spans="1:38" x14ac:dyDescent="0.2">
      <c r="A1970" s="409" t="s">
        <v>892</v>
      </c>
      <c r="B1970" s="209">
        <v>5532</v>
      </c>
      <c r="C1970" s="210" t="s">
        <v>1060</v>
      </c>
      <c r="D1970" s="229" t="s">
        <v>1460</v>
      </c>
      <c r="E1970" s="229" t="s">
        <v>737</v>
      </c>
      <c r="F1970" s="240">
        <v>300</v>
      </c>
      <c r="G1970" s="205">
        <v>3</v>
      </c>
      <c r="H1970" s="206">
        <v>160</v>
      </c>
      <c r="I1970" s="207">
        <v>41518</v>
      </c>
      <c r="J1970" s="197" t="str">
        <f t="shared" si="93"/>
        <v>ok</v>
      </c>
      <c r="K1970" s="419"/>
      <c r="L1970" s="419"/>
      <c r="M1970" s="419"/>
      <c r="N1970" s="419"/>
      <c r="O1970" s="419"/>
      <c r="P1970" s="419"/>
      <c r="Q1970" s="419"/>
      <c r="R1970" s="419"/>
      <c r="S1970" s="419"/>
      <c r="T1970" s="419"/>
      <c r="U1970" s="419"/>
      <c r="V1970" s="419"/>
      <c r="W1970" s="419">
        <f t="shared" si="91"/>
        <v>0</v>
      </c>
      <c r="X1970" s="412"/>
      <c r="Y1970" s="412"/>
      <c r="Z1970" s="412"/>
      <c r="AA1970" s="412"/>
      <c r="AB1970" s="412"/>
      <c r="AC1970" s="412"/>
      <c r="AD1970" s="412"/>
      <c r="AE1970" s="412"/>
      <c r="AF1970" s="427"/>
      <c r="AG1970" s="412"/>
      <c r="AH1970" s="412"/>
      <c r="AI1970" s="412"/>
      <c r="AJ1970" s="412">
        <f t="shared" si="92"/>
        <v>0</v>
      </c>
      <c r="AK1970" s="410"/>
      <c r="AL1970" s="250" t="s">
        <v>2068</v>
      </c>
    </row>
    <row r="1971" spans="1:38" x14ac:dyDescent="0.2">
      <c r="A1971" s="409" t="s">
        <v>884</v>
      </c>
      <c r="B1971" s="209">
        <v>5533</v>
      </c>
      <c r="C1971" s="210" t="s">
        <v>812</v>
      </c>
      <c r="D1971" s="229" t="s">
        <v>1420</v>
      </c>
      <c r="E1971" s="229" t="s">
        <v>33</v>
      </c>
      <c r="F1971" s="240">
        <v>300</v>
      </c>
      <c r="G1971" s="205">
        <v>1</v>
      </c>
      <c r="H1971" s="206">
        <v>300</v>
      </c>
      <c r="I1971" s="207">
        <v>41518</v>
      </c>
      <c r="J1971" s="197" t="str">
        <f t="shared" si="93"/>
        <v>ok</v>
      </c>
      <c r="K1971" s="419"/>
      <c r="L1971" s="419"/>
      <c r="M1971" s="419"/>
      <c r="N1971" s="419"/>
      <c r="O1971" s="419"/>
      <c r="P1971" s="419"/>
      <c r="Q1971" s="419"/>
      <c r="R1971" s="419"/>
      <c r="S1971" s="419"/>
      <c r="T1971" s="419"/>
      <c r="U1971" s="419"/>
      <c r="V1971" s="419"/>
      <c r="W1971" s="419">
        <f t="shared" si="91"/>
        <v>0</v>
      </c>
      <c r="X1971" s="412"/>
      <c r="Y1971" s="412"/>
      <c r="Z1971" s="412"/>
      <c r="AA1971" s="412"/>
      <c r="AB1971" s="412"/>
      <c r="AC1971" s="412"/>
      <c r="AD1971" s="412"/>
      <c r="AE1971" s="412"/>
      <c r="AF1971" s="427">
        <v>300</v>
      </c>
      <c r="AG1971" s="412"/>
      <c r="AH1971" s="412"/>
      <c r="AI1971" s="412"/>
      <c r="AJ1971" s="412">
        <f t="shared" si="92"/>
        <v>300</v>
      </c>
      <c r="AK1971" s="410"/>
      <c r="AL1971" s="250" t="s">
        <v>2067</v>
      </c>
    </row>
    <row r="1972" spans="1:38" x14ac:dyDescent="0.2">
      <c r="A1972" s="409" t="s">
        <v>888</v>
      </c>
      <c r="B1972" s="209">
        <v>5534</v>
      </c>
      <c r="C1972" s="210" t="s">
        <v>929</v>
      </c>
      <c r="D1972" s="229" t="s">
        <v>1642</v>
      </c>
      <c r="E1972" s="229" t="s">
        <v>380</v>
      </c>
      <c r="F1972" s="240">
        <v>300</v>
      </c>
      <c r="G1972" s="205">
        <v>1</v>
      </c>
      <c r="H1972" s="206">
        <v>300</v>
      </c>
      <c r="I1972" s="207">
        <v>41518</v>
      </c>
      <c r="J1972" s="197" t="str">
        <f t="shared" si="93"/>
        <v>ok</v>
      </c>
      <c r="K1972" s="419"/>
      <c r="L1972" s="419"/>
      <c r="M1972" s="419"/>
      <c r="N1972" s="419"/>
      <c r="O1972" s="419"/>
      <c r="P1972" s="419"/>
      <c r="Q1972" s="419"/>
      <c r="R1972" s="419"/>
      <c r="S1972" s="419"/>
      <c r="T1972" s="419"/>
      <c r="U1972" s="419"/>
      <c r="V1972" s="419"/>
      <c r="W1972" s="419">
        <f t="shared" si="91"/>
        <v>0</v>
      </c>
      <c r="X1972" s="412"/>
      <c r="Y1972" s="412"/>
      <c r="Z1972" s="412"/>
      <c r="AA1972" s="412"/>
      <c r="AB1972" s="412"/>
      <c r="AC1972" s="412"/>
      <c r="AD1972" s="412">
        <v>300</v>
      </c>
      <c r="AE1972" s="412"/>
      <c r="AF1972" s="427"/>
      <c r="AG1972" s="412"/>
      <c r="AH1972" s="412"/>
      <c r="AI1972" s="412"/>
      <c r="AJ1972" s="412">
        <f t="shared" si="92"/>
        <v>300</v>
      </c>
      <c r="AK1972" s="410"/>
      <c r="AL1972" s="250" t="s">
        <v>2067</v>
      </c>
    </row>
    <row r="1973" spans="1:38" x14ac:dyDescent="0.2">
      <c r="A1973" s="409" t="s">
        <v>884</v>
      </c>
      <c r="B1973" s="209">
        <v>5535</v>
      </c>
      <c r="C1973" s="210" t="s">
        <v>803</v>
      </c>
      <c r="D1973" s="229" t="s">
        <v>1403</v>
      </c>
      <c r="E1973" s="229" t="s">
        <v>20</v>
      </c>
      <c r="F1973" s="240">
        <v>300</v>
      </c>
      <c r="G1973" s="205">
        <v>1</v>
      </c>
      <c r="H1973" s="206">
        <v>300</v>
      </c>
      <c r="I1973" s="207">
        <v>41518</v>
      </c>
      <c r="J1973" s="197" t="str">
        <f t="shared" si="93"/>
        <v>ok</v>
      </c>
      <c r="K1973" s="419"/>
      <c r="L1973" s="419"/>
      <c r="M1973" s="419"/>
      <c r="N1973" s="419"/>
      <c r="O1973" s="419"/>
      <c r="P1973" s="419"/>
      <c r="Q1973" s="419"/>
      <c r="R1973" s="419"/>
      <c r="S1973" s="419"/>
      <c r="T1973" s="419"/>
      <c r="U1973" s="419"/>
      <c r="V1973" s="419"/>
      <c r="W1973" s="419">
        <f t="shared" si="91"/>
        <v>0</v>
      </c>
      <c r="X1973" s="412"/>
      <c r="Y1973" s="412"/>
      <c r="Z1973" s="412"/>
      <c r="AA1973" s="412"/>
      <c r="AB1973" s="412"/>
      <c r="AC1973" s="412"/>
      <c r="AD1973" s="412"/>
      <c r="AE1973" s="412"/>
      <c r="AF1973" s="427">
        <v>300</v>
      </c>
      <c r="AG1973" s="412"/>
      <c r="AH1973" s="412"/>
      <c r="AI1973" s="412"/>
      <c r="AJ1973" s="412">
        <f t="shared" si="92"/>
        <v>300</v>
      </c>
      <c r="AK1973" s="410"/>
      <c r="AL1973" s="250" t="s">
        <v>2067</v>
      </c>
    </row>
    <row r="1974" spans="1:38" x14ac:dyDescent="0.2">
      <c r="A1974" s="409" t="s">
        <v>884</v>
      </c>
      <c r="B1974" s="209">
        <v>5536</v>
      </c>
      <c r="C1974" s="210" t="s">
        <v>788</v>
      </c>
      <c r="D1974" s="229" t="s">
        <v>1468</v>
      </c>
      <c r="E1974" s="229" t="s">
        <v>1269</v>
      </c>
      <c r="F1974" s="240">
        <v>300</v>
      </c>
      <c r="G1974" s="205">
        <v>1</v>
      </c>
      <c r="H1974" s="206">
        <v>300</v>
      </c>
      <c r="I1974" s="207">
        <v>41518</v>
      </c>
      <c r="J1974" s="197" t="str">
        <f t="shared" si="93"/>
        <v>ok</v>
      </c>
      <c r="K1974" s="419"/>
      <c r="L1974" s="419"/>
      <c r="M1974" s="419"/>
      <c r="N1974" s="419"/>
      <c r="O1974" s="419"/>
      <c r="P1974" s="419"/>
      <c r="Q1974" s="419"/>
      <c r="R1974" s="419"/>
      <c r="S1974" s="419"/>
      <c r="T1974" s="419"/>
      <c r="U1974" s="419"/>
      <c r="V1974" s="419"/>
      <c r="W1974" s="419">
        <f t="shared" si="91"/>
        <v>0</v>
      </c>
      <c r="X1974" s="412"/>
      <c r="Y1974" s="412"/>
      <c r="Z1974" s="412"/>
      <c r="AA1974" s="412"/>
      <c r="AB1974" s="412"/>
      <c r="AC1974" s="412"/>
      <c r="AD1974" s="412"/>
      <c r="AE1974" s="412"/>
      <c r="AF1974" s="427">
        <v>300</v>
      </c>
      <c r="AG1974" s="412"/>
      <c r="AH1974" s="412"/>
      <c r="AI1974" s="412"/>
      <c r="AJ1974" s="412">
        <f t="shared" si="92"/>
        <v>300</v>
      </c>
      <c r="AK1974" s="410"/>
      <c r="AL1974" s="250" t="s">
        <v>2067</v>
      </c>
    </row>
    <row r="1975" spans="1:38" x14ac:dyDescent="0.2">
      <c r="A1975" s="409" t="s">
        <v>891</v>
      </c>
      <c r="B1975" s="209">
        <v>5537</v>
      </c>
      <c r="C1975" s="210" t="s">
        <v>1051</v>
      </c>
      <c r="D1975" s="229" t="s">
        <v>1442</v>
      </c>
      <c r="E1975" s="229" t="s">
        <v>651</v>
      </c>
      <c r="F1975" s="240">
        <v>300</v>
      </c>
      <c r="G1975" s="205">
        <v>1</v>
      </c>
      <c r="H1975" s="206">
        <v>300</v>
      </c>
      <c r="I1975" s="207">
        <v>41518</v>
      </c>
      <c r="J1975" s="197" t="str">
        <f t="shared" si="93"/>
        <v>ok</v>
      </c>
      <c r="K1975" s="419"/>
      <c r="L1975" s="419"/>
      <c r="M1975" s="419"/>
      <c r="N1975" s="419"/>
      <c r="O1975" s="419"/>
      <c r="P1975" s="419"/>
      <c r="Q1975" s="419"/>
      <c r="R1975" s="419"/>
      <c r="S1975" s="419"/>
      <c r="T1975" s="419"/>
      <c r="U1975" s="419"/>
      <c r="V1975" s="419"/>
      <c r="W1975" s="419">
        <f t="shared" si="91"/>
        <v>0</v>
      </c>
      <c r="X1975" s="412"/>
      <c r="Y1975" s="412"/>
      <c r="Z1975" s="412"/>
      <c r="AA1975" s="412"/>
      <c r="AB1975" s="412">
        <v>300</v>
      </c>
      <c r="AC1975" s="412"/>
      <c r="AD1975" s="412"/>
      <c r="AE1975" s="412"/>
      <c r="AF1975" s="427"/>
      <c r="AG1975" s="412"/>
      <c r="AH1975" s="412"/>
      <c r="AI1975" s="412"/>
      <c r="AJ1975" s="412">
        <f t="shared" si="92"/>
        <v>300</v>
      </c>
      <c r="AK1975" s="410"/>
      <c r="AL1975" s="250" t="s">
        <v>2067</v>
      </c>
    </row>
    <row r="1976" spans="1:38" x14ac:dyDescent="0.2">
      <c r="A1976" s="409" t="s">
        <v>884</v>
      </c>
      <c r="B1976" s="209">
        <v>5538</v>
      </c>
      <c r="C1976" s="210" t="s">
        <v>853</v>
      </c>
      <c r="D1976" s="229" t="s">
        <v>1486</v>
      </c>
      <c r="E1976" s="229" t="s">
        <v>93</v>
      </c>
      <c r="F1976" s="240">
        <v>300</v>
      </c>
      <c r="G1976" s="205">
        <v>1</v>
      </c>
      <c r="H1976" s="206">
        <v>300</v>
      </c>
      <c r="I1976" s="207">
        <v>41518</v>
      </c>
      <c r="J1976" s="197" t="str">
        <f t="shared" si="93"/>
        <v>ok</v>
      </c>
      <c r="K1976" s="419"/>
      <c r="L1976" s="419"/>
      <c r="M1976" s="419"/>
      <c r="N1976" s="419"/>
      <c r="O1976" s="419"/>
      <c r="P1976" s="419"/>
      <c r="Q1976" s="419"/>
      <c r="R1976" s="419"/>
      <c r="S1976" s="419"/>
      <c r="T1976" s="419"/>
      <c r="U1976" s="419"/>
      <c r="V1976" s="419"/>
      <c r="W1976" s="419">
        <f t="shared" si="91"/>
        <v>0</v>
      </c>
      <c r="X1976" s="412"/>
      <c r="Y1976" s="412"/>
      <c r="Z1976" s="412"/>
      <c r="AA1976" s="412"/>
      <c r="AB1976" s="412"/>
      <c r="AC1976" s="412"/>
      <c r="AD1976" s="412"/>
      <c r="AE1976" s="412"/>
      <c r="AF1976" s="427">
        <v>300</v>
      </c>
      <c r="AG1976" s="412"/>
      <c r="AH1976" s="412"/>
      <c r="AI1976" s="412"/>
      <c r="AJ1976" s="412">
        <f t="shared" si="92"/>
        <v>300</v>
      </c>
      <c r="AK1976" s="410"/>
      <c r="AL1976" s="250" t="s">
        <v>2067</v>
      </c>
    </row>
    <row r="1977" spans="1:38" x14ac:dyDescent="0.2">
      <c r="A1977" s="409" t="s">
        <v>890</v>
      </c>
      <c r="B1977" s="209">
        <v>5539</v>
      </c>
      <c r="C1977" s="210" t="s">
        <v>1008</v>
      </c>
      <c r="D1977" s="229" t="s">
        <v>1587</v>
      </c>
      <c r="E1977" s="229" t="s">
        <v>501</v>
      </c>
      <c r="F1977" s="240">
        <v>250</v>
      </c>
      <c r="G1977" s="205">
        <v>1</v>
      </c>
      <c r="H1977" s="206">
        <v>300</v>
      </c>
      <c r="I1977" s="207">
        <v>41518</v>
      </c>
      <c r="J1977" s="197" t="str">
        <f t="shared" si="93"/>
        <v>ok</v>
      </c>
      <c r="K1977" s="419"/>
      <c r="L1977" s="419"/>
      <c r="M1977" s="419"/>
      <c r="N1977" s="419"/>
      <c r="O1977" s="419"/>
      <c r="P1977" s="419"/>
      <c r="Q1977" s="419"/>
      <c r="R1977" s="419"/>
      <c r="S1977" s="419"/>
      <c r="T1977" s="419"/>
      <c r="U1977" s="419"/>
      <c r="V1977" s="419"/>
      <c r="W1977" s="419">
        <f t="shared" si="91"/>
        <v>0</v>
      </c>
      <c r="X1977" s="412"/>
      <c r="Y1977" s="412"/>
      <c r="Z1977" s="412"/>
      <c r="AA1977" s="412"/>
      <c r="AB1977" s="412"/>
      <c r="AC1977" s="412"/>
      <c r="AD1977" s="412"/>
      <c r="AE1977" s="412"/>
      <c r="AF1977" s="427">
        <v>300</v>
      </c>
      <c r="AG1977" s="412"/>
      <c r="AH1977" s="412"/>
      <c r="AI1977" s="412"/>
      <c r="AJ1977" s="412">
        <f t="shared" si="92"/>
        <v>300</v>
      </c>
      <c r="AK1977" s="410"/>
      <c r="AL1977" s="250" t="s">
        <v>2067</v>
      </c>
    </row>
    <row r="1978" spans="1:38" x14ac:dyDescent="0.2">
      <c r="A1978" s="409"/>
      <c r="B1978" s="209">
        <v>5539</v>
      </c>
      <c r="C1978" s="210" t="s">
        <v>1008</v>
      </c>
      <c r="D1978" s="229" t="s">
        <v>1587</v>
      </c>
      <c r="E1978" s="229" t="s">
        <v>501</v>
      </c>
      <c r="F1978" s="240">
        <v>250</v>
      </c>
      <c r="G1978" s="205">
        <v>4</v>
      </c>
      <c r="H1978" s="206">
        <v>160</v>
      </c>
      <c r="I1978" s="207">
        <v>41518</v>
      </c>
      <c r="J1978" s="197" t="str">
        <f t="shared" si="93"/>
        <v>ok</v>
      </c>
      <c r="K1978" s="419"/>
      <c r="L1978" s="419"/>
      <c r="M1978" s="419"/>
      <c r="N1978" s="419"/>
      <c r="O1978" s="419"/>
      <c r="P1978" s="419"/>
      <c r="Q1978" s="419"/>
      <c r="R1978" s="419"/>
      <c r="S1978" s="419"/>
      <c r="T1978" s="419"/>
      <c r="U1978" s="419"/>
      <c r="V1978" s="419"/>
      <c r="W1978" s="419">
        <f t="shared" si="91"/>
        <v>0</v>
      </c>
      <c r="X1978" s="412"/>
      <c r="Y1978" s="412"/>
      <c r="Z1978" s="412"/>
      <c r="AA1978" s="412"/>
      <c r="AB1978" s="412"/>
      <c r="AC1978" s="412"/>
      <c r="AD1978" s="412"/>
      <c r="AE1978" s="412"/>
      <c r="AF1978" s="427"/>
      <c r="AG1978" s="412"/>
      <c r="AH1978" s="412"/>
      <c r="AI1978" s="412"/>
      <c r="AJ1978" s="412">
        <f t="shared" si="92"/>
        <v>0</v>
      </c>
      <c r="AK1978" s="410"/>
      <c r="AL1978" s="250" t="s">
        <v>2068</v>
      </c>
    </row>
    <row r="1979" spans="1:38" x14ac:dyDescent="0.2">
      <c r="A1979" s="409" t="s">
        <v>888</v>
      </c>
      <c r="B1979" s="209">
        <v>5540</v>
      </c>
      <c r="C1979" s="210" t="s">
        <v>1332</v>
      </c>
      <c r="D1979" s="229" t="s">
        <v>2060</v>
      </c>
      <c r="E1979" s="229" t="s">
        <v>1303</v>
      </c>
      <c r="F1979" s="240">
        <v>100</v>
      </c>
      <c r="G1979" s="205">
        <v>1</v>
      </c>
      <c r="H1979" s="206">
        <v>300</v>
      </c>
      <c r="I1979" s="207">
        <v>41518</v>
      </c>
      <c r="J1979" s="197" t="str">
        <f t="shared" si="93"/>
        <v>ok</v>
      </c>
      <c r="K1979" s="419"/>
      <c r="L1979" s="419"/>
      <c r="M1979" s="419"/>
      <c r="N1979" s="419"/>
      <c r="O1979" s="419"/>
      <c r="P1979" s="419"/>
      <c r="Q1979" s="419"/>
      <c r="R1979" s="419"/>
      <c r="S1979" s="419"/>
      <c r="T1979" s="419"/>
      <c r="U1979" s="419"/>
      <c r="V1979" s="419"/>
      <c r="W1979" s="419">
        <f t="shared" si="91"/>
        <v>0</v>
      </c>
      <c r="X1979" s="412">
        <v>100</v>
      </c>
      <c r="Y1979" s="412">
        <v>100</v>
      </c>
      <c r="Z1979" s="412">
        <v>100</v>
      </c>
      <c r="AA1979" s="412"/>
      <c r="AB1979" s="412"/>
      <c r="AC1979" s="412"/>
      <c r="AD1979" s="412"/>
      <c r="AE1979" s="412"/>
      <c r="AF1979" s="427"/>
      <c r="AG1979" s="412"/>
      <c r="AH1979" s="412"/>
      <c r="AI1979" s="412"/>
      <c r="AJ1979" s="412">
        <f t="shared" si="92"/>
        <v>300</v>
      </c>
      <c r="AK1979" s="410"/>
      <c r="AL1979" s="250" t="s">
        <v>2067</v>
      </c>
    </row>
    <row r="1980" spans="1:38" x14ac:dyDescent="0.2">
      <c r="A1980" s="409"/>
      <c r="B1980" s="209">
        <v>5540</v>
      </c>
      <c r="C1980" s="210" t="s">
        <v>1332</v>
      </c>
      <c r="D1980" s="229" t="s">
        <v>2060</v>
      </c>
      <c r="E1980" s="229" t="s">
        <v>1303</v>
      </c>
      <c r="F1980" s="240">
        <v>100</v>
      </c>
      <c r="G1980" s="205">
        <v>4</v>
      </c>
      <c r="H1980" s="206">
        <v>160</v>
      </c>
      <c r="I1980" s="207">
        <v>41518</v>
      </c>
      <c r="J1980" s="197" t="str">
        <f t="shared" si="93"/>
        <v>ok</v>
      </c>
      <c r="K1980" s="419"/>
      <c r="L1980" s="419"/>
      <c r="M1980" s="419"/>
      <c r="N1980" s="419"/>
      <c r="O1980" s="419"/>
      <c r="P1980" s="419"/>
      <c r="Q1980" s="419"/>
      <c r="R1980" s="419"/>
      <c r="S1980" s="419"/>
      <c r="T1980" s="419"/>
      <c r="U1980" s="419"/>
      <c r="V1980" s="419"/>
      <c r="W1980" s="419">
        <f t="shared" si="91"/>
        <v>0</v>
      </c>
      <c r="X1980" s="412"/>
      <c r="Y1980" s="412"/>
      <c r="Z1980" s="412"/>
      <c r="AA1980" s="412"/>
      <c r="AB1980" s="412"/>
      <c r="AC1980" s="412"/>
      <c r="AD1980" s="412"/>
      <c r="AE1980" s="412"/>
      <c r="AF1980" s="427"/>
      <c r="AG1980" s="412"/>
      <c r="AH1980" s="412"/>
      <c r="AI1980" s="412"/>
      <c r="AJ1980" s="412">
        <f t="shared" si="92"/>
        <v>0</v>
      </c>
      <c r="AK1980" s="410"/>
      <c r="AL1980" s="250" t="s">
        <v>2068</v>
      </c>
    </row>
    <row r="1981" spans="1:38" x14ac:dyDescent="0.2">
      <c r="A1981" s="409"/>
      <c r="B1981" s="209">
        <v>5540</v>
      </c>
      <c r="C1981" s="210" t="s">
        <v>1332</v>
      </c>
      <c r="D1981" s="229" t="s">
        <v>2060</v>
      </c>
      <c r="E1981" s="229" t="s">
        <v>1303</v>
      </c>
      <c r="F1981" s="240">
        <v>100</v>
      </c>
      <c r="G1981" s="205">
        <v>5</v>
      </c>
      <c r="H1981" s="206">
        <v>60</v>
      </c>
      <c r="I1981" s="207">
        <v>41518</v>
      </c>
      <c r="J1981" s="197" t="str">
        <f t="shared" si="93"/>
        <v>ok</v>
      </c>
      <c r="K1981" s="419"/>
      <c r="L1981" s="419"/>
      <c r="M1981" s="419"/>
      <c r="N1981" s="419"/>
      <c r="O1981" s="419"/>
      <c r="P1981" s="419"/>
      <c r="Q1981" s="419"/>
      <c r="R1981" s="419"/>
      <c r="S1981" s="419"/>
      <c r="T1981" s="419"/>
      <c r="U1981" s="419"/>
      <c r="V1981" s="419"/>
      <c r="W1981" s="419">
        <f t="shared" si="91"/>
        <v>0</v>
      </c>
      <c r="X1981" s="412"/>
      <c r="Y1981" s="412"/>
      <c r="Z1981" s="412"/>
      <c r="AA1981" s="412"/>
      <c r="AB1981" s="412"/>
      <c r="AC1981" s="412"/>
      <c r="AD1981" s="412"/>
      <c r="AE1981" s="412"/>
      <c r="AF1981" s="427"/>
      <c r="AG1981" s="412"/>
      <c r="AH1981" s="412"/>
      <c r="AI1981" s="412"/>
      <c r="AJ1981" s="412">
        <f t="shared" si="92"/>
        <v>0</v>
      </c>
      <c r="AK1981" s="410"/>
      <c r="AL1981" s="250" t="s">
        <v>2068</v>
      </c>
    </row>
    <row r="1982" spans="1:38" x14ac:dyDescent="0.2">
      <c r="A1982" s="409" t="s">
        <v>884</v>
      </c>
      <c r="B1982" s="209">
        <v>5541</v>
      </c>
      <c r="C1982" s="210" t="s">
        <v>848</v>
      </c>
      <c r="D1982" s="229" t="s">
        <v>1545</v>
      </c>
      <c r="E1982" s="229" t="s">
        <v>1206</v>
      </c>
      <c r="F1982" s="240">
        <v>300</v>
      </c>
      <c r="G1982" s="205">
        <v>1</v>
      </c>
      <c r="H1982" s="206">
        <v>300</v>
      </c>
      <c r="I1982" s="207">
        <v>41518</v>
      </c>
      <c r="J1982" s="197" t="str">
        <f t="shared" si="93"/>
        <v>ok</v>
      </c>
      <c r="K1982" s="419"/>
      <c r="L1982" s="419"/>
      <c r="M1982" s="419"/>
      <c r="N1982" s="419"/>
      <c r="O1982" s="419"/>
      <c r="P1982" s="419"/>
      <c r="Q1982" s="419"/>
      <c r="R1982" s="419"/>
      <c r="S1982" s="419"/>
      <c r="T1982" s="419"/>
      <c r="U1982" s="419"/>
      <c r="V1982" s="419"/>
      <c r="W1982" s="419">
        <f t="shared" si="91"/>
        <v>0</v>
      </c>
      <c r="X1982" s="412"/>
      <c r="Y1982" s="412"/>
      <c r="Z1982" s="412"/>
      <c r="AA1982" s="412"/>
      <c r="AB1982" s="412"/>
      <c r="AC1982" s="412"/>
      <c r="AD1982" s="412"/>
      <c r="AE1982" s="412"/>
      <c r="AF1982" s="427">
        <v>300</v>
      </c>
      <c r="AG1982" s="412"/>
      <c r="AH1982" s="412"/>
      <c r="AI1982" s="412"/>
      <c r="AJ1982" s="412">
        <f t="shared" si="92"/>
        <v>300</v>
      </c>
      <c r="AK1982" s="410"/>
      <c r="AL1982" s="250" t="s">
        <v>2067</v>
      </c>
    </row>
    <row r="1983" spans="1:38" x14ac:dyDescent="0.2">
      <c r="A1983" s="409" t="s">
        <v>892</v>
      </c>
      <c r="B1983" s="209">
        <v>5542</v>
      </c>
      <c r="C1983" s="210" t="s">
        <v>1061</v>
      </c>
      <c r="D1983" s="229" t="s">
        <v>1721</v>
      </c>
      <c r="E1983" s="229" t="s">
        <v>1850</v>
      </c>
      <c r="F1983" s="240">
        <v>300</v>
      </c>
      <c r="G1983" s="205">
        <v>1</v>
      </c>
      <c r="H1983" s="206">
        <v>300</v>
      </c>
      <c r="I1983" s="207">
        <v>41518</v>
      </c>
      <c r="J1983" s="197" t="str">
        <f t="shared" si="93"/>
        <v>ok</v>
      </c>
      <c r="K1983" s="419"/>
      <c r="L1983" s="419"/>
      <c r="M1983" s="419"/>
      <c r="N1983" s="419"/>
      <c r="O1983" s="419"/>
      <c r="P1983" s="419"/>
      <c r="Q1983" s="419"/>
      <c r="R1983" s="419"/>
      <c r="S1983" s="419"/>
      <c r="T1983" s="419"/>
      <c r="U1983" s="419"/>
      <c r="V1983" s="419"/>
      <c r="W1983" s="419">
        <f t="shared" si="91"/>
        <v>0</v>
      </c>
      <c r="X1983" s="412"/>
      <c r="Y1983" s="412"/>
      <c r="Z1983" s="412"/>
      <c r="AA1983" s="412"/>
      <c r="AB1983" s="412"/>
      <c r="AC1983" s="412"/>
      <c r="AD1983" s="412"/>
      <c r="AE1983" s="412"/>
      <c r="AF1983" s="427">
        <v>300</v>
      </c>
      <c r="AG1983" s="412"/>
      <c r="AH1983" s="412"/>
      <c r="AI1983" s="412"/>
      <c r="AJ1983" s="412">
        <f t="shared" si="92"/>
        <v>300</v>
      </c>
      <c r="AK1983" s="410"/>
      <c r="AL1983" s="250" t="s">
        <v>2067</v>
      </c>
    </row>
    <row r="1984" spans="1:38" x14ac:dyDescent="0.2">
      <c r="A1984" s="409" t="s">
        <v>888</v>
      </c>
      <c r="B1984" s="209">
        <v>5543</v>
      </c>
      <c r="C1984" s="210" t="s">
        <v>919</v>
      </c>
      <c r="D1984" s="229" t="s">
        <v>1510</v>
      </c>
      <c r="E1984" s="229" t="s">
        <v>359</v>
      </c>
      <c r="F1984" s="240">
        <v>300</v>
      </c>
      <c r="G1984" s="205">
        <v>1</v>
      </c>
      <c r="H1984" s="206">
        <v>300</v>
      </c>
      <c r="I1984" s="207">
        <v>41518</v>
      </c>
      <c r="J1984" s="197" t="str">
        <f t="shared" si="93"/>
        <v>ok</v>
      </c>
      <c r="K1984" s="419"/>
      <c r="L1984" s="419"/>
      <c r="M1984" s="419"/>
      <c r="N1984" s="419"/>
      <c r="O1984" s="419"/>
      <c r="P1984" s="419"/>
      <c r="Q1984" s="419"/>
      <c r="R1984" s="419"/>
      <c r="S1984" s="419"/>
      <c r="T1984" s="419"/>
      <c r="U1984" s="419"/>
      <c r="V1984" s="419"/>
      <c r="W1984" s="419">
        <f t="shared" si="91"/>
        <v>0</v>
      </c>
      <c r="X1984" s="412"/>
      <c r="Y1984" s="412"/>
      <c r="Z1984" s="412"/>
      <c r="AA1984" s="412"/>
      <c r="AB1984" s="412"/>
      <c r="AC1984" s="412"/>
      <c r="AD1984" s="412"/>
      <c r="AE1984" s="412"/>
      <c r="AF1984" s="427">
        <v>300</v>
      </c>
      <c r="AG1984" s="412"/>
      <c r="AH1984" s="412"/>
      <c r="AI1984" s="412"/>
      <c r="AJ1984" s="412">
        <f t="shared" si="92"/>
        <v>300</v>
      </c>
      <c r="AK1984" s="410"/>
      <c r="AL1984" s="250" t="s">
        <v>2067</v>
      </c>
    </row>
    <row r="1985" spans="1:38" x14ac:dyDescent="0.2">
      <c r="A1985" s="409" t="s">
        <v>894</v>
      </c>
      <c r="B1985" s="209">
        <v>5544</v>
      </c>
      <c r="C1985" s="210" t="s">
        <v>1158</v>
      </c>
      <c r="D1985" s="229" t="s">
        <v>1590</v>
      </c>
      <c r="E1985" s="229" t="s">
        <v>600</v>
      </c>
      <c r="F1985" s="240">
        <v>300</v>
      </c>
      <c r="G1985" s="205">
        <v>1</v>
      </c>
      <c r="H1985" s="206">
        <v>300</v>
      </c>
      <c r="I1985" s="207">
        <v>41518</v>
      </c>
      <c r="J1985" s="197" t="str">
        <f t="shared" si="93"/>
        <v>ok</v>
      </c>
      <c r="K1985" s="419"/>
      <c r="L1985" s="419"/>
      <c r="M1985" s="419"/>
      <c r="N1985" s="419"/>
      <c r="O1985" s="419"/>
      <c r="P1985" s="419"/>
      <c r="Q1985" s="419"/>
      <c r="R1985" s="419"/>
      <c r="S1985" s="419"/>
      <c r="T1985" s="419"/>
      <c r="U1985" s="419"/>
      <c r="V1985" s="419"/>
      <c r="W1985" s="419">
        <f t="shared" si="91"/>
        <v>0</v>
      </c>
      <c r="X1985" s="412"/>
      <c r="Y1985" s="412"/>
      <c r="Z1985" s="412"/>
      <c r="AA1985" s="412"/>
      <c r="AB1985" s="412"/>
      <c r="AC1985" s="412"/>
      <c r="AD1985" s="412"/>
      <c r="AE1985" s="412">
        <v>300</v>
      </c>
      <c r="AF1985" s="427"/>
      <c r="AG1985" s="412"/>
      <c r="AH1985" s="412"/>
      <c r="AI1985" s="412"/>
      <c r="AJ1985" s="412">
        <f t="shared" si="92"/>
        <v>300</v>
      </c>
      <c r="AK1985" s="410"/>
      <c r="AL1985" s="250" t="s">
        <v>2067</v>
      </c>
    </row>
    <row r="1986" spans="1:38" x14ac:dyDescent="0.2">
      <c r="A1986" s="409" t="s">
        <v>888</v>
      </c>
      <c r="B1986" s="209">
        <v>5545</v>
      </c>
      <c r="C1986" s="210" t="s">
        <v>1337</v>
      </c>
      <c r="D1986" s="229" t="s">
        <v>2061</v>
      </c>
      <c r="E1986" s="229" t="s">
        <v>2053</v>
      </c>
      <c r="F1986" s="240">
        <v>0</v>
      </c>
      <c r="G1986" s="205">
        <v>3</v>
      </c>
      <c r="H1986" s="206">
        <v>160</v>
      </c>
      <c r="I1986" s="207">
        <v>41518</v>
      </c>
      <c r="J1986" s="197" t="str">
        <f t="shared" si="93"/>
        <v>ok</v>
      </c>
      <c r="K1986" s="419"/>
      <c r="L1986" s="419"/>
      <c r="M1986" s="419"/>
      <c r="N1986" s="419"/>
      <c r="O1986" s="419"/>
      <c r="P1986" s="419"/>
      <c r="Q1986" s="419"/>
      <c r="R1986" s="419"/>
      <c r="S1986" s="419"/>
      <c r="T1986" s="419"/>
      <c r="U1986" s="419"/>
      <c r="V1986" s="419"/>
      <c r="W1986" s="419">
        <f t="shared" si="91"/>
        <v>0</v>
      </c>
      <c r="X1986" s="412"/>
      <c r="Y1986" s="412"/>
      <c r="Z1986" s="412"/>
      <c r="AA1986" s="412"/>
      <c r="AB1986" s="412"/>
      <c r="AC1986" s="412"/>
      <c r="AD1986" s="412"/>
      <c r="AE1986" s="412"/>
      <c r="AF1986" s="427"/>
      <c r="AG1986" s="412"/>
      <c r="AH1986" s="412"/>
      <c r="AI1986" s="412"/>
      <c r="AJ1986" s="412">
        <f t="shared" si="92"/>
        <v>0</v>
      </c>
      <c r="AK1986" s="410"/>
      <c r="AL1986" s="250" t="s">
        <v>2068</v>
      </c>
    </row>
    <row r="1987" spans="1:38" x14ac:dyDescent="0.2">
      <c r="A1987" s="409" t="s">
        <v>888</v>
      </c>
      <c r="B1987" s="209">
        <v>5546</v>
      </c>
      <c r="C1987" s="210" t="s">
        <v>1336</v>
      </c>
      <c r="D1987" s="229" t="s">
        <v>1381</v>
      </c>
      <c r="E1987" s="229" t="s">
        <v>1306</v>
      </c>
      <c r="F1987" s="240">
        <v>450</v>
      </c>
      <c r="G1987" s="205">
        <v>3</v>
      </c>
      <c r="H1987" s="206">
        <v>160</v>
      </c>
      <c r="I1987" s="207">
        <v>41518</v>
      </c>
      <c r="J1987" s="197" t="str">
        <f t="shared" si="93"/>
        <v>ok</v>
      </c>
      <c r="K1987" s="419"/>
      <c r="L1987" s="419"/>
      <c r="M1987" s="419"/>
      <c r="N1987" s="419"/>
      <c r="O1987" s="419"/>
      <c r="P1987" s="419"/>
      <c r="Q1987" s="419"/>
      <c r="R1987" s="419"/>
      <c r="S1987" s="419"/>
      <c r="T1987" s="419"/>
      <c r="U1987" s="419"/>
      <c r="V1987" s="419"/>
      <c r="W1987" s="419">
        <f t="shared" si="91"/>
        <v>0</v>
      </c>
      <c r="X1987" s="412"/>
      <c r="Y1987" s="412"/>
      <c r="Z1987" s="412"/>
      <c r="AA1987" s="412"/>
      <c r="AB1987" s="412"/>
      <c r="AC1987" s="412"/>
      <c r="AD1987" s="412"/>
      <c r="AE1987" s="412"/>
      <c r="AF1987" s="427"/>
      <c r="AG1987" s="412"/>
      <c r="AH1987" s="412"/>
      <c r="AI1987" s="412"/>
      <c r="AJ1987" s="412">
        <f t="shared" si="92"/>
        <v>0</v>
      </c>
      <c r="AK1987" s="410"/>
      <c r="AL1987" s="250" t="s">
        <v>2068</v>
      </c>
    </row>
    <row r="1988" spans="1:38" x14ac:dyDescent="0.2">
      <c r="A1988" s="409" t="s">
        <v>893</v>
      </c>
      <c r="B1988" s="209">
        <v>5547</v>
      </c>
      <c r="C1988" s="210" t="s">
        <v>1123</v>
      </c>
      <c r="D1988" s="229" t="s">
        <v>1840</v>
      </c>
      <c r="E1988" s="229" t="s">
        <v>282</v>
      </c>
      <c r="F1988" s="240">
        <v>300</v>
      </c>
      <c r="G1988" s="205">
        <v>3</v>
      </c>
      <c r="H1988" s="206">
        <v>160</v>
      </c>
      <c r="I1988" s="207">
        <v>41518</v>
      </c>
      <c r="J1988" s="197" t="str">
        <f t="shared" si="93"/>
        <v>ok</v>
      </c>
      <c r="K1988" s="419"/>
      <c r="L1988" s="419"/>
      <c r="M1988" s="419"/>
      <c r="N1988" s="419"/>
      <c r="O1988" s="419"/>
      <c r="P1988" s="419"/>
      <c r="Q1988" s="419"/>
      <c r="R1988" s="419"/>
      <c r="S1988" s="419"/>
      <c r="T1988" s="419"/>
      <c r="U1988" s="419"/>
      <c r="V1988" s="419"/>
      <c r="W1988" s="419">
        <f t="shared" si="91"/>
        <v>0</v>
      </c>
      <c r="X1988" s="412"/>
      <c r="Y1988" s="412"/>
      <c r="Z1988" s="412"/>
      <c r="AA1988" s="412"/>
      <c r="AB1988" s="412"/>
      <c r="AC1988" s="412"/>
      <c r="AD1988" s="412"/>
      <c r="AE1988" s="412"/>
      <c r="AF1988" s="427"/>
      <c r="AG1988" s="412"/>
      <c r="AH1988" s="412"/>
      <c r="AI1988" s="412"/>
      <c r="AJ1988" s="412">
        <f t="shared" si="92"/>
        <v>0</v>
      </c>
      <c r="AK1988" s="410"/>
      <c r="AL1988" s="250" t="s">
        <v>2068</v>
      </c>
    </row>
    <row r="1989" spans="1:38" x14ac:dyDescent="0.2">
      <c r="A1989" s="409" t="s">
        <v>884</v>
      </c>
      <c r="B1989" s="209">
        <v>5548</v>
      </c>
      <c r="C1989" s="210" t="s">
        <v>817</v>
      </c>
      <c r="D1989" s="229" t="s">
        <v>1382</v>
      </c>
      <c r="E1989" s="229" t="s">
        <v>40</v>
      </c>
      <c r="F1989" s="240">
        <v>300</v>
      </c>
      <c r="G1989" s="205">
        <v>1</v>
      </c>
      <c r="H1989" s="206">
        <v>300</v>
      </c>
      <c r="I1989" s="207">
        <v>41518</v>
      </c>
      <c r="J1989" s="197" t="str">
        <f t="shared" si="93"/>
        <v>ok</v>
      </c>
      <c r="K1989" s="419"/>
      <c r="L1989" s="419"/>
      <c r="M1989" s="419"/>
      <c r="N1989" s="419"/>
      <c r="O1989" s="419"/>
      <c r="P1989" s="419"/>
      <c r="Q1989" s="419"/>
      <c r="R1989" s="419"/>
      <c r="S1989" s="419"/>
      <c r="T1989" s="419"/>
      <c r="U1989" s="419"/>
      <c r="V1989" s="419"/>
      <c r="W1989" s="419">
        <f t="shared" si="91"/>
        <v>0</v>
      </c>
      <c r="X1989" s="412"/>
      <c r="Y1989" s="412"/>
      <c r="Z1989" s="412"/>
      <c r="AA1989" s="412"/>
      <c r="AB1989" s="412"/>
      <c r="AC1989" s="412"/>
      <c r="AD1989" s="412"/>
      <c r="AE1989" s="412"/>
      <c r="AF1989" s="427">
        <v>300</v>
      </c>
      <c r="AG1989" s="412"/>
      <c r="AH1989" s="412"/>
      <c r="AI1989" s="412"/>
      <c r="AJ1989" s="412">
        <f t="shared" si="92"/>
        <v>300</v>
      </c>
      <c r="AK1989" s="410"/>
      <c r="AL1989" s="250" t="s">
        <v>2067</v>
      </c>
    </row>
    <row r="1990" spans="1:38" x14ac:dyDescent="0.2">
      <c r="A1990" s="409" t="s">
        <v>891</v>
      </c>
      <c r="B1990" s="209">
        <v>5549</v>
      </c>
      <c r="C1990" s="210" t="s">
        <v>1048</v>
      </c>
      <c r="D1990" s="229" t="s">
        <v>1622</v>
      </c>
      <c r="E1990" s="229" t="s">
        <v>735</v>
      </c>
      <c r="F1990" s="240">
        <v>300</v>
      </c>
      <c r="G1990" s="205">
        <v>1</v>
      </c>
      <c r="H1990" s="206">
        <v>600</v>
      </c>
      <c r="I1990" s="207">
        <v>41518</v>
      </c>
      <c r="J1990" s="197" t="str">
        <f t="shared" si="93"/>
        <v>ok</v>
      </c>
      <c r="K1990" s="419"/>
      <c r="L1990" s="419"/>
      <c r="M1990" s="419"/>
      <c r="N1990" s="419"/>
      <c r="O1990" s="419"/>
      <c r="P1990" s="419"/>
      <c r="Q1990" s="419"/>
      <c r="R1990" s="419"/>
      <c r="S1990" s="419"/>
      <c r="T1990" s="419"/>
      <c r="U1990" s="419"/>
      <c r="V1990" s="419"/>
      <c r="W1990" s="419">
        <f t="shared" si="91"/>
        <v>0</v>
      </c>
      <c r="X1990" s="412"/>
      <c r="Y1990" s="412"/>
      <c r="Z1990" s="412"/>
      <c r="AA1990" s="412"/>
      <c r="AB1990" s="412"/>
      <c r="AC1990" s="412"/>
      <c r="AD1990" s="412"/>
      <c r="AE1990" s="412">
        <v>300</v>
      </c>
      <c r="AF1990" s="427">
        <v>300</v>
      </c>
      <c r="AG1990" s="412"/>
      <c r="AH1990" s="412"/>
      <c r="AI1990" s="412"/>
      <c r="AJ1990" s="412">
        <f t="shared" si="92"/>
        <v>600</v>
      </c>
      <c r="AK1990" s="410"/>
      <c r="AL1990" s="250" t="s">
        <v>2067</v>
      </c>
    </row>
    <row r="1991" spans="1:38" x14ac:dyDescent="0.2">
      <c r="A1991" s="409" t="s">
        <v>1362</v>
      </c>
      <c r="B1991" s="209">
        <v>5550</v>
      </c>
      <c r="C1991" s="210"/>
      <c r="D1991" s="229" t="s">
        <v>1362</v>
      </c>
      <c r="E1991" s="229" t="s">
        <v>1362</v>
      </c>
      <c r="F1991" s="240" t="s">
        <v>1362</v>
      </c>
      <c r="G1991" s="205"/>
      <c r="H1991" s="206"/>
      <c r="I1991" s="207">
        <v>41518</v>
      </c>
      <c r="J1991" s="197" t="str">
        <f t="shared" si="93"/>
        <v>ok</v>
      </c>
      <c r="K1991" s="419"/>
      <c r="L1991" s="419"/>
      <c r="M1991" s="419"/>
      <c r="N1991" s="419"/>
      <c r="O1991" s="419"/>
      <c r="P1991" s="419"/>
      <c r="Q1991" s="419"/>
      <c r="R1991" s="419"/>
      <c r="S1991" s="419"/>
      <c r="T1991" s="419"/>
      <c r="U1991" s="419"/>
      <c r="V1991" s="419"/>
      <c r="W1991" s="419">
        <f t="shared" ref="W1991:W2054" si="94">SUM(K1991:V1991)</f>
        <v>0</v>
      </c>
      <c r="X1991" s="412"/>
      <c r="Y1991" s="412"/>
      <c r="Z1991" s="412"/>
      <c r="AA1991" s="412"/>
      <c r="AB1991" s="412"/>
      <c r="AC1991" s="412"/>
      <c r="AD1991" s="412"/>
      <c r="AE1991" s="412"/>
      <c r="AF1991" s="427"/>
      <c r="AG1991" s="412"/>
      <c r="AH1991" s="412"/>
      <c r="AI1991" s="412"/>
      <c r="AJ1991" s="412">
        <f t="shared" ref="AJ1991:AJ2054" si="95">SUM(X1991:AI1991)</f>
        <v>0</v>
      </c>
      <c r="AK1991" s="410" t="s">
        <v>755</v>
      </c>
      <c r="AL1991" s="250" t="s">
        <v>2067</v>
      </c>
    </row>
    <row r="1992" spans="1:38" x14ac:dyDescent="0.2">
      <c r="A1992" s="409" t="s">
        <v>890</v>
      </c>
      <c r="B1992" s="209">
        <v>5551</v>
      </c>
      <c r="C1992" s="210" t="s">
        <v>977</v>
      </c>
      <c r="D1992" s="229" t="s">
        <v>1494</v>
      </c>
      <c r="E1992" s="229" t="s">
        <v>359</v>
      </c>
      <c r="F1992" s="240">
        <v>150</v>
      </c>
      <c r="G1992" s="205">
        <v>1</v>
      </c>
      <c r="H1992" s="206">
        <v>150</v>
      </c>
      <c r="I1992" s="207">
        <v>41518</v>
      </c>
      <c r="J1992" s="197" t="str">
        <f t="shared" si="93"/>
        <v>ok</v>
      </c>
      <c r="K1992" s="419"/>
      <c r="L1992" s="419"/>
      <c r="M1992" s="419"/>
      <c r="N1992" s="419"/>
      <c r="O1992" s="419"/>
      <c r="P1992" s="419"/>
      <c r="Q1992" s="419"/>
      <c r="R1992" s="419"/>
      <c r="S1992" s="419"/>
      <c r="T1992" s="419"/>
      <c r="U1992" s="419"/>
      <c r="V1992" s="419"/>
      <c r="W1992" s="419">
        <f t="shared" si="94"/>
        <v>0</v>
      </c>
      <c r="X1992" s="412"/>
      <c r="Y1992" s="412"/>
      <c r="Z1992" s="412"/>
      <c r="AA1992" s="412"/>
      <c r="AB1992" s="412"/>
      <c r="AC1992" s="412"/>
      <c r="AD1992" s="412"/>
      <c r="AE1992" s="412"/>
      <c r="AF1992" s="427">
        <v>150</v>
      </c>
      <c r="AG1992" s="412"/>
      <c r="AH1992" s="412"/>
      <c r="AI1992" s="412"/>
      <c r="AJ1992" s="412">
        <f t="shared" si="95"/>
        <v>150</v>
      </c>
      <c r="AK1992" s="410"/>
      <c r="AL1992" s="250" t="s">
        <v>2067</v>
      </c>
    </row>
    <row r="1993" spans="1:38" x14ac:dyDescent="0.2">
      <c r="A1993" s="409" t="s">
        <v>884</v>
      </c>
      <c r="B1993" s="209">
        <v>5552</v>
      </c>
      <c r="C1993" s="210" t="s">
        <v>851</v>
      </c>
      <c r="D1993" s="229" t="s">
        <v>1465</v>
      </c>
      <c r="E1993" s="229" t="s">
        <v>91</v>
      </c>
      <c r="F1993" s="240">
        <v>300</v>
      </c>
      <c r="G1993" s="205">
        <v>1</v>
      </c>
      <c r="H1993" s="206">
        <v>300</v>
      </c>
      <c r="I1993" s="207">
        <v>41518</v>
      </c>
      <c r="J1993" s="197" t="str">
        <f t="shared" si="93"/>
        <v>ok</v>
      </c>
      <c r="K1993" s="419"/>
      <c r="L1993" s="419"/>
      <c r="M1993" s="419"/>
      <c r="N1993" s="419"/>
      <c r="O1993" s="419"/>
      <c r="P1993" s="419"/>
      <c r="Q1993" s="419"/>
      <c r="R1993" s="419"/>
      <c r="S1993" s="419"/>
      <c r="T1993" s="419"/>
      <c r="U1993" s="419"/>
      <c r="V1993" s="419"/>
      <c r="W1993" s="419">
        <f t="shared" si="94"/>
        <v>0</v>
      </c>
      <c r="X1993" s="412"/>
      <c r="Y1993" s="412"/>
      <c r="Z1993" s="412"/>
      <c r="AA1993" s="412"/>
      <c r="AB1993" s="412"/>
      <c r="AC1993" s="412"/>
      <c r="AD1993" s="412"/>
      <c r="AE1993" s="412"/>
      <c r="AF1993" s="427">
        <v>300</v>
      </c>
      <c r="AG1993" s="412"/>
      <c r="AH1993" s="412"/>
      <c r="AI1993" s="412"/>
      <c r="AJ1993" s="412">
        <f t="shared" si="95"/>
        <v>300</v>
      </c>
      <c r="AK1993" s="410"/>
      <c r="AL1993" s="250" t="s">
        <v>2067</v>
      </c>
    </row>
    <row r="1994" spans="1:38" x14ac:dyDescent="0.2">
      <c r="A1994" s="409" t="s">
        <v>894</v>
      </c>
      <c r="B1994" s="209">
        <v>5553</v>
      </c>
      <c r="C1994" s="210" t="s">
        <v>1166</v>
      </c>
      <c r="D1994" s="229" t="s">
        <v>1498</v>
      </c>
      <c r="E1994" s="229" t="s">
        <v>615</v>
      </c>
      <c r="F1994" s="240">
        <v>300</v>
      </c>
      <c r="G1994" s="205">
        <v>1</v>
      </c>
      <c r="H1994" s="206">
        <v>300</v>
      </c>
      <c r="I1994" s="207">
        <v>41518</v>
      </c>
      <c r="J1994" s="197" t="str">
        <f t="shared" si="93"/>
        <v>ok</v>
      </c>
      <c r="K1994" s="419"/>
      <c r="L1994" s="419"/>
      <c r="M1994" s="419"/>
      <c r="N1994" s="419"/>
      <c r="O1994" s="419"/>
      <c r="P1994" s="419"/>
      <c r="Q1994" s="419"/>
      <c r="R1994" s="419"/>
      <c r="S1994" s="419"/>
      <c r="T1994" s="419"/>
      <c r="U1994" s="419"/>
      <c r="V1994" s="419"/>
      <c r="W1994" s="419">
        <f t="shared" si="94"/>
        <v>0</v>
      </c>
      <c r="X1994" s="412"/>
      <c r="Y1994" s="412"/>
      <c r="Z1994" s="412"/>
      <c r="AA1994" s="412"/>
      <c r="AB1994" s="412"/>
      <c r="AC1994" s="412"/>
      <c r="AD1994" s="412"/>
      <c r="AE1994" s="412">
        <v>300</v>
      </c>
      <c r="AF1994" s="427"/>
      <c r="AG1994" s="412"/>
      <c r="AH1994" s="412"/>
      <c r="AI1994" s="412"/>
      <c r="AJ1994" s="412">
        <f t="shared" si="95"/>
        <v>300</v>
      </c>
      <c r="AK1994" s="410"/>
      <c r="AL1994" s="250" t="s">
        <v>2067</v>
      </c>
    </row>
    <row r="1995" spans="1:38" x14ac:dyDescent="0.2">
      <c r="A1995" s="409" t="s">
        <v>893</v>
      </c>
      <c r="B1995" s="209">
        <v>5554</v>
      </c>
      <c r="C1995" s="210" t="s">
        <v>1138</v>
      </c>
      <c r="D1995" s="229" t="s">
        <v>1493</v>
      </c>
      <c r="E1995" s="229" t="s">
        <v>1274</v>
      </c>
      <c r="F1995" s="240">
        <v>300</v>
      </c>
      <c r="G1995" s="205">
        <v>1</v>
      </c>
      <c r="H1995" s="206">
        <v>300</v>
      </c>
      <c r="I1995" s="207">
        <v>41518</v>
      </c>
      <c r="J1995" s="197" t="str">
        <f t="shared" si="93"/>
        <v>ok</v>
      </c>
      <c r="K1995" s="419"/>
      <c r="L1995" s="419"/>
      <c r="M1995" s="419"/>
      <c r="N1995" s="419"/>
      <c r="O1995" s="419"/>
      <c r="P1995" s="419"/>
      <c r="Q1995" s="419"/>
      <c r="R1995" s="419"/>
      <c r="S1995" s="419"/>
      <c r="T1995" s="419"/>
      <c r="U1995" s="419"/>
      <c r="V1995" s="419"/>
      <c r="W1995" s="419">
        <f t="shared" si="94"/>
        <v>0</v>
      </c>
      <c r="X1995" s="412"/>
      <c r="Y1995" s="412"/>
      <c r="Z1995" s="412"/>
      <c r="AA1995" s="412"/>
      <c r="AB1995" s="412"/>
      <c r="AC1995" s="412"/>
      <c r="AD1995" s="412"/>
      <c r="AE1995" s="412"/>
      <c r="AF1995" s="427">
        <v>300</v>
      </c>
      <c r="AG1995" s="412"/>
      <c r="AH1995" s="412"/>
      <c r="AI1995" s="412"/>
      <c r="AJ1995" s="412">
        <f t="shared" si="95"/>
        <v>300</v>
      </c>
      <c r="AK1995" s="410"/>
      <c r="AL1995" s="250" t="s">
        <v>2067</v>
      </c>
    </row>
    <row r="1996" spans="1:38" x14ac:dyDescent="0.2">
      <c r="A1996" s="409" t="s">
        <v>884</v>
      </c>
      <c r="B1996" s="209">
        <v>5555</v>
      </c>
      <c r="C1996" s="210" t="s">
        <v>802</v>
      </c>
      <c r="D1996" s="229" t="s">
        <v>1412</v>
      </c>
      <c r="E1996" s="229" t="s">
        <v>19</v>
      </c>
      <c r="F1996" s="240">
        <v>300</v>
      </c>
      <c r="G1996" s="205">
        <v>1</v>
      </c>
      <c r="H1996" s="206">
        <v>300</v>
      </c>
      <c r="I1996" s="207">
        <v>41518</v>
      </c>
      <c r="J1996" s="197" t="str">
        <f t="shared" si="93"/>
        <v>ok</v>
      </c>
      <c r="K1996" s="419"/>
      <c r="L1996" s="419"/>
      <c r="M1996" s="419"/>
      <c r="N1996" s="419"/>
      <c r="O1996" s="419"/>
      <c r="P1996" s="419"/>
      <c r="Q1996" s="419"/>
      <c r="R1996" s="419"/>
      <c r="S1996" s="419"/>
      <c r="T1996" s="419"/>
      <c r="U1996" s="419"/>
      <c r="V1996" s="419"/>
      <c r="W1996" s="419">
        <f t="shared" si="94"/>
        <v>0</v>
      </c>
      <c r="X1996" s="412"/>
      <c r="Y1996" s="412"/>
      <c r="Z1996" s="412"/>
      <c r="AA1996" s="412"/>
      <c r="AB1996" s="412"/>
      <c r="AC1996" s="412"/>
      <c r="AD1996" s="412"/>
      <c r="AE1996" s="412"/>
      <c r="AF1996" s="427">
        <v>300</v>
      </c>
      <c r="AG1996" s="412"/>
      <c r="AH1996" s="412"/>
      <c r="AI1996" s="412"/>
      <c r="AJ1996" s="412">
        <f t="shared" si="95"/>
        <v>300</v>
      </c>
      <c r="AK1996" s="410"/>
      <c r="AL1996" s="250" t="s">
        <v>2067</v>
      </c>
    </row>
    <row r="1997" spans="1:38" x14ac:dyDescent="0.2">
      <c r="A1997" s="409" t="s">
        <v>894</v>
      </c>
      <c r="B1997" s="209">
        <v>5556</v>
      </c>
      <c r="C1997" s="210" t="s">
        <v>1175</v>
      </c>
      <c r="D1997" s="229" t="s">
        <v>1623</v>
      </c>
      <c r="E1997" s="229" t="s">
        <v>632</v>
      </c>
      <c r="F1997" s="240">
        <v>300</v>
      </c>
      <c r="G1997" s="205">
        <v>3</v>
      </c>
      <c r="H1997" s="206">
        <v>160</v>
      </c>
      <c r="I1997" s="207">
        <v>41518</v>
      </c>
      <c r="J1997" s="197" t="str">
        <f t="shared" si="93"/>
        <v>ok</v>
      </c>
      <c r="K1997" s="419"/>
      <c r="L1997" s="419"/>
      <c r="M1997" s="419"/>
      <c r="N1997" s="419"/>
      <c r="O1997" s="419"/>
      <c r="P1997" s="419"/>
      <c r="Q1997" s="419"/>
      <c r="R1997" s="419"/>
      <c r="S1997" s="419"/>
      <c r="T1997" s="419"/>
      <c r="U1997" s="419"/>
      <c r="V1997" s="419"/>
      <c r="W1997" s="419">
        <f t="shared" si="94"/>
        <v>0</v>
      </c>
      <c r="X1997" s="412"/>
      <c r="Y1997" s="412"/>
      <c r="Z1997" s="412"/>
      <c r="AA1997" s="412"/>
      <c r="AB1997" s="412"/>
      <c r="AC1997" s="412"/>
      <c r="AD1997" s="412"/>
      <c r="AE1997" s="412"/>
      <c r="AF1997" s="427"/>
      <c r="AG1997" s="412"/>
      <c r="AH1997" s="412"/>
      <c r="AI1997" s="412"/>
      <c r="AJ1997" s="412">
        <f t="shared" si="95"/>
        <v>0</v>
      </c>
      <c r="AK1997" s="410"/>
      <c r="AL1997" s="250" t="s">
        <v>2068</v>
      </c>
    </row>
    <row r="1998" spans="1:38" x14ac:dyDescent="0.2">
      <c r="A1998" s="409" t="s">
        <v>890</v>
      </c>
      <c r="B1998" s="209">
        <v>5557</v>
      </c>
      <c r="C1998" s="210" t="s">
        <v>988</v>
      </c>
      <c r="D1998" s="229" t="s">
        <v>1410</v>
      </c>
      <c r="E1998" s="229" t="s">
        <v>477</v>
      </c>
      <c r="F1998" s="240">
        <v>300</v>
      </c>
      <c r="G1998" s="205">
        <v>1</v>
      </c>
      <c r="H1998" s="206">
        <v>300</v>
      </c>
      <c r="I1998" s="207">
        <v>41518</v>
      </c>
      <c r="J1998" s="197" t="str">
        <f t="shared" ref="J1998:J2061" si="96">IF(OR(G1998&lt;&gt;1,SUM(W1998,AJ1998)=H1998),"ok","error")</f>
        <v>ok</v>
      </c>
      <c r="K1998" s="419"/>
      <c r="L1998" s="419"/>
      <c r="M1998" s="419"/>
      <c r="N1998" s="419"/>
      <c r="O1998" s="419"/>
      <c r="P1998" s="419"/>
      <c r="Q1998" s="419"/>
      <c r="R1998" s="419"/>
      <c r="S1998" s="419"/>
      <c r="T1998" s="419"/>
      <c r="U1998" s="419"/>
      <c r="V1998" s="419"/>
      <c r="W1998" s="419">
        <f t="shared" si="94"/>
        <v>0</v>
      </c>
      <c r="X1998" s="412"/>
      <c r="Y1998" s="412"/>
      <c r="Z1998" s="412"/>
      <c r="AA1998" s="412"/>
      <c r="AB1998" s="412"/>
      <c r="AC1998" s="412"/>
      <c r="AD1998" s="412"/>
      <c r="AE1998" s="412"/>
      <c r="AF1998" s="427">
        <v>300</v>
      </c>
      <c r="AG1998" s="412"/>
      <c r="AH1998" s="412"/>
      <c r="AI1998" s="412"/>
      <c r="AJ1998" s="412">
        <f t="shared" si="95"/>
        <v>300</v>
      </c>
      <c r="AK1998" s="410"/>
      <c r="AL1998" s="250" t="s">
        <v>2067</v>
      </c>
    </row>
    <row r="1999" spans="1:38" x14ac:dyDescent="0.2">
      <c r="A1999" s="409" t="s">
        <v>893</v>
      </c>
      <c r="B1999" s="209">
        <v>5558</v>
      </c>
      <c r="C1999" s="210" t="s">
        <v>1080</v>
      </c>
      <c r="D1999" s="229" t="s">
        <v>1598</v>
      </c>
      <c r="E1999" s="229" t="s">
        <v>200</v>
      </c>
      <c r="F1999" s="240">
        <v>300</v>
      </c>
      <c r="G1999" s="205">
        <v>1</v>
      </c>
      <c r="H1999" s="206">
        <v>300</v>
      </c>
      <c r="I1999" s="207">
        <v>41518</v>
      </c>
      <c r="J1999" s="197" t="str">
        <f t="shared" si="96"/>
        <v>ok</v>
      </c>
      <c r="K1999" s="419"/>
      <c r="L1999" s="419"/>
      <c r="M1999" s="419"/>
      <c r="N1999" s="419"/>
      <c r="O1999" s="419"/>
      <c r="P1999" s="419"/>
      <c r="Q1999" s="419"/>
      <c r="R1999" s="419"/>
      <c r="S1999" s="419"/>
      <c r="T1999" s="419"/>
      <c r="U1999" s="419"/>
      <c r="V1999" s="419"/>
      <c r="W1999" s="419">
        <f t="shared" si="94"/>
        <v>0</v>
      </c>
      <c r="X1999" s="412"/>
      <c r="Y1999" s="412"/>
      <c r="Z1999" s="412"/>
      <c r="AA1999" s="412"/>
      <c r="AB1999" s="412"/>
      <c r="AC1999" s="412"/>
      <c r="AD1999" s="412"/>
      <c r="AE1999" s="412"/>
      <c r="AF1999" s="427">
        <v>300</v>
      </c>
      <c r="AG1999" s="412"/>
      <c r="AH1999" s="412"/>
      <c r="AI1999" s="412"/>
      <c r="AJ1999" s="412">
        <f t="shared" si="95"/>
        <v>300</v>
      </c>
      <c r="AK1999" s="410"/>
      <c r="AL1999" s="250" t="s">
        <v>2067</v>
      </c>
    </row>
    <row r="2000" spans="1:38" x14ac:dyDescent="0.2">
      <c r="A2000" s="409" t="s">
        <v>884</v>
      </c>
      <c r="B2000" s="209">
        <v>5559</v>
      </c>
      <c r="C2000" s="210" t="s">
        <v>792</v>
      </c>
      <c r="D2000" s="229" t="s">
        <v>1517</v>
      </c>
      <c r="E2000" s="229" t="s">
        <v>3</v>
      </c>
      <c r="F2000" s="240">
        <v>100</v>
      </c>
      <c r="G2000" s="205">
        <v>1</v>
      </c>
      <c r="H2000" s="206">
        <v>100</v>
      </c>
      <c r="I2000" s="207">
        <v>41518</v>
      </c>
      <c r="J2000" s="197" t="str">
        <f t="shared" si="96"/>
        <v>ok</v>
      </c>
      <c r="K2000" s="419"/>
      <c r="L2000" s="419"/>
      <c r="M2000" s="419"/>
      <c r="N2000" s="419"/>
      <c r="O2000" s="419"/>
      <c r="P2000" s="419"/>
      <c r="Q2000" s="419"/>
      <c r="R2000" s="419"/>
      <c r="S2000" s="419"/>
      <c r="T2000" s="419"/>
      <c r="U2000" s="419"/>
      <c r="V2000" s="419"/>
      <c r="W2000" s="419">
        <f t="shared" si="94"/>
        <v>0</v>
      </c>
      <c r="X2000" s="412"/>
      <c r="Y2000" s="412"/>
      <c r="Z2000" s="412"/>
      <c r="AA2000" s="412"/>
      <c r="AB2000" s="412"/>
      <c r="AC2000" s="412"/>
      <c r="AD2000" s="412"/>
      <c r="AE2000" s="412"/>
      <c r="AF2000" s="427">
        <v>100</v>
      </c>
      <c r="AG2000" s="412"/>
      <c r="AH2000" s="412"/>
      <c r="AI2000" s="412"/>
      <c r="AJ2000" s="412">
        <f t="shared" si="95"/>
        <v>100</v>
      </c>
      <c r="AK2000" s="410"/>
      <c r="AL2000" s="250" t="s">
        <v>2067</v>
      </c>
    </row>
    <row r="2001" spans="1:38" x14ac:dyDescent="0.2">
      <c r="A2001" s="409" t="s">
        <v>884</v>
      </c>
      <c r="B2001" s="209">
        <v>5560</v>
      </c>
      <c r="C2001" s="210" t="s">
        <v>852</v>
      </c>
      <c r="D2001" s="229" t="s">
        <v>1477</v>
      </c>
      <c r="E2001" s="229" t="s">
        <v>92</v>
      </c>
      <c r="F2001" s="240">
        <v>300</v>
      </c>
      <c r="G2001" s="205">
        <v>1</v>
      </c>
      <c r="H2001" s="206">
        <v>600</v>
      </c>
      <c r="I2001" s="207">
        <v>41518</v>
      </c>
      <c r="J2001" s="197" t="str">
        <f t="shared" si="96"/>
        <v>ok</v>
      </c>
      <c r="K2001" s="419"/>
      <c r="L2001" s="419"/>
      <c r="M2001" s="419"/>
      <c r="N2001" s="419"/>
      <c r="O2001" s="419"/>
      <c r="P2001" s="419"/>
      <c r="Q2001" s="419"/>
      <c r="R2001" s="419"/>
      <c r="S2001" s="419"/>
      <c r="T2001" s="419"/>
      <c r="U2001" s="419"/>
      <c r="V2001" s="419"/>
      <c r="W2001" s="419">
        <f t="shared" si="94"/>
        <v>0</v>
      </c>
      <c r="X2001" s="412"/>
      <c r="Y2001" s="412"/>
      <c r="Z2001" s="412"/>
      <c r="AA2001" s="412"/>
      <c r="AB2001" s="412"/>
      <c r="AC2001" s="412"/>
      <c r="AD2001" s="412"/>
      <c r="AE2001" s="412">
        <v>300</v>
      </c>
      <c r="AF2001" s="427">
        <v>300</v>
      </c>
      <c r="AG2001" s="412"/>
      <c r="AH2001" s="412"/>
      <c r="AI2001" s="412"/>
      <c r="AJ2001" s="412">
        <f t="shared" si="95"/>
        <v>600</v>
      </c>
      <c r="AK2001" s="410"/>
      <c r="AL2001" s="250" t="s">
        <v>2067</v>
      </c>
    </row>
    <row r="2002" spans="1:38" x14ac:dyDescent="0.2">
      <c r="A2002" s="409" t="s">
        <v>894</v>
      </c>
      <c r="B2002" s="209">
        <v>5561</v>
      </c>
      <c r="C2002" s="210" t="s">
        <v>1163</v>
      </c>
      <c r="D2002" s="229" t="s">
        <v>1492</v>
      </c>
      <c r="E2002" s="229" t="s">
        <v>1225</v>
      </c>
      <c r="F2002" s="240">
        <v>250</v>
      </c>
      <c r="G2002" s="205">
        <v>1</v>
      </c>
      <c r="H2002" s="206">
        <v>250</v>
      </c>
      <c r="I2002" s="207">
        <v>41518</v>
      </c>
      <c r="J2002" s="197" t="str">
        <f t="shared" si="96"/>
        <v>ok</v>
      </c>
      <c r="K2002" s="419"/>
      <c r="L2002" s="419"/>
      <c r="M2002" s="419"/>
      <c r="N2002" s="419"/>
      <c r="O2002" s="419"/>
      <c r="P2002" s="419"/>
      <c r="Q2002" s="419"/>
      <c r="R2002" s="419"/>
      <c r="S2002" s="419"/>
      <c r="T2002" s="419"/>
      <c r="U2002" s="419"/>
      <c r="V2002" s="419"/>
      <c r="W2002" s="419">
        <f t="shared" si="94"/>
        <v>0</v>
      </c>
      <c r="X2002" s="412"/>
      <c r="Y2002" s="412"/>
      <c r="Z2002" s="412"/>
      <c r="AA2002" s="412"/>
      <c r="AB2002" s="412"/>
      <c r="AC2002" s="412"/>
      <c r="AD2002" s="412"/>
      <c r="AE2002" s="412"/>
      <c r="AF2002" s="427">
        <v>250</v>
      </c>
      <c r="AG2002" s="412"/>
      <c r="AH2002" s="412"/>
      <c r="AI2002" s="412"/>
      <c r="AJ2002" s="412">
        <f t="shared" si="95"/>
        <v>250</v>
      </c>
      <c r="AK2002" s="410"/>
      <c r="AL2002" s="250" t="s">
        <v>2067</v>
      </c>
    </row>
    <row r="2003" spans="1:38" x14ac:dyDescent="0.2">
      <c r="A2003" s="409" t="s">
        <v>891</v>
      </c>
      <c r="B2003" s="209">
        <v>5562</v>
      </c>
      <c r="C2003" s="210" t="s">
        <v>1053</v>
      </c>
      <c r="D2003" s="229" t="s">
        <v>1508</v>
      </c>
      <c r="E2003" s="229" t="s">
        <v>657</v>
      </c>
      <c r="F2003" s="240">
        <v>200</v>
      </c>
      <c r="G2003" s="205">
        <v>1</v>
      </c>
      <c r="H2003" s="206">
        <v>400</v>
      </c>
      <c r="I2003" s="207">
        <v>41518</v>
      </c>
      <c r="J2003" s="197" t="str">
        <f t="shared" si="96"/>
        <v>ok</v>
      </c>
      <c r="K2003" s="419"/>
      <c r="L2003" s="419"/>
      <c r="M2003" s="419"/>
      <c r="N2003" s="419"/>
      <c r="O2003" s="419"/>
      <c r="P2003" s="419"/>
      <c r="Q2003" s="419"/>
      <c r="R2003" s="419"/>
      <c r="S2003" s="419"/>
      <c r="T2003" s="419"/>
      <c r="U2003" s="419"/>
      <c r="V2003" s="419"/>
      <c r="W2003" s="419">
        <f t="shared" si="94"/>
        <v>0</v>
      </c>
      <c r="X2003" s="412"/>
      <c r="Y2003" s="412"/>
      <c r="Z2003" s="412"/>
      <c r="AA2003" s="412"/>
      <c r="AB2003" s="412"/>
      <c r="AC2003" s="412"/>
      <c r="AD2003" s="412">
        <v>200</v>
      </c>
      <c r="AE2003" s="412">
        <v>200</v>
      </c>
      <c r="AF2003" s="427"/>
      <c r="AG2003" s="412"/>
      <c r="AH2003" s="412"/>
      <c r="AI2003" s="412"/>
      <c r="AJ2003" s="412">
        <f t="shared" si="95"/>
        <v>400</v>
      </c>
      <c r="AK2003" s="410"/>
      <c r="AL2003" s="250" t="s">
        <v>2067</v>
      </c>
    </row>
    <row r="2004" spans="1:38" x14ac:dyDescent="0.2">
      <c r="A2004" s="409" t="s">
        <v>893</v>
      </c>
      <c r="B2004" s="209">
        <v>5563</v>
      </c>
      <c r="C2004" s="210" t="s">
        <v>1085</v>
      </c>
      <c r="D2004" s="229" t="s">
        <v>1408</v>
      </c>
      <c r="E2004" s="229" t="s">
        <v>211</v>
      </c>
      <c r="F2004" s="240">
        <v>300</v>
      </c>
      <c r="G2004" s="205">
        <v>1</v>
      </c>
      <c r="H2004" s="206">
        <v>600</v>
      </c>
      <c r="I2004" s="207">
        <v>41518</v>
      </c>
      <c r="J2004" s="197" t="str">
        <f t="shared" si="96"/>
        <v>ok</v>
      </c>
      <c r="K2004" s="419"/>
      <c r="L2004" s="419"/>
      <c r="M2004" s="419"/>
      <c r="N2004" s="419"/>
      <c r="O2004" s="419"/>
      <c r="P2004" s="419"/>
      <c r="Q2004" s="419"/>
      <c r="R2004" s="419"/>
      <c r="S2004" s="419"/>
      <c r="T2004" s="419"/>
      <c r="U2004" s="419"/>
      <c r="V2004" s="419"/>
      <c r="W2004" s="419">
        <f t="shared" si="94"/>
        <v>0</v>
      </c>
      <c r="X2004" s="412"/>
      <c r="Y2004" s="412"/>
      <c r="Z2004" s="412"/>
      <c r="AA2004" s="412"/>
      <c r="AB2004" s="412"/>
      <c r="AC2004" s="412"/>
      <c r="AD2004" s="412"/>
      <c r="AE2004" s="412"/>
      <c r="AF2004" s="427">
        <v>300</v>
      </c>
      <c r="AG2004" s="412">
        <v>300</v>
      </c>
      <c r="AH2004" s="412"/>
      <c r="AI2004" s="412"/>
      <c r="AJ2004" s="412">
        <f t="shared" si="95"/>
        <v>600</v>
      </c>
      <c r="AK2004" s="410"/>
      <c r="AL2004" s="250" t="s">
        <v>2067</v>
      </c>
    </row>
    <row r="2005" spans="1:38" x14ac:dyDescent="0.2">
      <c r="A2005" s="409" t="s">
        <v>893</v>
      </c>
      <c r="B2005" s="209">
        <v>5564</v>
      </c>
      <c r="C2005" s="210" t="s">
        <v>1124</v>
      </c>
      <c r="D2005" s="229" t="s">
        <v>1364</v>
      </c>
      <c r="E2005" s="229" t="s">
        <v>1630</v>
      </c>
      <c r="F2005" s="240">
        <v>300</v>
      </c>
      <c r="G2005" s="205">
        <v>1</v>
      </c>
      <c r="H2005" s="206">
        <v>300</v>
      </c>
      <c r="I2005" s="207">
        <v>41518</v>
      </c>
      <c r="J2005" s="197" t="str">
        <f t="shared" si="96"/>
        <v>ok</v>
      </c>
      <c r="K2005" s="419"/>
      <c r="L2005" s="419"/>
      <c r="M2005" s="419"/>
      <c r="N2005" s="419"/>
      <c r="O2005" s="419"/>
      <c r="P2005" s="419"/>
      <c r="Q2005" s="419"/>
      <c r="R2005" s="419"/>
      <c r="S2005" s="419"/>
      <c r="T2005" s="419"/>
      <c r="U2005" s="419"/>
      <c r="V2005" s="419"/>
      <c r="W2005" s="419">
        <f t="shared" si="94"/>
        <v>0</v>
      </c>
      <c r="X2005" s="412"/>
      <c r="Y2005" s="412"/>
      <c r="Z2005" s="412"/>
      <c r="AA2005" s="412"/>
      <c r="AB2005" s="412"/>
      <c r="AC2005" s="412"/>
      <c r="AD2005" s="412"/>
      <c r="AE2005" s="412"/>
      <c r="AF2005" s="427">
        <v>300</v>
      </c>
      <c r="AG2005" s="412"/>
      <c r="AH2005" s="412"/>
      <c r="AI2005" s="412"/>
      <c r="AJ2005" s="412">
        <f t="shared" si="95"/>
        <v>300</v>
      </c>
      <c r="AK2005" s="410"/>
      <c r="AL2005" s="250" t="s">
        <v>2067</v>
      </c>
    </row>
    <row r="2006" spans="1:38" x14ac:dyDescent="0.2">
      <c r="A2006" s="409" t="s">
        <v>893</v>
      </c>
      <c r="B2006" s="209">
        <v>5565</v>
      </c>
      <c r="C2006" s="210" t="s">
        <v>1140</v>
      </c>
      <c r="D2006" s="229" t="s">
        <v>1574</v>
      </c>
      <c r="E2006" s="229" t="s">
        <v>315</v>
      </c>
      <c r="F2006" s="240">
        <v>300</v>
      </c>
      <c r="G2006" s="205">
        <v>1</v>
      </c>
      <c r="H2006" s="206">
        <v>300</v>
      </c>
      <c r="I2006" s="207">
        <v>41523</v>
      </c>
      <c r="J2006" s="197" t="str">
        <f t="shared" si="96"/>
        <v>ok</v>
      </c>
      <c r="K2006" s="419"/>
      <c r="L2006" s="419"/>
      <c r="M2006" s="419"/>
      <c r="N2006" s="419"/>
      <c r="O2006" s="419"/>
      <c r="P2006" s="419"/>
      <c r="Q2006" s="419"/>
      <c r="R2006" s="419"/>
      <c r="S2006" s="419"/>
      <c r="T2006" s="419"/>
      <c r="U2006" s="419"/>
      <c r="V2006" s="419"/>
      <c r="W2006" s="419">
        <f t="shared" si="94"/>
        <v>0</v>
      </c>
      <c r="X2006" s="412"/>
      <c r="Y2006" s="412"/>
      <c r="Z2006" s="412"/>
      <c r="AA2006" s="412"/>
      <c r="AB2006" s="412"/>
      <c r="AC2006" s="412"/>
      <c r="AD2006" s="412"/>
      <c r="AE2006" s="412">
        <v>300</v>
      </c>
      <c r="AF2006" s="427"/>
      <c r="AG2006" s="412"/>
      <c r="AH2006" s="412"/>
      <c r="AI2006" s="412"/>
      <c r="AJ2006" s="412">
        <f t="shared" si="95"/>
        <v>300</v>
      </c>
      <c r="AK2006" s="410"/>
      <c r="AL2006" s="250" t="s">
        <v>2067</v>
      </c>
    </row>
    <row r="2007" spans="1:38" x14ac:dyDescent="0.2">
      <c r="A2007" s="409" t="s">
        <v>890</v>
      </c>
      <c r="B2007" s="209">
        <v>5566</v>
      </c>
      <c r="C2007" s="210" t="s">
        <v>1025</v>
      </c>
      <c r="D2007" s="229" t="s">
        <v>1378</v>
      </c>
      <c r="E2007" s="229" t="s">
        <v>525</v>
      </c>
      <c r="F2007" s="240">
        <v>300</v>
      </c>
      <c r="G2007" s="205">
        <v>1</v>
      </c>
      <c r="H2007" s="206">
        <v>300</v>
      </c>
      <c r="I2007" s="207">
        <v>41525</v>
      </c>
      <c r="J2007" s="197" t="str">
        <f t="shared" si="96"/>
        <v>ok</v>
      </c>
      <c r="K2007" s="419"/>
      <c r="L2007" s="419"/>
      <c r="M2007" s="419"/>
      <c r="N2007" s="419"/>
      <c r="O2007" s="419"/>
      <c r="P2007" s="419"/>
      <c r="Q2007" s="419"/>
      <c r="R2007" s="419"/>
      <c r="S2007" s="419"/>
      <c r="T2007" s="419"/>
      <c r="U2007" s="419"/>
      <c r="V2007" s="419"/>
      <c r="W2007" s="419">
        <f t="shared" si="94"/>
        <v>0</v>
      </c>
      <c r="X2007" s="412"/>
      <c r="Y2007" s="412"/>
      <c r="Z2007" s="412"/>
      <c r="AA2007" s="412"/>
      <c r="AB2007" s="412"/>
      <c r="AC2007" s="412"/>
      <c r="AD2007" s="412"/>
      <c r="AE2007" s="412"/>
      <c r="AF2007" s="427">
        <v>300</v>
      </c>
      <c r="AG2007" s="412"/>
      <c r="AH2007" s="412"/>
      <c r="AI2007" s="412"/>
      <c r="AJ2007" s="412">
        <f t="shared" si="95"/>
        <v>300</v>
      </c>
      <c r="AK2007" s="410"/>
      <c r="AL2007" s="250" t="s">
        <v>2067</v>
      </c>
    </row>
    <row r="2008" spans="1:38" x14ac:dyDescent="0.2">
      <c r="A2008" s="409" t="s">
        <v>888</v>
      </c>
      <c r="B2008" s="209">
        <v>5567</v>
      </c>
      <c r="C2008" s="210" t="s">
        <v>762</v>
      </c>
      <c r="D2008" s="229" t="s">
        <v>1579</v>
      </c>
      <c r="E2008" s="229" t="s">
        <v>436</v>
      </c>
      <c r="F2008" s="240">
        <v>300</v>
      </c>
      <c r="G2008" s="205">
        <v>1</v>
      </c>
      <c r="H2008" s="206">
        <v>300</v>
      </c>
      <c r="I2008" s="207">
        <v>41525</v>
      </c>
      <c r="J2008" s="197" t="str">
        <f t="shared" si="96"/>
        <v>ok</v>
      </c>
      <c r="K2008" s="419"/>
      <c r="L2008" s="419"/>
      <c r="M2008" s="419"/>
      <c r="N2008" s="419"/>
      <c r="O2008" s="419"/>
      <c r="P2008" s="419"/>
      <c r="Q2008" s="419"/>
      <c r="R2008" s="419"/>
      <c r="S2008" s="419"/>
      <c r="T2008" s="419"/>
      <c r="U2008" s="419"/>
      <c r="V2008" s="419"/>
      <c r="W2008" s="419">
        <f t="shared" si="94"/>
        <v>0</v>
      </c>
      <c r="X2008" s="412"/>
      <c r="Y2008" s="412"/>
      <c r="Z2008" s="412"/>
      <c r="AA2008" s="412"/>
      <c r="AB2008" s="412"/>
      <c r="AC2008" s="412"/>
      <c r="AD2008" s="412"/>
      <c r="AE2008" s="412"/>
      <c r="AF2008" s="427">
        <v>300</v>
      </c>
      <c r="AG2008" s="412"/>
      <c r="AH2008" s="412"/>
      <c r="AI2008" s="412"/>
      <c r="AJ2008" s="412">
        <f t="shared" si="95"/>
        <v>300</v>
      </c>
      <c r="AK2008" s="410"/>
      <c r="AL2008" s="250" t="s">
        <v>2067</v>
      </c>
    </row>
    <row r="2009" spans="1:38" x14ac:dyDescent="0.2">
      <c r="A2009" s="409" t="s">
        <v>888</v>
      </c>
      <c r="B2009" s="209">
        <v>5568</v>
      </c>
      <c r="C2009" s="210" t="s">
        <v>949</v>
      </c>
      <c r="D2009" s="229" t="s">
        <v>1423</v>
      </c>
      <c r="E2009" s="229" t="s">
        <v>414</v>
      </c>
      <c r="F2009" s="240">
        <v>200</v>
      </c>
      <c r="G2009" s="205">
        <v>1</v>
      </c>
      <c r="H2009" s="206">
        <v>200</v>
      </c>
      <c r="I2009" s="207">
        <v>41525</v>
      </c>
      <c r="J2009" s="197" t="str">
        <f t="shared" si="96"/>
        <v>ok</v>
      </c>
      <c r="K2009" s="419"/>
      <c r="L2009" s="419"/>
      <c r="M2009" s="419"/>
      <c r="N2009" s="419"/>
      <c r="O2009" s="419"/>
      <c r="P2009" s="419"/>
      <c r="Q2009" s="419"/>
      <c r="R2009" s="419"/>
      <c r="S2009" s="419"/>
      <c r="T2009" s="419"/>
      <c r="U2009" s="419"/>
      <c r="V2009" s="419"/>
      <c r="W2009" s="419">
        <f t="shared" si="94"/>
        <v>0</v>
      </c>
      <c r="X2009" s="412"/>
      <c r="Y2009" s="412"/>
      <c r="Z2009" s="412"/>
      <c r="AA2009" s="412"/>
      <c r="AB2009" s="412"/>
      <c r="AC2009" s="412"/>
      <c r="AD2009" s="412"/>
      <c r="AE2009" s="412"/>
      <c r="AF2009" s="427">
        <v>200</v>
      </c>
      <c r="AG2009" s="412"/>
      <c r="AH2009" s="412"/>
      <c r="AI2009" s="412"/>
      <c r="AJ2009" s="412">
        <f t="shared" si="95"/>
        <v>200</v>
      </c>
      <c r="AK2009" s="410"/>
      <c r="AL2009" s="250" t="s">
        <v>2067</v>
      </c>
    </row>
    <row r="2010" spans="1:38" x14ac:dyDescent="0.2">
      <c r="A2010" s="409" t="s">
        <v>893</v>
      </c>
      <c r="B2010" s="209">
        <v>5569</v>
      </c>
      <c r="C2010" s="210" t="s">
        <v>777</v>
      </c>
      <c r="D2010" s="229" t="s">
        <v>1387</v>
      </c>
      <c r="E2010" s="229" t="s">
        <v>714</v>
      </c>
      <c r="F2010" s="240">
        <v>300</v>
      </c>
      <c r="G2010" s="205">
        <v>1</v>
      </c>
      <c r="H2010" s="206">
        <v>300</v>
      </c>
      <c r="I2010" s="207">
        <v>41525</v>
      </c>
      <c r="J2010" s="197" t="str">
        <f t="shared" si="96"/>
        <v>ok</v>
      </c>
      <c r="K2010" s="419"/>
      <c r="L2010" s="419"/>
      <c r="M2010" s="419"/>
      <c r="N2010" s="419"/>
      <c r="O2010" s="419"/>
      <c r="P2010" s="419"/>
      <c r="Q2010" s="419"/>
      <c r="R2010" s="419"/>
      <c r="S2010" s="419"/>
      <c r="T2010" s="419"/>
      <c r="U2010" s="419"/>
      <c r="V2010" s="419"/>
      <c r="W2010" s="419">
        <f t="shared" si="94"/>
        <v>0</v>
      </c>
      <c r="X2010" s="412"/>
      <c r="Y2010" s="412"/>
      <c r="Z2010" s="412"/>
      <c r="AA2010" s="412"/>
      <c r="AB2010" s="412"/>
      <c r="AC2010" s="412"/>
      <c r="AD2010" s="412"/>
      <c r="AE2010" s="412"/>
      <c r="AF2010" s="427">
        <v>300</v>
      </c>
      <c r="AG2010" s="412"/>
      <c r="AH2010" s="412"/>
      <c r="AI2010" s="412"/>
      <c r="AJ2010" s="412">
        <f t="shared" si="95"/>
        <v>300</v>
      </c>
      <c r="AK2010" s="410"/>
      <c r="AL2010" s="250" t="s">
        <v>2067</v>
      </c>
    </row>
    <row r="2011" spans="1:38" x14ac:dyDescent="0.2">
      <c r="A2011" s="409" t="s">
        <v>894</v>
      </c>
      <c r="B2011" s="209">
        <v>5570</v>
      </c>
      <c r="C2011" s="210" t="s">
        <v>1155</v>
      </c>
      <c r="D2011" s="229" t="s">
        <v>1596</v>
      </c>
      <c r="E2011" s="229" t="s">
        <v>734</v>
      </c>
      <c r="F2011" s="240">
        <v>300</v>
      </c>
      <c r="G2011" s="205">
        <v>1</v>
      </c>
      <c r="H2011" s="206">
        <v>300</v>
      </c>
      <c r="I2011" s="207">
        <v>41525</v>
      </c>
      <c r="J2011" s="197" t="str">
        <f t="shared" si="96"/>
        <v>ok</v>
      </c>
      <c r="K2011" s="419"/>
      <c r="L2011" s="419"/>
      <c r="M2011" s="419"/>
      <c r="N2011" s="419"/>
      <c r="O2011" s="419"/>
      <c r="P2011" s="419"/>
      <c r="Q2011" s="419"/>
      <c r="R2011" s="419"/>
      <c r="S2011" s="419"/>
      <c r="T2011" s="419"/>
      <c r="U2011" s="419"/>
      <c r="V2011" s="419"/>
      <c r="W2011" s="419">
        <f t="shared" si="94"/>
        <v>0</v>
      </c>
      <c r="X2011" s="412"/>
      <c r="Y2011" s="412"/>
      <c r="Z2011" s="412"/>
      <c r="AA2011" s="412"/>
      <c r="AB2011" s="412"/>
      <c r="AC2011" s="412"/>
      <c r="AD2011" s="412"/>
      <c r="AE2011" s="412"/>
      <c r="AF2011" s="427">
        <v>300</v>
      </c>
      <c r="AG2011" s="412"/>
      <c r="AH2011" s="412"/>
      <c r="AI2011" s="412"/>
      <c r="AJ2011" s="412">
        <f t="shared" si="95"/>
        <v>300</v>
      </c>
      <c r="AK2011" s="410"/>
      <c r="AL2011" s="250" t="s">
        <v>2067</v>
      </c>
    </row>
    <row r="2012" spans="1:38" x14ac:dyDescent="0.2">
      <c r="A2012" s="409" t="s">
        <v>884</v>
      </c>
      <c r="B2012" s="209">
        <v>5571</v>
      </c>
      <c r="C2012" s="210" t="s">
        <v>867</v>
      </c>
      <c r="D2012" s="229" t="s">
        <v>1513</v>
      </c>
      <c r="E2012" s="229" t="s">
        <v>118</v>
      </c>
      <c r="F2012" s="240">
        <v>300</v>
      </c>
      <c r="G2012" s="205">
        <v>1</v>
      </c>
      <c r="H2012" s="206">
        <v>300</v>
      </c>
      <c r="I2012" s="207">
        <v>41525</v>
      </c>
      <c r="J2012" s="197" t="str">
        <f t="shared" si="96"/>
        <v>ok</v>
      </c>
      <c r="K2012" s="419"/>
      <c r="L2012" s="419"/>
      <c r="M2012" s="419"/>
      <c r="N2012" s="419"/>
      <c r="O2012" s="419"/>
      <c r="P2012" s="419"/>
      <c r="Q2012" s="419"/>
      <c r="R2012" s="419"/>
      <c r="S2012" s="419"/>
      <c r="T2012" s="419"/>
      <c r="U2012" s="419"/>
      <c r="V2012" s="419"/>
      <c r="W2012" s="419">
        <f t="shared" si="94"/>
        <v>0</v>
      </c>
      <c r="X2012" s="412"/>
      <c r="Y2012" s="412"/>
      <c r="Z2012" s="412"/>
      <c r="AA2012" s="412"/>
      <c r="AB2012" s="412"/>
      <c r="AC2012" s="412"/>
      <c r="AD2012" s="412"/>
      <c r="AE2012" s="412"/>
      <c r="AF2012" s="427">
        <v>300</v>
      </c>
      <c r="AG2012" s="412"/>
      <c r="AH2012" s="412"/>
      <c r="AI2012" s="412"/>
      <c r="AJ2012" s="412">
        <f t="shared" si="95"/>
        <v>300</v>
      </c>
      <c r="AK2012" s="410"/>
      <c r="AL2012" s="250" t="s">
        <v>2067</v>
      </c>
    </row>
    <row r="2013" spans="1:38" x14ac:dyDescent="0.2">
      <c r="A2013" s="409" t="s">
        <v>890</v>
      </c>
      <c r="B2013" s="209">
        <v>5572</v>
      </c>
      <c r="C2013" s="210" t="s">
        <v>997</v>
      </c>
      <c r="D2013" s="229" t="s">
        <v>1377</v>
      </c>
      <c r="E2013" s="229" t="s">
        <v>485</v>
      </c>
      <c r="F2013" s="240">
        <v>200</v>
      </c>
      <c r="G2013" s="205">
        <v>1</v>
      </c>
      <c r="H2013" s="206">
        <v>200</v>
      </c>
      <c r="I2013" s="207">
        <v>41525</v>
      </c>
      <c r="J2013" s="197" t="str">
        <f t="shared" si="96"/>
        <v>ok</v>
      </c>
      <c r="K2013" s="419"/>
      <c r="L2013" s="419"/>
      <c r="M2013" s="419"/>
      <c r="N2013" s="419"/>
      <c r="O2013" s="419"/>
      <c r="P2013" s="419"/>
      <c r="Q2013" s="419"/>
      <c r="R2013" s="419"/>
      <c r="S2013" s="419"/>
      <c r="T2013" s="419"/>
      <c r="U2013" s="419"/>
      <c r="V2013" s="419"/>
      <c r="W2013" s="419">
        <f t="shared" si="94"/>
        <v>0</v>
      </c>
      <c r="X2013" s="412"/>
      <c r="Y2013" s="412"/>
      <c r="Z2013" s="412"/>
      <c r="AA2013" s="412"/>
      <c r="AB2013" s="412"/>
      <c r="AC2013" s="412"/>
      <c r="AD2013" s="412"/>
      <c r="AE2013" s="412"/>
      <c r="AF2013" s="427">
        <v>200</v>
      </c>
      <c r="AG2013" s="412"/>
      <c r="AH2013" s="412"/>
      <c r="AI2013" s="412"/>
      <c r="AJ2013" s="412">
        <f t="shared" si="95"/>
        <v>200</v>
      </c>
      <c r="AK2013" s="410"/>
      <c r="AL2013" s="250" t="s">
        <v>2067</v>
      </c>
    </row>
    <row r="2014" spans="1:38" x14ac:dyDescent="0.2">
      <c r="A2014" s="409" t="s">
        <v>1362</v>
      </c>
      <c r="B2014" s="209">
        <v>5573</v>
      </c>
      <c r="C2014" s="210"/>
      <c r="D2014" s="229" t="s">
        <v>1362</v>
      </c>
      <c r="E2014" s="229" t="s">
        <v>1362</v>
      </c>
      <c r="F2014" s="240" t="s">
        <v>1362</v>
      </c>
      <c r="G2014" s="205"/>
      <c r="H2014" s="206"/>
      <c r="I2014" s="207">
        <v>41525</v>
      </c>
      <c r="J2014" s="197" t="str">
        <f t="shared" si="96"/>
        <v>ok</v>
      </c>
      <c r="K2014" s="419"/>
      <c r="L2014" s="419"/>
      <c r="M2014" s="419"/>
      <c r="N2014" s="419"/>
      <c r="O2014" s="419"/>
      <c r="P2014" s="419"/>
      <c r="Q2014" s="419"/>
      <c r="R2014" s="419"/>
      <c r="S2014" s="419"/>
      <c r="T2014" s="419"/>
      <c r="U2014" s="419"/>
      <c r="V2014" s="419"/>
      <c r="W2014" s="419">
        <f t="shared" si="94"/>
        <v>0</v>
      </c>
      <c r="X2014" s="412"/>
      <c r="Y2014" s="412"/>
      <c r="Z2014" s="412"/>
      <c r="AA2014" s="412"/>
      <c r="AB2014" s="412"/>
      <c r="AC2014" s="412"/>
      <c r="AD2014" s="412"/>
      <c r="AE2014" s="412"/>
      <c r="AF2014" s="427"/>
      <c r="AG2014" s="412"/>
      <c r="AH2014" s="412"/>
      <c r="AI2014" s="412"/>
      <c r="AJ2014" s="412">
        <f t="shared" si="95"/>
        <v>0</v>
      </c>
      <c r="AK2014" s="410" t="s">
        <v>755</v>
      </c>
      <c r="AL2014" s="250" t="s">
        <v>2067</v>
      </c>
    </row>
    <row r="2015" spans="1:38" x14ac:dyDescent="0.2">
      <c r="A2015" s="409" t="s">
        <v>892</v>
      </c>
      <c r="B2015" s="209">
        <v>5574</v>
      </c>
      <c r="C2015" s="210" t="s">
        <v>776</v>
      </c>
      <c r="D2015" s="229" t="s">
        <v>1413</v>
      </c>
      <c r="E2015" s="229" t="s">
        <v>736</v>
      </c>
      <c r="F2015" s="240">
        <v>300</v>
      </c>
      <c r="G2015" s="205">
        <v>1</v>
      </c>
      <c r="H2015" s="206">
        <v>300</v>
      </c>
      <c r="I2015" s="207">
        <v>41525</v>
      </c>
      <c r="J2015" s="197" t="str">
        <f t="shared" si="96"/>
        <v>ok</v>
      </c>
      <c r="K2015" s="419"/>
      <c r="L2015" s="419"/>
      <c r="M2015" s="419"/>
      <c r="N2015" s="419"/>
      <c r="O2015" s="419"/>
      <c r="P2015" s="419"/>
      <c r="Q2015" s="419"/>
      <c r="R2015" s="419"/>
      <c r="S2015" s="419"/>
      <c r="T2015" s="419"/>
      <c r="U2015" s="419"/>
      <c r="V2015" s="419"/>
      <c r="W2015" s="419">
        <f t="shared" si="94"/>
        <v>0</v>
      </c>
      <c r="X2015" s="412"/>
      <c r="Y2015" s="412"/>
      <c r="Z2015" s="412"/>
      <c r="AA2015" s="412"/>
      <c r="AB2015" s="412"/>
      <c r="AC2015" s="412"/>
      <c r="AD2015" s="412"/>
      <c r="AE2015" s="412"/>
      <c r="AF2015" s="427">
        <v>300</v>
      </c>
      <c r="AG2015" s="412"/>
      <c r="AH2015" s="412"/>
      <c r="AI2015" s="412"/>
      <c r="AJ2015" s="412">
        <f t="shared" si="95"/>
        <v>300</v>
      </c>
      <c r="AK2015" s="410"/>
      <c r="AL2015" s="250" t="s">
        <v>2067</v>
      </c>
    </row>
    <row r="2016" spans="1:38" x14ac:dyDescent="0.2">
      <c r="A2016" s="409" t="s">
        <v>888</v>
      </c>
      <c r="B2016" s="209">
        <v>5575</v>
      </c>
      <c r="C2016" s="210" t="s">
        <v>923</v>
      </c>
      <c r="D2016" s="229" t="s">
        <v>1561</v>
      </c>
      <c r="E2016" s="229" t="s">
        <v>191</v>
      </c>
      <c r="F2016" s="240">
        <v>300</v>
      </c>
      <c r="G2016" s="205">
        <v>1</v>
      </c>
      <c r="H2016" s="206">
        <v>900</v>
      </c>
      <c r="I2016" s="207">
        <v>41525</v>
      </c>
      <c r="J2016" s="197" t="str">
        <f t="shared" si="96"/>
        <v>ok</v>
      </c>
      <c r="K2016" s="419"/>
      <c r="L2016" s="419"/>
      <c r="M2016" s="419"/>
      <c r="N2016" s="419"/>
      <c r="O2016" s="419"/>
      <c r="P2016" s="419"/>
      <c r="Q2016" s="419"/>
      <c r="R2016" s="419"/>
      <c r="S2016" s="419"/>
      <c r="T2016" s="419"/>
      <c r="U2016" s="419"/>
      <c r="V2016" s="419"/>
      <c r="W2016" s="419">
        <f t="shared" si="94"/>
        <v>0</v>
      </c>
      <c r="X2016" s="412"/>
      <c r="Y2016" s="412"/>
      <c r="Z2016" s="412"/>
      <c r="AA2016" s="412"/>
      <c r="AB2016" s="412"/>
      <c r="AC2016" s="412"/>
      <c r="AD2016" s="412"/>
      <c r="AE2016" s="412">
        <v>300</v>
      </c>
      <c r="AF2016" s="427">
        <v>300</v>
      </c>
      <c r="AG2016" s="412">
        <v>300</v>
      </c>
      <c r="AH2016" s="412"/>
      <c r="AI2016" s="412"/>
      <c r="AJ2016" s="412">
        <f t="shared" si="95"/>
        <v>900</v>
      </c>
      <c r="AK2016" s="410"/>
      <c r="AL2016" s="250" t="s">
        <v>2067</v>
      </c>
    </row>
    <row r="2017" spans="1:38" x14ac:dyDescent="0.2">
      <c r="A2017" s="409" t="s">
        <v>884</v>
      </c>
      <c r="B2017" s="209">
        <v>5576</v>
      </c>
      <c r="C2017" s="210" t="s">
        <v>827</v>
      </c>
      <c r="D2017" s="229" t="s">
        <v>1431</v>
      </c>
      <c r="E2017" s="229" t="s">
        <v>1271</v>
      </c>
      <c r="F2017" s="240">
        <v>300</v>
      </c>
      <c r="G2017" s="205">
        <v>1</v>
      </c>
      <c r="H2017" s="206">
        <v>300</v>
      </c>
      <c r="I2017" s="207">
        <v>41525</v>
      </c>
      <c r="J2017" s="197" t="str">
        <f t="shared" si="96"/>
        <v>ok</v>
      </c>
      <c r="K2017" s="419"/>
      <c r="L2017" s="419"/>
      <c r="M2017" s="419"/>
      <c r="N2017" s="419"/>
      <c r="O2017" s="419"/>
      <c r="P2017" s="419"/>
      <c r="Q2017" s="419"/>
      <c r="R2017" s="419"/>
      <c r="S2017" s="419"/>
      <c r="T2017" s="419"/>
      <c r="U2017" s="419"/>
      <c r="V2017" s="419"/>
      <c r="W2017" s="419">
        <f t="shared" si="94"/>
        <v>0</v>
      </c>
      <c r="X2017" s="412"/>
      <c r="Y2017" s="412"/>
      <c r="Z2017" s="412"/>
      <c r="AA2017" s="412"/>
      <c r="AB2017" s="412"/>
      <c r="AC2017" s="412"/>
      <c r="AD2017" s="412"/>
      <c r="AE2017" s="412"/>
      <c r="AF2017" s="427">
        <v>300</v>
      </c>
      <c r="AG2017" s="412"/>
      <c r="AH2017" s="412"/>
      <c r="AI2017" s="412"/>
      <c r="AJ2017" s="412">
        <f t="shared" si="95"/>
        <v>300</v>
      </c>
      <c r="AK2017" s="410"/>
      <c r="AL2017" s="250" t="s">
        <v>2067</v>
      </c>
    </row>
    <row r="2018" spans="1:38" x14ac:dyDescent="0.2">
      <c r="A2018" s="409" t="s">
        <v>893</v>
      </c>
      <c r="B2018" s="209">
        <v>5577</v>
      </c>
      <c r="C2018" s="210" t="s">
        <v>1117</v>
      </c>
      <c r="D2018" s="229" t="s">
        <v>1430</v>
      </c>
      <c r="E2018" s="229" t="s">
        <v>271</v>
      </c>
      <c r="F2018" s="240">
        <v>300</v>
      </c>
      <c r="G2018" s="205">
        <v>1</v>
      </c>
      <c r="H2018" s="206">
        <v>300</v>
      </c>
      <c r="I2018" s="207">
        <v>41525</v>
      </c>
      <c r="J2018" s="197" t="str">
        <f t="shared" si="96"/>
        <v>ok</v>
      </c>
      <c r="K2018" s="419"/>
      <c r="L2018" s="419"/>
      <c r="M2018" s="419"/>
      <c r="N2018" s="419"/>
      <c r="O2018" s="419"/>
      <c r="P2018" s="419"/>
      <c r="Q2018" s="419"/>
      <c r="R2018" s="419"/>
      <c r="S2018" s="419"/>
      <c r="T2018" s="419"/>
      <c r="U2018" s="419"/>
      <c r="V2018" s="419"/>
      <c r="W2018" s="419">
        <f t="shared" si="94"/>
        <v>0</v>
      </c>
      <c r="X2018" s="412"/>
      <c r="Y2018" s="412"/>
      <c r="Z2018" s="412"/>
      <c r="AA2018" s="412"/>
      <c r="AB2018" s="412"/>
      <c r="AC2018" s="412"/>
      <c r="AD2018" s="412"/>
      <c r="AE2018" s="412"/>
      <c r="AF2018" s="427">
        <v>300</v>
      </c>
      <c r="AG2018" s="412"/>
      <c r="AH2018" s="412"/>
      <c r="AI2018" s="412"/>
      <c r="AJ2018" s="412">
        <f t="shared" si="95"/>
        <v>300</v>
      </c>
      <c r="AK2018" s="410"/>
      <c r="AL2018" s="250" t="s">
        <v>2067</v>
      </c>
    </row>
    <row r="2019" spans="1:38" x14ac:dyDescent="0.2">
      <c r="A2019" s="409" t="s">
        <v>893</v>
      </c>
      <c r="B2019" s="209">
        <v>5578</v>
      </c>
      <c r="C2019" s="210" t="s">
        <v>781</v>
      </c>
      <c r="D2019" s="229" t="s">
        <v>1401</v>
      </c>
      <c r="E2019" s="229" t="s">
        <v>331</v>
      </c>
      <c r="F2019" s="240">
        <v>300</v>
      </c>
      <c r="G2019" s="205">
        <v>1</v>
      </c>
      <c r="H2019" s="206">
        <v>300</v>
      </c>
      <c r="I2019" s="207">
        <v>41525</v>
      </c>
      <c r="J2019" s="197" t="str">
        <f t="shared" si="96"/>
        <v>ok</v>
      </c>
      <c r="K2019" s="419"/>
      <c r="L2019" s="419"/>
      <c r="M2019" s="419"/>
      <c r="N2019" s="419"/>
      <c r="O2019" s="419"/>
      <c r="P2019" s="419"/>
      <c r="Q2019" s="419"/>
      <c r="R2019" s="419"/>
      <c r="S2019" s="419"/>
      <c r="T2019" s="419"/>
      <c r="U2019" s="419"/>
      <c r="V2019" s="419"/>
      <c r="W2019" s="419">
        <f t="shared" si="94"/>
        <v>0</v>
      </c>
      <c r="X2019" s="412"/>
      <c r="Y2019" s="412"/>
      <c r="Z2019" s="412"/>
      <c r="AA2019" s="412"/>
      <c r="AB2019" s="412"/>
      <c r="AC2019" s="412"/>
      <c r="AD2019" s="412"/>
      <c r="AE2019" s="412"/>
      <c r="AF2019" s="427">
        <v>300</v>
      </c>
      <c r="AG2019" s="412"/>
      <c r="AH2019" s="412"/>
      <c r="AI2019" s="412"/>
      <c r="AJ2019" s="412">
        <f t="shared" si="95"/>
        <v>300</v>
      </c>
      <c r="AK2019" s="410"/>
      <c r="AL2019" s="250" t="s">
        <v>2067</v>
      </c>
    </row>
    <row r="2020" spans="1:38" x14ac:dyDescent="0.2">
      <c r="A2020" s="409" t="s">
        <v>893</v>
      </c>
      <c r="B2020" s="209">
        <v>5579</v>
      </c>
      <c r="C2020" s="210" t="s">
        <v>1146</v>
      </c>
      <c r="D2020" s="229" t="s">
        <v>1576</v>
      </c>
      <c r="E2020" s="229" t="s">
        <v>327</v>
      </c>
      <c r="F2020" s="240">
        <v>300</v>
      </c>
      <c r="G2020" s="205">
        <v>1</v>
      </c>
      <c r="H2020" s="206">
        <v>300</v>
      </c>
      <c r="I2020" s="207">
        <v>41525</v>
      </c>
      <c r="J2020" s="197" t="str">
        <f t="shared" si="96"/>
        <v>ok</v>
      </c>
      <c r="K2020" s="419"/>
      <c r="L2020" s="419"/>
      <c r="M2020" s="419"/>
      <c r="N2020" s="419"/>
      <c r="O2020" s="419"/>
      <c r="P2020" s="419"/>
      <c r="Q2020" s="419"/>
      <c r="R2020" s="419"/>
      <c r="S2020" s="419"/>
      <c r="T2020" s="419"/>
      <c r="U2020" s="419"/>
      <c r="V2020" s="419"/>
      <c r="W2020" s="419">
        <f t="shared" si="94"/>
        <v>0</v>
      </c>
      <c r="X2020" s="412"/>
      <c r="Y2020" s="412"/>
      <c r="Z2020" s="412"/>
      <c r="AA2020" s="412"/>
      <c r="AB2020" s="412"/>
      <c r="AC2020" s="412"/>
      <c r="AD2020" s="412"/>
      <c r="AE2020" s="412"/>
      <c r="AF2020" s="427">
        <v>300</v>
      </c>
      <c r="AG2020" s="412"/>
      <c r="AH2020" s="412"/>
      <c r="AI2020" s="412"/>
      <c r="AJ2020" s="412">
        <f t="shared" si="95"/>
        <v>300</v>
      </c>
      <c r="AK2020" s="410"/>
      <c r="AL2020" s="250" t="s">
        <v>2067</v>
      </c>
    </row>
    <row r="2021" spans="1:38" x14ac:dyDescent="0.2">
      <c r="A2021" s="409" t="s">
        <v>884</v>
      </c>
      <c r="B2021" s="209">
        <v>5580</v>
      </c>
      <c r="C2021" s="210" t="s">
        <v>873</v>
      </c>
      <c r="D2021" s="229" t="s">
        <v>1385</v>
      </c>
      <c r="E2021" s="229" t="s">
        <v>1724</v>
      </c>
      <c r="F2021" s="240">
        <v>300</v>
      </c>
      <c r="G2021" s="205">
        <v>1</v>
      </c>
      <c r="H2021" s="206">
        <v>600</v>
      </c>
      <c r="I2021" s="207">
        <v>41525</v>
      </c>
      <c r="J2021" s="197" t="str">
        <f t="shared" si="96"/>
        <v>ok</v>
      </c>
      <c r="K2021" s="419"/>
      <c r="L2021" s="419"/>
      <c r="M2021" s="419"/>
      <c r="N2021" s="419"/>
      <c r="O2021" s="419"/>
      <c r="P2021" s="419"/>
      <c r="Q2021" s="419"/>
      <c r="R2021" s="419"/>
      <c r="S2021" s="419"/>
      <c r="T2021" s="419"/>
      <c r="U2021" s="419"/>
      <c r="V2021" s="419"/>
      <c r="W2021" s="419">
        <f t="shared" si="94"/>
        <v>0</v>
      </c>
      <c r="X2021" s="412"/>
      <c r="Y2021" s="412"/>
      <c r="Z2021" s="412"/>
      <c r="AA2021" s="412"/>
      <c r="AB2021" s="412"/>
      <c r="AC2021" s="412"/>
      <c r="AD2021" s="412"/>
      <c r="AE2021" s="412"/>
      <c r="AF2021" s="427">
        <v>300</v>
      </c>
      <c r="AG2021" s="412">
        <v>300</v>
      </c>
      <c r="AH2021" s="412"/>
      <c r="AI2021" s="412"/>
      <c r="AJ2021" s="412">
        <f t="shared" si="95"/>
        <v>600</v>
      </c>
      <c r="AK2021" s="410"/>
      <c r="AL2021" s="250" t="s">
        <v>2067</v>
      </c>
    </row>
    <row r="2022" spans="1:38" x14ac:dyDescent="0.2">
      <c r="A2022" s="409" t="s">
        <v>888</v>
      </c>
      <c r="B2022" s="209">
        <v>5581</v>
      </c>
      <c r="C2022" s="210" t="s">
        <v>761</v>
      </c>
      <c r="D2022" s="229" t="s">
        <v>1419</v>
      </c>
      <c r="E2022" s="229" t="s">
        <v>443</v>
      </c>
      <c r="F2022" s="240">
        <v>300</v>
      </c>
      <c r="G2022" s="205">
        <v>1</v>
      </c>
      <c r="H2022" s="206">
        <v>300</v>
      </c>
      <c r="I2022" s="207">
        <v>41525</v>
      </c>
      <c r="J2022" s="197" t="str">
        <f t="shared" si="96"/>
        <v>ok</v>
      </c>
      <c r="K2022" s="419"/>
      <c r="L2022" s="419"/>
      <c r="M2022" s="419"/>
      <c r="N2022" s="419"/>
      <c r="O2022" s="419"/>
      <c r="P2022" s="419"/>
      <c r="Q2022" s="419"/>
      <c r="R2022" s="419"/>
      <c r="S2022" s="419"/>
      <c r="T2022" s="419"/>
      <c r="U2022" s="419"/>
      <c r="V2022" s="419"/>
      <c r="W2022" s="419">
        <f t="shared" si="94"/>
        <v>0</v>
      </c>
      <c r="X2022" s="412"/>
      <c r="Y2022" s="412"/>
      <c r="Z2022" s="412"/>
      <c r="AA2022" s="412"/>
      <c r="AB2022" s="412"/>
      <c r="AC2022" s="412"/>
      <c r="AD2022" s="412"/>
      <c r="AE2022" s="412"/>
      <c r="AF2022" s="427">
        <v>300</v>
      </c>
      <c r="AG2022" s="412"/>
      <c r="AH2022" s="412"/>
      <c r="AI2022" s="412"/>
      <c r="AJ2022" s="412">
        <f t="shared" si="95"/>
        <v>300</v>
      </c>
      <c r="AK2022" s="410"/>
      <c r="AL2022" s="250" t="s">
        <v>2067</v>
      </c>
    </row>
    <row r="2023" spans="1:38" x14ac:dyDescent="0.2">
      <c r="A2023" s="409" t="s">
        <v>884</v>
      </c>
      <c r="B2023" s="209">
        <v>5582</v>
      </c>
      <c r="C2023" s="210" t="s">
        <v>836</v>
      </c>
      <c r="D2023" s="229" t="s">
        <v>1383</v>
      </c>
      <c r="E2023" s="229" t="s">
        <v>73</v>
      </c>
      <c r="F2023" s="240">
        <v>300</v>
      </c>
      <c r="G2023" s="205">
        <v>1</v>
      </c>
      <c r="H2023" s="206">
        <v>300</v>
      </c>
      <c r="I2023" s="207">
        <v>41525</v>
      </c>
      <c r="J2023" s="197" t="str">
        <f t="shared" si="96"/>
        <v>ok</v>
      </c>
      <c r="K2023" s="419"/>
      <c r="L2023" s="419"/>
      <c r="M2023" s="419"/>
      <c r="N2023" s="419"/>
      <c r="O2023" s="419"/>
      <c r="P2023" s="419"/>
      <c r="Q2023" s="419"/>
      <c r="R2023" s="419"/>
      <c r="S2023" s="419"/>
      <c r="T2023" s="419"/>
      <c r="U2023" s="419"/>
      <c r="V2023" s="419"/>
      <c r="W2023" s="419">
        <f t="shared" si="94"/>
        <v>0</v>
      </c>
      <c r="X2023" s="412"/>
      <c r="Y2023" s="412"/>
      <c r="Z2023" s="412"/>
      <c r="AA2023" s="412"/>
      <c r="AB2023" s="412"/>
      <c r="AC2023" s="412"/>
      <c r="AD2023" s="412"/>
      <c r="AE2023" s="412"/>
      <c r="AF2023" s="427">
        <v>300</v>
      </c>
      <c r="AG2023" s="412"/>
      <c r="AH2023" s="412"/>
      <c r="AI2023" s="412"/>
      <c r="AJ2023" s="412">
        <f t="shared" si="95"/>
        <v>300</v>
      </c>
      <c r="AK2023" s="410"/>
      <c r="AL2023" s="250" t="s">
        <v>2067</v>
      </c>
    </row>
    <row r="2024" spans="1:38" x14ac:dyDescent="0.2">
      <c r="A2024" s="409" t="s">
        <v>892</v>
      </c>
      <c r="B2024" s="209">
        <v>5583</v>
      </c>
      <c r="C2024" s="210" t="s">
        <v>1066</v>
      </c>
      <c r="D2024" s="229" t="s">
        <v>1591</v>
      </c>
      <c r="E2024" s="229" t="s">
        <v>663</v>
      </c>
      <c r="F2024" s="240">
        <v>300</v>
      </c>
      <c r="G2024" s="205">
        <v>1</v>
      </c>
      <c r="H2024" s="206">
        <v>300</v>
      </c>
      <c r="I2024" s="207">
        <v>41525</v>
      </c>
      <c r="J2024" s="197" t="str">
        <f t="shared" si="96"/>
        <v>ok</v>
      </c>
      <c r="K2024" s="419"/>
      <c r="L2024" s="419"/>
      <c r="M2024" s="419"/>
      <c r="N2024" s="419"/>
      <c r="O2024" s="419"/>
      <c r="P2024" s="419"/>
      <c r="Q2024" s="419"/>
      <c r="R2024" s="419"/>
      <c r="S2024" s="419"/>
      <c r="T2024" s="419"/>
      <c r="U2024" s="419"/>
      <c r="V2024" s="419"/>
      <c r="W2024" s="419">
        <f t="shared" si="94"/>
        <v>0</v>
      </c>
      <c r="X2024" s="412"/>
      <c r="Y2024" s="412"/>
      <c r="Z2024" s="412"/>
      <c r="AA2024" s="412"/>
      <c r="AB2024" s="412"/>
      <c r="AC2024" s="412"/>
      <c r="AD2024" s="412"/>
      <c r="AE2024" s="412"/>
      <c r="AF2024" s="427">
        <v>300</v>
      </c>
      <c r="AG2024" s="412"/>
      <c r="AH2024" s="412"/>
      <c r="AI2024" s="412"/>
      <c r="AJ2024" s="412">
        <f t="shared" si="95"/>
        <v>300</v>
      </c>
      <c r="AK2024" s="410"/>
      <c r="AL2024" s="250" t="s">
        <v>2067</v>
      </c>
    </row>
    <row r="2025" spans="1:38" x14ac:dyDescent="0.2">
      <c r="A2025" s="409" t="s">
        <v>890</v>
      </c>
      <c r="B2025" s="209">
        <v>5584</v>
      </c>
      <c r="C2025" s="210" t="s">
        <v>986</v>
      </c>
      <c r="D2025" s="229" t="s">
        <v>1483</v>
      </c>
      <c r="E2025" s="229" t="s">
        <v>473</v>
      </c>
      <c r="F2025" s="240">
        <v>250</v>
      </c>
      <c r="G2025" s="205">
        <v>1</v>
      </c>
      <c r="H2025" s="206">
        <v>250</v>
      </c>
      <c r="I2025" s="207">
        <v>41525</v>
      </c>
      <c r="J2025" s="197" t="str">
        <f t="shared" si="96"/>
        <v>ok</v>
      </c>
      <c r="K2025" s="419"/>
      <c r="L2025" s="419"/>
      <c r="M2025" s="419"/>
      <c r="N2025" s="419"/>
      <c r="O2025" s="419"/>
      <c r="P2025" s="419"/>
      <c r="Q2025" s="419"/>
      <c r="R2025" s="419"/>
      <c r="S2025" s="419"/>
      <c r="T2025" s="419"/>
      <c r="U2025" s="419"/>
      <c r="V2025" s="419"/>
      <c r="W2025" s="419">
        <f t="shared" si="94"/>
        <v>0</v>
      </c>
      <c r="X2025" s="412"/>
      <c r="Y2025" s="412"/>
      <c r="Z2025" s="412"/>
      <c r="AA2025" s="412"/>
      <c r="AB2025" s="412"/>
      <c r="AC2025" s="412"/>
      <c r="AD2025" s="412"/>
      <c r="AE2025" s="412"/>
      <c r="AF2025" s="427">
        <v>250</v>
      </c>
      <c r="AG2025" s="412"/>
      <c r="AH2025" s="412"/>
      <c r="AI2025" s="412"/>
      <c r="AJ2025" s="412">
        <f t="shared" si="95"/>
        <v>250</v>
      </c>
      <c r="AK2025" s="410"/>
      <c r="AL2025" s="250" t="s">
        <v>2067</v>
      </c>
    </row>
    <row r="2026" spans="1:38" x14ac:dyDescent="0.2">
      <c r="A2026" s="409" t="s">
        <v>890</v>
      </c>
      <c r="B2026" s="209">
        <v>5585</v>
      </c>
      <c r="C2026" s="210" t="s">
        <v>996</v>
      </c>
      <c r="D2026" s="229" t="s">
        <v>1595</v>
      </c>
      <c r="E2026" s="229" t="s">
        <v>1216</v>
      </c>
      <c r="F2026" s="240">
        <v>300</v>
      </c>
      <c r="G2026" s="205">
        <v>1</v>
      </c>
      <c r="H2026" s="206">
        <v>600</v>
      </c>
      <c r="I2026" s="207">
        <v>41525</v>
      </c>
      <c r="J2026" s="197" t="str">
        <f t="shared" si="96"/>
        <v>ok</v>
      </c>
      <c r="K2026" s="419"/>
      <c r="L2026" s="419"/>
      <c r="M2026" s="419"/>
      <c r="N2026" s="419"/>
      <c r="O2026" s="419"/>
      <c r="P2026" s="419"/>
      <c r="Q2026" s="419"/>
      <c r="R2026" s="419"/>
      <c r="S2026" s="419"/>
      <c r="T2026" s="419"/>
      <c r="U2026" s="419"/>
      <c r="V2026" s="419"/>
      <c r="W2026" s="419">
        <f t="shared" si="94"/>
        <v>0</v>
      </c>
      <c r="X2026" s="412"/>
      <c r="Y2026" s="412"/>
      <c r="Z2026" s="412"/>
      <c r="AA2026" s="412"/>
      <c r="AB2026" s="412"/>
      <c r="AC2026" s="412"/>
      <c r="AD2026" s="412"/>
      <c r="AE2026" s="412"/>
      <c r="AF2026" s="427">
        <v>300</v>
      </c>
      <c r="AG2026" s="412">
        <v>300</v>
      </c>
      <c r="AH2026" s="412"/>
      <c r="AI2026" s="412"/>
      <c r="AJ2026" s="412">
        <f t="shared" si="95"/>
        <v>600</v>
      </c>
      <c r="AK2026" s="410"/>
      <c r="AL2026" s="250" t="s">
        <v>2067</v>
      </c>
    </row>
    <row r="2027" spans="1:38" x14ac:dyDescent="0.2">
      <c r="A2027" s="409" t="s">
        <v>894</v>
      </c>
      <c r="B2027" s="209">
        <v>5586</v>
      </c>
      <c r="C2027" s="210" t="s">
        <v>767</v>
      </c>
      <c r="D2027" s="229" t="s">
        <v>1411</v>
      </c>
      <c r="E2027" s="229" t="s">
        <v>607</v>
      </c>
      <c r="F2027" s="240">
        <v>300</v>
      </c>
      <c r="G2027" s="205">
        <v>1</v>
      </c>
      <c r="H2027" s="206">
        <v>300</v>
      </c>
      <c r="I2027" s="207">
        <v>41525</v>
      </c>
      <c r="J2027" s="197" t="str">
        <f t="shared" si="96"/>
        <v>ok</v>
      </c>
      <c r="K2027" s="419"/>
      <c r="L2027" s="419"/>
      <c r="M2027" s="419"/>
      <c r="N2027" s="419"/>
      <c r="O2027" s="419"/>
      <c r="P2027" s="419"/>
      <c r="Q2027" s="419"/>
      <c r="R2027" s="419"/>
      <c r="S2027" s="419"/>
      <c r="T2027" s="419"/>
      <c r="U2027" s="419"/>
      <c r="V2027" s="419"/>
      <c r="W2027" s="419">
        <f t="shared" si="94"/>
        <v>0</v>
      </c>
      <c r="X2027" s="412"/>
      <c r="Y2027" s="412"/>
      <c r="Z2027" s="412"/>
      <c r="AA2027" s="412"/>
      <c r="AB2027" s="412"/>
      <c r="AC2027" s="412"/>
      <c r="AD2027" s="412"/>
      <c r="AE2027" s="412"/>
      <c r="AF2027" s="427">
        <v>300</v>
      </c>
      <c r="AG2027" s="412"/>
      <c r="AH2027" s="412"/>
      <c r="AI2027" s="412"/>
      <c r="AJ2027" s="412">
        <f t="shared" si="95"/>
        <v>300</v>
      </c>
      <c r="AK2027" s="410"/>
      <c r="AL2027" s="250" t="s">
        <v>2067</v>
      </c>
    </row>
    <row r="2028" spans="1:38" x14ac:dyDescent="0.2">
      <c r="A2028" s="409" t="s">
        <v>893</v>
      </c>
      <c r="B2028" s="209">
        <v>5587</v>
      </c>
      <c r="C2028" s="210" t="s">
        <v>1089</v>
      </c>
      <c r="D2028" s="229" t="s">
        <v>1559</v>
      </c>
      <c r="E2028" s="229" t="s">
        <v>218</v>
      </c>
      <c r="F2028" s="240">
        <v>300</v>
      </c>
      <c r="G2028" s="205">
        <v>1</v>
      </c>
      <c r="H2028" s="206">
        <v>900</v>
      </c>
      <c r="I2028" s="207">
        <v>41525</v>
      </c>
      <c r="J2028" s="197" t="str">
        <f t="shared" si="96"/>
        <v>ok</v>
      </c>
      <c r="K2028" s="419"/>
      <c r="L2028" s="419"/>
      <c r="M2028" s="419"/>
      <c r="N2028" s="419"/>
      <c r="O2028" s="419"/>
      <c r="P2028" s="419"/>
      <c r="Q2028" s="419"/>
      <c r="R2028" s="419"/>
      <c r="S2028" s="419"/>
      <c r="T2028" s="419"/>
      <c r="U2028" s="419"/>
      <c r="V2028" s="419"/>
      <c r="W2028" s="419">
        <f t="shared" si="94"/>
        <v>0</v>
      </c>
      <c r="X2028" s="412"/>
      <c r="Y2028" s="412"/>
      <c r="Z2028" s="412"/>
      <c r="AA2028" s="412"/>
      <c r="AB2028" s="412"/>
      <c r="AC2028" s="412"/>
      <c r="AD2028" s="412">
        <v>300</v>
      </c>
      <c r="AE2028" s="412">
        <v>300</v>
      </c>
      <c r="AF2028" s="427">
        <v>300</v>
      </c>
      <c r="AG2028" s="412"/>
      <c r="AH2028" s="412"/>
      <c r="AI2028" s="412"/>
      <c r="AJ2028" s="412">
        <f t="shared" si="95"/>
        <v>900</v>
      </c>
      <c r="AK2028" s="410"/>
      <c r="AL2028" s="250" t="s">
        <v>2067</v>
      </c>
    </row>
    <row r="2029" spans="1:38" x14ac:dyDescent="0.2">
      <c r="A2029" s="409" t="s">
        <v>893</v>
      </c>
      <c r="B2029" s="209">
        <v>5588</v>
      </c>
      <c r="C2029" s="210" t="s">
        <v>1147</v>
      </c>
      <c r="D2029" s="229" t="s">
        <v>1551</v>
      </c>
      <c r="E2029" s="229" t="s">
        <v>329</v>
      </c>
      <c r="F2029" s="240">
        <v>300</v>
      </c>
      <c r="G2029" s="205">
        <v>1</v>
      </c>
      <c r="H2029" s="206">
        <v>900</v>
      </c>
      <c r="I2029" s="207">
        <v>41525</v>
      </c>
      <c r="J2029" s="197" t="str">
        <f t="shared" si="96"/>
        <v>ok</v>
      </c>
      <c r="K2029" s="419"/>
      <c r="L2029" s="419"/>
      <c r="M2029" s="419"/>
      <c r="N2029" s="419"/>
      <c r="O2029" s="419"/>
      <c r="P2029" s="419"/>
      <c r="Q2029" s="419"/>
      <c r="R2029" s="419"/>
      <c r="S2029" s="419"/>
      <c r="T2029" s="419"/>
      <c r="U2029" s="419"/>
      <c r="V2029" s="419"/>
      <c r="W2029" s="419">
        <f t="shared" si="94"/>
        <v>0</v>
      </c>
      <c r="X2029" s="412"/>
      <c r="Y2029" s="412"/>
      <c r="Z2029" s="412"/>
      <c r="AA2029" s="412"/>
      <c r="AB2029" s="412"/>
      <c r="AC2029" s="412"/>
      <c r="AD2029" s="412">
        <v>300</v>
      </c>
      <c r="AE2029" s="412">
        <v>300</v>
      </c>
      <c r="AF2029" s="427">
        <v>300</v>
      </c>
      <c r="AG2029" s="412"/>
      <c r="AH2029" s="412"/>
      <c r="AI2029" s="412"/>
      <c r="AJ2029" s="412">
        <f t="shared" si="95"/>
        <v>900</v>
      </c>
      <c r="AK2029" s="410"/>
      <c r="AL2029" s="250" t="s">
        <v>2067</v>
      </c>
    </row>
    <row r="2030" spans="1:38" x14ac:dyDescent="0.2">
      <c r="A2030" s="409" t="s">
        <v>884</v>
      </c>
      <c r="B2030" s="209">
        <v>5589</v>
      </c>
      <c r="C2030" s="210" t="s">
        <v>797</v>
      </c>
      <c r="D2030" s="229" t="s">
        <v>1405</v>
      </c>
      <c r="E2030" s="229" t="s">
        <v>11</v>
      </c>
      <c r="F2030" s="240">
        <v>300</v>
      </c>
      <c r="G2030" s="205">
        <v>1</v>
      </c>
      <c r="H2030" s="206">
        <v>300</v>
      </c>
      <c r="I2030" s="207">
        <v>41525</v>
      </c>
      <c r="J2030" s="197" t="str">
        <f t="shared" si="96"/>
        <v>ok</v>
      </c>
      <c r="K2030" s="419"/>
      <c r="L2030" s="419"/>
      <c r="M2030" s="419"/>
      <c r="N2030" s="419"/>
      <c r="O2030" s="419"/>
      <c r="P2030" s="419"/>
      <c r="Q2030" s="419"/>
      <c r="R2030" s="419"/>
      <c r="S2030" s="419"/>
      <c r="T2030" s="419"/>
      <c r="U2030" s="419"/>
      <c r="V2030" s="419"/>
      <c r="W2030" s="419">
        <f t="shared" si="94"/>
        <v>0</v>
      </c>
      <c r="X2030" s="412"/>
      <c r="Y2030" s="412"/>
      <c r="Z2030" s="412"/>
      <c r="AA2030" s="412"/>
      <c r="AB2030" s="412"/>
      <c r="AC2030" s="412"/>
      <c r="AD2030" s="412"/>
      <c r="AE2030" s="412"/>
      <c r="AF2030" s="427">
        <v>300</v>
      </c>
      <c r="AG2030" s="412"/>
      <c r="AH2030" s="412"/>
      <c r="AI2030" s="412"/>
      <c r="AJ2030" s="412">
        <f t="shared" si="95"/>
        <v>300</v>
      </c>
      <c r="AK2030" s="410"/>
      <c r="AL2030" s="250" t="s">
        <v>2067</v>
      </c>
    </row>
    <row r="2031" spans="1:38" x14ac:dyDescent="0.2">
      <c r="A2031" s="409" t="s">
        <v>884</v>
      </c>
      <c r="B2031" s="209">
        <v>5590</v>
      </c>
      <c r="C2031" s="210" t="s">
        <v>845</v>
      </c>
      <c r="D2031" s="229" t="s">
        <v>1619</v>
      </c>
      <c r="E2031" s="229" t="s">
        <v>84</v>
      </c>
      <c r="F2031" s="240">
        <v>300</v>
      </c>
      <c r="G2031" s="205">
        <v>1</v>
      </c>
      <c r="H2031" s="206">
        <v>600</v>
      </c>
      <c r="I2031" s="207">
        <v>41525</v>
      </c>
      <c r="J2031" s="197" t="str">
        <f t="shared" si="96"/>
        <v>ok</v>
      </c>
      <c r="K2031" s="419"/>
      <c r="L2031" s="419"/>
      <c r="M2031" s="419"/>
      <c r="N2031" s="419"/>
      <c r="O2031" s="419"/>
      <c r="P2031" s="419"/>
      <c r="Q2031" s="419"/>
      <c r="R2031" s="419"/>
      <c r="S2031" s="419"/>
      <c r="T2031" s="419"/>
      <c r="U2031" s="419"/>
      <c r="V2031" s="419"/>
      <c r="W2031" s="419">
        <f t="shared" si="94"/>
        <v>0</v>
      </c>
      <c r="X2031" s="412"/>
      <c r="Y2031" s="412"/>
      <c r="Z2031" s="412"/>
      <c r="AA2031" s="412"/>
      <c r="AB2031" s="412"/>
      <c r="AC2031" s="412"/>
      <c r="AD2031" s="412"/>
      <c r="AE2031" s="412">
        <v>300</v>
      </c>
      <c r="AF2031" s="427">
        <v>300</v>
      </c>
      <c r="AG2031" s="412"/>
      <c r="AH2031" s="412"/>
      <c r="AI2031" s="412"/>
      <c r="AJ2031" s="412">
        <f t="shared" si="95"/>
        <v>600</v>
      </c>
      <c r="AK2031" s="410"/>
      <c r="AL2031" s="250" t="s">
        <v>2067</v>
      </c>
    </row>
    <row r="2032" spans="1:38" x14ac:dyDescent="0.2">
      <c r="A2032" s="409" t="s">
        <v>893</v>
      </c>
      <c r="B2032" s="209">
        <v>5591</v>
      </c>
      <c r="C2032" s="210" t="s">
        <v>1076</v>
      </c>
      <c r="D2032" s="229" t="s">
        <v>1395</v>
      </c>
      <c r="E2032" s="229" t="s">
        <v>193</v>
      </c>
      <c r="F2032" s="240">
        <v>300</v>
      </c>
      <c r="G2032" s="205">
        <v>1</v>
      </c>
      <c r="H2032" s="206">
        <v>300</v>
      </c>
      <c r="I2032" s="207">
        <v>41525</v>
      </c>
      <c r="J2032" s="197" t="str">
        <f t="shared" si="96"/>
        <v>ok</v>
      </c>
      <c r="K2032" s="419"/>
      <c r="L2032" s="419"/>
      <c r="M2032" s="419"/>
      <c r="N2032" s="419"/>
      <c r="O2032" s="419"/>
      <c r="P2032" s="419"/>
      <c r="Q2032" s="419"/>
      <c r="R2032" s="419"/>
      <c r="S2032" s="419"/>
      <c r="T2032" s="419"/>
      <c r="U2032" s="419"/>
      <c r="V2032" s="419"/>
      <c r="W2032" s="419">
        <f t="shared" si="94"/>
        <v>0</v>
      </c>
      <c r="X2032" s="412"/>
      <c r="Y2032" s="412"/>
      <c r="Z2032" s="412"/>
      <c r="AA2032" s="412"/>
      <c r="AB2032" s="412"/>
      <c r="AC2032" s="412"/>
      <c r="AD2032" s="412"/>
      <c r="AE2032" s="412"/>
      <c r="AF2032" s="427">
        <v>300</v>
      </c>
      <c r="AG2032" s="412"/>
      <c r="AH2032" s="412"/>
      <c r="AI2032" s="412"/>
      <c r="AJ2032" s="412">
        <f t="shared" si="95"/>
        <v>300</v>
      </c>
      <c r="AK2032" s="410"/>
      <c r="AL2032" s="250" t="s">
        <v>2067</v>
      </c>
    </row>
    <row r="2033" spans="1:38" x14ac:dyDescent="0.2">
      <c r="A2033" s="409" t="s">
        <v>890</v>
      </c>
      <c r="B2033" s="209">
        <v>5592</v>
      </c>
      <c r="C2033" s="210" t="s">
        <v>1003</v>
      </c>
      <c r="D2033" s="229" t="s">
        <v>1394</v>
      </c>
      <c r="E2033" s="229" t="s">
        <v>493</v>
      </c>
      <c r="F2033" s="240">
        <v>300</v>
      </c>
      <c r="G2033" s="205">
        <v>1</v>
      </c>
      <c r="H2033" s="206">
        <v>600</v>
      </c>
      <c r="I2033" s="207">
        <v>41525</v>
      </c>
      <c r="J2033" s="197" t="str">
        <f t="shared" si="96"/>
        <v>ok</v>
      </c>
      <c r="K2033" s="419"/>
      <c r="L2033" s="419"/>
      <c r="M2033" s="419"/>
      <c r="N2033" s="419"/>
      <c r="O2033" s="419"/>
      <c r="P2033" s="419"/>
      <c r="Q2033" s="419"/>
      <c r="R2033" s="419"/>
      <c r="S2033" s="419"/>
      <c r="T2033" s="419"/>
      <c r="U2033" s="419"/>
      <c r="V2033" s="419"/>
      <c r="W2033" s="419">
        <f t="shared" si="94"/>
        <v>0</v>
      </c>
      <c r="X2033" s="412"/>
      <c r="Y2033" s="412"/>
      <c r="Z2033" s="412"/>
      <c r="AA2033" s="412"/>
      <c r="AB2033" s="412"/>
      <c r="AC2033" s="412"/>
      <c r="AD2033" s="412"/>
      <c r="AE2033" s="412"/>
      <c r="AF2033" s="427">
        <v>300</v>
      </c>
      <c r="AG2033" s="412">
        <v>300</v>
      </c>
      <c r="AH2033" s="412"/>
      <c r="AI2033" s="412"/>
      <c r="AJ2033" s="412">
        <f t="shared" si="95"/>
        <v>600</v>
      </c>
      <c r="AK2033" s="410"/>
      <c r="AL2033" s="250" t="s">
        <v>2067</v>
      </c>
    </row>
    <row r="2034" spans="1:38" x14ac:dyDescent="0.2">
      <c r="A2034" s="409" t="s">
        <v>888</v>
      </c>
      <c r="B2034" s="209">
        <v>5593</v>
      </c>
      <c r="C2034" s="210" t="s">
        <v>1842</v>
      </c>
      <c r="D2034" s="229" t="s">
        <v>2062</v>
      </c>
      <c r="E2034" s="229" t="s">
        <v>432</v>
      </c>
      <c r="F2034" s="240">
        <v>250</v>
      </c>
      <c r="G2034" s="205">
        <v>1</v>
      </c>
      <c r="H2034" s="206">
        <v>500</v>
      </c>
      <c r="I2034" s="207">
        <v>41525</v>
      </c>
      <c r="J2034" s="197" t="str">
        <f t="shared" si="96"/>
        <v>ok</v>
      </c>
      <c r="K2034" s="419"/>
      <c r="L2034" s="419"/>
      <c r="M2034" s="419"/>
      <c r="N2034" s="419"/>
      <c r="O2034" s="419"/>
      <c r="P2034" s="419"/>
      <c r="Q2034" s="419"/>
      <c r="R2034" s="419"/>
      <c r="S2034" s="419"/>
      <c r="T2034" s="419"/>
      <c r="U2034" s="419"/>
      <c r="V2034" s="419"/>
      <c r="W2034" s="419">
        <f t="shared" si="94"/>
        <v>0</v>
      </c>
      <c r="X2034" s="412"/>
      <c r="Y2034" s="412"/>
      <c r="Z2034" s="412"/>
      <c r="AA2034" s="412"/>
      <c r="AB2034" s="412"/>
      <c r="AC2034" s="412"/>
      <c r="AD2034" s="412"/>
      <c r="AE2034" s="412">
        <v>250</v>
      </c>
      <c r="AF2034" s="427">
        <v>250</v>
      </c>
      <c r="AG2034" s="412"/>
      <c r="AH2034" s="412"/>
      <c r="AI2034" s="412"/>
      <c r="AJ2034" s="412">
        <f t="shared" si="95"/>
        <v>500</v>
      </c>
      <c r="AK2034" s="410"/>
      <c r="AL2034" s="250" t="s">
        <v>2067</v>
      </c>
    </row>
    <row r="2035" spans="1:38" x14ac:dyDescent="0.2">
      <c r="A2035" s="409"/>
      <c r="B2035" s="209">
        <v>5593</v>
      </c>
      <c r="C2035" s="210" t="s">
        <v>1842</v>
      </c>
      <c r="D2035" s="229" t="s">
        <v>2062</v>
      </c>
      <c r="E2035" s="229" t="s">
        <v>432</v>
      </c>
      <c r="F2035" s="240">
        <v>250</v>
      </c>
      <c r="G2035" s="205">
        <v>4</v>
      </c>
      <c r="H2035" s="206">
        <v>160</v>
      </c>
      <c r="I2035" s="207">
        <v>41525</v>
      </c>
      <c r="J2035" s="197" t="str">
        <f t="shared" si="96"/>
        <v>ok</v>
      </c>
      <c r="K2035" s="419"/>
      <c r="L2035" s="419"/>
      <c r="M2035" s="419"/>
      <c r="N2035" s="419"/>
      <c r="O2035" s="419"/>
      <c r="P2035" s="419"/>
      <c r="Q2035" s="419"/>
      <c r="R2035" s="419"/>
      <c r="S2035" s="419"/>
      <c r="T2035" s="419"/>
      <c r="U2035" s="419"/>
      <c r="V2035" s="419"/>
      <c r="W2035" s="419">
        <f t="shared" si="94"/>
        <v>0</v>
      </c>
      <c r="X2035" s="412"/>
      <c r="Y2035" s="412"/>
      <c r="Z2035" s="412"/>
      <c r="AA2035" s="412"/>
      <c r="AB2035" s="412"/>
      <c r="AC2035" s="412"/>
      <c r="AD2035" s="412"/>
      <c r="AE2035" s="412"/>
      <c r="AF2035" s="427"/>
      <c r="AG2035" s="412"/>
      <c r="AH2035" s="412"/>
      <c r="AI2035" s="412"/>
      <c r="AJ2035" s="412">
        <f t="shared" si="95"/>
        <v>0</v>
      </c>
      <c r="AK2035" s="410"/>
      <c r="AL2035" s="250" t="s">
        <v>2068</v>
      </c>
    </row>
    <row r="2036" spans="1:38" x14ac:dyDescent="0.2">
      <c r="A2036" s="409" t="s">
        <v>884</v>
      </c>
      <c r="B2036" s="209">
        <v>5594</v>
      </c>
      <c r="C2036" s="210" t="s">
        <v>764</v>
      </c>
      <c r="D2036" s="229" t="s">
        <v>1386</v>
      </c>
      <c r="E2036" s="229" t="s">
        <v>133</v>
      </c>
      <c r="F2036" s="240">
        <v>200</v>
      </c>
      <c r="G2036" s="205">
        <v>1</v>
      </c>
      <c r="H2036" s="206">
        <v>200</v>
      </c>
      <c r="I2036" s="207">
        <v>41525</v>
      </c>
      <c r="J2036" s="197" t="str">
        <f t="shared" si="96"/>
        <v>ok</v>
      </c>
      <c r="K2036" s="419"/>
      <c r="L2036" s="419"/>
      <c r="M2036" s="419"/>
      <c r="N2036" s="419"/>
      <c r="O2036" s="419"/>
      <c r="P2036" s="419"/>
      <c r="Q2036" s="419"/>
      <c r="R2036" s="419"/>
      <c r="S2036" s="419"/>
      <c r="T2036" s="419"/>
      <c r="U2036" s="419"/>
      <c r="V2036" s="419"/>
      <c r="W2036" s="419">
        <f t="shared" si="94"/>
        <v>0</v>
      </c>
      <c r="X2036" s="412"/>
      <c r="Y2036" s="412"/>
      <c r="Z2036" s="412"/>
      <c r="AA2036" s="412"/>
      <c r="AB2036" s="412"/>
      <c r="AC2036" s="412"/>
      <c r="AD2036" s="412"/>
      <c r="AE2036" s="412"/>
      <c r="AF2036" s="427">
        <v>200</v>
      </c>
      <c r="AG2036" s="412"/>
      <c r="AH2036" s="412"/>
      <c r="AI2036" s="412"/>
      <c r="AJ2036" s="412">
        <f t="shared" si="95"/>
        <v>200</v>
      </c>
      <c r="AK2036" s="410"/>
      <c r="AL2036" s="250" t="s">
        <v>2067</v>
      </c>
    </row>
    <row r="2037" spans="1:38" x14ac:dyDescent="0.2">
      <c r="A2037" s="409" t="s">
        <v>888</v>
      </c>
      <c r="B2037" s="209">
        <v>5595</v>
      </c>
      <c r="C2037" s="210" t="s">
        <v>937</v>
      </c>
      <c r="D2037" s="229" t="s">
        <v>1535</v>
      </c>
      <c r="E2037" s="229" t="s">
        <v>392</v>
      </c>
      <c r="F2037" s="240">
        <v>300</v>
      </c>
      <c r="G2037" s="205">
        <v>1</v>
      </c>
      <c r="H2037" s="206">
        <v>600</v>
      </c>
      <c r="I2037" s="207">
        <v>41525</v>
      </c>
      <c r="J2037" s="197" t="str">
        <f t="shared" si="96"/>
        <v>ok</v>
      </c>
      <c r="K2037" s="419"/>
      <c r="L2037" s="419"/>
      <c r="M2037" s="419"/>
      <c r="N2037" s="419"/>
      <c r="O2037" s="419"/>
      <c r="P2037" s="419"/>
      <c r="Q2037" s="419"/>
      <c r="R2037" s="419"/>
      <c r="S2037" s="419"/>
      <c r="T2037" s="419"/>
      <c r="U2037" s="419"/>
      <c r="V2037" s="419"/>
      <c r="W2037" s="419">
        <f t="shared" si="94"/>
        <v>0</v>
      </c>
      <c r="X2037" s="412"/>
      <c r="Y2037" s="412"/>
      <c r="Z2037" s="412"/>
      <c r="AA2037" s="412"/>
      <c r="AB2037" s="412">
        <v>300</v>
      </c>
      <c r="AC2037" s="412">
        <v>300</v>
      </c>
      <c r="AD2037" s="412"/>
      <c r="AE2037" s="412"/>
      <c r="AF2037" s="427"/>
      <c r="AG2037" s="412"/>
      <c r="AH2037" s="412"/>
      <c r="AI2037" s="412"/>
      <c r="AJ2037" s="412">
        <f t="shared" si="95"/>
        <v>600</v>
      </c>
      <c r="AK2037" s="410"/>
      <c r="AL2037" s="250" t="s">
        <v>2067</v>
      </c>
    </row>
    <row r="2038" spans="1:38" x14ac:dyDescent="0.2">
      <c r="A2038" s="409" t="s">
        <v>1362</v>
      </c>
      <c r="B2038" s="209">
        <v>5596</v>
      </c>
      <c r="C2038" s="210"/>
      <c r="D2038" s="229" t="s">
        <v>1362</v>
      </c>
      <c r="E2038" s="229" t="s">
        <v>1362</v>
      </c>
      <c r="F2038" s="240" t="s">
        <v>1362</v>
      </c>
      <c r="G2038" s="205"/>
      <c r="H2038" s="206"/>
      <c r="I2038" s="207">
        <v>41525</v>
      </c>
      <c r="J2038" s="197" t="str">
        <f t="shared" si="96"/>
        <v>ok</v>
      </c>
      <c r="K2038" s="419"/>
      <c r="L2038" s="419"/>
      <c r="M2038" s="419"/>
      <c r="N2038" s="419"/>
      <c r="O2038" s="419"/>
      <c r="P2038" s="419"/>
      <c r="Q2038" s="419"/>
      <c r="R2038" s="419"/>
      <c r="S2038" s="419"/>
      <c r="T2038" s="419"/>
      <c r="U2038" s="419"/>
      <c r="V2038" s="419"/>
      <c r="W2038" s="419">
        <f t="shared" si="94"/>
        <v>0</v>
      </c>
      <c r="X2038" s="412"/>
      <c r="Y2038" s="412"/>
      <c r="Z2038" s="412"/>
      <c r="AA2038" s="412"/>
      <c r="AB2038" s="412"/>
      <c r="AC2038" s="412"/>
      <c r="AD2038" s="412"/>
      <c r="AE2038" s="412"/>
      <c r="AF2038" s="427"/>
      <c r="AG2038" s="412"/>
      <c r="AH2038" s="412"/>
      <c r="AI2038" s="412"/>
      <c r="AJ2038" s="412">
        <f t="shared" si="95"/>
        <v>0</v>
      </c>
      <c r="AK2038" s="410" t="s">
        <v>755</v>
      </c>
      <c r="AL2038" s="250" t="s">
        <v>2067</v>
      </c>
    </row>
    <row r="2039" spans="1:38" x14ac:dyDescent="0.2">
      <c r="A2039" s="409" t="s">
        <v>890</v>
      </c>
      <c r="B2039" s="209">
        <v>5597</v>
      </c>
      <c r="C2039" s="210" t="s">
        <v>770</v>
      </c>
      <c r="D2039" s="229" t="s">
        <v>1438</v>
      </c>
      <c r="E2039" s="229" t="s">
        <v>536</v>
      </c>
      <c r="F2039" s="240">
        <v>300</v>
      </c>
      <c r="G2039" s="205">
        <v>1</v>
      </c>
      <c r="H2039" s="206">
        <v>300</v>
      </c>
      <c r="I2039" s="207">
        <v>41525</v>
      </c>
      <c r="J2039" s="197" t="str">
        <f t="shared" si="96"/>
        <v>ok</v>
      </c>
      <c r="K2039" s="419"/>
      <c r="L2039" s="419"/>
      <c r="M2039" s="419"/>
      <c r="N2039" s="419"/>
      <c r="O2039" s="419"/>
      <c r="P2039" s="419"/>
      <c r="Q2039" s="419"/>
      <c r="R2039" s="419"/>
      <c r="S2039" s="419"/>
      <c r="T2039" s="419"/>
      <c r="U2039" s="419"/>
      <c r="V2039" s="419"/>
      <c r="W2039" s="419">
        <f t="shared" si="94"/>
        <v>0</v>
      </c>
      <c r="X2039" s="412"/>
      <c r="Y2039" s="412"/>
      <c r="Z2039" s="412"/>
      <c r="AA2039" s="412"/>
      <c r="AB2039" s="412"/>
      <c r="AC2039" s="412"/>
      <c r="AD2039" s="412"/>
      <c r="AE2039" s="412"/>
      <c r="AF2039" s="427">
        <v>300</v>
      </c>
      <c r="AG2039" s="412"/>
      <c r="AH2039" s="412"/>
      <c r="AI2039" s="412"/>
      <c r="AJ2039" s="412">
        <f t="shared" si="95"/>
        <v>300</v>
      </c>
      <c r="AK2039" s="410"/>
      <c r="AL2039" s="250" t="s">
        <v>2067</v>
      </c>
    </row>
    <row r="2040" spans="1:38" x14ac:dyDescent="0.2">
      <c r="A2040" s="409" t="s">
        <v>893</v>
      </c>
      <c r="B2040" s="209">
        <v>5598</v>
      </c>
      <c r="C2040" s="210" t="s">
        <v>1122</v>
      </c>
      <c r="D2040" s="229" t="s">
        <v>1577</v>
      </c>
      <c r="E2040" s="229" t="s">
        <v>280</v>
      </c>
      <c r="F2040" s="240">
        <v>300</v>
      </c>
      <c r="G2040" s="205">
        <v>1</v>
      </c>
      <c r="H2040" s="206">
        <v>300</v>
      </c>
      <c r="I2040" s="207">
        <v>41525</v>
      </c>
      <c r="J2040" s="197" t="str">
        <f t="shared" si="96"/>
        <v>ok</v>
      </c>
      <c r="K2040" s="419"/>
      <c r="L2040" s="419"/>
      <c r="M2040" s="419"/>
      <c r="N2040" s="419"/>
      <c r="O2040" s="419"/>
      <c r="P2040" s="419"/>
      <c r="Q2040" s="419"/>
      <c r="R2040" s="419"/>
      <c r="S2040" s="419"/>
      <c r="T2040" s="419"/>
      <c r="U2040" s="419"/>
      <c r="V2040" s="419"/>
      <c r="W2040" s="419">
        <f t="shared" si="94"/>
        <v>0</v>
      </c>
      <c r="X2040" s="412"/>
      <c r="Y2040" s="412"/>
      <c r="Z2040" s="412"/>
      <c r="AA2040" s="412"/>
      <c r="AB2040" s="412"/>
      <c r="AC2040" s="412"/>
      <c r="AD2040" s="412"/>
      <c r="AE2040" s="412"/>
      <c r="AF2040" s="427">
        <v>300</v>
      </c>
      <c r="AG2040" s="412"/>
      <c r="AH2040" s="412"/>
      <c r="AI2040" s="412"/>
      <c r="AJ2040" s="412">
        <f t="shared" si="95"/>
        <v>300</v>
      </c>
      <c r="AK2040" s="410"/>
      <c r="AL2040" s="250" t="s">
        <v>2067</v>
      </c>
    </row>
    <row r="2041" spans="1:38" x14ac:dyDescent="0.2">
      <c r="A2041" s="409" t="s">
        <v>893</v>
      </c>
      <c r="B2041" s="209">
        <v>5599</v>
      </c>
      <c r="C2041" s="210" t="s">
        <v>1113</v>
      </c>
      <c r="D2041" s="229" t="s">
        <v>1531</v>
      </c>
      <c r="E2041" s="229" t="s">
        <v>57</v>
      </c>
      <c r="F2041" s="240">
        <v>150</v>
      </c>
      <c r="G2041" s="205">
        <v>1</v>
      </c>
      <c r="H2041" s="206">
        <v>150</v>
      </c>
      <c r="I2041" s="207">
        <v>41525</v>
      </c>
      <c r="J2041" s="197" t="str">
        <f t="shared" si="96"/>
        <v>ok</v>
      </c>
      <c r="K2041" s="419"/>
      <c r="L2041" s="419"/>
      <c r="M2041" s="419"/>
      <c r="N2041" s="419"/>
      <c r="O2041" s="419"/>
      <c r="P2041" s="419"/>
      <c r="Q2041" s="419"/>
      <c r="R2041" s="419"/>
      <c r="S2041" s="419"/>
      <c r="T2041" s="419"/>
      <c r="U2041" s="419"/>
      <c r="V2041" s="419"/>
      <c r="W2041" s="419">
        <f t="shared" si="94"/>
        <v>0</v>
      </c>
      <c r="X2041" s="412"/>
      <c r="Y2041" s="412"/>
      <c r="Z2041" s="412"/>
      <c r="AA2041" s="412"/>
      <c r="AB2041" s="412"/>
      <c r="AC2041" s="412"/>
      <c r="AD2041" s="412"/>
      <c r="AE2041" s="412"/>
      <c r="AF2041" s="427">
        <v>150</v>
      </c>
      <c r="AG2041" s="412"/>
      <c r="AH2041" s="412"/>
      <c r="AI2041" s="412"/>
      <c r="AJ2041" s="412">
        <f t="shared" si="95"/>
        <v>150</v>
      </c>
      <c r="AK2041" s="410"/>
      <c r="AL2041" s="250" t="s">
        <v>2067</v>
      </c>
    </row>
    <row r="2042" spans="1:38" x14ac:dyDescent="0.2">
      <c r="A2042" s="409" t="s">
        <v>888</v>
      </c>
      <c r="B2042" s="209">
        <v>5600</v>
      </c>
      <c r="C2042" s="210" t="s">
        <v>910</v>
      </c>
      <c r="D2042" s="229" t="s">
        <v>1514</v>
      </c>
      <c r="E2042" s="229" t="s">
        <v>1262</v>
      </c>
      <c r="F2042" s="240">
        <v>150</v>
      </c>
      <c r="G2042" s="205">
        <v>1</v>
      </c>
      <c r="H2042" s="206">
        <v>300</v>
      </c>
      <c r="I2042" s="207">
        <v>41525</v>
      </c>
      <c r="J2042" s="197" t="str">
        <f t="shared" si="96"/>
        <v>ok</v>
      </c>
      <c r="K2042" s="419"/>
      <c r="L2042" s="419"/>
      <c r="M2042" s="419"/>
      <c r="N2042" s="419"/>
      <c r="O2042" s="419"/>
      <c r="P2042" s="419"/>
      <c r="Q2042" s="419"/>
      <c r="R2042" s="419"/>
      <c r="S2042" s="419"/>
      <c r="T2042" s="419"/>
      <c r="U2042" s="419"/>
      <c r="V2042" s="419"/>
      <c r="W2042" s="419">
        <f t="shared" si="94"/>
        <v>0</v>
      </c>
      <c r="X2042" s="412"/>
      <c r="Y2042" s="412"/>
      <c r="Z2042" s="412"/>
      <c r="AA2042" s="412"/>
      <c r="AB2042" s="412"/>
      <c r="AC2042" s="412"/>
      <c r="AD2042" s="412"/>
      <c r="AE2042" s="412">
        <v>150</v>
      </c>
      <c r="AF2042" s="427">
        <v>150</v>
      </c>
      <c r="AG2042" s="412"/>
      <c r="AH2042" s="412"/>
      <c r="AI2042" s="412"/>
      <c r="AJ2042" s="412">
        <f t="shared" si="95"/>
        <v>300</v>
      </c>
      <c r="AK2042" s="410"/>
      <c r="AL2042" s="250" t="s">
        <v>2067</v>
      </c>
    </row>
    <row r="2043" spans="1:38" x14ac:dyDescent="0.2">
      <c r="A2043" s="409" t="s">
        <v>884</v>
      </c>
      <c r="B2043" s="209">
        <v>5601</v>
      </c>
      <c r="C2043" s="210" t="s">
        <v>843</v>
      </c>
      <c r="D2043" s="229" t="s">
        <v>1434</v>
      </c>
      <c r="E2043" s="229" t="s">
        <v>1189</v>
      </c>
      <c r="F2043" s="240">
        <v>300</v>
      </c>
      <c r="G2043" s="205">
        <v>1</v>
      </c>
      <c r="H2043" s="206">
        <v>300</v>
      </c>
      <c r="I2043" s="207">
        <v>41525</v>
      </c>
      <c r="J2043" s="197" t="str">
        <f t="shared" si="96"/>
        <v>ok</v>
      </c>
      <c r="K2043" s="419"/>
      <c r="L2043" s="419"/>
      <c r="M2043" s="419"/>
      <c r="N2043" s="419"/>
      <c r="O2043" s="419"/>
      <c r="P2043" s="419"/>
      <c r="Q2043" s="419"/>
      <c r="R2043" s="419"/>
      <c r="S2043" s="419"/>
      <c r="T2043" s="419"/>
      <c r="U2043" s="419"/>
      <c r="V2043" s="419"/>
      <c r="W2043" s="419">
        <f t="shared" si="94"/>
        <v>0</v>
      </c>
      <c r="X2043" s="412"/>
      <c r="Y2043" s="412"/>
      <c r="Z2043" s="412"/>
      <c r="AA2043" s="412"/>
      <c r="AB2043" s="412"/>
      <c r="AC2043" s="412"/>
      <c r="AD2043" s="412"/>
      <c r="AE2043" s="412"/>
      <c r="AF2043" s="427">
        <v>300</v>
      </c>
      <c r="AG2043" s="412"/>
      <c r="AH2043" s="412"/>
      <c r="AI2043" s="412"/>
      <c r="AJ2043" s="412">
        <f t="shared" si="95"/>
        <v>300</v>
      </c>
      <c r="AK2043" s="410"/>
      <c r="AL2043" s="250" t="s">
        <v>2067</v>
      </c>
    </row>
    <row r="2044" spans="1:38" x14ac:dyDescent="0.2">
      <c r="A2044" s="409" t="s">
        <v>890</v>
      </c>
      <c r="B2044" s="209">
        <v>5602</v>
      </c>
      <c r="C2044" s="210" t="s">
        <v>1037</v>
      </c>
      <c r="D2044" s="229" t="s">
        <v>1612</v>
      </c>
      <c r="E2044" s="229" t="s">
        <v>543</v>
      </c>
      <c r="F2044" s="240">
        <v>300</v>
      </c>
      <c r="G2044" s="205">
        <v>1</v>
      </c>
      <c r="H2044" s="206">
        <v>300</v>
      </c>
      <c r="I2044" s="207">
        <v>41525</v>
      </c>
      <c r="J2044" s="197" t="str">
        <f t="shared" si="96"/>
        <v>ok</v>
      </c>
      <c r="K2044" s="419"/>
      <c r="L2044" s="419"/>
      <c r="M2044" s="419"/>
      <c r="N2044" s="419"/>
      <c r="O2044" s="419"/>
      <c r="P2044" s="419"/>
      <c r="Q2044" s="419"/>
      <c r="R2044" s="419"/>
      <c r="S2044" s="419"/>
      <c r="T2044" s="419"/>
      <c r="U2044" s="419"/>
      <c r="V2044" s="419"/>
      <c r="W2044" s="419">
        <f t="shared" si="94"/>
        <v>0</v>
      </c>
      <c r="X2044" s="412"/>
      <c r="Y2044" s="412"/>
      <c r="Z2044" s="412"/>
      <c r="AA2044" s="412"/>
      <c r="AB2044" s="412"/>
      <c r="AC2044" s="412"/>
      <c r="AD2044" s="412"/>
      <c r="AE2044" s="412"/>
      <c r="AF2044" s="427">
        <v>300</v>
      </c>
      <c r="AG2044" s="412"/>
      <c r="AH2044" s="412"/>
      <c r="AI2044" s="412"/>
      <c r="AJ2044" s="412">
        <f t="shared" si="95"/>
        <v>300</v>
      </c>
      <c r="AK2044" s="410"/>
      <c r="AL2044" s="250" t="s">
        <v>2067</v>
      </c>
    </row>
    <row r="2045" spans="1:38" x14ac:dyDescent="0.2">
      <c r="A2045" s="409" t="s">
        <v>893</v>
      </c>
      <c r="B2045" s="209">
        <v>5603</v>
      </c>
      <c r="C2045" s="210" t="s">
        <v>1123</v>
      </c>
      <c r="D2045" s="229" t="s">
        <v>1840</v>
      </c>
      <c r="E2045" s="229" t="s">
        <v>282</v>
      </c>
      <c r="F2045" s="240">
        <v>300</v>
      </c>
      <c r="G2045" s="205">
        <v>1</v>
      </c>
      <c r="H2045" s="206">
        <v>1200</v>
      </c>
      <c r="I2045" s="207">
        <v>41525</v>
      </c>
      <c r="J2045" s="197" t="str">
        <f t="shared" si="96"/>
        <v>ok</v>
      </c>
      <c r="K2045" s="419"/>
      <c r="L2045" s="419"/>
      <c r="M2045" s="419"/>
      <c r="N2045" s="419"/>
      <c r="O2045" s="419"/>
      <c r="P2045" s="419"/>
      <c r="Q2045" s="419"/>
      <c r="R2045" s="419"/>
      <c r="S2045" s="419"/>
      <c r="T2045" s="419"/>
      <c r="U2045" s="419"/>
      <c r="V2045" s="419"/>
      <c r="W2045" s="419">
        <f t="shared" si="94"/>
        <v>0</v>
      </c>
      <c r="X2045" s="412"/>
      <c r="Y2045" s="412"/>
      <c r="Z2045" s="412"/>
      <c r="AA2045" s="412"/>
      <c r="AB2045" s="412"/>
      <c r="AC2045" s="412"/>
      <c r="AD2045" s="412"/>
      <c r="AE2045" s="412"/>
      <c r="AF2045" s="427">
        <v>300</v>
      </c>
      <c r="AG2045" s="412">
        <v>300</v>
      </c>
      <c r="AH2045" s="412">
        <v>300</v>
      </c>
      <c r="AI2045" s="412">
        <v>300</v>
      </c>
      <c r="AJ2045" s="412">
        <f t="shared" si="95"/>
        <v>1200</v>
      </c>
      <c r="AK2045" s="410"/>
      <c r="AL2045" s="250" t="s">
        <v>2067</v>
      </c>
    </row>
    <row r="2046" spans="1:38" x14ac:dyDescent="0.2">
      <c r="A2046" s="409" t="s">
        <v>888</v>
      </c>
      <c r="B2046" s="209">
        <v>5604</v>
      </c>
      <c r="C2046" s="210" t="s">
        <v>940</v>
      </c>
      <c r="D2046" s="229" t="s">
        <v>1575</v>
      </c>
      <c r="E2046" s="229" t="s">
        <v>397</v>
      </c>
      <c r="F2046" s="240">
        <v>300</v>
      </c>
      <c r="G2046" s="205">
        <v>1</v>
      </c>
      <c r="H2046" s="206">
        <v>300</v>
      </c>
      <c r="I2046" s="207">
        <v>41525</v>
      </c>
      <c r="J2046" s="197" t="str">
        <f t="shared" si="96"/>
        <v>ok</v>
      </c>
      <c r="K2046" s="419"/>
      <c r="L2046" s="419"/>
      <c r="M2046" s="419"/>
      <c r="N2046" s="419"/>
      <c r="O2046" s="419"/>
      <c r="P2046" s="419"/>
      <c r="Q2046" s="419"/>
      <c r="R2046" s="419"/>
      <c r="S2046" s="419"/>
      <c r="T2046" s="419"/>
      <c r="U2046" s="419"/>
      <c r="V2046" s="419"/>
      <c r="W2046" s="419">
        <f t="shared" si="94"/>
        <v>0</v>
      </c>
      <c r="X2046" s="412"/>
      <c r="Y2046" s="412"/>
      <c r="Z2046" s="412"/>
      <c r="AA2046" s="412"/>
      <c r="AB2046" s="412"/>
      <c r="AC2046" s="412"/>
      <c r="AD2046" s="412"/>
      <c r="AE2046" s="412"/>
      <c r="AF2046" s="427">
        <v>300</v>
      </c>
      <c r="AG2046" s="412"/>
      <c r="AH2046" s="412"/>
      <c r="AI2046" s="412"/>
      <c r="AJ2046" s="412">
        <f t="shared" si="95"/>
        <v>300</v>
      </c>
      <c r="AK2046" s="410"/>
      <c r="AL2046" s="250" t="s">
        <v>2067</v>
      </c>
    </row>
    <row r="2047" spans="1:38" x14ac:dyDescent="0.2">
      <c r="A2047" s="409" t="s">
        <v>893</v>
      </c>
      <c r="B2047" s="209">
        <v>5605</v>
      </c>
      <c r="C2047" s="210" t="s">
        <v>1086</v>
      </c>
      <c r="D2047" s="229" t="s">
        <v>1376</v>
      </c>
      <c r="E2047" s="229" t="s">
        <v>1704</v>
      </c>
      <c r="F2047" s="240">
        <v>300</v>
      </c>
      <c r="G2047" s="205">
        <v>1</v>
      </c>
      <c r="H2047" s="206">
        <v>300</v>
      </c>
      <c r="I2047" s="207">
        <v>41525</v>
      </c>
      <c r="J2047" s="197" t="str">
        <f t="shared" si="96"/>
        <v>ok</v>
      </c>
      <c r="K2047" s="419"/>
      <c r="L2047" s="419"/>
      <c r="M2047" s="419"/>
      <c r="N2047" s="419"/>
      <c r="O2047" s="419"/>
      <c r="P2047" s="419"/>
      <c r="Q2047" s="419"/>
      <c r="R2047" s="419"/>
      <c r="S2047" s="419"/>
      <c r="T2047" s="419"/>
      <c r="U2047" s="419"/>
      <c r="V2047" s="419"/>
      <c r="W2047" s="419">
        <f t="shared" si="94"/>
        <v>0</v>
      </c>
      <c r="X2047" s="412"/>
      <c r="Y2047" s="412"/>
      <c r="Z2047" s="412"/>
      <c r="AA2047" s="412"/>
      <c r="AB2047" s="412"/>
      <c r="AC2047" s="412"/>
      <c r="AD2047" s="412"/>
      <c r="AE2047" s="412"/>
      <c r="AF2047" s="427">
        <v>300</v>
      </c>
      <c r="AG2047" s="412"/>
      <c r="AH2047" s="412"/>
      <c r="AI2047" s="412"/>
      <c r="AJ2047" s="412">
        <f t="shared" si="95"/>
        <v>300</v>
      </c>
      <c r="AK2047" s="410"/>
      <c r="AL2047" s="250" t="s">
        <v>2067</v>
      </c>
    </row>
    <row r="2048" spans="1:38" x14ac:dyDescent="0.2">
      <c r="A2048" s="409" t="s">
        <v>892</v>
      </c>
      <c r="B2048" s="209">
        <v>5606</v>
      </c>
      <c r="C2048" s="210" t="s">
        <v>1181</v>
      </c>
      <c r="D2048" s="229" t="s">
        <v>1425</v>
      </c>
      <c r="E2048" s="229" t="s">
        <v>557</v>
      </c>
      <c r="F2048" s="240">
        <v>300</v>
      </c>
      <c r="G2048" s="205">
        <v>5</v>
      </c>
      <c r="H2048" s="206">
        <v>20</v>
      </c>
      <c r="I2048" s="207">
        <v>41525</v>
      </c>
      <c r="J2048" s="197" t="str">
        <f t="shared" si="96"/>
        <v>ok</v>
      </c>
      <c r="K2048" s="419"/>
      <c r="L2048" s="419"/>
      <c r="M2048" s="419"/>
      <c r="N2048" s="419"/>
      <c r="O2048" s="419"/>
      <c r="P2048" s="419"/>
      <c r="Q2048" s="419"/>
      <c r="R2048" s="419"/>
      <c r="S2048" s="419"/>
      <c r="T2048" s="419"/>
      <c r="U2048" s="419"/>
      <c r="V2048" s="419"/>
      <c r="W2048" s="419">
        <f t="shared" si="94"/>
        <v>0</v>
      </c>
      <c r="X2048" s="412"/>
      <c r="Y2048" s="412"/>
      <c r="Z2048" s="412"/>
      <c r="AA2048" s="412"/>
      <c r="AB2048" s="412"/>
      <c r="AC2048" s="412"/>
      <c r="AD2048" s="412"/>
      <c r="AE2048" s="412"/>
      <c r="AF2048" s="427"/>
      <c r="AG2048" s="412"/>
      <c r="AH2048" s="412"/>
      <c r="AI2048" s="412"/>
      <c r="AJ2048" s="412">
        <f t="shared" si="95"/>
        <v>0</v>
      </c>
      <c r="AK2048" s="410"/>
      <c r="AL2048" s="250" t="s">
        <v>2068</v>
      </c>
    </row>
    <row r="2049" spans="1:38" x14ac:dyDescent="0.2">
      <c r="A2049" s="409" t="s">
        <v>891</v>
      </c>
      <c r="B2049" s="209">
        <v>5607</v>
      </c>
      <c r="C2049" s="210" t="s">
        <v>1049</v>
      </c>
      <c r="D2049" s="229" t="s">
        <v>1550</v>
      </c>
      <c r="E2049" s="229" t="s">
        <v>649</v>
      </c>
      <c r="F2049" s="240">
        <v>100</v>
      </c>
      <c r="G2049" s="205">
        <v>1</v>
      </c>
      <c r="H2049" s="206">
        <v>100</v>
      </c>
      <c r="I2049" s="207">
        <v>41525</v>
      </c>
      <c r="J2049" s="197" t="str">
        <f t="shared" si="96"/>
        <v>ok</v>
      </c>
      <c r="K2049" s="419"/>
      <c r="L2049" s="419"/>
      <c r="M2049" s="419"/>
      <c r="N2049" s="419"/>
      <c r="O2049" s="419"/>
      <c r="P2049" s="419"/>
      <c r="Q2049" s="419"/>
      <c r="R2049" s="419"/>
      <c r="S2049" s="419"/>
      <c r="T2049" s="419"/>
      <c r="U2049" s="419"/>
      <c r="V2049" s="419"/>
      <c r="W2049" s="419">
        <f t="shared" si="94"/>
        <v>0</v>
      </c>
      <c r="X2049" s="412"/>
      <c r="Y2049" s="412"/>
      <c r="Z2049" s="412"/>
      <c r="AA2049" s="412"/>
      <c r="AB2049" s="412"/>
      <c r="AC2049" s="412"/>
      <c r="AD2049" s="412"/>
      <c r="AE2049" s="412"/>
      <c r="AF2049" s="427">
        <v>100</v>
      </c>
      <c r="AG2049" s="412"/>
      <c r="AH2049" s="412"/>
      <c r="AI2049" s="412"/>
      <c r="AJ2049" s="412">
        <f t="shared" si="95"/>
        <v>100</v>
      </c>
      <c r="AK2049" s="410"/>
      <c r="AL2049" s="250" t="s">
        <v>2067</v>
      </c>
    </row>
    <row r="2050" spans="1:38" x14ac:dyDescent="0.2">
      <c r="A2050" s="409" t="s">
        <v>890</v>
      </c>
      <c r="B2050" s="209">
        <v>5608</v>
      </c>
      <c r="C2050" s="210" t="s">
        <v>1045</v>
      </c>
      <c r="D2050" s="229" t="s">
        <v>1435</v>
      </c>
      <c r="E2050" s="229" t="s">
        <v>557</v>
      </c>
      <c r="F2050" s="240">
        <v>300</v>
      </c>
      <c r="G2050" s="205">
        <v>1</v>
      </c>
      <c r="H2050" s="206">
        <v>300</v>
      </c>
      <c r="I2050" s="207">
        <v>41525</v>
      </c>
      <c r="J2050" s="197" t="str">
        <f t="shared" si="96"/>
        <v>ok</v>
      </c>
      <c r="K2050" s="419"/>
      <c r="L2050" s="419"/>
      <c r="M2050" s="419"/>
      <c r="N2050" s="419"/>
      <c r="O2050" s="419"/>
      <c r="P2050" s="419"/>
      <c r="Q2050" s="419"/>
      <c r="R2050" s="419"/>
      <c r="S2050" s="419"/>
      <c r="T2050" s="419"/>
      <c r="U2050" s="419"/>
      <c r="V2050" s="419"/>
      <c r="W2050" s="419">
        <f t="shared" si="94"/>
        <v>0</v>
      </c>
      <c r="X2050" s="412"/>
      <c r="Y2050" s="412"/>
      <c r="Z2050" s="412"/>
      <c r="AA2050" s="412"/>
      <c r="AB2050" s="412"/>
      <c r="AC2050" s="412"/>
      <c r="AD2050" s="412"/>
      <c r="AE2050" s="412"/>
      <c r="AF2050" s="427">
        <v>300</v>
      </c>
      <c r="AG2050" s="412"/>
      <c r="AH2050" s="412"/>
      <c r="AI2050" s="412"/>
      <c r="AJ2050" s="412">
        <f t="shared" si="95"/>
        <v>300</v>
      </c>
      <c r="AK2050" s="410"/>
      <c r="AL2050" s="250" t="s">
        <v>2067</v>
      </c>
    </row>
    <row r="2051" spans="1:38" x14ac:dyDescent="0.2">
      <c r="A2051" s="409" t="s">
        <v>893</v>
      </c>
      <c r="B2051" s="209">
        <v>5609</v>
      </c>
      <c r="C2051" s="210" t="s">
        <v>1080</v>
      </c>
      <c r="D2051" s="229" t="s">
        <v>1598</v>
      </c>
      <c r="E2051" s="229" t="s">
        <v>200</v>
      </c>
      <c r="F2051" s="240">
        <v>300</v>
      </c>
      <c r="G2051" s="205">
        <v>3</v>
      </c>
      <c r="H2051" s="206">
        <v>160</v>
      </c>
      <c r="I2051" s="207">
        <v>41525</v>
      </c>
      <c r="J2051" s="197" t="str">
        <f t="shared" si="96"/>
        <v>ok</v>
      </c>
      <c r="K2051" s="419"/>
      <c r="L2051" s="419"/>
      <c r="M2051" s="419"/>
      <c r="N2051" s="419"/>
      <c r="O2051" s="419"/>
      <c r="P2051" s="419"/>
      <c r="Q2051" s="419"/>
      <c r="R2051" s="419"/>
      <c r="S2051" s="419"/>
      <c r="T2051" s="419"/>
      <c r="U2051" s="419"/>
      <c r="V2051" s="419"/>
      <c r="W2051" s="419">
        <f t="shared" si="94"/>
        <v>0</v>
      </c>
      <c r="X2051" s="412"/>
      <c r="Y2051" s="412"/>
      <c r="Z2051" s="412"/>
      <c r="AA2051" s="412"/>
      <c r="AB2051" s="412"/>
      <c r="AC2051" s="412"/>
      <c r="AD2051" s="412"/>
      <c r="AE2051" s="412"/>
      <c r="AF2051" s="427"/>
      <c r="AG2051" s="412"/>
      <c r="AH2051" s="412"/>
      <c r="AI2051" s="412"/>
      <c r="AJ2051" s="412">
        <f t="shared" si="95"/>
        <v>0</v>
      </c>
      <c r="AK2051" s="410"/>
      <c r="AL2051" s="250" t="s">
        <v>2068</v>
      </c>
    </row>
    <row r="2052" spans="1:38" x14ac:dyDescent="0.2">
      <c r="A2052" s="409" t="s">
        <v>894</v>
      </c>
      <c r="B2052" s="209">
        <v>5610</v>
      </c>
      <c r="C2052" s="210" t="s">
        <v>1176</v>
      </c>
      <c r="D2052" s="229" t="s">
        <v>1414</v>
      </c>
      <c r="E2052" s="229" t="s">
        <v>634</v>
      </c>
      <c r="F2052" s="240">
        <v>250</v>
      </c>
      <c r="G2052" s="205">
        <v>1</v>
      </c>
      <c r="H2052" s="206">
        <v>500</v>
      </c>
      <c r="I2052" s="207">
        <v>41525</v>
      </c>
      <c r="J2052" s="197" t="str">
        <f t="shared" si="96"/>
        <v>ok</v>
      </c>
      <c r="K2052" s="419"/>
      <c r="L2052" s="419"/>
      <c r="M2052" s="419"/>
      <c r="N2052" s="419"/>
      <c r="O2052" s="419"/>
      <c r="P2052" s="419"/>
      <c r="Q2052" s="419"/>
      <c r="R2052" s="419"/>
      <c r="S2052" s="419"/>
      <c r="T2052" s="419"/>
      <c r="U2052" s="419"/>
      <c r="V2052" s="419"/>
      <c r="W2052" s="419">
        <f t="shared" si="94"/>
        <v>0</v>
      </c>
      <c r="X2052" s="412"/>
      <c r="Y2052" s="412"/>
      <c r="Z2052" s="412"/>
      <c r="AA2052" s="412"/>
      <c r="AB2052" s="412"/>
      <c r="AC2052" s="412"/>
      <c r="AD2052" s="412"/>
      <c r="AE2052" s="412">
        <v>250</v>
      </c>
      <c r="AF2052" s="427">
        <v>250</v>
      </c>
      <c r="AG2052" s="412"/>
      <c r="AH2052" s="412"/>
      <c r="AI2052" s="412"/>
      <c r="AJ2052" s="412">
        <f t="shared" si="95"/>
        <v>500</v>
      </c>
      <c r="AK2052" s="410"/>
      <c r="AL2052" s="250" t="s">
        <v>2067</v>
      </c>
    </row>
    <row r="2053" spans="1:38" x14ac:dyDescent="0.2">
      <c r="A2053" s="409" t="s">
        <v>893</v>
      </c>
      <c r="B2053" s="209">
        <v>5611</v>
      </c>
      <c r="C2053" s="210" t="s">
        <v>1134</v>
      </c>
      <c r="D2053" s="229" t="s">
        <v>1556</v>
      </c>
      <c r="E2053" s="229" t="s">
        <v>305</v>
      </c>
      <c r="F2053" s="240">
        <v>300</v>
      </c>
      <c r="G2053" s="205">
        <v>1</v>
      </c>
      <c r="H2053" s="206">
        <v>600</v>
      </c>
      <c r="I2053" s="207">
        <v>41525</v>
      </c>
      <c r="J2053" s="197" t="str">
        <f t="shared" si="96"/>
        <v>ok</v>
      </c>
      <c r="K2053" s="419"/>
      <c r="L2053" s="419"/>
      <c r="M2053" s="419"/>
      <c r="N2053" s="419"/>
      <c r="O2053" s="419"/>
      <c r="P2053" s="419"/>
      <c r="Q2053" s="419"/>
      <c r="R2053" s="419"/>
      <c r="S2053" s="419"/>
      <c r="T2053" s="419"/>
      <c r="U2053" s="419"/>
      <c r="V2053" s="419"/>
      <c r="W2053" s="419">
        <f t="shared" si="94"/>
        <v>0</v>
      </c>
      <c r="X2053" s="412"/>
      <c r="Y2053" s="412"/>
      <c r="Z2053" s="412"/>
      <c r="AA2053" s="412"/>
      <c r="AB2053" s="412"/>
      <c r="AC2053" s="412"/>
      <c r="AD2053" s="412"/>
      <c r="AE2053" s="412">
        <v>300</v>
      </c>
      <c r="AF2053" s="427">
        <v>300</v>
      </c>
      <c r="AG2053" s="412"/>
      <c r="AH2053" s="412"/>
      <c r="AI2053" s="412"/>
      <c r="AJ2053" s="412">
        <f t="shared" si="95"/>
        <v>600</v>
      </c>
      <c r="AK2053" s="410"/>
      <c r="AL2053" s="250" t="s">
        <v>2067</v>
      </c>
    </row>
    <row r="2054" spans="1:38" x14ac:dyDescent="0.2">
      <c r="A2054" s="409" t="s">
        <v>893</v>
      </c>
      <c r="B2054" s="209">
        <v>5612</v>
      </c>
      <c r="C2054" s="210" t="s">
        <v>1109</v>
      </c>
      <c r="D2054" s="229" t="s">
        <v>1533</v>
      </c>
      <c r="E2054" s="229" t="s">
        <v>1667</v>
      </c>
      <c r="F2054" s="240">
        <v>300</v>
      </c>
      <c r="G2054" s="205">
        <v>1</v>
      </c>
      <c r="H2054" s="206">
        <v>900</v>
      </c>
      <c r="I2054" s="207">
        <v>41525</v>
      </c>
      <c r="J2054" s="197" t="str">
        <f t="shared" si="96"/>
        <v>ok</v>
      </c>
      <c r="K2054" s="419"/>
      <c r="L2054" s="419"/>
      <c r="M2054" s="419"/>
      <c r="N2054" s="419"/>
      <c r="O2054" s="419"/>
      <c r="P2054" s="419"/>
      <c r="Q2054" s="419"/>
      <c r="R2054" s="419"/>
      <c r="S2054" s="419"/>
      <c r="T2054" s="419"/>
      <c r="U2054" s="419"/>
      <c r="V2054" s="419"/>
      <c r="W2054" s="419">
        <f t="shared" si="94"/>
        <v>0</v>
      </c>
      <c r="X2054" s="412"/>
      <c r="Y2054" s="412"/>
      <c r="Z2054" s="412"/>
      <c r="AA2054" s="412"/>
      <c r="AB2054" s="412"/>
      <c r="AC2054" s="412">
        <v>300</v>
      </c>
      <c r="AD2054" s="412">
        <v>300</v>
      </c>
      <c r="AE2054" s="412">
        <v>300</v>
      </c>
      <c r="AF2054" s="427"/>
      <c r="AG2054" s="412"/>
      <c r="AH2054" s="412"/>
      <c r="AI2054" s="412"/>
      <c r="AJ2054" s="412">
        <f t="shared" si="95"/>
        <v>900</v>
      </c>
      <c r="AK2054" s="410"/>
      <c r="AL2054" s="250" t="s">
        <v>2067</v>
      </c>
    </row>
    <row r="2055" spans="1:38" x14ac:dyDescent="0.2">
      <c r="A2055" s="409" t="s">
        <v>884</v>
      </c>
      <c r="B2055" s="209">
        <v>5613</v>
      </c>
      <c r="C2055" s="210" t="s">
        <v>847</v>
      </c>
      <c r="D2055" s="229" t="s">
        <v>1647</v>
      </c>
      <c r="E2055" s="229" t="s">
        <v>88</v>
      </c>
      <c r="F2055" s="240">
        <v>300</v>
      </c>
      <c r="G2055" s="205">
        <v>1</v>
      </c>
      <c r="H2055" s="206">
        <v>300</v>
      </c>
      <c r="I2055" s="207">
        <v>41529</v>
      </c>
      <c r="J2055" s="197" t="str">
        <f t="shared" si="96"/>
        <v>ok</v>
      </c>
      <c r="K2055" s="419"/>
      <c r="L2055" s="419"/>
      <c r="M2055" s="419"/>
      <c r="N2055" s="419"/>
      <c r="O2055" s="419"/>
      <c r="P2055" s="419"/>
      <c r="Q2055" s="419"/>
      <c r="R2055" s="419"/>
      <c r="S2055" s="419"/>
      <c r="T2055" s="419"/>
      <c r="U2055" s="419"/>
      <c r="V2055" s="419"/>
      <c r="W2055" s="419">
        <f t="shared" ref="W2055:W2118" si="97">SUM(K2055:V2055)</f>
        <v>0</v>
      </c>
      <c r="X2055" s="412"/>
      <c r="Y2055" s="412"/>
      <c r="Z2055" s="412"/>
      <c r="AA2055" s="412"/>
      <c r="AB2055" s="412"/>
      <c r="AC2055" s="412"/>
      <c r="AD2055" s="412"/>
      <c r="AE2055" s="412"/>
      <c r="AF2055" s="427">
        <v>300</v>
      </c>
      <c r="AG2055" s="412"/>
      <c r="AH2055" s="412"/>
      <c r="AI2055" s="412"/>
      <c r="AJ2055" s="412">
        <f t="shared" ref="AJ2055:AJ2118" si="98">SUM(X2055:AI2055)</f>
        <v>300</v>
      </c>
      <c r="AK2055" s="410"/>
      <c r="AL2055" s="250" t="s">
        <v>2067</v>
      </c>
    </row>
    <row r="2056" spans="1:38" x14ac:dyDescent="0.2">
      <c r="A2056" s="409" t="s">
        <v>884</v>
      </c>
      <c r="B2056" s="209">
        <v>5614</v>
      </c>
      <c r="C2056" s="210" t="s">
        <v>829</v>
      </c>
      <c r="D2056" s="229" t="s">
        <v>1640</v>
      </c>
      <c r="E2056" s="229" t="s">
        <v>61</v>
      </c>
      <c r="F2056" s="240">
        <v>200</v>
      </c>
      <c r="G2056" s="205">
        <v>1</v>
      </c>
      <c r="H2056" s="206">
        <v>200</v>
      </c>
      <c r="I2056" s="207">
        <v>41529</v>
      </c>
      <c r="J2056" s="197" t="str">
        <f t="shared" si="96"/>
        <v>ok</v>
      </c>
      <c r="K2056" s="419"/>
      <c r="L2056" s="419"/>
      <c r="M2056" s="419"/>
      <c r="N2056" s="419"/>
      <c r="O2056" s="419"/>
      <c r="P2056" s="419"/>
      <c r="Q2056" s="419"/>
      <c r="R2056" s="419"/>
      <c r="S2056" s="419"/>
      <c r="T2056" s="419"/>
      <c r="U2056" s="419"/>
      <c r="V2056" s="419"/>
      <c r="W2056" s="419">
        <f t="shared" si="97"/>
        <v>0</v>
      </c>
      <c r="X2056" s="412"/>
      <c r="Y2056" s="412"/>
      <c r="Z2056" s="412"/>
      <c r="AA2056" s="412"/>
      <c r="AB2056" s="412"/>
      <c r="AC2056" s="412"/>
      <c r="AD2056" s="412"/>
      <c r="AE2056" s="412"/>
      <c r="AF2056" s="427">
        <v>200</v>
      </c>
      <c r="AG2056" s="412"/>
      <c r="AH2056" s="412"/>
      <c r="AI2056" s="412"/>
      <c r="AJ2056" s="412">
        <f t="shared" si="98"/>
        <v>200</v>
      </c>
      <c r="AK2056" s="410"/>
      <c r="AL2056" s="250" t="s">
        <v>2067</v>
      </c>
    </row>
    <row r="2057" spans="1:38" x14ac:dyDescent="0.2">
      <c r="A2057" s="409" t="s">
        <v>884</v>
      </c>
      <c r="B2057" s="209">
        <v>5615</v>
      </c>
      <c r="C2057" s="210" t="s">
        <v>849</v>
      </c>
      <c r="D2057" s="229" t="s">
        <v>1558</v>
      </c>
      <c r="E2057" s="229" t="s">
        <v>89</v>
      </c>
      <c r="F2057" s="240">
        <v>150</v>
      </c>
      <c r="G2057" s="205">
        <v>1</v>
      </c>
      <c r="H2057" s="206">
        <v>300</v>
      </c>
      <c r="I2057" s="207">
        <v>41529</v>
      </c>
      <c r="J2057" s="197" t="str">
        <f t="shared" si="96"/>
        <v>ok</v>
      </c>
      <c r="K2057" s="419"/>
      <c r="L2057" s="419"/>
      <c r="M2057" s="419"/>
      <c r="N2057" s="419"/>
      <c r="O2057" s="419"/>
      <c r="P2057" s="419"/>
      <c r="Q2057" s="419"/>
      <c r="R2057" s="419"/>
      <c r="S2057" s="419"/>
      <c r="T2057" s="419"/>
      <c r="U2057" s="419"/>
      <c r="V2057" s="419"/>
      <c r="W2057" s="419">
        <f t="shared" si="97"/>
        <v>0</v>
      </c>
      <c r="X2057" s="412"/>
      <c r="Y2057" s="412"/>
      <c r="Z2057" s="412"/>
      <c r="AA2057" s="412"/>
      <c r="AB2057" s="412"/>
      <c r="AC2057" s="412"/>
      <c r="AD2057" s="412">
        <v>150</v>
      </c>
      <c r="AE2057" s="412">
        <v>150</v>
      </c>
      <c r="AF2057" s="427"/>
      <c r="AG2057" s="412"/>
      <c r="AH2057" s="412"/>
      <c r="AI2057" s="412"/>
      <c r="AJ2057" s="412">
        <f t="shared" si="98"/>
        <v>300</v>
      </c>
      <c r="AK2057" s="410"/>
      <c r="AL2057" s="250" t="s">
        <v>2067</v>
      </c>
    </row>
    <row r="2058" spans="1:38" x14ac:dyDescent="0.2">
      <c r="A2058" s="409" t="s">
        <v>888</v>
      </c>
      <c r="B2058" s="209">
        <v>5616</v>
      </c>
      <c r="C2058" s="210" t="s">
        <v>1703</v>
      </c>
      <c r="D2058" s="229" t="s">
        <v>1450</v>
      </c>
      <c r="E2058" s="229" t="s">
        <v>428</v>
      </c>
      <c r="F2058" s="240">
        <v>10000</v>
      </c>
      <c r="G2058" s="205">
        <v>3</v>
      </c>
      <c r="H2058" s="206">
        <v>800</v>
      </c>
      <c r="I2058" s="207">
        <v>41529</v>
      </c>
      <c r="J2058" s="197" t="str">
        <f t="shared" si="96"/>
        <v>ok</v>
      </c>
      <c r="K2058" s="419"/>
      <c r="L2058" s="419"/>
      <c r="M2058" s="419"/>
      <c r="N2058" s="419"/>
      <c r="O2058" s="419"/>
      <c r="P2058" s="419"/>
      <c r="Q2058" s="419"/>
      <c r="R2058" s="419"/>
      <c r="S2058" s="419"/>
      <c r="T2058" s="419"/>
      <c r="U2058" s="419"/>
      <c r="V2058" s="419"/>
      <c r="W2058" s="419">
        <f t="shared" si="97"/>
        <v>0</v>
      </c>
      <c r="X2058" s="412"/>
      <c r="Y2058" s="412"/>
      <c r="Z2058" s="412"/>
      <c r="AA2058" s="412"/>
      <c r="AB2058" s="412"/>
      <c r="AC2058" s="412"/>
      <c r="AD2058" s="412"/>
      <c r="AE2058" s="412"/>
      <c r="AF2058" s="427"/>
      <c r="AG2058" s="412"/>
      <c r="AH2058" s="412"/>
      <c r="AI2058" s="412"/>
      <c r="AJ2058" s="412">
        <f t="shared" si="98"/>
        <v>0</v>
      </c>
      <c r="AK2058" s="410"/>
      <c r="AL2058" s="250" t="s">
        <v>2068</v>
      </c>
    </row>
    <row r="2059" spans="1:38" x14ac:dyDescent="0.2">
      <c r="A2059" s="409" t="s">
        <v>889</v>
      </c>
      <c r="B2059" s="209">
        <v>5617</v>
      </c>
      <c r="C2059" s="210" t="s">
        <v>971</v>
      </c>
      <c r="D2059" s="229" t="s">
        <v>2064</v>
      </c>
      <c r="E2059" s="229" t="s">
        <v>643</v>
      </c>
      <c r="F2059" s="240">
        <v>300</v>
      </c>
      <c r="G2059" s="205">
        <v>4</v>
      </c>
      <c r="H2059" s="206">
        <v>480</v>
      </c>
      <c r="I2059" s="207">
        <v>41529</v>
      </c>
      <c r="J2059" s="197" t="str">
        <f t="shared" si="96"/>
        <v>ok</v>
      </c>
      <c r="K2059" s="419"/>
      <c r="L2059" s="419"/>
      <c r="M2059" s="419"/>
      <c r="N2059" s="419"/>
      <c r="O2059" s="419"/>
      <c r="P2059" s="419"/>
      <c r="Q2059" s="419"/>
      <c r="R2059" s="419"/>
      <c r="S2059" s="419"/>
      <c r="T2059" s="419"/>
      <c r="U2059" s="419"/>
      <c r="V2059" s="419"/>
      <c r="W2059" s="419">
        <f t="shared" si="97"/>
        <v>0</v>
      </c>
      <c r="X2059" s="412"/>
      <c r="Y2059" s="412"/>
      <c r="Z2059" s="412"/>
      <c r="AA2059" s="412"/>
      <c r="AB2059" s="412"/>
      <c r="AC2059" s="412"/>
      <c r="AD2059" s="412"/>
      <c r="AE2059" s="412"/>
      <c r="AF2059" s="427"/>
      <c r="AG2059" s="412"/>
      <c r="AH2059" s="412"/>
      <c r="AI2059" s="412"/>
      <c r="AJ2059" s="412">
        <f t="shared" si="98"/>
        <v>0</v>
      </c>
      <c r="AK2059" s="410"/>
      <c r="AL2059" s="250" t="s">
        <v>2068</v>
      </c>
    </row>
    <row r="2060" spans="1:38" x14ac:dyDescent="0.2">
      <c r="A2060" s="409" t="s">
        <v>889</v>
      </c>
      <c r="B2060" s="209">
        <v>5618</v>
      </c>
      <c r="C2060" s="210" t="s">
        <v>971</v>
      </c>
      <c r="D2060" s="229" t="s">
        <v>2064</v>
      </c>
      <c r="E2060" s="229" t="s">
        <v>643</v>
      </c>
      <c r="F2060" s="240">
        <v>300</v>
      </c>
      <c r="G2060" s="205">
        <v>1</v>
      </c>
      <c r="H2060" s="206">
        <v>300</v>
      </c>
      <c r="I2060" s="207">
        <v>41530</v>
      </c>
      <c r="J2060" s="197" t="str">
        <f t="shared" si="96"/>
        <v>ok</v>
      </c>
      <c r="K2060" s="419"/>
      <c r="L2060" s="419"/>
      <c r="M2060" s="419"/>
      <c r="N2060" s="419"/>
      <c r="O2060" s="419"/>
      <c r="P2060" s="419"/>
      <c r="Q2060" s="419"/>
      <c r="R2060" s="419"/>
      <c r="S2060" s="419"/>
      <c r="T2060" s="419"/>
      <c r="U2060" s="419"/>
      <c r="V2060" s="419"/>
      <c r="W2060" s="419">
        <f t="shared" si="97"/>
        <v>0</v>
      </c>
      <c r="X2060" s="412"/>
      <c r="Y2060" s="412"/>
      <c r="Z2060" s="412"/>
      <c r="AA2060" s="412"/>
      <c r="AB2060" s="412"/>
      <c r="AC2060" s="412"/>
      <c r="AD2060" s="412"/>
      <c r="AE2060" s="412"/>
      <c r="AF2060" s="427">
        <v>300</v>
      </c>
      <c r="AG2060" s="412"/>
      <c r="AH2060" s="412"/>
      <c r="AI2060" s="412"/>
      <c r="AJ2060" s="412">
        <f t="shared" si="98"/>
        <v>300</v>
      </c>
      <c r="AK2060" s="410"/>
      <c r="AL2060" s="250" t="s">
        <v>2067</v>
      </c>
    </row>
    <row r="2061" spans="1:38" x14ac:dyDescent="0.2">
      <c r="A2061" s="409" t="s">
        <v>890</v>
      </c>
      <c r="B2061" s="209">
        <v>5619</v>
      </c>
      <c r="C2061" s="210" t="s">
        <v>1033</v>
      </c>
      <c r="D2061" s="229" t="s">
        <v>1366</v>
      </c>
      <c r="E2061" s="229" t="s">
        <v>1218</v>
      </c>
      <c r="F2061" s="240">
        <v>300</v>
      </c>
      <c r="G2061" s="205">
        <v>1</v>
      </c>
      <c r="H2061" s="206">
        <v>300</v>
      </c>
      <c r="I2061" s="207">
        <v>41530</v>
      </c>
      <c r="J2061" s="197" t="str">
        <f t="shared" si="96"/>
        <v>ok</v>
      </c>
      <c r="K2061" s="419"/>
      <c r="L2061" s="419"/>
      <c r="M2061" s="419"/>
      <c r="N2061" s="419"/>
      <c r="O2061" s="419"/>
      <c r="P2061" s="419"/>
      <c r="Q2061" s="419"/>
      <c r="R2061" s="419"/>
      <c r="S2061" s="419"/>
      <c r="T2061" s="419"/>
      <c r="U2061" s="419"/>
      <c r="V2061" s="419"/>
      <c r="W2061" s="419">
        <f t="shared" si="97"/>
        <v>0</v>
      </c>
      <c r="X2061" s="412"/>
      <c r="Y2061" s="412"/>
      <c r="Z2061" s="412"/>
      <c r="AA2061" s="412"/>
      <c r="AB2061" s="412"/>
      <c r="AC2061" s="412"/>
      <c r="AD2061" s="412"/>
      <c r="AE2061" s="412"/>
      <c r="AF2061" s="427">
        <v>300</v>
      </c>
      <c r="AG2061" s="412"/>
      <c r="AH2061" s="412"/>
      <c r="AI2061" s="412"/>
      <c r="AJ2061" s="412">
        <f t="shared" si="98"/>
        <v>300</v>
      </c>
      <c r="AK2061" s="410"/>
      <c r="AL2061" s="250" t="s">
        <v>2067</v>
      </c>
    </row>
    <row r="2062" spans="1:38" x14ac:dyDescent="0.2">
      <c r="A2062" s="409" t="s">
        <v>884</v>
      </c>
      <c r="B2062" s="209">
        <v>5620</v>
      </c>
      <c r="C2062" s="210" t="s">
        <v>861</v>
      </c>
      <c r="D2062" s="229" t="s">
        <v>1446</v>
      </c>
      <c r="E2062" s="229" t="s">
        <v>1208</v>
      </c>
      <c r="F2062" s="240">
        <v>150</v>
      </c>
      <c r="G2062" s="205">
        <v>1</v>
      </c>
      <c r="H2062" s="206">
        <v>150</v>
      </c>
      <c r="I2062" s="207">
        <v>41532</v>
      </c>
      <c r="J2062" s="197" t="str">
        <f t="shared" ref="J2062:J2124" si="99">IF(OR(G2062&lt;&gt;1,SUM(W2062,AJ2062)=H2062),"ok","error")</f>
        <v>ok</v>
      </c>
      <c r="K2062" s="419"/>
      <c r="L2062" s="419"/>
      <c r="M2062" s="419"/>
      <c r="N2062" s="419"/>
      <c r="O2062" s="419"/>
      <c r="P2062" s="419"/>
      <c r="Q2062" s="419"/>
      <c r="R2062" s="419"/>
      <c r="S2062" s="419"/>
      <c r="T2062" s="419"/>
      <c r="U2062" s="419"/>
      <c r="V2062" s="419"/>
      <c r="W2062" s="419">
        <f t="shared" si="97"/>
        <v>0</v>
      </c>
      <c r="X2062" s="412"/>
      <c r="Y2062" s="412"/>
      <c r="Z2062" s="412"/>
      <c r="AA2062" s="412"/>
      <c r="AB2062" s="412"/>
      <c r="AC2062" s="412"/>
      <c r="AD2062" s="412"/>
      <c r="AE2062" s="412"/>
      <c r="AF2062" s="427">
        <v>150</v>
      </c>
      <c r="AG2062" s="412"/>
      <c r="AH2062" s="412"/>
      <c r="AI2062" s="412"/>
      <c r="AJ2062" s="412">
        <f t="shared" si="98"/>
        <v>150</v>
      </c>
      <c r="AK2062" s="410"/>
      <c r="AL2062" s="250" t="s">
        <v>2067</v>
      </c>
    </row>
    <row r="2063" spans="1:38" x14ac:dyDescent="0.2">
      <c r="A2063" s="409" t="s">
        <v>893</v>
      </c>
      <c r="B2063" s="209">
        <v>5621</v>
      </c>
      <c r="C2063" s="210" t="s">
        <v>771</v>
      </c>
      <c r="D2063" s="229" t="s">
        <v>1464</v>
      </c>
      <c r="E2063" s="229" t="s">
        <v>61</v>
      </c>
      <c r="F2063" s="240">
        <v>300</v>
      </c>
      <c r="G2063" s="205">
        <v>1</v>
      </c>
      <c r="H2063" s="206">
        <v>1200</v>
      </c>
      <c r="I2063" s="207">
        <v>41532</v>
      </c>
      <c r="J2063" s="197" t="str">
        <f t="shared" si="99"/>
        <v>ok</v>
      </c>
      <c r="K2063" s="419"/>
      <c r="L2063" s="419"/>
      <c r="M2063" s="419"/>
      <c r="N2063" s="419"/>
      <c r="O2063" s="419"/>
      <c r="P2063" s="419"/>
      <c r="Q2063" s="419"/>
      <c r="R2063" s="419"/>
      <c r="S2063" s="419"/>
      <c r="T2063" s="419"/>
      <c r="U2063" s="419"/>
      <c r="V2063" s="419"/>
      <c r="W2063" s="419">
        <f t="shared" si="97"/>
        <v>0</v>
      </c>
      <c r="X2063" s="412"/>
      <c r="Y2063" s="412"/>
      <c r="Z2063" s="412"/>
      <c r="AA2063" s="412"/>
      <c r="AB2063" s="412"/>
      <c r="AC2063" s="412"/>
      <c r="AD2063" s="412"/>
      <c r="AE2063" s="412"/>
      <c r="AF2063" s="427">
        <v>300</v>
      </c>
      <c r="AG2063" s="412">
        <v>300</v>
      </c>
      <c r="AH2063" s="412">
        <v>300</v>
      </c>
      <c r="AI2063" s="412">
        <v>300</v>
      </c>
      <c r="AJ2063" s="412">
        <f t="shared" si="98"/>
        <v>1200</v>
      </c>
      <c r="AK2063" s="410"/>
      <c r="AL2063" s="250" t="s">
        <v>2067</v>
      </c>
    </row>
    <row r="2064" spans="1:38" x14ac:dyDescent="0.2">
      <c r="A2064" s="409" t="s">
        <v>888</v>
      </c>
      <c r="B2064" s="209">
        <v>5622</v>
      </c>
      <c r="C2064" s="210" t="s">
        <v>928</v>
      </c>
      <c r="D2064" s="229" t="s">
        <v>1393</v>
      </c>
      <c r="E2064" s="229" t="s">
        <v>719</v>
      </c>
      <c r="F2064" s="240">
        <v>300</v>
      </c>
      <c r="G2064" s="205">
        <v>1</v>
      </c>
      <c r="H2064" s="206">
        <v>300</v>
      </c>
      <c r="I2064" s="207">
        <v>41532</v>
      </c>
      <c r="J2064" s="197" t="str">
        <f t="shared" si="99"/>
        <v>ok</v>
      </c>
      <c r="K2064" s="419"/>
      <c r="L2064" s="419"/>
      <c r="M2064" s="419"/>
      <c r="N2064" s="419"/>
      <c r="O2064" s="419"/>
      <c r="P2064" s="419"/>
      <c r="Q2064" s="419"/>
      <c r="R2064" s="419"/>
      <c r="S2064" s="419"/>
      <c r="T2064" s="419"/>
      <c r="U2064" s="419"/>
      <c r="V2064" s="419"/>
      <c r="W2064" s="419">
        <f t="shared" si="97"/>
        <v>0</v>
      </c>
      <c r="X2064" s="412"/>
      <c r="Y2064" s="412"/>
      <c r="Z2064" s="412"/>
      <c r="AA2064" s="412"/>
      <c r="AB2064" s="412"/>
      <c r="AC2064" s="412"/>
      <c r="AD2064" s="412"/>
      <c r="AE2064" s="412"/>
      <c r="AF2064" s="427">
        <v>300</v>
      </c>
      <c r="AG2064" s="412"/>
      <c r="AH2064" s="412"/>
      <c r="AI2064" s="412"/>
      <c r="AJ2064" s="412">
        <f t="shared" si="98"/>
        <v>300</v>
      </c>
      <c r="AK2064" s="410"/>
      <c r="AL2064" s="250" t="s">
        <v>2067</v>
      </c>
    </row>
    <row r="2065" spans="1:38" x14ac:dyDescent="0.2">
      <c r="A2065" s="409" t="s">
        <v>888</v>
      </c>
      <c r="B2065" s="209">
        <v>5622</v>
      </c>
      <c r="C2065" s="210" t="s">
        <v>928</v>
      </c>
      <c r="D2065" s="229" t="s">
        <v>1393</v>
      </c>
      <c r="E2065" s="229" t="s">
        <v>719</v>
      </c>
      <c r="F2065" s="240">
        <v>300</v>
      </c>
      <c r="G2065" s="205">
        <v>4</v>
      </c>
      <c r="H2065" s="206">
        <v>160</v>
      </c>
      <c r="I2065" s="207">
        <v>41532</v>
      </c>
      <c r="J2065" s="197" t="str">
        <f t="shared" si="99"/>
        <v>ok</v>
      </c>
      <c r="K2065" s="419"/>
      <c r="L2065" s="419"/>
      <c r="M2065" s="419"/>
      <c r="N2065" s="419"/>
      <c r="O2065" s="419"/>
      <c r="P2065" s="419"/>
      <c r="Q2065" s="419"/>
      <c r="R2065" s="419"/>
      <c r="S2065" s="419"/>
      <c r="T2065" s="419"/>
      <c r="U2065" s="419"/>
      <c r="V2065" s="419"/>
      <c r="W2065" s="419">
        <f t="shared" si="97"/>
        <v>0</v>
      </c>
      <c r="X2065" s="412"/>
      <c r="Y2065" s="412"/>
      <c r="Z2065" s="412"/>
      <c r="AA2065" s="412"/>
      <c r="AB2065" s="412"/>
      <c r="AC2065" s="412"/>
      <c r="AD2065" s="412"/>
      <c r="AE2065" s="412"/>
      <c r="AF2065" s="427"/>
      <c r="AG2065" s="412"/>
      <c r="AH2065" s="412"/>
      <c r="AI2065" s="412"/>
      <c r="AJ2065" s="412">
        <f t="shared" si="98"/>
        <v>0</v>
      </c>
      <c r="AK2065" s="410"/>
      <c r="AL2065" s="250" t="s">
        <v>2068</v>
      </c>
    </row>
    <row r="2066" spans="1:38" x14ac:dyDescent="0.2">
      <c r="A2066" s="409" t="s">
        <v>890</v>
      </c>
      <c r="B2066" s="209">
        <v>5623</v>
      </c>
      <c r="C2066" s="210" t="s">
        <v>1013</v>
      </c>
      <c r="D2066" s="229" t="s">
        <v>2066</v>
      </c>
      <c r="E2066" s="229" t="s">
        <v>248</v>
      </c>
      <c r="F2066" s="240">
        <v>300</v>
      </c>
      <c r="G2066" s="205">
        <v>3</v>
      </c>
      <c r="H2066" s="206">
        <v>160</v>
      </c>
      <c r="I2066" s="207">
        <v>41532</v>
      </c>
      <c r="J2066" s="197" t="str">
        <f t="shared" si="99"/>
        <v>ok</v>
      </c>
      <c r="K2066" s="419"/>
      <c r="L2066" s="419"/>
      <c r="M2066" s="419"/>
      <c r="N2066" s="419"/>
      <c r="O2066" s="419"/>
      <c r="P2066" s="419"/>
      <c r="Q2066" s="419"/>
      <c r="R2066" s="419"/>
      <c r="S2066" s="419"/>
      <c r="T2066" s="419"/>
      <c r="U2066" s="419"/>
      <c r="V2066" s="419"/>
      <c r="W2066" s="419">
        <f t="shared" si="97"/>
        <v>0</v>
      </c>
      <c r="X2066" s="412"/>
      <c r="Y2066" s="412"/>
      <c r="Z2066" s="412"/>
      <c r="AA2066" s="412"/>
      <c r="AB2066" s="412"/>
      <c r="AC2066" s="412"/>
      <c r="AD2066" s="412"/>
      <c r="AE2066" s="412"/>
      <c r="AF2066" s="427"/>
      <c r="AG2066" s="412"/>
      <c r="AH2066" s="412"/>
      <c r="AI2066" s="412"/>
      <c r="AJ2066" s="412">
        <f t="shared" si="98"/>
        <v>0</v>
      </c>
      <c r="AK2066" s="410"/>
      <c r="AL2066" s="250" t="s">
        <v>2068</v>
      </c>
    </row>
    <row r="2067" spans="1:38" x14ac:dyDescent="0.2">
      <c r="A2067" s="409" t="s">
        <v>888</v>
      </c>
      <c r="B2067" s="209">
        <v>5624</v>
      </c>
      <c r="C2067" s="210" t="s">
        <v>1180</v>
      </c>
      <c r="D2067" s="229" t="s">
        <v>1400</v>
      </c>
      <c r="E2067" s="229" t="s">
        <v>418</v>
      </c>
      <c r="F2067" s="240">
        <v>300</v>
      </c>
      <c r="G2067" s="205">
        <v>4</v>
      </c>
      <c r="H2067" s="206">
        <v>160</v>
      </c>
      <c r="I2067" s="207">
        <v>41532</v>
      </c>
      <c r="J2067" s="197" t="str">
        <f t="shared" si="99"/>
        <v>ok</v>
      </c>
      <c r="K2067" s="419"/>
      <c r="L2067" s="419"/>
      <c r="M2067" s="419"/>
      <c r="N2067" s="419"/>
      <c r="O2067" s="419"/>
      <c r="P2067" s="419"/>
      <c r="Q2067" s="419"/>
      <c r="R2067" s="419"/>
      <c r="S2067" s="419"/>
      <c r="T2067" s="419"/>
      <c r="U2067" s="419"/>
      <c r="V2067" s="419"/>
      <c r="W2067" s="419">
        <f t="shared" si="97"/>
        <v>0</v>
      </c>
      <c r="X2067" s="412"/>
      <c r="Y2067" s="412"/>
      <c r="Z2067" s="412"/>
      <c r="AA2067" s="412"/>
      <c r="AB2067" s="412"/>
      <c r="AC2067" s="412"/>
      <c r="AD2067" s="412"/>
      <c r="AE2067" s="412"/>
      <c r="AF2067" s="427"/>
      <c r="AG2067" s="412"/>
      <c r="AH2067" s="412"/>
      <c r="AI2067" s="412"/>
      <c r="AJ2067" s="412">
        <f t="shared" si="98"/>
        <v>0</v>
      </c>
      <c r="AK2067" s="410"/>
      <c r="AL2067" s="250" t="s">
        <v>2068</v>
      </c>
    </row>
    <row r="2068" spans="1:38" x14ac:dyDescent="0.2">
      <c r="A2068" s="409" t="s">
        <v>890</v>
      </c>
      <c r="B2068" s="209">
        <v>5625</v>
      </c>
      <c r="C2068" s="210" t="s">
        <v>769</v>
      </c>
      <c r="D2068" s="229" t="s">
        <v>1451</v>
      </c>
      <c r="E2068" s="229" t="s">
        <v>546</v>
      </c>
      <c r="F2068" s="240">
        <v>300</v>
      </c>
      <c r="G2068" s="205">
        <v>1</v>
      </c>
      <c r="H2068" s="206">
        <v>600</v>
      </c>
      <c r="I2068" s="207">
        <v>41532</v>
      </c>
      <c r="J2068" s="197" t="str">
        <f t="shared" si="99"/>
        <v>ok</v>
      </c>
      <c r="K2068" s="419"/>
      <c r="L2068" s="419"/>
      <c r="M2068" s="419"/>
      <c r="N2068" s="419"/>
      <c r="O2068" s="419"/>
      <c r="P2068" s="419"/>
      <c r="Q2068" s="419"/>
      <c r="R2068" s="419"/>
      <c r="S2068" s="419"/>
      <c r="T2068" s="419"/>
      <c r="U2068" s="419"/>
      <c r="V2068" s="419"/>
      <c r="W2068" s="419">
        <f t="shared" si="97"/>
        <v>0</v>
      </c>
      <c r="X2068" s="412"/>
      <c r="Y2068" s="412"/>
      <c r="Z2068" s="412"/>
      <c r="AA2068" s="412"/>
      <c r="AB2068" s="412"/>
      <c r="AC2068" s="412"/>
      <c r="AD2068" s="412"/>
      <c r="AE2068" s="412"/>
      <c r="AF2068" s="427">
        <v>300</v>
      </c>
      <c r="AG2068" s="412">
        <v>300</v>
      </c>
      <c r="AH2068" s="412"/>
      <c r="AI2068" s="412"/>
      <c r="AJ2068" s="412">
        <f t="shared" si="98"/>
        <v>600</v>
      </c>
      <c r="AK2068" s="410"/>
      <c r="AL2068" s="250" t="s">
        <v>2067</v>
      </c>
    </row>
    <row r="2069" spans="1:38" x14ac:dyDescent="0.2">
      <c r="A2069" s="409" t="s">
        <v>884</v>
      </c>
      <c r="B2069" s="209">
        <v>5626</v>
      </c>
      <c r="C2069" s="210" t="s">
        <v>858</v>
      </c>
      <c r="D2069" s="229" t="s">
        <v>1527</v>
      </c>
      <c r="E2069" s="229" t="s">
        <v>103</v>
      </c>
      <c r="F2069" s="240">
        <v>300</v>
      </c>
      <c r="G2069" s="205">
        <v>1</v>
      </c>
      <c r="H2069" s="206">
        <v>300</v>
      </c>
      <c r="I2069" s="207">
        <v>41532</v>
      </c>
      <c r="J2069" s="197" t="str">
        <f t="shared" si="99"/>
        <v>ok</v>
      </c>
      <c r="K2069" s="419"/>
      <c r="L2069" s="419"/>
      <c r="M2069" s="419"/>
      <c r="N2069" s="419"/>
      <c r="O2069" s="419"/>
      <c r="P2069" s="419"/>
      <c r="Q2069" s="419"/>
      <c r="R2069" s="419"/>
      <c r="S2069" s="419"/>
      <c r="T2069" s="419"/>
      <c r="U2069" s="419"/>
      <c r="V2069" s="419"/>
      <c r="W2069" s="419">
        <f t="shared" si="97"/>
        <v>0</v>
      </c>
      <c r="X2069" s="412"/>
      <c r="Y2069" s="412"/>
      <c r="Z2069" s="412"/>
      <c r="AA2069" s="412"/>
      <c r="AB2069" s="412"/>
      <c r="AC2069" s="412"/>
      <c r="AD2069" s="412"/>
      <c r="AE2069" s="412"/>
      <c r="AF2069" s="427">
        <v>300</v>
      </c>
      <c r="AG2069" s="412"/>
      <c r="AH2069" s="412"/>
      <c r="AI2069" s="412"/>
      <c r="AJ2069" s="412">
        <f t="shared" si="98"/>
        <v>300</v>
      </c>
      <c r="AK2069" s="410"/>
      <c r="AL2069" s="250" t="s">
        <v>2067</v>
      </c>
    </row>
    <row r="2070" spans="1:38" x14ac:dyDescent="0.2">
      <c r="A2070" s="409" t="s">
        <v>884</v>
      </c>
      <c r="B2070" s="209">
        <v>5627</v>
      </c>
      <c r="C2070" s="210" t="s">
        <v>840</v>
      </c>
      <c r="D2070" s="229" t="s">
        <v>1538</v>
      </c>
      <c r="E2070" s="229" t="s">
        <v>79</v>
      </c>
      <c r="F2070" s="240">
        <v>300</v>
      </c>
      <c r="G2070" s="205">
        <v>1</v>
      </c>
      <c r="H2070" s="206">
        <v>900</v>
      </c>
      <c r="I2070" s="207">
        <v>41532</v>
      </c>
      <c r="J2070" s="197" t="str">
        <f t="shared" si="99"/>
        <v>ok</v>
      </c>
      <c r="K2070" s="419"/>
      <c r="L2070" s="419"/>
      <c r="M2070" s="419"/>
      <c r="N2070" s="419"/>
      <c r="O2070" s="419"/>
      <c r="P2070" s="419"/>
      <c r="Q2070" s="419"/>
      <c r="R2070" s="419"/>
      <c r="S2070" s="419"/>
      <c r="T2070" s="419"/>
      <c r="U2070" s="419"/>
      <c r="V2070" s="419"/>
      <c r="W2070" s="419">
        <f t="shared" si="97"/>
        <v>0</v>
      </c>
      <c r="X2070" s="412"/>
      <c r="Y2070" s="412"/>
      <c r="Z2070" s="412"/>
      <c r="AA2070" s="412"/>
      <c r="AB2070" s="412"/>
      <c r="AC2070" s="412">
        <v>300</v>
      </c>
      <c r="AD2070" s="412">
        <v>300</v>
      </c>
      <c r="AE2070" s="412">
        <v>300</v>
      </c>
      <c r="AF2070" s="427"/>
      <c r="AG2070" s="412"/>
      <c r="AH2070" s="412"/>
      <c r="AI2070" s="412"/>
      <c r="AJ2070" s="412">
        <f t="shared" si="98"/>
        <v>900</v>
      </c>
      <c r="AK2070" s="410"/>
      <c r="AL2070" s="250" t="s">
        <v>2067</v>
      </c>
    </row>
    <row r="2071" spans="1:38" x14ac:dyDescent="0.2">
      <c r="A2071" s="409" t="s">
        <v>884</v>
      </c>
      <c r="B2071" s="209">
        <v>5628</v>
      </c>
      <c r="C2071" s="210" t="s">
        <v>801</v>
      </c>
      <c r="D2071" s="229" t="s">
        <v>1529</v>
      </c>
      <c r="E2071" s="229" t="s">
        <v>704</v>
      </c>
      <c r="F2071" s="240">
        <v>300</v>
      </c>
      <c r="G2071" s="205">
        <v>1</v>
      </c>
      <c r="H2071" s="206">
        <v>300</v>
      </c>
      <c r="I2071" s="207">
        <v>41532</v>
      </c>
      <c r="J2071" s="197" t="str">
        <f t="shared" si="99"/>
        <v>ok</v>
      </c>
      <c r="K2071" s="419"/>
      <c r="L2071" s="419"/>
      <c r="M2071" s="419"/>
      <c r="N2071" s="419"/>
      <c r="O2071" s="419"/>
      <c r="P2071" s="419"/>
      <c r="Q2071" s="419"/>
      <c r="R2071" s="419"/>
      <c r="S2071" s="419"/>
      <c r="T2071" s="419"/>
      <c r="U2071" s="419"/>
      <c r="V2071" s="419"/>
      <c r="W2071" s="419">
        <f t="shared" si="97"/>
        <v>0</v>
      </c>
      <c r="X2071" s="412"/>
      <c r="Y2071" s="412"/>
      <c r="Z2071" s="412"/>
      <c r="AA2071" s="412"/>
      <c r="AB2071" s="412"/>
      <c r="AC2071" s="412"/>
      <c r="AD2071" s="412"/>
      <c r="AE2071" s="412"/>
      <c r="AF2071" s="427">
        <v>300</v>
      </c>
      <c r="AG2071" s="412"/>
      <c r="AH2071" s="412"/>
      <c r="AI2071" s="412"/>
      <c r="AJ2071" s="412">
        <f t="shared" si="98"/>
        <v>300</v>
      </c>
      <c r="AK2071" s="410"/>
      <c r="AL2071" s="250" t="s">
        <v>2067</v>
      </c>
    </row>
    <row r="2072" spans="1:38" x14ac:dyDescent="0.2">
      <c r="A2072" s="409" t="s">
        <v>884</v>
      </c>
      <c r="B2072" s="209">
        <v>5629</v>
      </c>
      <c r="C2072" s="210" t="s">
        <v>862</v>
      </c>
      <c r="D2072" s="229" t="s">
        <v>1589</v>
      </c>
      <c r="E2072" s="229" t="s">
        <v>110</v>
      </c>
      <c r="F2072" s="240">
        <v>300</v>
      </c>
      <c r="G2072" s="205">
        <v>1</v>
      </c>
      <c r="H2072" s="206">
        <v>900</v>
      </c>
      <c r="I2072" s="207">
        <v>41532</v>
      </c>
      <c r="J2072" s="197" t="str">
        <f t="shared" si="99"/>
        <v>ok</v>
      </c>
      <c r="K2072" s="419"/>
      <c r="L2072" s="419"/>
      <c r="M2072" s="419"/>
      <c r="N2072" s="419"/>
      <c r="O2072" s="419"/>
      <c r="P2072" s="419"/>
      <c r="Q2072" s="419"/>
      <c r="R2072" s="419"/>
      <c r="S2072" s="419"/>
      <c r="T2072" s="419"/>
      <c r="U2072" s="419"/>
      <c r="V2072" s="419"/>
      <c r="W2072" s="419">
        <f t="shared" si="97"/>
        <v>0</v>
      </c>
      <c r="X2072" s="412"/>
      <c r="Y2072" s="412"/>
      <c r="Z2072" s="412"/>
      <c r="AA2072" s="412"/>
      <c r="AB2072" s="412"/>
      <c r="AC2072" s="412"/>
      <c r="AD2072" s="412">
        <v>300</v>
      </c>
      <c r="AE2072" s="412">
        <v>300</v>
      </c>
      <c r="AF2072" s="427">
        <v>300</v>
      </c>
      <c r="AG2072" s="412"/>
      <c r="AH2072" s="412"/>
      <c r="AI2072" s="412"/>
      <c r="AJ2072" s="412">
        <f t="shared" si="98"/>
        <v>900</v>
      </c>
      <c r="AK2072" s="410"/>
      <c r="AL2072" s="250" t="s">
        <v>2067</v>
      </c>
    </row>
    <row r="2073" spans="1:38" x14ac:dyDescent="0.2">
      <c r="A2073" s="409" t="s">
        <v>893</v>
      </c>
      <c r="B2073" s="209">
        <v>5630</v>
      </c>
      <c r="C2073" s="210" t="s">
        <v>1141</v>
      </c>
      <c r="D2073" s="229" t="s">
        <v>1437</v>
      </c>
      <c r="E2073" s="229" t="s">
        <v>716</v>
      </c>
      <c r="F2073" s="240">
        <v>300</v>
      </c>
      <c r="G2073" s="205">
        <v>1</v>
      </c>
      <c r="H2073" s="206">
        <v>300</v>
      </c>
      <c r="I2073" s="207">
        <v>41537</v>
      </c>
      <c r="J2073" s="197" t="str">
        <f t="shared" si="99"/>
        <v>ok</v>
      </c>
      <c r="K2073" s="419"/>
      <c r="L2073" s="419"/>
      <c r="M2073" s="419"/>
      <c r="N2073" s="419"/>
      <c r="O2073" s="419"/>
      <c r="P2073" s="419"/>
      <c r="Q2073" s="419"/>
      <c r="R2073" s="419"/>
      <c r="S2073" s="419"/>
      <c r="T2073" s="419"/>
      <c r="U2073" s="419"/>
      <c r="V2073" s="419"/>
      <c r="W2073" s="419">
        <f t="shared" si="97"/>
        <v>0</v>
      </c>
      <c r="X2073" s="412"/>
      <c r="Y2073" s="412"/>
      <c r="Z2073" s="412"/>
      <c r="AA2073" s="412"/>
      <c r="AB2073" s="412"/>
      <c r="AC2073" s="412"/>
      <c r="AD2073" s="412"/>
      <c r="AE2073" s="412">
        <v>300</v>
      </c>
      <c r="AF2073" s="427"/>
      <c r="AG2073" s="412"/>
      <c r="AH2073" s="412"/>
      <c r="AI2073" s="412"/>
      <c r="AJ2073" s="412">
        <f t="shared" si="98"/>
        <v>300</v>
      </c>
      <c r="AK2073" s="410"/>
      <c r="AL2073" s="250" t="s">
        <v>2067</v>
      </c>
    </row>
    <row r="2074" spans="1:38" x14ac:dyDescent="0.2">
      <c r="A2074" s="409" t="s">
        <v>884</v>
      </c>
      <c r="B2074" s="209">
        <v>5631</v>
      </c>
      <c r="C2074" s="210" t="s">
        <v>830</v>
      </c>
      <c r="D2074" s="229" t="s">
        <v>1839</v>
      </c>
      <c r="E2074" s="229" t="s">
        <v>63</v>
      </c>
      <c r="F2074" s="240">
        <v>300</v>
      </c>
      <c r="G2074" s="205">
        <v>3</v>
      </c>
      <c r="H2074" s="206">
        <v>160</v>
      </c>
      <c r="I2074" s="207">
        <v>41537</v>
      </c>
      <c r="J2074" s="197" t="str">
        <f t="shared" si="99"/>
        <v>ok</v>
      </c>
      <c r="K2074" s="419"/>
      <c r="L2074" s="419"/>
      <c r="M2074" s="419"/>
      <c r="N2074" s="419"/>
      <c r="O2074" s="419"/>
      <c r="P2074" s="419"/>
      <c r="Q2074" s="419"/>
      <c r="R2074" s="419"/>
      <c r="S2074" s="419"/>
      <c r="T2074" s="419"/>
      <c r="U2074" s="419"/>
      <c r="V2074" s="419"/>
      <c r="W2074" s="419">
        <f t="shared" si="97"/>
        <v>0</v>
      </c>
      <c r="X2074" s="412"/>
      <c r="Y2074" s="412"/>
      <c r="Z2074" s="412"/>
      <c r="AA2074" s="412"/>
      <c r="AB2074" s="412"/>
      <c r="AC2074" s="412"/>
      <c r="AD2074" s="412"/>
      <c r="AE2074" s="412"/>
      <c r="AF2074" s="427"/>
      <c r="AG2074" s="412"/>
      <c r="AH2074" s="412"/>
      <c r="AI2074" s="412"/>
      <c r="AJ2074" s="412">
        <f t="shared" si="98"/>
        <v>0</v>
      </c>
      <c r="AK2074" s="410"/>
      <c r="AL2074" s="250" t="s">
        <v>2068</v>
      </c>
    </row>
    <row r="2075" spans="1:38" x14ac:dyDescent="0.2">
      <c r="A2075" s="409" t="s">
        <v>893</v>
      </c>
      <c r="B2075" s="209">
        <v>5632</v>
      </c>
      <c r="C2075" s="210" t="s">
        <v>1129</v>
      </c>
      <c r="D2075" s="229" t="s">
        <v>1369</v>
      </c>
      <c r="E2075" s="229" t="s">
        <v>296</v>
      </c>
      <c r="F2075" s="240">
        <v>300</v>
      </c>
      <c r="G2075" s="205">
        <v>1</v>
      </c>
      <c r="H2075" s="206">
        <v>900</v>
      </c>
      <c r="I2075" s="207">
        <v>41539</v>
      </c>
      <c r="J2075" s="197" t="str">
        <f t="shared" si="99"/>
        <v>ok</v>
      </c>
      <c r="K2075" s="419"/>
      <c r="L2075" s="419"/>
      <c r="M2075" s="419"/>
      <c r="N2075" s="419"/>
      <c r="O2075" s="419"/>
      <c r="P2075" s="419"/>
      <c r="Q2075" s="419"/>
      <c r="R2075" s="419"/>
      <c r="S2075" s="419"/>
      <c r="T2075" s="419"/>
      <c r="U2075" s="419"/>
      <c r="V2075" s="419"/>
      <c r="W2075" s="419">
        <f t="shared" si="97"/>
        <v>0</v>
      </c>
      <c r="X2075" s="412"/>
      <c r="Y2075" s="412"/>
      <c r="Z2075" s="412"/>
      <c r="AA2075" s="412"/>
      <c r="AB2075" s="412"/>
      <c r="AC2075" s="412"/>
      <c r="AD2075" s="412"/>
      <c r="AE2075" s="412"/>
      <c r="AF2075" s="427"/>
      <c r="AG2075" s="412">
        <v>300</v>
      </c>
      <c r="AH2075" s="412">
        <v>300</v>
      </c>
      <c r="AI2075" s="412">
        <v>300</v>
      </c>
      <c r="AJ2075" s="412">
        <f t="shared" si="98"/>
        <v>900</v>
      </c>
      <c r="AK2075" s="410"/>
      <c r="AL2075" s="250" t="s">
        <v>2067</v>
      </c>
    </row>
    <row r="2076" spans="1:38" x14ac:dyDescent="0.2">
      <c r="A2076" s="409" t="s">
        <v>893</v>
      </c>
      <c r="B2076" s="209">
        <v>5633</v>
      </c>
      <c r="C2076" s="210" t="s">
        <v>1077</v>
      </c>
      <c r="D2076" s="229" t="s">
        <v>1429</v>
      </c>
      <c r="E2076" s="229" t="s">
        <v>195</v>
      </c>
      <c r="F2076" s="240">
        <v>200</v>
      </c>
      <c r="G2076" s="205">
        <v>1</v>
      </c>
      <c r="H2076" s="206">
        <v>400</v>
      </c>
      <c r="I2076" s="207">
        <v>41539</v>
      </c>
      <c r="J2076" s="197" t="str">
        <f t="shared" si="99"/>
        <v>ok</v>
      </c>
      <c r="K2076" s="419"/>
      <c r="L2076" s="419"/>
      <c r="M2076" s="419"/>
      <c r="N2076" s="419"/>
      <c r="O2076" s="419"/>
      <c r="P2076" s="419"/>
      <c r="Q2076" s="419"/>
      <c r="R2076" s="419"/>
      <c r="S2076" s="419"/>
      <c r="T2076" s="419"/>
      <c r="U2076" s="419"/>
      <c r="V2076" s="419"/>
      <c r="W2076" s="419">
        <f t="shared" si="97"/>
        <v>0</v>
      </c>
      <c r="X2076" s="412"/>
      <c r="Y2076" s="412"/>
      <c r="Z2076" s="412"/>
      <c r="AA2076" s="412"/>
      <c r="AB2076" s="412"/>
      <c r="AC2076" s="412"/>
      <c r="AD2076" s="412"/>
      <c r="AE2076" s="412">
        <v>200</v>
      </c>
      <c r="AF2076" s="427">
        <v>200</v>
      </c>
      <c r="AG2076" s="412"/>
      <c r="AH2076" s="412"/>
      <c r="AI2076" s="412"/>
      <c r="AJ2076" s="412">
        <f t="shared" si="98"/>
        <v>400</v>
      </c>
      <c r="AK2076" s="410"/>
      <c r="AL2076" s="250" t="s">
        <v>2067</v>
      </c>
    </row>
    <row r="2077" spans="1:38" x14ac:dyDescent="0.2">
      <c r="A2077" s="409" t="s">
        <v>890</v>
      </c>
      <c r="B2077" s="209">
        <v>5634</v>
      </c>
      <c r="C2077" s="210" t="s">
        <v>989</v>
      </c>
      <c r="D2077" s="229" t="s">
        <v>1392</v>
      </c>
      <c r="E2077" s="229" t="s">
        <v>478</v>
      </c>
      <c r="F2077" s="240">
        <v>300</v>
      </c>
      <c r="G2077" s="205">
        <v>1</v>
      </c>
      <c r="H2077" s="206">
        <v>600</v>
      </c>
      <c r="I2077" s="207">
        <v>41539</v>
      </c>
      <c r="J2077" s="197" t="str">
        <f t="shared" si="99"/>
        <v>ok</v>
      </c>
      <c r="K2077" s="419"/>
      <c r="L2077" s="419"/>
      <c r="M2077" s="419"/>
      <c r="N2077" s="419"/>
      <c r="O2077" s="419"/>
      <c r="P2077" s="419"/>
      <c r="Q2077" s="419"/>
      <c r="R2077" s="419"/>
      <c r="S2077" s="419"/>
      <c r="T2077" s="419"/>
      <c r="U2077" s="419"/>
      <c r="V2077" s="419"/>
      <c r="W2077" s="419">
        <f t="shared" si="97"/>
        <v>0</v>
      </c>
      <c r="X2077" s="412"/>
      <c r="Y2077" s="412"/>
      <c r="Z2077" s="412"/>
      <c r="AA2077" s="412"/>
      <c r="AB2077" s="412"/>
      <c r="AC2077" s="412"/>
      <c r="AD2077" s="412"/>
      <c r="AE2077" s="412">
        <v>300</v>
      </c>
      <c r="AF2077" s="427">
        <v>300</v>
      </c>
      <c r="AG2077" s="412"/>
      <c r="AH2077" s="412"/>
      <c r="AI2077" s="412"/>
      <c r="AJ2077" s="412">
        <f t="shared" si="98"/>
        <v>600</v>
      </c>
      <c r="AK2077" s="410"/>
      <c r="AL2077" s="250" t="s">
        <v>2067</v>
      </c>
    </row>
    <row r="2078" spans="1:38" x14ac:dyDescent="0.2">
      <c r="A2078" s="409" t="s">
        <v>893</v>
      </c>
      <c r="B2078" s="209">
        <v>5635</v>
      </c>
      <c r="C2078" s="210" t="s">
        <v>1125</v>
      </c>
      <c r="D2078" s="229" t="s">
        <v>1543</v>
      </c>
      <c r="E2078" s="229" t="s">
        <v>286</v>
      </c>
      <c r="F2078" s="240">
        <v>300</v>
      </c>
      <c r="G2078" s="205">
        <v>1</v>
      </c>
      <c r="H2078" s="206">
        <v>300</v>
      </c>
      <c r="I2078" s="207">
        <v>41539</v>
      </c>
      <c r="J2078" s="197" t="str">
        <f t="shared" si="99"/>
        <v>ok</v>
      </c>
      <c r="K2078" s="419"/>
      <c r="L2078" s="419"/>
      <c r="M2078" s="419"/>
      <c r="N2078" s="419"/>
      <c r="O2078" s="419"/>
      <c r="P2078" s="419"/>
      <c r="Q2078" s="419"/>
      <c r="R2078" s="419"/>
      <c r="S2078" s="419"/>
      <c r="T2078" s="419"/>
      <c r="U2078" s="419"/>
      <c r="V2078" s="419"/>
      <c r="W2078" s="419">
        <f t="shared" si="97"/>
        <v>0</v>
      </c>
      <c r="X2078" s="412"/>
      <c r="Y2078" s="412"/>
      <c r="Z2078" s="412"/>
      <c r="AA2078" s="412"/>
      <c r="AB2078" s="412"/>
      <c r="AC2078" s="412"/>
      <c r="AD2078" s="412"/>
      <c r="AE2078" s="412"/>
      <c r="AF2078" s="427"/>
      <c r="AG2078" s="412">
        <v>300</v>
      </c>
      <c r="AH2078" s="412"/>
      <c r="AI2078" s="412"/>
      <c r="AJ2078" s="412">
        <f t="shared" si="98"/>
        <v>300</v>
      </c>
      <c r="AK2078" s="410"/>
      <c r="AL2078" s="250" t="s">
        <v>2067</v>
      </c>
    </row>
    <row r="2079" spans="1:38" x14ac:dyDescent="0.2">
      <c r="A2079" s="409" t="s">
        <v>893</v>
      </c>
      <c r="B2079" s="209">
        <v>5636</v>
      </c>
      <c r="C2079" s="210" t="s">
        <v>1125</v>
      </c>
      <c r="D2079" s="229" t="s">
        <v>1543</v>
      </c>
      <c r="E2079" s="229" t="s">
        <v>286</v>
      </c>
      <c r="F2079" s="240">
        <v>300</v>
      </c>
      <c r="G2079" s="205">
        <v>4</v>
      </c>
      <c r="H2079" s="206">
        <v>160</v>
      </c>
      <c r="I2079" s="207">
        <v>41539</v>
      </c>
      <c r="J2079" s="197" t="str">
        <f t="shared" si="99"/>
        <v>ok</v>
      </c>
      <c r="K2079" s="419"/>
      <c r="L2079" s="419"/>
      <c r="M2079" s="419"/>
      <c r="N2079" s="419"/>
      <c r="O2079" s="419"/>
      <c r="P2079" s="419"/>
      <c r="Q2079" s="419"/>
      <c r="R2079" s="419"/>
      <c r="S2079" s="419"/>
      <c r="T2079" s="419"/>
      <c r="U2079" s="419"/>
      <c r="V2079" s="419"/>
      <c r="W2079" s="419">
        <f t="shared" si="97"/>
        <v>0</v>
      </c>
      <c r="X2079" s="412"/>
      <c r="Y2079" s="412"/>
      <c r="Z2079" s="412"/>
      <c r="AA2079" s="412"/>
      <c r="AB2079" s="412"/>
      <c r="AC2079" s="412"/>
      <c r="AD2079" s="412"/>
      <c r="AE2079" s="412"/>
      <c r="AF2079" s="427"/>
      <c r="AG2079" s="412"/>
      <c r="AH2079" s="412"/>
      <c r="AI2079" s="412"/>
      <c r="AJ2079" s="412">
        <f t="shared" si="98"/>
        <v>0</v>
      </c>
      <c r="AK2079" s="410"/>
      <c r="AL2079" s="250" t="s">
        <v>2068</v>
      </c>
    </row>
    <row r="2080" spans="1:38" x14ac:dyDescent="0.2">
      <c r="A2080" s="409" t="s">
        <v>887</v>
      </c>
      <c r="B2080" s="209">
        <v>5637</v>
      </c>
      <c r="C2080" s="210" t="s">
        <v>905</v>
      </c>
      <c r="D2080" s="229" t="s">
        <v>1524</v>
      </c>
      <c r="E2080" s="229" t="s">
        <v>669</v>
      </c>
      <c r="F2080" s="240">
        <v>150</v>
      </c>
      <c r="G2080" s="205">
        <v>1</v>
      </c>
      <c r="H2080" s="206">
        <v>150</v>
      </c>
      <c r="I2080" s="207">
        <v>41539</v>
      </c>
      <c r="J2080" s="197" t="str">
        <f t="shared" si="99"/>
        <v>ok</v>
      </c>
      <c r="K2080" s="419"/>
      <c r="L2080" s="419"/>
      <c r="M2080" s="419"/>
      <c r="N2080" s="419"/>
      <c r="O2080" s="419"/>
      <c r="P2080" s="419"/>
      <c r="Q2080" s="419"/>
      <c r="R2080" s="419"/>
      <c r="S2080" s="419"/>
      <c r="T2080" s="419"/>
      <c r="U2080" s="419"/>
      <c r="V2080" s="419"/>
      <c r="W2080" s="419">
        <f t="shared" si="97"/>
        <v>0</v>
      </c>
      <c r="X2080" s="412"/>
      <c r="Y2080" s="412"/>
      <c r="Z2080" s="412"/>
      <c r="AA2080" s="412"/>
      <c r="AB2080" s="412"/>
      <c r="AC2080" s="412"/>
      <c r="AD2080" s="412"/>
      <c r="AE2080" s="412"/>
      <c r="AF2080" s="427">
        <v>150</v>
      </c>
      <c r="AG2080" s="412"/>
      <c r="AH2080" s="412"/>
      <c r="AI2080" s="412"/>
      <c r="AJ2080" s="412">
        <f t="shared" si="98"/>
        <v>150</v>
      </c>
      <c r="AK2080" s="410"/>
      <c r="AL2080" s="250" t="s">
        <v>2067</v>
      </c>
    </row>
    <row r="2081" spans="1:38" x14ac:dyDescent="0.2">
      <c r="A2081" s="409" t="s">
        <v>891</v>
      </c>
      <c r="B2081" s="209">
        <v>5638</v>
      </c>
      <c r="C2081" s="210" t="s">
        <v>1053</v>
      </c>
      <c r="D2081" s="229" t="s">
        <v>1508</v>
      </c>
      <c r="E2081" s="229" t="s">
        <v>657</v>
      </c>
      <c r="F2081" s="240">
        <v>200</v>
      </c>
      <c r="G2081" s="205">
        <v>1</v>
      </c>
      <c r="H2081" s="206">
        <v>200</v>
      </c>
      <c r="I2081" s="207">
        <v>41539</v>
      </c>
      <c r="J2081" s="197" t="str">
        <f t="shared" si="99"/>
        <v>ok</v>
      </c>
      <c r="K2081" s="419"/>
      <c r="L2081" s="419"/>
      <c r="M2081" s="419"/>
      <c r="N2081" s="419"/>
      <c r="O2081" s="419"/>
      <c r="P2081" s="419"/>
      <c r="Q2081" s="419"/>
      <c r="R2081" s="419"/>
      <c r="S2081" s="419"/>
      <c r="T2081" s="419"/>
      <c r="U2081" s="419"/>
      <c r="V2081" s="419"/>
      <c r="W2081" s="419">
        <f t="shared" si="97"/>
        <v>0</v>
      </c>
      <c r="X2081" s="412"/>
      <c r="Y2081" s="412"/>
      <c r="Z2081" s="412"/>
      <c r="AA2081" s="412"/>
      <c r="AB2081" s="412"/>
      <c r="AC2081" s="412"/>
      <c r="AD2081" s="412"/>
      <c r="AE2081" s="412"/>
      <c r="AF2081" s="427">
        <v>200</v>
      </c>
      <c r="AG2081" s="412"/>
      <c r="AH2081" s="412"/>
      <c r="AI2081" s="412"/>
      <c r="AJ2081" s="412">
        <f t="shared" si="98"/>
        <v>200</v>
      </c>
      <c r="AK2081" s="410"/>
      <c r="AL2081" s="250" t="s">
        <v>2067</v>
      </c>
    </row>
    <row r="2082" spans="1:38" x14ac:dyDescent="0.2">
      <c r="A2082" s="409" t="s">
        <v>890</v>
      </c>
      <c r="B2082" s="209">
        <v>5639</v>
      </c>
      <c r="C2082" s="210" t="s">
        <v>991</v>
      </c>
      <c r="D2082" s="229" t="s">
        <v>1456</v>
      </c>
      <c r="E2082" s="229" t="s">
        <v>480</v>
      </c>
      <c r="F2082" s="240">
        <v>300</v>
      </c>
      <c r="G2082" s="205">
        <v>1</v>
      </c>
      <c r="H2082" s="206">
        <v>600</v>
      </c>
      <c r="I2082" s="207">
        <v>41539</v>
      </c>
      <c r="J2082" s="197" t="str">
        <f t="shared" si="99"/>
        <v>ok</v>
      </c>
      <c r="K2082" s="419"/>
      <c r="L2082" s="419"/>
      <c r="M2082" s="419"/>
      <c r="N2082" s="419"/>
      <c r="O2082" s="419"/>
      <c r="P2082" s="419"/>
      <c r="Q2082" s="419"/>
      <c r="R2082" s="419"/>
      <c r="S2082" s="419"/>
      <c r="T2082" s="419"/>
      <c r="U2082" s="419"/>
      <c r="V2082" s="419"/>
      <c r="W2082" s="419">
        <f t="shared" si="97"/>
        <v>0</v>
      </c>
      <c r="X2082" s="412"/>
      <c r="Y2082" s="412"/>
      <c r="Z2082" s="412"/>
      <c r="AA2082" s="412"/>
      <c r="AB2082" s="412"/>
      <c r="AC2082" s="412"/>
      <c r="AD2082" s="412"/>
      <c r="AE2082" s="412">
        <v>300</v>
      </c>
      <c r="AF2082" s="427">
        <v>300</v>
      </c>
      <c r="AG2082" s="412"/>
      <c r="AH2082" s="412"/>
      <c r="AI2082" s="412"/>
      <c r="AJ2082" s="412">
        <f t="shared" si="98"/>
        <v>600</v>
      </c>
      <c r="AK2082" s="410"/>
      <c r="AL2082" s="250" t="s">
        <v>2067</v>
      </c>
    </row>
    <row r="2083" spans="1:38" x14ac:dyDescent="0.2">
      <c r="A2083" s="409" t="s">
        <v>884</v>
      </c>
      <c r="B2083" s="209">
        <v>5640</v>
      </c>
      <c r="C2083" s="210" t="s">
        <v>831</v>
      </c>
      <c r="D2083" s="229" t="s">
        <v>1534</v>
      </c>
      <c r="E2083" s="229" t="s">
        <v>64</v>
      </c>
      <c r="F2083" s="240">
        <v>300</v>
      </c>
      <c r="G2083" s="205">
        <v>1</v>
      </c>
      <c r="H2083" s="206">
        <v>300</v>
      </c>
      <c r="I2083" s="207">
        <v>41539</v>
      </c>
      <c r="J2083" s="197" t="str">
        <f t="shared" si="99"/>
        <v>ok</v>
      </c>
      <c r="K2083" s="419"/>
      <c r="L2083" s="419"/>
      <c r="M2083" s="419"/>
      <c r="N2083" s="419"/>
      <c r="O2083" s="419"/>
      <c r="P2083" s="419"/>
      <c r="Q2083" s="419"/>
      <c r="R2083" s="419"/>
      <c r="S2083" s="419"/>
      <c r="T2083" s="419"/>
      <c r="U2083" s="419"/>
      <c r="V2083" s="419"/>
      <c r="W2083" s="419">
        <f t="shared" si="97"/>
        <v>0</v>
      </c>
      <c r="X2083" s="412"/>
      <c r="Y2083" s="412"/>
      <c r="Z2083" s="412"/>
      <c r="AA2083" s="412"/>
      <c r="AB2083" s="412"/>
      <c r="AC2083" s="412"/>
      <c r="AD2083" s="412"/>
      <c r="AE2083" s="412"/>
      <c r="AF2083" s="427">
        <v>300</v>
      </c>
      <c r="AG2083" s="412"/>
      <c r="AH2083" s="412"/>
      <c r="AI2083" s="412"/>
      <c r="AJ2083" s="412">
        <f t="shared" si="98"/>
        <v>300</v>
      </c>
      <c r="AK2083" s="410"/>
      <c r="AL2083" s="250" t="s">
        <v>2067</v>
      </c>
    </row>
    <row r="2084" spans="1:38" x14ac:dyDescent="0.2">
      <c r="A2084" s="409" t="s">
        <v>888</v>
      </c>
      <c r="B2084" s="209">
        <v>5641</v>
      </c>
      <c r="C2084" s="210" t="s">
        <v>931</v>
      </c>
      <c r="D2084" s="229" t="s">
        <v>1540</v>
      </c>
      <c r="E2084" s="229" t="s">
        <v>720</v>
      </c>
      <c r="F2084" s="240">
        <v>200</v>
      </c>
      <c r="G2084" s="205">
        <v>1</v>
      </c>
      <c r="H2084" s="206">
        <v>1200</v>
      </c>
      <c r="I2084" s="207">
        <v>41539</v>
      </c>
      <c r="J2084" s="197" t="str">
        <f t="shared" si="99"/>
        <v>ok</v>
      </c>
      <c r="K2084" s="419"/>
      <c r="L2084" s="419"/>
      <c r="M2084" s="419"/>
      <c r="N2084" s="419"/>
      <c r="O2084" s="419"/>
      <c r="P2084" s="419"/>
      <c r="Q2084" s="419"/>
      <c r="R2084" s="419"/>
      <c r="S2084" s="419"/>
      <c r="T2084" s="419"/>
      <c r="U2084" s="419"/>
      <c r="V2084" s="419"/>
      <c r="W2084" s="419">
        <f t="shared" si="97"/>
        <v>0</v>
      </c>
      <c r="X2084" s="412"/>
      <c r="Y2084" s="412"/>
      <c r="Z2084" s="412"/>
      <c r="AA2084" s="412"/>
      <c r="AB2084" s="412"/>
      <c r="AC2084" s="412"/>
      <c r="AD2084" s="412">
        <v>200</v>
      </c>
      <c r="AE2084" s="412">
        <v>200</v>
      </c>
      <c r="AF2084" s="427">
        <v>200</v>
      </c>
      <c r="AG2084" s="412">
        <v>200</v>
      </c>
      <c r="AH2084" s="412">
        <v>200</v>
      </c>
      <c r="AI2084" s="412">
        <v>200</v>
      </c>
      <c r="AJ2084" s="412">
        <f t="shared" si="98"/>
        <v>1200</v>
      </c>
      <c r="AK2084" s="410"/>
      <c r="AL2084" s="250" t="s">
        <v>2067</v>
      </c>
    </row>
    <row r="2085" spans="1:38" x14ac:dyDescent="0.2">
      <c r="A2085" s="409" t="s">
        <v>888</v>
      </c>
      <c r="B2085" s="209">
        <v>5642</v>
      </c>
      <c r="C2085" s="210" t="s">
        <v>762</v>
      </c>
      <c r="D2085" s="229" t="s">
        <v>1579</v>
      </c>
      <c r="E2085" s="229" t="s">
        <v>436</v>
      </c>
      <c r="F2085" s="240">
        <v>300</v>
      </c>
      <c r="G2085" s="205">
        <v>1</v>
      </c>
      <c r="H2085" s="206">
        <v>300</v>
      </c>
      <c r="I2085" s="207">
        <v>41539</v>
      </c>
      <c r="J2085" s="197" t="str">
        <f t="shared" si="99"/>
        <v>ok</v>
      </c>
      <c r="K2085" s="419"/>
      <c r="L2085" s="419"/>
      <c r="M2085" s="419"/>
      <c r="N2085" s="419"/>
      <c r="O2085" s="419"/>
      <c r="P2085" s="419"/>
      <c r="Q2085" s="419"/>
      <c r="R2085" s="419"/>
      <c r="S2085" s="419"/>
      <c r="T2085" s="419"/>
      <c r="U2085" s="419"/>
      <c r="V2085" s="419"/>
      <c r="W2085" s="419">
        <f t="shared" si="97"/>
        <v>0</v>
      </c>
      <c r="X2085" s="412"/>
      <c r="Y2085" s="412"/>
      <c r="Z2085" s="412"/>
      <c r="AA2085" s="412"/>
      <c r="AB2085" s="412"/>
      <c r="AC2085" s="412"/>
      <c r="AD2085" s="412"/>
      <c r="AE2085" s="412"/>
      <c r="AF2085" s="427"/>
      <c r="AG2085" s="412">
        <v>300</v>
      </c>
      <c r="AH2085" s="412"/>
      <c r="AI2085" s="412"/>
      <c r="AJ2085" s="412">
        <f t="shared" si="98"/>
        <v>300</v>
      </c>
      <c r="AK2085" s="410"/>
      <c r="AL2085" s="250" t="s">
        <v>2067</v>
      </c>
    </row>
    <row r="2086" spans="1:38" x14ac:dyDescent="0.2">
      <c r="A2086" s="409" t="s">
        <v>890</v>
      </c>
      <c r="B2086" s="209">
        <v>5643</v>
      </c>
      <c r="C2086" s="210" t="s">
        <v>1027</v>
      </c>
      <c r="D2086" s="229" t="s">
        <v>1565</v>
      </c>
      <c r="E2086" s="229" t="s">
        <v>527</v>
      </c>
      <c r="F2086" s="240">
        <v>300</v>
      </c>
      <c r="G2086" s="205">
        <v>1</v>
      </c>
      <c r="H2086" s="206">
        <v>300</v>
      </c>
      <c r="I2086" s="207">
        <v>41539</v>
      </c>
      <c r="J2086" s="197" t="str">
        <f t="shared" si="99"/>
        <v>ok</v>
      </c>
      <c r="K2086" s="419"/>
      <c r="L2086" s="419"/>
      <c r="M2086" s="419"/>
      <c r="N2086" s="419"/>
      <c r="O2086" s="419"/>
      <c r="P2086" s="419"/>
      <c r="Q2086" s="419"/>
      <c r="R2086" s="419"/>
      <c r="S2086" s="419"/>
      <c r="T2086" s="419"/>
      <c r="U2086" s="419"/>
      <c r="V2086" s="419"/>
      <c r="W2086" s="419">
        <f t="shared" si="97"/>
        <v>0</v>
      </c>
      <c r="X2086" s="412"/>
      <c r="Y2086" s="412"/>
      <c r="Z2086" s="412"/>
      <c r="AA2086" s="412"/>
      <c r="AB2086" s="412"/>
      <c r="AC2086" s="412"/>
      <c r="AD2086" s="412"/>
      <c r="AE2086" s="412"/>
      <c r="AF2086" s="427">
        <v>300</v>
      </c>
      <c r="AG2086" s="412"/>
      <c r="AH2086" s="412"/>
      <c r="AI2086" s="412"/>
      <c r="AJ2086" s="412">
        <f t="shared" si="98"/>
        <v>300</v>
      </c>
      <c r="AK2086" s="410"/>
      <c r="AL2086" s="250" t="s">
        <v>2067</v>
      </c>
    </row>
    <row r="2087" spans="1:38" x14ac:dyDescent="0.2">
      <c r="A2087" s="409" t="s">
        <v>884</v>
      </c>
      <c r="B2087" s="209">
        <v>5644</v>
      </c>
      <c r="C2087" s="210" t="s">
        <v>856</v>
      </c>
      <c r="D2087" s="229" t="s">
        <v>1515</v>
      </c>
      <c r="E2087" s="229" t="s">
        <v>99</v>
      </c>
      <c r="F2087" s="240">
        <v>300</v>
      </c>
      <c r="G2087" s="205">
        <v>1</v>
      </c>
      <c r="H2087" s="206">
        <v>300</v>
      </c>
      <c r="I2087" s="207">
        <v>41539</v>
      </c>
      <c r="J2087" s="197" t="str">
        <f t="shared" si="99"/>
        <v>ok</v>
      </c>
      <c r="K2087" s="419"/>
      <c r="L2087" s="419"/>
      <c r="M2087" s="419"/>
      <c r="N2087" s="419"/>
      <c r="O2087" s="419"/>
      <c r="P2087" s="419"/>
      <c r="Q2087" s="419"/>
      <c r="R2087" s="419"/>
      <c r="S2087" s="419"/>
      <c r="T2087" s="419"/>
      <c r="U2087" s="419"/>
      <c r="V2087" s="419"/>
      <c r="W2087" s="419">
        <f t="shared" si="97"/>
        <v>0</v>
      </c>
      <c r="X2087" s="412"/>
      <c r="Y2087" s="412"/>
      <c r="Z2087" s="412"/>
      <c r="AA2087" s="412"/>
      <c r="AB2087" s="412"/>
      <c r="AC2087" s="412"/>
      <c r="AD2087" s="412"/>
      <c r="AE2087" s="412"/>
      <c r="AF2087" s="427">
        <v>300</v>
      </c>
      <c r="AG2087" s="412"/>
      <c r="AH2087" s="412"/>
      <c r="AI2087" s="412"/>
      <c r="AJ2087" s="412">
        <f t="shared" si="98"/>
        <v>300</v>
      </c>
      <c r="AK2087" s="410"/>
      <c r="AL2087" s="250" t="s">
        <v>2067</v>
      </c>
    </row>
    <row r="2088" spans="1:38" x14ac:dyDescent="0.2">
      <c r="A2088" s="409" t="s">
        <v>893</v>
      </c>
      <c r="B2088" s="209">
        <v>5645</v>
      </c>
      <c r="C2088" s="210" t="s">
        <v>1101</v>
      </c>
      <c r="D2088" s="229" t="s">
        <v>1563</v>
      </c>
      <c r="E2088" s="229" t="s">
        <v>244</v>
      </c>
      <c r="F2088" s="240">
        <v>200</v>
      </c>
      <c r="G2088" s="205">
        <v>1</v>
      </c>
      <c r="H2088" s="206">
        <v>400</v>
      </c>
      <c r="I2088" s="207">
        <v>41539</v>
      </c>
      <c r="J2088" s="197" t="str">
        <f t="shared" si="99"/>
        <v>ok</v>
      </c>
      <c r="K2088" s="419"/>
      <c r="L2088" s="419"/>
      <c r="M2088" s="419"/>
      <c r="N2088" s="419"/>
      <c r="O2088" s="419"/>
      <c r="P2088" s="419"/>
      <c r="Q2088" s="419"/>
      <c r="R2088" s="419"/>
      <c r="S2088" s="419"/>
      <c r="T2088" s="419"/>
      <c r="U2088" s="419"/>
      <c r="V2088" s="419"/>
      <c r="W2088" s="419">
        <f t="shared" si="97"/>
        <v>0</v>
      </c>
      <c r="X2088" s="412"/>
      <c r="Y2088" s="412"/>
      <c r="Z2088" s="412"/>
      <c r="AA2088" s="412"/>
      <c r="AB2088" s="412"/>
      <c r="AC2088" s="412"/>
      <c r="AD2088" s="412"/>
      <c r="AE2088" s="412">
        <v>200</v>
      </c>
      <c r="AF2088" s="427">
        <v>200</v>
      </c>
      <c r="AG2088" s="412"/>
      <c r="AH2088" s="412"/>
      <c r="AI2088" s="412"/>
      <c r="AJ2088" s="412">
        <f t="shared" si="98"/>
        <v>400</v>
      </c>
      <c r="AK2088" s="410"/>
      <c r="AL2088" s="250" t="s">
        <v>2067</v>
      </c>
    </row>
    <row r="2089" spans="1:38" x14ac:dyDescent="0.2">
      <c r="A2089" s="409" t="s">
        <v>892</v>
      </c>
      <c r="B2089" s="209">
        <v>5646</v>
      </c>
      <c r="C2089" s="210" t="s">
        <v>1065</v>
      </c>
      <c r="D2089" s="229" t="s">
        <v>1662</v>
      </c>
      <c r="E2089" s="229" t="s">
        <v>1190</v>
      </c>
      <c r="F2089" s="240">
        <v>300</v>
      </c>
      <c r="G2089" s="205">
        <v>1</v>
      </c>
      <c r="H2089" s="206">
        <v>300</v>
      </c>
      <c r="I2089" s="207">
        <v>41539</v>
      </c>
      <c r="J2089" s="197" t="str">
        <f t="shared" si="99"/>
        <v>ok</v>
      </c>
      <c r="K2089" s="419"/>
      <c r="L2089" s="419"/>
      <c r="M2089" s="419"/>
      <c r="N2089" s="419"/>
      <c r="O2089" s="419"/>
      <c r="P2089" s="419"/>
      <c r="Q2089" s="419"/>
      <c r="R2089" s="419"/>
      <c r="S2089" s="419"/>
      <c r="T2089" s="419"/>
      <c r="U2089" s="419"/>
      <c r="V2089" s="419"/>
      <c r="W2089" s="419">
        <f t="shared" si="97"/>
        <v>0</v>
      </c>
      <c r="X2089" s="412"/>
      <c r="Y2089" s="412"/>
      <c r="Z2089" s="412"/>
      <c r="AA2089" s="412"/>
      <c r="AB2089" s="412"/>
      <c r="AC2089" s="412"/>
      <c r="AD2089" s="412"/>
      <c r="AE2089" s="412"/>
      <c r="AF2089" s="427">
        <v>300</v>
      </c>
      <c r="AG2089" s="412"/>
      <c r="AH2089" s="412"/>
      <c r="AI2089" s="412"/>
      <c r="AJ2089" s="412">
        <f t="shared" si="98"/>
        <v>300</v>
      </c>
      <c r="AK2089" s="410"/>
      <c r="AL2089" s="250" t="s">
        <v>2067</v>
      </c>
    </row>
    <row r="2090" spans="1:38" x14ac:dyDescent="0.2">
      <c r="A2090" s="409" t="s">
        <v>884</v>
      </c>
      <c r="B2090" s="209">
        <v>5647</v>
      </c>
      <c r="C2090" s="210" t="s">
        <v>791</v>
      </c>
      <c r="D2090" s="229" t="s">
        <v>1555</v>
      </c>
      <c r="E2090" s="229" t="s">
        <v>380</v>
      </c>
      <c r="F2090" s="240">
        <v>100</v>
      </c>
      <c r="G2090" s="205">
        <v>1</v>
      </c>
      <c r="H2090" s="206">
        <v>500</v>
      </c>
      <c r="I2090" s="207">
        <v>41539</v>
      </c>
      <c r="J2090" s="197" t="str">
        <f t="shared" si="99"/>
        <v>ok</v>
      </c>
      <c r="K2090" s="419"/>
      <c r="L2090" s="419"/>
      <c r="M2090" s="419"/>
      <c r="N2090" s="419"/>
      <c r="O2090" s="419"/>
      <c r="P2090" s="419"/>
      <c r="Q2090" s="419"/>
      <c r="R2090" s="419"/>
      <c r="S2090" s="419"/>
      <c r="T2090" s="419"/>
      <c r="U2090" s="419"/>
      <c r="V2090" s="419"/>
      <c r="W2090" s="419">
        <f t="shared" si="97"/>
        <v>0</v>
      </c>
      <c r="X2090" s="412"/>
      <c r="Y2090" s="412"/>
      <c r="Z2090" s="412"/>
      <c r="AA2090" s="412"/>
      <c r="AB2090" s="412">
        <v>100</v>
      </c>
      <c r="AC2090" s="412">
        <v>100</v>
      </c>
      <c r="AD2090" s="412">
        <v>100</v>
      </c>
      <c r="AE2090" s="412">
        <v>100</v>
      </c>
      <c r="AF2090" s="427">
        <v>100</v>
      </c>
      <c r="AG2090" s="412"/>
      <c r="AH2090" s="412"/>
      <c r="AI2090" s="412"/>
      <c r="AJ2090" s="412">
        <f t="shared" si="98"/>
        <v>500</v>
      </c>
      <c r="AK2090" s="410"/>
      <c r="AL2090" s="250" t="s">
        <v>2067</v>
      </c>
    </row>
    <row r="2091" spans="1:38" x14ac:dyDescent="0.2">
      <c r="A2091" s="409" t="s">
        <v>890</v>
      </c>
      <c r="B2091" s="209">
        <v>5648</v>
      </c>
      <c r="C2091" s="210" t="s">
        <v>1023</v>
      </c>
      <c r="D2091" s="229" t="s">
        <v>1541</v>
      </c>
      <c r="E2091" s="229" t="s">
        <v>522</v>
      </c>
      <c r="F2091" s="240">
        <v>300</v>
      </c>
      <c r="G2091" s="205">
        <v>1</v>
      </c>
      <c r="H2091" s="206">
        <v>600</v>
      </c>
      <c r="I2091" s="207">
        <v>41539</v>
      </c>
      <c r="J2091" s="197" t="str">
        <f t="shared" si="99"/>
        <v>ok</v>
      </c>
      <c r="K2091" s="419"/>
      <c r="L2091" s="419"/>
      <c r="M2091" s="419"/>
      <c r="N2091" s="419"/>
      <c r="O2091" s="419"/>
      <c r="P2091" s="419"/>
      <c r="Q2091" s="419"/>
      <c r="R2091" s="419"/>
      <c r="S2091" s="419"/>
      <c r="T2091" s="419"/>
      <c r="U2091" s="419"/>
      <c r="V2091" s="419"/>
      <c r="W2091" s="419">
        <f t="shared" si="97"/>
        <v>0</v>
      </c>
      <c r="X2091" s="412"/>
      <c r="Y2091" s="412"/>
      <c r="Z2091" s="412"/>
      <c r="AA2091" s="412"/>
      <c r="AB2091" s="412"/>
      <c r="AC2091" s="412"/>
      <c r="AD2091" s="412"/>
      <c r="AE2091" s="412">
        <v>300</v>
      </c>
      <c r="AF2091" s="427">
        <v>300</v>
      </c>
      <c r="AG2091" s="412"/>
      <c r="AH2091" s="412"/>
      <c r="AI2091" s="412"/>
      <c r="AJ2091" s="412">
        <f t="shared" si="98"/>
        <v>600</v>
      </c>
      <c r="AK2091" s="410"/>
      <c r="AL2091" s="250" t="s">
        <v>2067</v>
      </c>
    </row>
    <row r="2092" spans="1:38" x14ac:dyDescent="0.2">
      <c r="A2092" s="409" t="s">
        <v>888</v>
      </c>
      <c r="B2092" s="209">
        <v>5649</v>
      </c>
      <c r="C2092" s="210" t="s">
        <v>938</v>
      </c>
      <c r="D2092" s="229" t="s">
        <v>1368</v>
      </c>
      <c r="E2092" s="229" t="s">
        <v>35</v>
      </c>
      <c r="F2092" s="240">
        <v>300</v>
      </c>
      <c r="G2092" s="205">
        <v>1</v>
      </c>
      <c r="H2092" s="206">
        <v>600</v>
      </c>
      <c r="I2092" s="207">
        <v>41539</v>
      </c>
      <c r="J2092" s="197" t="str">
        <f t="shared" si="99"/>
        <v>ok</v>
      </c>
      <c r="K2092" s="419"/>
      <c r="L2092" s="419"/>
      <c r="M2092" s="419"/>
      <c r="N2092" s="419"/>
      <c r="O2092" s="419"/>
      <c r="P2092" s="419"/>
      <c r="Q2092" s="419"/>
      <c r="R2092" s="419"/>
      <c r="S2092" s="419"/>
      <c r="T2092" s="419"/>
      <c r="U2092" s="419"/>
      <c r="V2092" s="419"/>
      <c r="W2092" s="419">
        <f t="shared" si="97"/>
        <v>0</v>
      </c>
      <c r="X2092" s="412"/>
      <c r="Y2092" s="412"/>
      <c r="Z2092" s="412"/>
      <c r="AA2092" s="412"/>
      <c r="AB2092" s="412"/>
      <c r="AC2092" s="412"/>
      <c r="AD2092" s="412">
        <v>300</v>
      </c>
      <c r="AE2092" s="412">
        <v>300</v>
      </c>
      <c r="AF2092" s="427"/>
      <c r="AG2092" s="412"/>
      <c r="AH2092" s="412"/>
      <c r="AI2092" s="412"/>
      <c r="AJ2092" s="412">
        <f t="shared" si="98"/>
        <v>600</v>
      </c>
      <c r="AK2092" s="410"/>
      <c r="AL2092" s="250" t="s">
        <v>2067</v>
      </c>
    </row>
    <row r="2093" spans="1:38" x14ac:dyDescent="0.2">
      <c r="A2093" s="409" t="s">
        <v>890</v>
      </c>
      <c r="B2093" s="209">
        <v>5650</v>
      </c>
      <c r="C2093" s="210" t="s">
        <v>1019</v>
      </c>
      <c r="D2093" s="229" t="s">
        <v>1512</v>
      </c>
      <c r="E2093" s="229" t="s">
        <v>731</v>
      </c>
      <c r="F2093" s="240">
        <v>300</v>
      </c>
      <c r="G2093" s="205">
        <v>1</v>
      </c>
      <c r="H2093" s="206">
        <v>600</v>
      </c>
      <c r="I2093" s="207">
        <v>41539</v>
      </c>
      <c r="J2093" s="197" t="str">
        <f t="shared" si="99"/>
        <v>ok</v>
      </c>
      <c r="K2093" s="419"/>
      <c r="L2093" s="419"/>
      <c r="M2093" s="419"/>
      <c r="N2093" s="419"/>
      <c r="O2093" s="419"/>
      <c r="P2093" s="419"/>
      <c r="Q2093" s="419"/>
      <c r="R2093" s="419"/>
      <c r="S2093" s="419"/>
      <c r="T2093" s="419"/>
      <c r="U2093" s="419"/>
      <c r="V2093" s="419"/>
      <c r="W2093" s="419">
        <f t="shared" si="97"/>
        <v>0</v>
      </c>
      <c r="X2093" s="412"/>
      <c r="Y2093" s="412"/>
      <c r="Z2093" s="412"/>
      <c r="AA2093" s="412"/>
      <c r="AB2093" s="412"/>
      <c r="AC2093" s="412"/>
      <c r="AD2093" s="412"/>
      <c r="AE2093" s="412">
        <v>300</v>
      </c>
      <c r="AF2093" s="427">
        <v>300</v>
      </c>
      <c r="AG2093" s="412"/>
      <c r="AH2093" s="412"/>
      <c r="AI2093" s="412"/>
      <c r="AJ2093" s="412">
        <f t="shared" si="98"/>
        <v>600</v>
      </c>
      <c r="AK2093" s="410"/>
      <c r="AL2093" s="250" t="s">
        <v>2067</v>
      </c>
    </row>
    <row r="2094" spans="1:38" x14ac:dyDescent="0.2">
      <c r="A2094" s="409" t="s">
        <v>892</v>
      </c>
      <c r="B2094" s="209">
        <v>5651</v>
      </c>
      <c r="C2094" s="210" t="s">
        <v>1058</v>
      </c>
      <c r="D2094" s="229" t="s">
        <v>1594</v>
      </c>
      <c r="E2094" s="229" t="s">
        <v>1309</v>
      </c>
      <c r="F2094" s="240">
        <v>300</v>
      </c>
      <c r="G2094" s="205">
        <v>1</v>
      </c>
      <c r="H2094" s="206">
        <v>300</v>
      </c>
      <c r="I2094" s="207">
        <v>41539</v>
      </c>
      <c r="J2094" s="197" t="str">
        <f t="shared" si="99"/>
        <v>ok</v>
      </c>
      <c r="K2094" s="419"/>
      <c r="L2094" s="419"/>
      <c r="M2094" s="419"/>
      <c r="N2094" s="419"/>
      <c r="O2094" s="419"/>
      <c r="P2094" s="419"/>
      <c r="Q2094" s="419"/>
      <c r="R2094" s="419"/>
      <c r="S2094" s="419"/>
      <c r="T2094" s="419"/>
      <c r="U2094" s="419"/>
      <c r="V2094" s="419"/>
      <c r="W2094" s="419">
        <f t="shared" si="97"/>
        <v>0</v>
      </c>
      <c r="X2094" s="412"/>
      <c r="Y2094" s="412"/>
      <c r="Z2094" s="412"/>
      <c r="AA2094" s="412"/>
      <c r="AB2094" s="412"/>
      <c r="AC2094" s="412"/>
      <c r="AD2094" s="412"/>
      <c r="AE2094" s="412"/>
      <c r="AF2094" s="427">
        <v>300</v>
      </c>
      <c r="AG2094" s="412"/>
      <c r="AH2094" s="412"/>
      <c r="AI2094" s="412"/>
      <c r="AJ2094" s="412">
        <f t="shared" si="98"/>
        <v>300</v>
      </c>
      <c r="AK2094" s="410"/>
      <c r="AL2094" s="250" t="s">
        <v>2067</v>
      </c>
    </row>
    <row r="2095" spans="1:38" x14ac:dyDescent="0.2">
      <c r="A2095" s="409" t="s">
        <v>893</v>
      </c>
      <c r="B2095" s="209">
        <v>5652</v>
      </c>
      <c r="C2095" s="210" t="s">
        <v>1095</v>
      </c>
      <c r="D2095" s="229" t="s">
        <v>1469</v>
      </c>
      <c r="E2095" s="229" t="s">
        <v>232</v>
      </c>
      <c r="F2095" s="240">
        <v>200</v>
      </c>
      <c r="G2095" s="205">
        <v>1</v>
      </c>
      <c r="H2095" s="206">
        <v>200</v>
      </c>
      <c r="I2095" s="207">
        <v>41539</v>
      </c>
      <c r="J2095" s="197" t="str">
        <f t="shared" si="99"/>
        <v>ok</v>
      </c>
      <c r="K2095" s="419"/>
      <c r="L2095" s="419"/>
      <c r="M2095" s="419"/>
      <c r="N2095" s="419"/>
      <c r="O2095" s="419"/>
      <c r="P2095" s="419"/>
      <c r="Q2095" s="419"/>
      <c r="R2095" s="419"/>
      <c r="S2095" s="419"/>
      <c r="T2095" s="419"/>
      <c r="U2095" s="419"/>
      <c r="V2095" s="419"/>
      <c r="W2095" s="419">
        <f t="shared" si="97"/>
        <v>0</v>
      </c>
      <c r="X2095" s="412"/>
      <c r="Y2095" s="412"/>
      <c r="Z2095" s="412"/>
      <c r="AA2095" s="412"/>
      <c r="AB2095" s="412"/>
      <c r="AC2095" s="412">
        <v>200</v>
      </c>
      <c r="AD2095" s="412"/>
      <c r="AE2095" s="412"/>
      <c r="AF2095" s="427"/>
      <c r="AG2095" s="412"/>
      <c r="AH2095" s="412"/>
      <c r="AI2095" s="412"/>
      <c r="AJ2095" s="412">
        <f t="shared" si="98"/>
        <v>200</v>
      </c>
      <c r="AK2095" s="410"/>
      <c r="AL2095" s="250" t="s">
        <v>2067</v>
      </c>
    </row>
    <row r="2096" spans="1:38" x14ac:dyDescent="0.2">
      <c r="A2096" s="409" t="s">
        <v>884</v>
      </c>
      <c r="B2096" s="209">
        <v>5653</v>
      </c>
      <c r="C2096" s="210" t="s">
        <v>766</v>
      </c>
      <c r="D2096" s="229" t="s">
        <v>1557</v>
      </c>
      <c r="E2096" s="229" t="s">
        <v>123</v>
      </c>
      <c r="F2096" s="240">
        <v>300</v>
      </c>
      <c r="G2096" s="205">
        <v>1</v>
      </c>
      <c r="H2096" s="206">
        <v>900</v>
      </c>
      <c r="I2096" s="207">
        <v>41539</v>
      </c>
      <c r="J2096" s="197" t="str">
        <f t="shared" si="99"/>
        <v>ok</v>
      </c>
      <c r="K2096" s="419"/>
      <c r="L2096" s="419"/>
      <c r="M2096" s="419"/>
      <c r="N2096" s="419"/>
      <c r="O2096" s="419"/>
      <c r="P2096" s="419"/>
      <c r="Q2096" s="419"/>
      <c r="R2096" s="419"/>
      <c r="S2096" s="419"/>
      <c r="T2096" s="419"/>
      <c r="U2096" s="419"/>
      <c r="V2096" s="419"/>
      <c r="W2096" s="419">
        <f t="shared" si="97"/>
        <v>0</v>
      </c>
      <c r="X2096" s="412"/>
      <c r="Y2096" s="412"/>
      <c r="Z2096" s="412"/>
      <c r="AA2096" s="412"/>
      <c r="AB2096" s="412"/>
      <c r="AC2096" s="412"/>
      <c r="AD2096" s="412"/>
      <c r="AE2096" s="412">
        <v>300</v>
      </c>
      <c r="AF2096" s="427">
        <v>300</v>
      </c>
      <c r="AG2096" s="412">
        <v>300</v>
      </c>
      <c r="AH2096" s="412"/>
      <c r="AI2096" s="412"/>
      <c r="AJ2096" s="412">
        <f t="shared" si="98"/>
        <v>900</v>
      </c>
      <c r="AK2096" s="410"/>
      <c r="AL2096" s="250" t="s">
        <v>2067</v>
      </c>
    </row>
    <row r="2097" spans="1:38" x14ac:dyDescent="0.2">
      <c r="A2097" s="409" t="s">
        <v>888</v>
      </c>
      <c r="B2097" s="209">
        <v>5654</v>
      </c>
      <c r="C2097" s="210" t="s">
        <v>915</v>
      </c>
      <c r="D2097" s="229" t="s">
        <v>1592</v>
      </c>
      <c r="E2097" s="229" t="s">
        <v>717</v>
      </c>
      <c r="F2097" s="240">
        <v>200</v>
      </c>
      <c r="G2097" s="205">
        <v>1</v>
      </c>
      <c r="H2097" s="206">
        <v>200</v>
      </c>
      <c r="I2097" s="207">
        <v>41539</v>
      </c>
      <c r="J2097" s="197" t="str">
        <f t="shared" si="99"/>
        <v>ok</v>
      </c>
      <c r="K2097" s="419"/>
      <c r="L2097" s="419"/>
      <c r="M2097" s="419"/>
      <c r="N2097" s="419"/>
      <c r="O2097" s="419"/>
      <c r="P2097" s="419"/>
      <c r="Q2097" s="419"/>
      <c r="R2097" s="419"/>
      <c r="S2097" s="419"/>
      <c r="T2097" s="419"/>
      <c r="U2097" s="419"/>
      <c r="V2097" s="419"/>
      <c r="W2097" s="419">
        <f t="shared" si="97"/>
        <v>0</v>
      </c>
      <c r="X2097" s="412"/>
      <c r="Y2097" s="412"/>
      <c r="Z2097" s="412"/>
      <c r="AA2097" s="412"/>
      <c r="AB2097" s="412"/>
      <c r="AC2097" s="412"/>
      <c r="AD2097" s="412"/>
      <c r="AE2097" s="412">
        <v>200</v>
      </c>
      <c r="AF2097" s="427"/>
      <c r="AG2097" s="412"/>
      <c r="AH2097" s="412"/>
      <c r="AI2097" s="412"/>
      <c r="AJ2097" s="412">
        <f t="shared" si="98"/>
        <v>200</v>
      </c>
      <c r="AK2097" s="410"/>
      <c r="AL2097" s="250" t="s">
        <v>2067</v>
      </c>
    </row>
    <row r="2098" spans="1:38" x14ac:dyDescent="0.2">
      <c r="A2098" s="409" t="s">
        <v>893</v>
      </c>
      <c r="B2098" s="209">
        <v>5655</v>
      </c>
      <c r="C2098" s="210" t="s">
        <v>1106</v>
      </c>
      <c r="D2098" s="229" t="s">
        <v>1433</v>
      </c>
      <c r="E2098" s="229" t="s">
        <v>1221</v>
      </c>
      <c r="F2098" s="240">
        <v>300</v>
      </c>
      <c r="G2098" s="205">
        <v>1</v>
      </c>
      <c r="H2098" s="206">
        <v>300</v>
      </c>
      <c r="I2098" s="207">
        <v>41539</v>
      </c>
      <c r="J2098" s="197" t="str">
        <f t="shared" si="99"/>
        <v>ok</v>
      </c>
      <c r="K2098" s="419"/>
      <c r="L2098" s="419"/>
      <c r="M2098" s="419"/>
      <c r="N2098" s="419"/>
      <c r="O2098" s="419"/>
      <c r="P2098" s="419"/>
      <c r="Q2098" s="419"/>
      <c r="R2098" s="419"/>
      <c r="S2098" s="419"/>
      <c r="T2098" s="419"/>
      <c r="U2098" s="419"/>
      <c r="V2098" s="419"/>
      <c r="W2098" s="419">
        <f t="shared" si="97"/>
        <v>0</v>
      </c>
      <c r="X2098" s="412"/>
      <c r="Y2098" s="412"/>
      <c r="Z2098" s="412"/>
      <c r="AA2098" s="412"/>
      <c r="AB2098" s="412"/>
      <c r="AC2098" s="412"/>
      <c r="AD2098" s="412"/>
      <c r="AE2098" s="412"/>
      <c r="AF2098" s="427"/>
      <c r="AG2098" s="412">
        <v>300</v>
      </c>
      <c r="AH2098" s="412"/>
      <c r="AI2098" s="412"/>
      <c r="AJ2098" s="412">
        <f t="shared" si="98"/>
        <v>300</v>
      </c>
      <c r="AK2098" s="410"/>
      <c r="AL2098" s="250" t="s">
        <v>2067</v>
      </c>
    </row>
    <row r="2099" spans="1:38" x14ac:dyDescent="0.2">
      <c r="A2099" s="409" t="s">
        <v>890</v>
      </c>
      <c r="B2099" s="209">
        <v>5656</v>
      </c>
      <c r="C2099" s="210" t="s">
        <v>1032</v>
      </c>
      <c r="D2099" s="229" t="s">
        <v>1476</v>
      </c>
      <c r="E2099" s="229" t="s">
        <v>537</v>
      </c>
      <c r="F2099" s="240">
        <v>300</v>
      </c>
      <c r="G2099" s="205">
        <v>1</v>
      </c>
      <c r="H2099" s="206">
        <v>300</v>
      </c>
      <c r="I2099" s="207">
        <v>41539</v>
      </c>
      <c r="J2099" s="197" t="str">
        <f t="shared" si="99"/>
        <v>ok</v>
      </c>
      <c r="K2099" s="419"/>
      <c r="L2099" s="419"/>
      <c r="M2099" s="419"/>
      <c r="N2099" s="419"/>
      <c r="O2099" s="419"/>
      <c r="P2099" s="419"/>
      <c r="Q2099" s="419"/>
      <c r="R2099" s="419"/>
      <c r="S2099" s="419"/>
      <c r="T2099" s="419"/>
      <c r="U2099" s="419"/>
      <c r="V2099" s="419"/>
      <c r="W2099" s="419">
        <f t="shared" si="97"/>
        <v>0</v>
      </c>
      <c r="X2099" s="412"/>
      <c r="Y2099" s="412"/>
      <c r="Z2099" s="412"/>
      <c r="AA2099" s="412"/>
      <c r="AB2099" s="412"/>
      <c r="AC2099" s="412"/>
      <c r="AD2099" s="412"/>
      <c r="AE2099" s="412"/>
      <c r="AF2099" s="427">
        <v>300</v>
      </c>
      <c r="AG2099" s="412"/>
      <c r="AH2099" s="412"/>
      <c r="AI2099" s="412"/>
      <c r="AJ2099" s="412">
        <f t="shared" si="98"/>
        <v>300</v>
      </c>
      <c r="AK2099" s="410"/>
      <c r="AL2099" s="250" t="s">
        <v>2067</v>
      </c>
    </row>
    <row r="2100" spans="1:38" x14ac:dyDescent="0.2">
      <c r="A2100" s="409" t="s">
        <v>890</v>
      </c>
      <c r="B2100" s="209">
        <v>5657</v>
      </c>
      <c r="C2100" s="210" t="s">
        <v>1022</v>
      </c>
      <c r="D2100" s="229" t="s">
        <v>1611</v>
      </c>
      <c r="E2100" s="229" t="s">
        <v>521</v>
      </c>
      <c r="F2100" s="240">
        <v>300</v>
      </c>
      <c r="G2100" s="205">
        <v>1</v>
      </c>
      <c r="H2100" s="206">
        <v>600</v>
      </c>
      <c r="I2100" s="207">
        <v>41539</v>
      </c>
      <c r="J2100" s="197" t="str">
        <f t="shared" si="99"/>
        <v>ok</v>
      </c>
      <c r="K2100" s="419"/>
      <c r="L2100" s="419"/>
      <c r="M2100" s="419"/>
      <c r="N2100" s="419"/>
      <c r="O2100" s="419"/>
      <c r="P2100" s="419"/>
      <c r="Q2100" s="419"/>
      <c r="R2100" s="419"/>
      <c r="S2100" s="419"/>
      <c r="T2100" s="419"/>
      <c r="U2100" s="419"/>
      <c r="V2100" s="419"/>
      <c r="W2100" s="419">
        <f t="shared" si="97"/>
        <v>0</v>
      </c>
      <c r="X2100" s="412"/>
      <c r="Y2100" s="412"/>
      <c r="Z2100" s="412"/>
      <c r="AA2100" s="412"/>
      <c r="AB2100" s="412"/>
      <c r="AC2100" s="412"/>
      <c r="AD2100" s="412">
        <v>300</v>
      </c>
      <c r="AE2100" s="412">
        <v>300</v>
      </c>
      <c r="AF2100" s="427"/>
      <c r="AG2100" s="412"/>
      <c r="AH2100" s="412"/>
      <c r="AI2100" s="412"/>
      <c r="AJ2100" s="412">
        <f t="shared" si="98"/>
        <v>600</v>
      </c>
      <c r="AK2100" s="410"/>
      <c r="AL2100" s="250" t="s">
        <v>2067</v>
      </c>
    </row>
    <row r="2101" spans="1:38" x14ac:dyDescent="0.2">
      <c r="A2101" s="409" t="s">
        <v>893</v>
      </c>
      <c r="B2101" s="209">
        <v>5658</v>
      </c>
      <c r="C2101" s="210" t="s">
        <v>1108</v>
      </c>
      <c r="D2101" s="229" t="s">
        <v>1466</v>
      </c>
      <c r="E2101" s="229" t="s">
        <v>257</v>
      </c>
      <c r="F2101" s="240">
        <v>300</v>
      </c>
      <c r="G2101" s="205">
        <v>1</v>
      </c>
      <c r="H2101" s="206">
        <v>300</v>
      </c>
      <c r="I2101" s="207">
        <v>41539</v>
      </c>
      <c r="J2101" s="197" t="str">
        <f t="shared" si="99"/>
        <v>ok</v>
      </c>
      <c r="K2101" s="419"/>
      <c r="L2101" s="419"/>
      <c r="M2101" s="419"/>
      <c r="N2101" s="419"/>
      <c r="O2101" s="419"/>
      <c r="P2101" s="419"/>
      <c r="Q2101" s="419"/>
      <c r="R2101" s="419"/>
      <c r="S2101" s="419"/>
      <c r="T2101" s="419"/>
      <c r="U2101" s="419"/>
      <c r="V2101" s="419"/>
      <c r="W2101" s="419">
        <f t="shared" si="97"/>
        <v>0</v>
      </c>
      <c r="X2101" s="412"/>
      <c r="Y2101" s="412"/>
      <c r="Z2101" s="412"/>
      <c r="AA2101" s="412"/>
      <c r="AB2101" s="412"/>
      <c r="AC2101" s="412"/>
      <c r="AD2101" s="412"/>
      <c r="AE2101" s="412"/>
      <c r="AF2101" s="427">
        <v>300</v>
      </c>
      <c r="AG2101" s="412"/>
      <c r="AH2101" s="412"/>
      <c r="AI2101" s="412"/>
      <c r="AJ2101" s="412">
        <f t="shared" si="98"/>
        <v>300</v>
      </c>
      <c r="AK2101" s="410"/>
      <c r="AL2101" s="250" t="s">
        <v>2067</v>
      </c>
    </row>
    <row r="2102" spans="1:38" x14ac:dyDescent="0.2">
      <c r="A2102" s="409" t="s">
        <v>888</v>
      </c>
      <c r="B2102" s="209">
        <v>5659</v>
      </c>
      <c r="C2102" s="210" t="s">
        <v>790</v>
      </c>
      <c r="D2102" s="229" t="s">
        <v>1522</v>
      </c>
      <c r="E2102" s="229" t="s">
        <v>384</v>
      </c>
      <c r="F2102" s="240">
        <v>300</v>
      </c>
      <c r="G2102" s="205">
        <v>1</v>
      </c>
      <c r="H2102" s="206">
        <v>600</v>
      </c>
      <c r="I2102" s="207">
        <v>41539</v>
      </c>
      <c r="J2102" s="197" t="str">
        <f t="shared" si="99"/>
        <v>ok</v>
      </c>
      <c r="K2102" s="419"/>
      <c r="L2102" s="419"/>
      <c r="M2102" s="419"/>
      <c r="N2102" s="419"/>
      <c r="O2102" s="419"/>
      <c r="P2102" s="419"/>
      <c r="Q2102" s="419"/>
      <c r="R2102" s="419"/>
      <c r="S2102" s="419"/>
      <c r="T2102" s="419"/>
      <c r="U2102" s="419"/>
      <c r="V2102" s="419"/>
      <c r="W2102" s="419">
        <f t="shared" si="97"/>
        <v>0</v>
      </c>
      <c r="X2102" s="412"/>
      <c r="Y2102" s="412"/>
      <c r="Z2102" s="412"/>
      <c r="AA2102" s="412"/>
      <c r="AB2102" s="412"/>
      <c r="AC2102" s="412"/>
      <c r="AD2102" s="412"/>
      <c r="AE2102" s="412"/>
      <c r="AF2102" s="427">
        <v>300</v>
      </c>
      <c r="AG2102" s="412">
        <v>300</v>
      </c>
      <c r="AH2102" s="412"/>
      <c r="AI2102" s="412"/>
      <c r="AJ2102" s="412">
        <f t="shared" si="98"/>
        <v>600</v>
      </c>
      <c r="AK2102" s="410"/>
      <c r="AL2102" s="250" t="s">
        <v>2067</v>
      </c>
    </row>
    <row r="2103" spans="1:38" x14ac:dyDescent="0.2">
      <c r="A2103" s="409" t="s">
        <v>884</v>
      </c>
      <c r="B2103" s="209">
        <v>5660</v>
      </c>
      <c r="C2103" s="210" t="s">
        <v>835</v>
      </c>
      <c r="D2103" s="229" t="s">
        <v>1597</v>
      </c>
      <c r="E2103" s="229" t="s">
        <v>72</v>
      </c>
      <c r="F2103" s="240">
        <v>300</v>
      </c>
      <c r="G2103" s="205">
        <v>1</v>
      </c>
      <c r="H2103" s="206">
        <v>300</v>
      </c>
      <c r="I2103" s="207">
        <v>41539</v>
      </c>
      <c r="J2103" s="197" t="str">
        <f t="shared" si="99"/>
        <v>ok</v>
      </c>
      <c r="K2103" s="419"/>
      <c r="L2103" s="419"/>
      <c r="M2103" s="419"/>
      <c r="N2103" s="419"/>
      <c r="O2103" s="419"/>
      <c r="P2103" s="419"/>
      <c r="Q2103" s="419"/>
      <c r="R2103" s="419"/>
      <c r="S2103" s="419"/>
      <c r="T2103" s="419"/>
      <c r="U2103" s="419"/>
      <c r="V2103" s="419"/>
      <c r="W2103" s="419">
        <f t="shared" si="97"/>
        <v>0</v>
      </c>
      <c r="X2103" s="412"/>
      <c r="Y2103" s="412"/>
      <c r="Z2103" s="412"/>
      <c r="AA2103" s="412"/>
      <c r="AB2103" s="412"/>
      <c r="AC2103" s="412"/>
      <c r="AD2103" s="412"/>
      <c r="AE2103" s="412"/>
      <c r="AF2103" s="427">
        <v>300</v>
      </c>
      <c r="AG2103" s="412"/>
      <c r="AH2103" s="412"/>
      <c r="AI2103" s="412"/>
      <c r="AJ2103" s="412">
        <f t="shared" si="98"/>
        <v>300</v>
      </c>
      <c r="AK2103" s="410"/>
      <c r="AL2103" s="250" t="s">
        <v>2067</v>
      </c>
    </row>
    <row r="2104" spans="1:38" x14ac:dyDescent="0.2">
      <c r="A2104" s="409" t="s">
        <v>884</v>
      </c>
      <c r="B2104" s="209">
        <v>5661</v>
      </c>
      <c r="C2104" s="210" t="s">
        <v>789</v>
      </c>
      <c r="D2104" s="229" t="s">
        <v>1485</v>
      </c>
      <c r="E2104" s="229" t="s">
        <v>1666</v>
      </c>
      <c r="F2104" s="240">
        <v>300</v>
      </c>
      <c r="G2104" s="205">
        <v>1</v>
      </c>
      <c r="H2104" s="206">
        <v>300</v>
      </c>
      <c r="I2104" s="207">
        <v>41539</v>
      </c>
      <c r="J2104" s="197" t="str">
        <f t="shared" si="99"/>
        <v>ok</v>
      </c>
      <c r="K2104" s="419"/>
      <c r="L2104" s="419"/>
      <c r="M2104" s="419"/>
      <c r="N2104" s="419"/>
      <c r="O2104" s="419"/>
      <c r="P2104" s="419"/>
      <c r="Q2104" s="419"/>
      <c r="R2104" s="419"/>
      <c r="S2104" s="419"/>
      <c r="T2104" s="419"/>
      <c r="U2104" s="419"/>
      <c r="V2104" s="419"/>
      <c r="W2104" s="419">
        <f t="shared" si="97"/>
        <v>0</v>
      </c>
      <c r="X2104" s="412"/>
      <c r="Y2104" s="412"/>
      <c r="Z2104" s="412"/>
      <c r="AA2104" s="412"/>
      <c r="AB2104" s="412"/>
      <c r="AC2104" s="412"/>
      <c r="AD2104" s="412"/>
      <c r="AE2104" s="412"/>
      <c r="AF2104" s="427">
        <v>300</v>
      </c>
      <c r="AG2104" s="412"/>
      <c r="AH2104" s="412"/>
      <c r="AI2104" s="412"/>
      <c r="AJ2104" s="412">
        <f t="shared" si="98"/>
        <v>300</v>
      </c>
      <c r="AK2104" s="410"/>
      <c r="AL2104" s="250" t="s">
        <v>2067</v>
      </c>
    </row>
    <row r="2105" spans="1:38" x14ac:dyDescent="0.2">
      <c r="A2105" s="409" t="s">
        <v>1362</v>
      </c>
      <c r="B2105" s="209">
        <v>5662</v>
      </c>
      <c r="C2105" s="210"/>
      <c r="D2105" s="229" t="s">
        <v>1362</v>
      </c>
      <c r="E2105" s="229" t="s">
        <v>1362</v>
      </c>
      <c r="F2105" s="240" t="s">
        <v>1362</v>
      </c>
      <c r="G2105" s="205"/>
      <c r="H2105" s="206"/>
      <c r="I2105" s="207"/>
      <c r="J2105" s="197" t="str">
        <f t="shared" si="99"/>
        <v>ok</v>
      </c>
      <c r="K2105" s="419"/>
      <c r="L2105" s="419"/>
      <c r="M2105" s="419"/>
      <c r="N2105" s="419"/>
      <c r="O2105" s="419"/>
      <c r="P2105" s="419"/>
      <c r="Q2105" s="419"/>
      <c r="R2105" s="419"/>
      <c r="S2105" s="419"/>
      <c r="T2105" s="419"/>
      <c r="U2105" s="419"/>
      <c r="V2105" s="419"/>
      <c r="W2105" s="419">
        <f t="shared" si="97"/>
        <v>0</v>
      </c>
      <c r="X2105" s="412"/>
      <c r="Y2105" s="412"/>
      <c r="Z2105" s="412"/>
      <c r="AA2105" s="412"/>
      <c r="AB2105" s="412"/>
      <c r="AC2105" s="412"/>
      <c r="AD2105" s="412"/>
      <c r="AE2105" s="412"/>
      <c r="AF2105" s="427"/>
      <c r="AG2105" s="412"/>
      <c r="AH2105" s="412"/>
      <c r="AI2105" s="412"/>
      <c r="AJ2105" s="412">
        <f t="shared" si="98"/>
        <v>0</v>
      </c>
      <c r="AK2105" s="410" t="s">
        <v>755</v>
      </c>
      <c r="AL2105" s="250" t="s">
        <v>2067</v>
      </c>
    </row>
    <row r="2106" spans="1:38" x14ac:dyDescent="0.2">
      <c r="A2106" s="409" t="s">
        <v>892</v>
      </c>
      <c r="B2106" s="209">
        <v>5663</v>
      </c>
      <c r="C2106" s="210" t="s">
        <v>1059</v>
      </c>
      <c r="D2106" s="229" t="s">
        <v>1426</v>
      </c>
      <c r="E2106" s="229" t="s">
        <v>660</v>
      </c>
      <c r="F2106" s="240">
        <v>150</v>
      </c>
      <c r="G2106" s="205">
        <v>1</v>
      </c>
      <c r="H2106" s="206">
        <v>200</v>
      </c>
      <c r="I2106" s="207">
        <v>41539</v>
      </c>
      <c r="J2106" s="197" t="str">
        <f t="shared" si="99"/>
        <v>ok</v>
      </c>
      <c r="K2106" s="419"/>
      <c r="L2106" s="419"/>
      <c r="M2106" s="419"/>
      <c r="N2106" s="419"/>
      <c r="O2106" s="419"/>
      <c r="P2106" s="419"/>
      <c r="Q2106" s="419"/>
      <c r="R2106" s="419"/>
      <c r="S2106" s="419"/>
      <c r="T2106" s="419"/>
      <c r="U2106" s="419"/>
      <c r="V2106" s="419"/>
      <c r="W2106" s="419">
        <f t="shared" si="97"/>
        <v>0</v>
      </c>
      <c r="X2106" s="412"/>
      <c r="Y2106" s="412"/>
      <c r="Z2106" s="412"/>
      <c r="AA2106" s="412"/>
      <c r="AB2106" s="412"/>
      <c r="AC2106" s="412"/>
      <c r="AD2106" s="412"/>
      <c r="AE2106" s="412"/>
      <c r="AF2106" s="427">
        <v>200</v>
      </c>
      <c r="AG2106" s="412"/>
      <c r="AH2106" s="412"/>
      <c r="AI2106" s="412"/>
      <c r="AJ2106" s="412">
        <f t="shared" si="98"/>
        <v>200</v>
      </c>
      <c r="AK2106" s="410"/>
      <c r="AL2106" s="250" t="s">
        <v>2067</v>
      </c>
    </row>
    <row r="2107" spans="1:38" x14ac:dyDescent="0.2">
      <c r="A2107" s="409" t="s">
        <v>884</v>
      </c>
      <c r="B2107" s="209">
        <v>5664</v>
      </c>
      <c r="C2107" s="210" t="s">
        <v>871</v>
      </c>
      <c r="D2107" s="229" t="s">
        <v>1479</v>
      </c>
      <c r="E2107" s="229" t="s">
        <v>1252</v>
      </c>
      <c r="F2107" s="240">
        <v>200</v>
      </c>
      <c r="G2107" s="205">
        <v>1</v>
      </c>
      <c r="H2107" s="206">
        <v>400</v>
      </c>
      <c r="I2107" s="207">
        <v>41539</v>
      </c>
      <c r="J2107" s="197" t="str">
        <f t="shared" si="99"/>
        <v>ok</v>
      </c>
      <c r="K2107" s="419"/>
      <c r="L2107" s="419"/>
      <c r="M2107" s="419"/>
      <c r="N2107" s="419"/>
      <c r="O2107" s="419"/>
      <c r="P2107" s="419"/>
      <c r="Q2107" s="419"/>
      <c r="R2107" s="419"/>
      <c r="S2107" s="419"/>
      <c r="T2107" s="419"/>
      <c r="U2107" s="419"/>
      <c r="V2107" s="419"/>
      <c r="W2107" s="419">
        <f t="shared" si="97"/>
        <v>0</v>
      </c>
      <c r="X2107" s="412"/>
      <c r="Y2107" s="412"/>
      <c r="Z2107" s="412"/>
      <c r="AA2107" s="412"/>
      <c r="AB2107" s="412"/>
      <c r="AC2107" s="412"/>
      <c r="AD2107" s="412"/>
      <c r="AE2107" s="412"/>
      <c r="AF2107" s="427">
        <v>200</v>
      </c>
      <c r="AG2107" s="412">
        <v>200</v>
      </c>
      <c r="AH2107" s="412"/>
      <c r="AI2107" s="412"/>
      <c r="AJ2107" s="412">
        <f t="shared" si="98"/>
        <v>400</v>
      </c>
      <c r="AK2107" s="410"/>
      <c r="AL2107" s="250" t="s">
        <v>2067</v>
      </c>
    </row>
    <row r="2108" spans="1:38" x14ac:dyDescent="0.2">
      <c r="A2108" s="409" t="s">
        <v>888</v>
      </c>
      <c r="B2108" s="209">
        <v>5665</v>
      </c>
      <c r="C2108" s="210" t="s">
        <v>928</v>
      </c>
      <c r="D2108" s="229" t="s">
        <v>1393</v>
      </c>
      <c r="E2108" s="229" t="s">
        <v>719</v>
      </c>
      <c r="F2108" s="240">
        <v>300</v>
      </c>
      <c r="G2108" s="205">
        <v>4</v>
      </c>
      <c r="H2108" s="206">
        <v>160</v>
      </c>
      <c r="I2108" s="207">
        <v>41539</v>
      </c>
      <c r="J2108" s="197" t="str">
        <f t="shared" si="99"/>
        <v>ok</v>
      </c>
      <c r="K2108" s="419"/>
      <c r="L2108" s="419"/>
      <c r="M2108" s="419"/>
      <c r="N2108" s="419"/>
      <c r="O2108" s="419"/>
      <c r="P2108" s="419"/>
      <c r="Q2108" s="419"/>
      <c r="R2108" s="419"/>
      <c r="S2108" s="419"/>
      <c r="T2108" s="419"/>
      <c r="U2108" s="419"/>
      <c r="V2108" s="419"/>
      <c r="W2108" s="419">
        <f t="shared" si="97"/>
        <v>0</v>
      </c>
      <c r="X2108" s="412"/>
      <c r="Y2108" s="412"/>
      <c r="Z2108" s="412"/>
      <c r="AA2108" s="412"/>
      <c r="AB2108" s="412"/>
      <c r="AC2108" s="412"/>
      <c r="AD2108" s="412"/>
      <c r="AE2108" s="412"/>
      <c r="AF2108" s="427"/>
      <c r="AG2108" s="412"/>
      <c r="AH2108" s="412"/>
      <c r="AI2108" s="412"/>
      <c r="AJ2108" s="412">
        <f t="shared" si="98"/>
        <v>0</v>
      </c>
      <c r="AK2108" s="410"/>
      <c r="AL2108" s="250" t="s">
        <v>2068</v>
      </c>
    </row>
    <row r="2109" spans="1:38" x14ac:dyDescent="0.2">
      <c r="A2109" s="409" t="s">
        <v>888</v>
      </c>
      <c r="B2109" s="209">
        <v>5666</v>
      </c>
      <c r="C2109" s="210" t="s">
        <v>933</v>
      </c>
      <c r="D2109" s="229" t="s">
        <v>1427</v>
      </c>
      <c r="E2109" s="229" t="s">
        <v>1212</v>
      </c>
      <c r="F2109" s="240">
        <v>300</v>
      </c>
      <c r="G2109" s="205">
        <v>1</v>
      </c>
      <c r="H2109" s="206">
        <v>300</v>
      </c>
      <c r="I2109" s="207">
        <v>41539</v>
      </c>
      <c r="J2109" s="197" t="str">
        <f t="shared" si="99"/>
        <v>ok</v>
      </c>
      <c r="K2109" s="419"/>
      <c r="L2109" s="419"/>
      <c r="M2109" s="419"/>
      <c r="N2109" s="419"/>
      <c r="O2109" s="419"/>
      <c r="P2109" s="419"/>
      <c r="Q2109" s="419"/>
      <c r="R2109" s="419"/>
      <c r="S2109" s="419"/>
      <c r="T2109" s="419"/>
      <c r="U2109" s="419"/>
      <c r="V2109" s="419"/>
      <c r="W2109" s="419">
        <f t="shared" si="97"/>
        <v>0</v>
      </c>
      <c r="X2109" s="412"/>
      <c r="Y2109" s="412"/>
      <c r="Z2109" s="412"/>
      <c r="AA2109" s="412"/>
      <c r="AB2109" s="412"/>
      <c r="AC2109" s="412"/>
      <c r="AD2109" s="412"/>
      <c r="AE2109" s="412"/>
      <c r="AF2109" s="427">
        <v>300</v>
      </c>
      <c r="AG2109" s="412"/>
      <c r="AH2109" s="412"/>
      <c r="AI2109" s="412"/>
      <c r="AJ2109" s="412">
        <f t="shared" si="98"/>
        <v>300</v>
      </c>
      <c r="AK2109" s="410"/>
      <c r="AL2109" s="250" t="s">
        <v>2067</v>
      </c>
    </row>
    <row r="2110" spans="1:38" x14ac:dyDescent="0.2">
      <c r="A2110" s="409" t="s">
        <v>890</v>
      </c>
      <c r="B2110" s="209">
        <v>5667</v>
      </c>
      <c r="C2110" s="210" t="s">
        <v>998</v>
      </c>
      <c r="D2110" s="229" t="s">
        <v>1562</v>
      </c>
      <c r="E2110" s="229" t="s">
        <v>487</v>
      </c>
      <c r="F2110" s="240">
        <v>300</v>
      </c>
      <c r="G2110" s="205">
        <v>1</v>
      </c>
      <c r="H2110" s="206">
        <v>600</v>
      </c>
      <c r="I2110" s="207">
        <v>41539</v>
      </c>
      <c r="J2110" s="197" t="str">
        <f t="shared" si="99"/>
        <v>ok</v>
      </c>
      <c r="K2110" s="419"/>
      <c r="L2110" s="419"/>
      <c r="M2110" s="419"/>
      <c r="N2110" s="419"/>
      <c r="O2110" s="419"/>
      <c r="P2110" s="419"/>
      <c r="Q2110" s="419"/>
      <c r="R2110" s="419"/>
      <c r="S2110" s="419"/>
      <c r="T2110" s="419"/>
      <c r="U2110" s="419"/>
      <c r="V2110" s="419"/>
      <c r="W2110" s="419">
        <f t="shared" si="97"/>
        <v>0</v>
      </c>
      <c r="X2110" s="412"/>
      <c r="Y2110" s="412"/>
      <c r="Z2110" s="412"/>
      <c r="AA2110" s="412"/>
      <c r="AB2110" s="412"/>
      <c r="AC2110" s="412"/>
      <c r="AD2110" s="412"/>
      <c r="AE2110" s="412">
        <v>300</v>
      </c>
      <c r="AF2110" s="427">
        <v>300</v>
      </c>
      <c r="AG2110" s="412"/>
      <c r="AH2110" s="412"/>
      <c r="AI2110" s="412"/>
      <c r="AJ2110" s="412">
        <f t="shared" si="98"/>
        <v>600</v>
      </c>
      <c r="AK2110" s="410"/>
      <c r="AL2110" s="250" t="s">
        <v>2067</v>
      </c>
    </row>
    <row r="2111" spans="1:38" x14ac:dyDescent="0.2">
      <c r="A2111" s="409" t="s">
        <v>894</v>
      </c>
      <c r="B2111" s="209">
        <v>5668</v>
      </c>
      <c r="C2111" s="210" t="s">
        <v>1157</v>
      </c>
      <c r="D2111" s="229" t="s">
        <v>1487</v>
      </c>
      <c r="E2111" s="229" t="s">
        <v>1224</v>
      </c>
      <c r="F2111" s="240">
        <v>300</v>
      </c>
      <c r="G2111" s="205">
        <v>1</v>
      </c>
      <c r="H2111" s="206">
        <v>300</v>
      </c>
      <c r="I2111" s="207">
        <v>41539</v>
      </c>
      <c r="J2111" s="197" t="str">
        <f t="shared" si="99"/>
        <v>ok</v>
      </c>
      <c r="K2111" s="419"/>
      <c r="L2111" s="419"/>
      <c r="M2111" s="419"/>
      <c r="N2111" s="419"/>
      <c r="O2111" s="419"/>
      <c r="P2111" s="419"/>
      <c r="Q2111" s="419"/>
      <c r="R2111" s="419"/>
      <c r="S2111" s="419"/>
      <c r="T2111" s="419"/>
      <c r="U2111" s="419"/>
      <c r="V2111" s="419"/>
      <c r="W2111" s="419">
        <f t="shared" si="97"/>
        <v>0</v>
      </c>
      <c r="X2111" s="412"/>
      <c r="Y2111" s="412"/>
      <c r="Z2111" s="412"/>
      <c r="AA2111" s="412"/>
      <c r="AB2111" s="412"/>
      <c r="AC2111" s="412"/>
      <c r="AD2111" s="412"/>
      <c r="AE2111" s="412"/>
      <c r="AF2111" s="427">
        <v>300</v>
      </c>
      <c r="AG2111" s="412"/>
      <c r="AH2111" s="412"/>
      <c r="AI2111" s="412"/>
      <c r="AJ2111" s="412">
        <f t="shared" si="98"/>
        <v>300</v>
      </c>
      <c r="AK2111" s="410"/>
      <c r="AL2111" s="250" t="s">
        <v>2067</v>
      </c>
    </row>
    <row r="2112" spans="1:38" x14ac:dyDescent="0.2">
      <c r="A2112" s="409" t="s">
        <v>884</v>
      </c>
      <c r="B2112" s="209">
        <v>5669</v>
      </c>
      <c r="C2112" s="210" t="s">
        <v>819</v>
      </c>
      <c r="D2112" s="229" t="s">
        <v>1530</v>
      </c>
      <c r="E2112" s="229" t="s">
        <v>1183</v>
      </c>
      <c r="F2112" s="240">
        <v>200</v>
      </c>
      <c r="G2112" s="205">
        <v>1</v>
      </c>
      <c r="H2112" s="206">
        <v>200</v>
      </c>
      <c r="I2112" s="207">
        <v>41539</v>
      </c>
      <c r="J2112" s="197" t="str">
        <f t="shared" si="99"/>
        <v>ok</v>
      </c>
      <c r="K2112" s="419"/>
      <c r="L2112" s="419"/>
      <c r="M2112" s="419"/>
      <c r="N2112" s="419"/>
      <c r="O2112" s="419"/>
      <c r="P2112" s="419"/>
      <c r="Q2112" s="419"/>
      <c r="R2112" s="419"/>
      <c r="S2112" s="419"/>
      <c r="T2112" s="419"/>
      <c r="U2112" s="419"/>
      <c r="V2112" s="419"/>
      <c r="W2112" s="419">
        <f t="shared" si="97"/>
        <v>0</v>
      </c>
      <c r="X2112" s="412"/>
      <c r="Y2112" s="412"/>
      <c r="Z2112" s="412"/>
      <c r="AA2112" s="412"/>
      <c r="AB2112" s="412"/>
      <c r="AC2112" s="412"/>
      <c r="AD2112" s="412"/>
      <c r="AE2112" s="412">
        <v>200</v>
      </c>
      <c r="AF2112" s="427"/>
      <c r="AG2112" s="412"/>
      <c r="AH2112" s="412"/>
      <c r="AI2112" s="412"/>
      <c r="AJ2112" s="412">
        <f t="shared" si="98"/>
        <v>200</v>
      </c>
      <c r="AK2112" s="410"/>
      <c r="AL2112" s="250" t="s">
        <v>2067</v>
      </c>
    </row>
    <row r="2113" spans="1:38" x14ac:dyDescent="0.2">
      <c r="A2113" s="409" t="s">
        <v>892</v>
      </c>
      <c r="B2113" s="209">
        <v>5670</v>
      </c>
      <c r="C2113" s="210" t="s">
        <v>1181</v>
      </c>
      <c r="D2113" s="229" t="s">
        <v>1425</v>
      </c>
      <c r="E2113" s="229" t="s">
        <v>557</v>
      </c>
      <c r="F2113" s="240">
        <v>300</v>
      </c>
      <c r="G2113" s="205">
        <v>1</v>
      </c>
      <c r="H2113" s="206">
        <v>600</v>
      </c>
      <c r="I2113" s="207">
        <v>41539</v>
      </c>
      <c r="J2113" s="197" t="str">
        <f t="shared" si="99"/>
        <v>ok</v>
      </c>
      <c r="K2113" s="419"/>
      <c r="L2113" s="419"/>
      <c r="M2113" s="419"/>
      <c r="N2113" s="419"/>
      <c r="O2113" s="419"/>
      <c r="P2113" s="419"/>
      <c r="Q2113" s="419"/>
      <c r="R2113" s="419"/>
      <c r="S2113" s="419"/>
      <c r="T2113" s="419"/>
      <c r="U2113" s="419"/>
      <c r="V2113" s="419"/>
      <c r="W2113" s="419">
        <f t="shared" si="97"/>
        <v>0</v>
      </c>
      <c r="X2113" s="412"/>
      <c r="Y2113" s="412"/>
      <c r="Z2113" s="412"/>
      <c r="AA2113" s="412"/>
      <c r="AB2113" s="412"/>
      <c r="AC2113" s="412"/>
      <c r="AD2113" s="412"/>
      <c r="AE2113" s="412"/>
      <c r="AF2113" s="427">
        <v>300</v>
      </c>
      <c r="AG2113" s="412">
        <v>300</v>
      </c>
      <c r="AH2113" s="412"/>
      <c r="AI2113" s="412"/>
      <c r="AJ2113" s="412">
        <f t="shared" si="98"/>
        <v>600</v>
      </c>
      <c r="AK2113" s="410"/>
      <c r="AL2113" s="250" t="s">
        <v>2067</v>
      </c>
    </row>
    <row r="2114" spans="1:38" x14ac:dyDescent="0.2">
      <c r="A2114" s="409" t="s">
        <v>893</v>
      </c>
      <c r="B2114" s="209">
        <v>5671</v>
      </c>
      <c r="C2114" s="210" t="s">
        <v>1131</v>
      </c>
      <c r="D2114" s="229" t="s">
        <v>1373</v>
      </c>
      <c r="E2114" s="229" t="s">
        <v>299</v>
      </c>
      <c r="F2114" s="240">
        <v>300</v>
      </c>
      <c r="G2114" s="205">
        <v>1</v>
      </c>
      <c r="H2114" s="206">
        <v>300</v>
      </c>
      <c r="I2114" s="207">
        <v>41539</v>
      </c>
      <c r="J2114" s="197" t="str">
        <f t="shared" si="99"/>
        <v>ok</v>
      </c>
      <c r="K2114" s="419"/>
      <c r="L2114" s="419"/>
      <c r="M2114" s="419"/>
      <c r="N2114" s="419"/>
      <c r="O2114" s="419"/>
      <c r="P2114" s="419"/>
      <c r="Q2114" s="419"/>
      <c r="R2114" s="419"/>
      <c r="S2114" s="419"/>
      <c r="T2114" s="419"/>
      <c r="U2114" s="419"/>
      <c r="V2114" s="419"/>
      <c r="W2114" s="419">
        <f t="shared" si="97"/>
        <v>0</v>
      </c>
      <c r="X2114" s="412"/>
      <c r="Y2114" s="412"/>
      <c r="Z2114" s="412"/>
      <c r="AA2114" s="412"/>
      <c r="AB2114" s="412"/>
      <c r="AC2114" s="412"/>
      <c r="AD2114" s="412"/>
      <c r="AE2114" s="412"/>
      <c r="AF2114" s="427">
        <v>300</v>
      </c>
      <c r="AG2114" s="412"/>
      <c r="AH2114" s="412"/>
      <c r="AI2114" s="412"/>
      <c r="AJ2114" s="412">
        <f t="shared" si="98"/>
        <v>300</v>
      </c>
      <c r="AK2114" s="410"/>
      <c r="AL2114" s="250" t="s">
        <v>2067</v>
      </c>
    </row>
    <row r="2115" spans="1:38" x14ac:dyDescent="0.2">
      <c r="A2115" s="409" t="s">
        <v>884</v>
      </c>
      <c r="B2115" s="209">
        <v>5672</v>
      </c>
      <c r="C2115" s="210" t="s">
        <v>821</v>
      </c>
      <c r="D2115" s="229" t="s">
        <v>1428</v>
      </c>
      <c r="E2115" s="229" t="s">
        <v>48</v>
      </c>
      <c r="F2115" s="240">
        <v>300</v>
      </c>
      <c r="G2115" s="205">
        <v>1</v>
      </c>
      <c r="H2115" s="206">
        <v>600</v>
      </c>
      <c r="I2115" s="207">
        <v>41539</v>
      </c>
      <c r="J2115" s="197" t="str">
        <f t="shared" si="99"/>
        <v>ok</v>
      </c>
      <c r="K2115" s="419"/>
      <c r="L2115" s="419"/>
      <c r="M2115" s="419"/>
      <c r="N2115" s="419"/>
      <c r="O2115" s="419"/>
      <c r="P2115" s="419"/>
      <c r="Q2115" s="419"/>
      <c r="R2115" s="419"/>
      <c r="S2115" s="419"/>
      <c r="T2115" s="419"/>
      <c r="U2115" s="419"/>
      <c r="V2115" s="419"/>
      <c r="W2115" s="419">
        <f t="shared" si="97"/>
        <v>0</v>
      </c>
      <c r="X2115" s="412"/>
      <c r="Y2115" s="412"/>
      <c r="Z2115" s="412"/>
      <c r="AA2115" s="412"/>
      <c r="AB2115" s="412"/>
      <c r="AC2115" s="412"/>
      <c r="AD2115" s="412"/>
      <c r="AE2115" s="412"/>
      <c r="AF2115" s="427">
        <v>300</v>
      </c>
      <c r="AG2115" s="412">
        <v>300</v>
      </c>
      <c r="AH2115" s="412"/>
      <c r="AI2115" s="412"/>
      <c r="AJ2115" s="412">
        <f t="shared" si="98"/>
        <v>600</v>
      </c>
      <c r="AK2115" s="410"/>
      <c r="AL2115" s="250" t="s">
        <v>2067</v>
      </c>
    </row>
    <row r="2116" spans="1:38" x14ac:dyDescent="0.2">
      <c r="A2116" s="409" t="s">
        <v>892</v>
      </c>
      <c r="B2116" s="209">
        <v>5673</v>
      </c>
      <c r="C2116" s="210" t="s">
        <v>1057</v>
      </c>
      <c r="D2116" s="229" t="s">
        <v>1548</v>
      </c>
      <c r="E2116" s="229" t="s">
        <v>46</v>
      </c>
      <c r="F2116" s="240">
        <v>300</v>
      </c>
      <c r="G2116" s="205">
        <v>1</v>
      </c>
      <c r="H2116" s="206">
        <v>300</v>
      </c>
      <c r="I2116" s="207">
        <v>41539</v>
      </c>
      <c r="J2116" s="197" t="str">
        <f t="shared" si="99"/>
        <v>ok</v>
      </c>
      <c r="K2116" s="419"/>
      <c r="L2116" s="419"/>
      <c r="M2116" s="419"/>
      <c r="N2116" s="419"/>
      <c r="O2116" s="419"/>
      <c r="P2116" s="419"/>
      <c r="Q2116" s="419"/>
      <c r="R2116" s="419"/>
      <c r="S2116" s="419"/>
      <c r="T2116" s="419"/>
      <c r="U2116" s="419"/>
      <c r="V2116" s="419"/>
      <c r="W2116" s="419">
        <f t="shared" si="97"/>
        <v>0</v>
      </c>
      <c r="X2116" s="412"/>
      <c r="Y2116" s="412"/>
      <c r="Z2116" s="412"/>
      <c r="AA2116" s="412"/>
      <c r="AB2116" s="412"/>
      <c r="AC2116" s="412"/>
      <c r="AD2116" s="412"/>
      <c r="AE2116" s="412"/>
      <c r="AF2116" s="427">
        <v>300</v>
      </c>
      <c r="AG2116" s="412"/>
      <c r="AH2116" s="412"/>
      <c r="AI2116" s="412"/>
      <c r="AJ2116" s="412">
        <f t="shared" si="98"/>
        <v>300</v>
      </c>
      <c r="AK2116" s="410"/>
      <c r="AL2116" s="250" t="s">
        <v>2067</v>
      </c>
    </row>
    <row r="2117" spans="1:38" x14ac:dyDescent="0.2">
      <c r="A2117" s="409" t="s">
        <v>893</v>
      </c>
      <c r="B2117" s="209">
        <v>5674</v>
      </c>
      <c r="C2117" s="210" t="s">
        <v>1121</v>
      </c>
      <c r="D2117" s="229" t="s">
        <v>1584</v>
      </c>
      <c r="E2117" s="229" t="s">
        <v>278</v>
      </c>
      <c r="F2117" s="240">
        <v>300</v>
      </c>
      <c r="G2117" s="205">
        <v>1</v>
      </c>
      <c r="H2117" s="206">
        <v>600</v>
      </c>
      <c r="I2117" s="207">
        <v>41539</v>
      </c>
      <c r="J2117" s="197" t="str">
        <f t="shared" si="99"/>
        <v>ok</v>
      </c>
      <c r="K2117" s="419"/>
      <c r="L2117" s="419"/>
      <c r="M2117" s="419"/>
      <c r="N2117" s="419"/>
      <c r="O2117" s="419"/>
      <c r="P2117" s="419"/>
      <c r="Q2117" s="419"/>
      <c r="R2117" s="419"/>
      <c r="S2117" s="419"/>
      <c r="T2117" s="419"/>
      <c r="U2117" s="419"/>
      <c r="V2117" s="419"/>
      <c r="W2117" s="419">
        <f t="shared" si="97"/>
        <v>0</v>
      </c>
      <c r="X2117" s="412"/>
      <c r="Y2117" s="412"/>
      <c r="Z2117" s="412"/>
      <c r="AA2117" s="412"/>
      <c r="AB2117" s="412"/>
      <c r="AC2117" s="412"/>
      <c r="AD2117" s="412"/>
      <c r="AE2117" s="412"/>
      <c r="AF2117" s="427">
        <v>300</v>
      </c>
      <c r="AG2117" s="412">
        <v>300</v>
      </c>
      <c r="AH2117" s="412"/>
      <c r="AI2117" s="412"/>
      <c r="AJ2117" s="412">
        <f t="shared" si="98"/>
        <v>600</v>
      </c>
      <c r="AK2117" s="410"/>
      <c r="AL2117" s="250" t="s">
        <v>2067</v>
      </c>
    </row>
    <row r="2118" spans="1:38" x14ac:dyDescent="0.2">
      <c r="A2118" s="409" t="s">
        <v>893</v>
      </c>
      <c r="B2118" s="209">
        <v>5674</v>
      </c>
      <c r="C2118" s="210" t="s">
        <v>1121</v>
      </c>
      <c r="D2118" s="229" t="s">
        <v>1584</v>
      </c>
      <c r="E2118" s="229" t="s">
        <v>278</v>
      </c>
      <c r="F2118" s="240">
        <v>300</v>
      </c>
      <c r="G2118" s="205">
        <v>3</v>
      </c>
      <c r="H2118" s="206">
        <v>160</v>
      </c>
      <c r="I2118" s="207">
        <v>41539</v>
      </c>
      <c r="J2118" s="197" t="str">
        <f t="shared" si="99"/>
        <v>ok</v>
      </c>
      <c r="K2118" s="419"/>
      <c r="L2118" s="419"/>
      <c r="M2118" s="419"/>
      <c r="N2118" s="419"/>
      <c r="O2118" s="419"/>
      <c r="P2118" s="419"/>
      <c r="Q2118" s="419"/>
      <c r="R2118" s="419"/>
      <c r="S2118" s="419"/>
      <c r="T2118" s="419"/>
      <c r="U2118" s="419"/>
      <c r="V2118" s="419"/>
      <c r="W2118" s="419">
        <f t="shared" si="97"/>
        <v>0</v>
      </c>
      <c r="X2118" s="412"/>
      <c r="Y2118" s="412"/>
      <c r="Z2118" s="412"/>
      <c r="AA2118" s="412"/>
      <c r="AB2118" s="412"/>
      <c r="AC2118" s="412"/>
      <c r="AD2118" s="412"/>
      <c r="AE2118" s="412"/>
      <c r="AF2118" s="427"/>
      <c r="AG2118" s="412"/>
      <c r="AH2118" s="412"/>
      <c r="AI2118" s="412"/>
      <c r="AJ2118" s="412">
        <f t="shared" si="98"/>
        <v>0</v>
      </c>
      <c r="AK2118" s="410"/>
      <c r="AL2118" s="250" t="s">
        <v>2068</v>
      </c>
    </row>
    <row r="2119" spans="1:38" x14ac:dyDescent="0.2">
      <c r="A2119" s="409" t="s">
        <v>893</v>
      </c>
      <c r="B2119" s="209">
        <v>5674</v>
      </c>
      <c r="C2119" s="210" t="s">
        <v>1121</v>
      </c>
      <c r="D2119" s="229" t="s">
        <v>1584</v>
      </c>
      <c r="E2119" s="229" t="s">
        <v>278</v>
      </c>
      <c r="F2119" s="240">
        <v>300</v>
      </c>
      <c r="G2119" s="205">
        <v>4</v>
      </c>
      <c r="H2119" s="206">
        <v>160</v>
      </c>
      <c r="I2119" s="207">
        <v>41539</v>
      </c>
      <c r="J2119" s="197" t="str">
        <f t="shared" si="99"/>
        <v>ok</v>
      </c>
      <c r="K2119" s="419"/>
      <c r="L2119" s="419"/>
      <c r="M2119" s="419"/>
      <c r="N2119" s="419"/>
      <c r="O2119" s="419"/>
      <c r="P2119" s="419"/>
      <c r="Q2119" s="419"/>
      <c r="R2119" s="419"/>
      <c r="S2119" s="419"/>
      <c r="T2119" s="419"/>
      <c r="U2119" s="419"/>
      <c r="V2119" s="419"/>
      <c r="W2119" s="419">
        <f t="shared" ref="W2119:W2123" si="100">SUM(K2119:V2119)</f>
        <v>0</v>
      </c>
      <c r="X2119" s="412"/>
      <c r="Y2119" s="412"/>
      <c r="Z2119" s="412"/>
      <c r="AA2119" s="412"/>
      <c r="AB2119" s="412"/>
      <c r="AC2119" s="412"/>
      <c r="AD2119" s="412"/>
      <c r="AE2119" s="412"/>
      <c r="AF2119" s="427"/>
      <c r="AG2119" s="412"/>
      <c r="AH2119" s="412"/>
      <c r="AI2119" s="412"/>
      <c r="AJ2119" s="412">
        <f t="shared" ref="AJ2119:AJ2182" si="101">SUM(X2119:AI2119)</f>
        <v>0</v>
      </c>
      <c r="AK2119" s="410"/>
      <c r="AL2119" s="250" t="s">
        <v>2068</v>
      </c>
    </row>
    <row r="2120" spans="1:38" x14ac:dyDescent="0.2">
      <c r="A2120" s="409" t="s">
        <v>884</v>
      </c>
      <c r="B2120" s="209">
        <v>5675</v>
      </c>
      <c r="C2120" s="210" t="s">
        <v>859</v>
      </c>
      <c r="D2120" s="229" t="s">
        <v>1404</v>
      </c>
      <c r="E2120" s="229" t="s">
        <v>1969</v>
      </c>
      <c r="F2120" s="240">
        <v>150</v>
      </c>
      <c r="G2120" s="205">
        <v>1</v>
      </c>
      <c r="H2120" s="206">
        <v>200</v>
      </c>
      <c r="I2120" s="207">
        <v>41539</v>
      </c>
      <c r="J2120" s="197" t="str">
        <f t="shared" si="99"/>
        <v>ok</v>
      </c>
      <c r="K2120" s="419"/>
      <c r="L2120" s="419"/>
      <c r="M2120" s="419"/>
      <c r="N2120" s="419"/>
      <c r="O2120" s="419"/>
      <c r="P2120" s="419"/>
      <c r="Q2120" s="419"/>
      <c r="R2120" s="419"/>
      <c r="S2120" s="419"/>
      <c r="T2120" s="419"/>
      <c r="U2120" s="419"/>
      <c r="V2120" s="419"/>
      <c r="W2120" s="419">
        <f t="shared" si="100"/>
        <v>0</v>
      </c>
      <c r="X2120" s="412"/>
      <c r="Y2120" s="412"/>
      <c r="Z2120" s="412"/>
      <c r="AA2120" s="412"/>
      <c r="AB2120" s="412"/>
      <c r="AC2120" s="412"/>
      <c r="AD2120" s="412"/>
      <c r="AE2120" s="412"/>
      <c r="AF2120" s="427">
        <v>200</v>
      </c>
      <c r="AG2120" s="412"/>
      <c r="AH2120" s="412"/>
      <c r="AI2120" s="412"/>
      <c r="AJ2120" s="412">
        <f t="shared" si="101"/>
        <v>200</v>
      </c>
      <c r="AK2120" s="410"/>
      <c r="AL2120" s="250" t="s">
        <v>2067</v>
      </c>
    </row>
    <row r="2121" spans="1:38" x14ac:dyDescent="0.2">
      <c r="A2121" s="409" t="s">
        <v>893</v>
      </c>
      <c r="B2121" s="209">
        <v>5676</v>
      </c>
      <c r="C2121" s="210" t="s">
        <v>1112</v>
      </c>
      <c r="D2121" s="229" t="s">
        <v>1566</v>
      </c>
      <c r="E2121" s="229" t="s">
        <v>263</v>
      </c>
      <c r="F2121" s="240">
        <v>300</v>
      </c>
      <c r="G2121" s="205">
        <v>1</v>
      </c>
      <c r="H2121" s="206">
        <v>300</v>
      </c>
      <c r="I2121" s="207">
        <v>41539</v>
      </c>
      <c r="J2121" s="197" t="str">
        <f t="shared" si="99"/>
        <v>ok</v>
      </c>
      <c r="K2121" s="419"/>
      <c r="L2121" s="419"/>
      <c r="M2121" s="419"/>
      <c r="N2121" s="419"/>
      <c r="O2121" s="419"/>
      <c r="P2121" s="419"/>
      <c r="Q2121" s="419"/>
      <c r="R2121" s="419"/>
      <c r="S2121" s="419"/>
      <c r="T2121" s="419"/>
      <c r="U2121" s="419"/>
      <c r="V2121" s="419"/>
      <c r="W2121" s="419">
        <f t="shared" si="100"/>
        <v>0</v>
      </c>
      <c r="X2121" s="412"/>
      <c r="Y2121" s="412"/>
      <c r="Z2121" s="412"/>
      <c r="AA2121" s="412"/>
      <c r="AB2121" s="412"/>
      <c r="AC2121" s="412"/>
      <c r="AD2121" s="412"/>
      <c r="AE2121" s="412"/>
      <c r="AF2121" s="427">
        <v>300</v>
      </c>
      <c r="AG2121" s="412"/>
      <c r="AH2121" s="412"/>
      <c r="AI2121" s="412"/>
      <c r="AJ2121" s="412">
        <f t="shared" si="101"/>
        <v>300</v>
      </c>
      <c r="AK2121" s="410"/>
      <c r="AL2121" s="250" t="s">
        <v>2067</v>
      </c>
    </row>
    <row r="2122" spans="1:38" x14ac:dyDescent="0.2">
      <c r="A2122" s="409" t="s">
        <v>893</v>
      </c>
      <c r="B2122" s="209">
        <v>5677</v>
      </c>
      <c r="C2122" s="210" t="s">
        <v>1121</v>
      </c>
      <c r="D2122" s="229" t="s">
        <v>1584</v>
      </c>
      <c r="E2122" s="229" t="s">
        <v>278</v>
      </c>
      <c r="F2122" s="240">
        <v>300</v>
      </c>
      <c r="G2122" s="205">
        <v>5</v>
      </c>
      <c r="H2122" s="206">
        <v>20</v>
      </c>
      <c r="I2122" s="207">
        <v>41539</v>
      </c>
      <c r="J2122" s="197" t="str">
        <f t="shared" si="99"/>
        <v>ok</v>
      </c>
      <c r="K2122" s="419"/>
      <c r="L2122" s="419"/>
      <c r="M2122" s="419"/>
      <c r="N2122" s="419"/>
      <c r="O2122" s="419"/>
      <c r="P2122" s="419"/>
      <c r="Q2122" s="419"/>
      <c r="R2122" s="419"/>
      <c r="S2122" s="419"/>
      <c r="T2122" s="419"/>
      <c r="U2122" s="419"/>
      <c r="V2122" s="419"/>
      <c r="W2122" s="419">
        <f t="shared" si="100"/>
        <v>0</v>
      </c>
      <c r="X2122" s="412"/>
      <c r="Y2122" s="412"/>
      <c r="Z2122" s="412"/>
      <c r="AA2122" s="412"/>
      <c r="AB2122" s="412"/>
      <c r="AC2122" s="412"/>
      <c r="AD2122" s="412"/>
      <c r="AE2122" s="412"/>
      <c r="AF2122" s="427"/>
      <c r="AG2122" s="412"/>
      <c r="AH2122" s="412"/>
      <c r="AI2122" s="412"/>
      <c r="AJ2122" s="412">
        <f t="shared" si="101"/>
        <v>0</v>
      </c>
      <c r="AK2122" s="410"/>
      <c r="AL2122" s="250" t="s">
        <v>2068</v>
      </c>
    </row>
    <row r="2123" spans="1:38" x14ac:dyDescent="0.2">
      <c r="A2123" s="409" t="str">
        <f t="shared" ref="A2123:A2186" si="102">IF(C2123=0,"",VLOOKUP(C2123,BASE_A,5,FALSE))</f>
        <v>Rancho Zinamba</v>
      </c>
      <c r="B2123" s="209">
        <v>5678</v>
      </c>
      <c r="C2123" s="210" t="s">
        <v>1153</v>
      </c>
      <c r="D2123" s="229" t="str">
        <f t="shared" ref="D2123" si="103">IF(C2123=0,"",VLOOKUP(C2123,BASE_A,6,FALSE))</f>
        <v>Rancho Zinamba No. 12</v>
      </c>
      <c r="E2123" s="229" t="str">
        <f t="shared" ref="E2123" si="104">IF(C2123=0,"",VLOOKUP(C2123,BASE_A,8,FALSE))</f>
        <v>Rodríguez</v>
      </c>
      <c r="F2123" s="240">
        <f t="shared" ref="F2123" si="105">IF(C2123=0,"",VLOOKUP(C2123,BASE_A,9,FALSE))</f>
        <v>400</v>
      </c>
      <c r="G2123" s="205">
        <v>1</v>
      </c>
      <c r="H2123" s="206">
        <v>400</v>
      </c>
      <c r="I2123" s="207">
        <v>41540</v>
      </c>
      <c r="J2123" s="197" t="str">
        <f t="shared" si="99"/>
        <v>ok</v>
      </c>
      <c r="K2123" s="419"/>
      <c r="L2123" s="419"/>
      <c r="M2123" s="419"/>
      <c r="N2123" s="419"/>
      <c r="O2123" s="419"/>
      <c r="P2123" s="419"/>
      <c r="Q2123" s="419"/>
      <c r="R2123" s="419"/>
      <c r="S2123" s="419"/>
      <c r="T2123" s="419"/>
      <c r="U2123" s="419"/>
      <c r="V2123" s="419"/>
      <c r="W2123" s="419">
        <f t="shared" si="100"/>
        <v>0</v>
      </c>
      <c r="X2123" s="412"/>
      <c r="Y2123" s="412"/>
      <c r="Z2123" s="412"/>
      <c r="AA2123" s="412"/>
      <c r="AB2123" s="412"/>
      <c r="AC2123" s="412"/>
      <c r="AD2123" s="412"/>
      <c r="AE2123" s="412"/>
      <c r="AF2123" s="427">
        <v>400</v>
      </c>
      <c r="AG2123" s="412"/>
      <c r="AH2123" s="412"/>
      <c r="AI2123" s="412"/>
      <c r="AJ2123" s="412">
        <f t="shared" si="101"/>
        <v>400</v>
      </c>
      <c r="AK2123" s="410"/>
      <c r="AL2123" s="250" t="s">
        <v>2067</v>
      </c>
    </row>
    <row r="2124" spans="1:38" x14ac:dyDescent="0.2">
      <c r="A2124" s="409" t="str">
        <f t="shared" ref="A2124" si="106">IF(C2124=0,"",VLOOKUP(C2124,BASE_A,5,FALSE))</f>
        <v>Rancho Estanzuela</v>
      </c>
      <c r="B2124" s="209">
        <v>5679</v>
      </c>
      <c r="C2124" s="210" t="s">
        <v>948</v>
      </c>
      <c r="D2124" s="229" t="str">
        <f t="shared" ref="D2124" si="107">IF(C2124=0,"",VLOOKUP(C2124,BASE_A,6,FALSE))</f>
        <v>Rancho Estanzuela No. 111</v>
      </c>
      <c r="E2124" s="229" t="str">
        <f t="shared" ref="E2124" si="108">IF(C2124=0,"",VLOOKUP(C2124,BASE_A,8,FALSE))</f>
        <v>Flores Pérez</v>
      </c>
      <c r="F2124" s="240">
        <f t="shared" ref="F2124" si="109">IF(C2124=0,"",VLOOKUP(C2124,BASE_A,9,FALSE))</f>
        <v>300</v>
      </c>
      <c r="G2124" s="205">
        <v>1</v>
      </c>
      <c r="H2124" s="206">
        <v>300</v>
      </c>
      <c r="I2124" s="207">
        <v>41540</v>
      </c>
      <c r="J2124" s="197" t="str">
        <f t="shared" si="99"/>
        <v>ok</v>
      </c>
      <c r="K2124" s="419"/>
      <c r="L2124" s="419"/>
      <c r="M2124" s="419"/>
      <c r="N2124" s="419"/>
      <c r="O2124" s="419"/>
      <c r="P2124" s="419"/>
      <c r="Q2124" s="419"/>
      <c r="R2124" s="419"/>
      <c r="S2124" s="419"/>
      <c r="T2124" s="419"/>
      <c r="U2124" s="419"/>
      <c r="V2124" s="419"/>
      <c r="W2124" s="419"/>
      <c r="X2124" s="412"/>
      <c r="Y2124" s="412"/>
      <c r="Z2124" s="412"/>
      <c r="AA2124" s="412"/>
      <c r="AB2124" s="412"/>
      <c r="AC2124" s="412"/>
      <c r="AD2124" s="412"/>
      <c r="AE2124" s="412"/>
      <c r="AF2124" s="427">
        <v>300</v>
      </c>
      <c r="AG2124" s="412"/>
      <c r="AH2124" s="412"/>
      <c r="AI2124" s="412"/>
      <c r="AJ2124" s="412">
        <f t="shared" si="101"/>
        <v>300</v>
      </c>
      <c r="AK2124" s="410"/>
      <c r="AL2124" s="250" t="s">
        <v>2067</v>
      </c>
    </row>
    <row r="2125" spans="1:38" x14ac:dyDescent="0.2">
      <c r="A2125" s="409" t="str">
        <f t="shared" si="102"/>
        <v/>
      </c>
      <c r="B2125" s="209">
        <v>5680</v>
      </c>
      <c r="C2125" s="210"/>
      <c r="D2125" s="229" t="str">
        <f t="shared" ref="D2125:D2188" si="110">IF(C2125=0,"",VLOOKUP(C2125,BASE_A,6,FALSE))</f>
        <v/>
      </c>
      <c r="E2125" s="229" t="str">
        <f t="shared" ref="E2125:E2188" si="111">IF(C2125=0,"",VLOOKUP(C2125,BASE_A,8,FALSE))</f>
        <v/>
      </c>
      <c r="F2125" s="240" t="str">
        <f t="shared" ref="F2125:F2188" si="112">IF(C2125=0,"",VLOOKUP(C2125,BASE_A,9,FALSE))</f>
        <v/>
      </c>
      <c r="G2125" s="205"/>
      <c r="H2125" s="206"/>
      <c r="I2125" s="207"/>
      <c r="J2125" s="197" t="str">
        <f t="shared" ref="J2125:J2188" si="113">IF(OR(G2125&lt;&gt;1,SUM(W2125,AJ2125)=H2125),"ok","error")</f>
        <v>ok</v>
      </c>
      <c r="K2125" s="419"/>
      <c r="L2125" s="419"/>
      <c r="M2125" s="419"/>
      <c r="N2125" s="419"/>
      <c r="O2125" s="419"/>
      <c r="P2125" s="419"/>
      <c r="Q2125" s="419"/>
      <c r="R2125" s="419"/>
      <c r="S2125" s="419"/>
      <c r="T2125" s="419"/>
      <c r="U2125" s="419"/>
      <c r="V2125" s="419"/>
      <c r="W2125" s="419"/>
      <c r="X2125" s="412"/>
      <c r="Y2125" s="412"/>
      <c r="Z2125" s="412"/>
      <c r="AA2125" s="412"/>
      <c r="AB2125" s="412"/>
      <c r="AC2125" s="412"/>
      <c r="AD2125" s="412"/>
      <c r="AE2125" s="412"/>
      <c r="AF2125" s="427"/>
      <c r="AG2125" s="412"/>
      <c r="AH2125" s="412"/>
      <c r="AI2125" s="412"/>
      <c r="AJ2125" s="412">
        <f t="shared" si="101"/>
        <v>0</v>
      </c>
      <c r="AK2125" s="410" t="s">
        <v>755</v>
      </c>
      <c r="AL2125" s="250" t="s">
        <v>2067</v>
      </c>
    </row>
    <row r="2126" spans="1:38" x14ac:dyDescent="0.2">
      <c r="A2126" s="409" t="str">
        <f t="shared" si="102"/>
        <v>Rancho Landero</v>
      </c>
      <c r="B2126" s="209">
        <v>5681</v>
      </c>
      <c r="C2126" s="210" t="s">
        <v>1015</v>
      </c>
      <c r="D2126" s="229" t="str">
        <f t="shared" si="110"/>
        <v>Rancho Landero No. 54, 2</v>
      </c>
      <c r="E2126" s="229" t="str">
        <f t="shared" si="111"/>
        <v>Montemayor Santana</v>
      </c>
      <c r="F2126" s="240">
        <f t="shared" si="112"/>
        <v>300</v>
      </c>
      <c r="G2126" s="205">
        <v>1</v>
      </c>
      <c r="H2126" s="206">
        <v>300</v>
      </c>
      <c r="I2126" s="207">
        <v>41540</v>
      </c>
      <c r="J2126" s="197" t="str">
        <f t="shared" si="113"/>
        <v>ok</v>
      </c>
      <c r="K2126" s="419"/>
      <c r="L2126" s="419"/>
      <c r="M2126" s="419"/>
      <c r="N2126" s="419"/>
      <c r="O2126" s="419"/>
      <c r="P2126" s="419"/>
      <c r="Q2126" s="419"/>
      <c r="R2126" s="419"/>
      <c r="S2126" s="419"/>
      <c r="T2126" s="419"/>
      <c r="U2126" s="419"/>
      <c r="V2126" s="419"/>
      <c r="W2126" s="419"/>
      <c r="X2126" s="412"/>
      <c r="Y2126" s="412"/>
      <c r="Z2126" s="412"/>
      <c r="AA2126" s="412"/>
      <c r="AB2126" s="412"/>
      <c r="AC2126" s="412"/>
      <c r="AD2126" s="412"/>
      <c r="AE2126" s="412">
        <v>150</v>
      </c>
      <c r="AF2126" s="427">
        <v>150</v>
      </c>
      <c r="AG2126" s="412"/>
      <c r="AH2126" s="412"/>
      <c r="AI2126" s="412"/>
      <c r="AJ2126" s="412">
        <f t="shared" si="101"/>
        <v>300</v>
      </c>
      <c r="AK2126" s="410"/>
      <c r="AL2126" s="250" t="s">
        <v>2067</v>
      </c>
    </row>
    <row r="2127" spans="1:38" x14ac:dyDescent="0.2">
      <c r="A2127" s="409" t="str">
        <f t="shared" si="102"/>
        <v>Rancho Upácuaro</v>
      </c>
      <c r="B2127" s="209">
        <v>5682</v>
      </c>
      <c r="C2127" s="210" t="s">
        <v>1107</v>
      </c>
      <c r="D2127" s="229" t="str">
        <f t="shared" si="110"/>
        <v>Rancho Upácuaro No. 64</v>
      </c>
      <c r="E2127" s="229" t="str">
        <f t="shared" si="111"/>
        <v>Méndez Oliva</v>
      </c>
      <c r="F2127" s="240">
        <f t="shared" si="112"/>
        <v>300</v>
      </c>
      <c r="G2127" s="205">
        <v>1</v>
      </c>
      <c r="H2127" s="206">
        <v>300</v>
      </c>
      <c r="I2127" s="207">
        <v>41542</v>
      </c>
      <c r="J2127" s="197" t="str">
        <f t="shared" si="113"/>
        <v>ok</v>
      </c>
      <c r="K2127" s="419"/>
      <c r="L2127" s="419"/>
      <c r="M2127" s="419"/>
      <c r="N2127" s="419"/>
      <c r="O2127" s="419"/>
      <c r="P2127" s="419"/>
      <c r="Q2127" s="419"/>
      <c r="R2127" s="419"/>
      <c r="S2127" s="419"/>
      <c r="T2127" s="419"/>
      <c r="U2127" s="419"/>
      <c r="V2127" s="419"/>
      <c r="W2127" s="419"/>
      <c r="X2127" s="412"/>
      <c r="Y2127" s="412"/>
      <c r="Z2127" s="412"/>
      <c r="AA2127" s="412"/>
      <c r="AB2127" s="412"/>
      <c r="AC2127" s="412"/>
      <c r="AD2127" s="412"/>
      <c r="AE2127" s="412"/>
      <c r="AF2127" s="427">
        <v>300</v>
      </c>
      <c r="AG2127" s="412"/>
      <c r="AH2127" s="412"/>
      <c r="AI2127" s="412"/>
      <c r="AJ2127" s="412">
        <f t="shared" si="101"/>
        <v>300</v>
      </c>
      <c r="AK2127" s="410"/>
      <c r="AL2127" s="250" t="s">
        <v>2067</v>
      </c>
    </row>
    <row r="2128" spans="1:38" x14ac:dyDescent="0.2">
      <c r="A2128" s="409" t="str">
        <f t="shared" si="102"/>
        <v>Rancho Upácuaro</v>
      </c>
      <c r="B2128" s="209">
        <v>5683</v>
      </c>
      <c r="C2128" s="210" t="s">
        <v>1114</v>
      </c>
      <c r="D2128" s="229" t="str">
        <f t="shared" si="110"/>
        <v>Rancho Upácuaro No. 73, B</v>
      </c>
      <c r="E2128" s="229" t="str">
        <f t="shared" si="111"/>
        <v>Chávez</v>
      </c>
      <c r="F2128" s="240">
        <f t="shared" si="112"/>
        <v>200</v>
      </c>
      <c r="G2128" s="205">
        <v>1</v>
      </c>
      <c r="H2128" s="206">
        <v>600</v>
      </c>
      <c r="I2128" s="207">
        <v>41542</v>
      </c>
      <c r="J2128" s="197" t="str">
        <f t="shared" si="113"/>
        <v>ok</v>
      </c>
      <c r="K2128" s="419"/>
      <c r="L2128" s="419"/>
      <c r="M2128" s="419"/>
      <c r="N2128" s="419"/>
      <c r="O2128" s="419"/>
      <c r="P2128" s="419"/>
      <c r="Q2128" s="419"/>
      <c r="R2128" s="419"/>
      <c r="S2128" s="419"/>
      <c r="T2128" s="419"/>
      <c r="U2128" s="419"/>
      <c r="V2128" s="419"/>
      <c r="W2128" s="419"/>
      <c r="X2128" s="412"/>
      <c r="Y2128" s="412"/>
      <c r="Z2128" s="412"/>
      <c r="AA2128" s="412"/>
      <c r="AB2128" s="412"/>
      <c r="AC2128" s="412"/>
      <c r="AD2128" s="412">
        <v>200</v>
      </c>
      <c r="AE2128" s="412">
        <v>200</v>
      </c>
      <c r="AF2128" s="427">
        <v>200</v>
      </c>
      <c r="AG2128" s="412"/>
      <c r="AH2128" s="412"/>
      <c r="AI2128" s="412"/>
      <c r="AJ2128" s="412">
        <f t="shared" si="101"/>
        <v>600</v>
      </c>
      <c r="AK2128" s="410"/>
      <c r="AL2128" s="250" t="s">
        <v>2067</v>
      </c>
    </row>
    <row r="2129" spans="1:38" x14ac:dyDescent="0.2">
      <c r="A2129" s="409" t="str">
        <f t="shared" si="102"/>
        <v>Rancho Upácuaro</v>
      </c>
      <c r="B2129" s="209">
        <v>5684</v>
      </c>
      <c r="C2129" s="210" t="s">
        <v>1135</v>
      </c>
      <c r="D2129" s="229" t="str">
        <f t="shared" si="110"/>
        <v>Rancho Upácuaro No. 106</v>
      </c>
      <c r="E2129" s="229" t="str">
        <f t="shared" si="111"/>
        <v>Hernández Sánchez</v>
      </c>
      <c r="F2129" s="240">
        <f t="shared" si="112"/>
        <v>300</v>
      </c>
      <c r="G2129" s="205">
        <v>1</v>
      </c>
      <c r="H2129" s="206">
        <v>900</v>
      </c>
      <c r="I2129" s="207">
        <v>41546</v>
      </c>
      <c r="J2129" s="197" t="str">
        <f t="shared" si="113"/>
        <v>ok</v>
      </c>
      <c r="K2129" s="419"/>
      <c r="L2129" s="419"/>
      <c r="M2129" s="419"/>
      <c r="N2129" s="419"/>
      <c r="O2129" s="419"/>
      <c r="P2129" s="419"/>
      <c r="Q2129" s="419"/>
      <c r="R2129" s="419"/>
      <c r="S2129" s="419"/>
      <c r="T2129" s="419"/>
      <c r="U2129" s="419"/>
      <c r="V2129" s="419"/>
      <c r="W2129" s="419"/>
      <c r="X2129" s="412"/>
      <c r="Y2129" s="412"/>
      <c r="Z2129" s="412"/>
      <c r="AA2129" s="412"/>
      <c r="AB2129" s="412"/>
      <c r="AC2129" s="412"/>
      <c r="AD2129" s="412">
        <v>300</v>
      </c>
      <c r="AE2129" s="412">
        <v>300</v>
      </c>
      <c r="AF2129" s="427">
        <v>300</v>
      </c>
      <c r="AG2129" s="412"/>
      <c r="AH2129" s="412"/>
      <c r="AI2129" s="412"/>
      <c r="AJ2129" s="412">
        <f t="shared" si="101"/>
        <v>900</v>
      </c>
      <c r="AK2129" s="410"/>
      <c r="AL2129" s="250" t="s">
        <v>2067</v>
      </c>
    </row>
    <row r="2130" spans="1:38" x14ac:dyDescent="0.2">
      <c r="A2130" s="409" t="str">
        <f t="shared" si="102"/>
        <v>Rancho Landero</v>
      </c>
      <c r="B2130" s="209">
        <v>5685</v>
      </c>
      <c r="C2130" s="210" t="s">
        <v>1041</v>
      </c>
      <c r="D2130" s="229" t="str">
        <f t="shared" si="110"/>
        <v>Rancho Landero No. 94</v>
      </c>
      <c r="E2130" s="229" t="str">
        <f t="shared" si="111"/>
        <v>Medina</v>
      </c>
      <c r="F2130" s="240">
        <f t="shared" si="112"/>
        <v>150</v>
      </c>
      <c r="G2130" s="205">
        <v>1</v>
      </c>
      <c r="H2130" s="206">
        <v>600</v>
      </c>
      <c r="I2130" s="207">
        <v>41546</v>
      </c>
      <c r="J2130" s="197" t="str">
        <f t="shared" si="113"/>
        <v>ok</v>
      </c>
      <c r="K2130" s="419"/>
      <c r="L2130" s="419"/>
      <c r="M2130" s="419"/>
      <c r="N2130" s="419"/>
      <c r="O2130" s="419"/>
      <c r="P2130" s="419"/>
      <c r="Q2130" s="419"/>
      <c r="R2130" s="419"/>
      <c r="S2130" s="419"/>
      <c r="T2130" s="419"/>
      <c r="U2130" s="419"/>
      <c r="V2130" s="419"/>
      <c r="W2130" s="419"/>
      <c r="X2130" s="412"/>
      <c r="Y2130" s="412"/>
      <c r="Z2130" s="412"/>
      <c r="AA2130" s="412"/>
      <c r="AB2130" s="412"/>
      <c r="AC2130" s="412">
        <v>150</v>
      </c>
      <c r="AD2130" s="412">
        <v>150</v>
      </c>
      <c r="AE2130" s="412">
        <v>150</v>
      </c>
      <c r="AF2130" s="427">
        <v>150</v>
      </c>
      <c r="AG2130" s="412"/>
      <c r="AH2130" s="412"/>
      <c r="AI2130" s="412"/>
      <c r="AJ2130" s="412">
        <f t="shared" si="101"/>
        <v>600</v>
      </c>
      <c r="AK2130" s="410"/>
      <c r="AL2130" s="250" t="s">
        <v>2067</v>
      </c>
    </row>
    <row r="2131" spans="1:38" x14ac:dyDescent="0.2">
      <c r="A2131" s="409" t="str">
        <f t="shared" si="102"/>
        <v>Rancho Estanzuela</v>
      </c>
      <c r="B2131" s="209">
        <v>5686</v>
      </c>
      <c r="C2131" s="210" t="s">
        <v>768</v>
      </c>
      <c r="D2131" s="229" t="str">
        <f t="shared" si="110"/>
        <v>Rancho Estanzuela No. 31</v>
      </c>
      <c r="E2131" s="229" t="str">
        <f t="shared" si="111"/>
        <v>Chávez Valdés</v>
      </c>
      <c r="F2131" s="240">
        <f t="shared" si="112"/>
        <v>300</v>
      </c>
      <c r="G2131" s="205">
        <v>1</v>
      </c>
      <c r="H2131" s="206">
        <v>300</v>
      </c>
      <c r="I2131" s="207">
        <v>41546</v>
      </c>
      <c r="J2131" s="197" t="str">
        <f t="shared" si="113"/>
        <v>ok</v>
      </c>
      <c r="K2131" s="419"/>
      <c r="L2131" s="419"/>
      <c r="M2131" s="419"/>
      <c r="N2131" s="419"/>
      <c r="O2131" s="419"/>
      <c r="P2131" s="419"/>
      <c r="Q2131" s="419"/>
      <c r="R2131" s="419"/>
      <c r="S2131" s="419"/>
      <c r="T2131" s="419"/>
      <c r="U2131" s="419"/>
      <c r="V2131" s="419"/>
      <c r="W2131" s="419"/>
      <c r="X2131" s="412"/>
      <c r="Y2131" s="412"/>
      <c r="Z2131" s="412"/>
      <c r="AA2131" s="412"/>
      <c r="AB2131" s="412"/>
      <c r="AC2131" s="412"/>
      <c r="AD2131" s="412"/>
      <c r="AE2131" s="412"/>
      <c r="AF2131" s="427"/>
      <c r="AG2131" s="412">
        <v>300</v>
      </c>
      <c r="AH2131" s="412"/>
      <c r="AI2131" s="412"/>
      <c r="AJ2131" s="412">
        <f t="shared" si="101"/>
        <v>300</v>
      </c>
      <c r="AK2131" s="410"/>
      <c r="AL2131" s="250" t="s">
        <v>2067</v>
      </c>
    </row>
    <row r="2132" spans="1:38" x14ac:dyDescent="0.2">
      <c r="A2132" s="409" t="str">
        <f t="shared" si="102"/>
        <v>Rancho Landero</v>
      </c>
      <c r="B2132" s="209">
        <v>5687</v>
      </c>
      <c r="C2132" s="210" t="s">
        <v>763</v>
      </c>
      <c r="D2132" s="229" t="str">
        <f t="shared" si="110"/>
        <v>Rancho Landero No. 63</v>
      </c>
      <c r="E2132" s="229" t="str">
        <f t="shared" si="111"/>
        <v>Hernández Chávez</v>
      </c>
      <c r="F2132" s="240">
        <f t="shared" si="112"/>
        <v>300</v>
      </c>
      <c r="G2132" s="205">
        <v>1</v>
      </c>
      <c r="H2132" s="206">
        <v>900</v>
      </c>
      <c r="I2132" s="207">
        <v>41546</v>
      </c>
      <c r="J2132" s="197" t="str">
        <f t="shared" si="113"/>
        <v>ok</v>
      </c>
      <c r="K2132" s="419"/>
      <c r="L2132" s="419"/>
      <c r="M2132" s="419"/>
      <c r="N2132" s="419"/>
      <c r="O2132" s="419"/>
      <c r="P2132" s="419"/>
      <c r="Q2132" s="419"/>
      <c r="R2132" s="419"/>
      <c r="S2132" s="419"/>
      <c r="T2132" s="419"/>
      <c r="U2132" s="419"/>
      <c r="V2132" s="419"/>
      <c r="W2132" s="419"/>
      <c r="X2132" s="412"/>
      <c r="Y2132" s="412"/>
      <c r="Z2132" s="412"/>
      <c r="AA2132" s="412"/>
      <c r="AB2132" s="412"/>
      <c r="AC2132" s="412"/>
      <c r="AD2132" s="412">
        <v>300</v>
      </c>
      <c r="AE2132" s="412">
        <v>300</v>
      </c>
      <c r="AF2132" s="427">
        <v>300</v>
      </c>
      <c r="AG2132" s="412"/>
      <c r="AH2132" s="412"/>
      <c r="AI2132" s="412"/>
      <c r="AJ2132" s="412">
        <f t="shared" si="101"/>
        <v>900</v>
      </c>
      <c r="AK2132" s="410"/>
      <c r="AL2132" s="250" t="s">
        <v>2067</v>
      </c>
    </row>
    <row r="2133" spans="1:38" x14ac:dyDescent="0.2">
      <c r="A2133" s="409" t="str">
        <f t="shared" si="102"/>
        <v>Rancho Zinamba</v>
      </c>
      <c r="B2133" s="209">
        <v>5688</v>
      </c>
      <c r="C2133" s="210" t="s">
        <v>1160</v>
      </c>
      <c r="D2133" s="229" t="str">
        <f t="shared" si="110"/>
        <v>Rancho Zinamba No. 34</v>
      </c>
      <c r="E2133" s="229" t="str">
        <f t="shared" si="111"/>
        <v>Torres Zavala</v>
      </c>
      <c r="F2133" s="240">
        <f t="shared" si="112"/>
        <v>300</v>
      </c>
      <c r="G2133" s="205">
        <v>1</v>
      </c>
      <c r="H2133" s="206">
        <v>300</v>
      </c>
      <c r="I2133" s="207">
        <v>41546</v>
      </c>
      <c r="J2133" s="197" t="str">
        <f t="shared" si="113"/>
        <v>ok</v>
      </c>
      <c r="K2133" s="419"/>
      <c r="L2133" s="419"/>
      <c r="M2133" s="419"/>
      <c r="N2133" s="419"/>
      <c r="O2133" s="419"/>
      <c r="P2133" s="419"/>
      <c r="Q2133" s="419"/>
      <c r="R2133" s="419"/>
      <c r="S2133" s="419"/>
      <c r="T2133" s="419"/>
      <c r="U2133" s="419"/>
      <c r="V2133" s="419"/>
      <c r="W2133" s="419"/>
      <c r="X2133" s="412"/>
      <c r="Y2133" s="412"/>
      <c r="Z2133" s="412"/>
      <c r="AA2133" s="412"/>
      <c r="AB2133" s="412"/>
      <c r="AC2133" s="412"/>
      <c r="AD2133" s="412"/>
      <c r="AE2133" s="412"/>
      <c r="AF2133" s="427">
        <v>300</v>
      </c>
      <c r="AG2133" s="412"/>
      <c r="AH2133" s="412"/>
      <c r="AI2133" s="412"/>
      <c r="AJ2133" s="412">
        <f t="shared" si="101"/>
        <v>300</v>
      </c>
      <c r="AK2133" s="410"/>
      <c r="AL2133" s="250" t="s">
        <v>2067</v>
      </c>
    </row>
    <row r="2134" spans="1:38" x14ac:dyDescent="0.2">
      <c r="A2134" s="409" t="str">
        <f t="shared" si="102"/>
        <v>Rancho Upácuaro</v>
      </c>
      <c r="B2134" s="209">
        <v>5689</v>
      </c>
      <c r="C2134" s="210" t="s">
        <v>1137</v>
      </c>
      <c r="D2134" s="229" t="str">
        <f t="shared" si="110"/>
        <v>Rancho Upácuaro No. 110</v>
      </c>
      <c r="E2134" s="229" t="str">
        <f t="shared" si="111"/>
        <v>Ruiz Mijangos</v>
      </c>
      <c r="F2134" s="240">
        <f t="shared" si="112"/>
        <v>300</v>
      </c>
      <c r="G2134" s="205">
        <v>1</v>
      </c>
      <c r="H2134" s="206">
        <v>300</v>
      </c>
      <c r="I2134" s="207">
        <v>41546</v>
      </c>
      <c r="J2134" s="197" t="str">
        <f t="shared" si="113"/>
        <v>ok</v>
      </c>
      <c r="K2134" s="419"/>
      <c r="L2134" s="419"/>
      <c r="M2134" s="419"/>
      <c r="N2134" s="419"/>
      <c r="O2134" s="419"/>
      <c r="P2134" s="419"/>
      <c r="Q2134" s="419"/>
      <c r="R2134" s="419"/>
      <c r="S2134" s="419"/>
      <c r="T2134" s="419"/>
      <c r="U2134" s="419"/>
      <c r="V2134" s="419"/>
      <c r="W2134" s="419"/>
      <c r="X2134" s="412"/>
      <c r="Y2134" s="412"/>
      <c r="Z2134" s="412"/>
      <c r="AA2134" s="412"/>
      <c r="AB2134" s="412"/>
      <c r="AC2134" s="412"/>
      <c r="AD2134" s="412"/>
      <c r="AE2134" s="412"/>
      <c r="AF2134" s="427">
        <v>300</v>
      </c>
      <c r="AG2134" s="412"/>
      <c r="AH2134" s="412"/>
      <c r="AI2134" s="412"/>
      <c r="AJ2134" s="412">
        <f t="shared" si="101"/>
        <v>300</v>
      </c>
      <c r="AK2134" s="410"/>
      <c r="AL2134" s="250" t="s">
        <v>2067</v>
      </c>
    </row>
    <row r="2135" spans="1:38" x14ac:dyDescent="0.2">
      <c r="A2135" s="409" t="str">
        <f t="shared" si="102"/>
        <v>Rancho Upácuaro</v>
      </c>
      <c r="B2135" s="209">
        <v>5690</v>
      </c>
      <c r="C2135" s="210" t="s">
        <v>781</v>
      </c>
      <c r="D2135" s="229" t="str">
        <f t="shared" si="110"/>
        <v>Rancho Upácuaro No. 140</v>
      </c>
      <c r="E2135" s="229" t="str">
        <f t="shared" si="111"/>
        <v>Gozain</v>
      </c>
      <c r="F2135" s="240">
        <f t="shared" si="112"/>
        <v>300</v>
      </c>
      <c r="G2135" s="205">
        <v>1</v>
      </c>
      <c r="H2135" s="206">
        <v>300</v>
      </c>
      <c r="I2135" s="207">
        <v>41546</v>
      </c>
      <c r="J2135" s="197" t="str">
        <f t="shared" si="113"/>
        <v>ok</v>
      </c>
      <c r="K2135" s="419"/>
      <c r="L2135" s="419"/>
      <c r="M2135" s="419"/>
      <c r="N2135" s="419"/>
      <c r="O2135" s="419"/>
      <c r="P2135" s="419"/>
      <c r="Q2135" s="419"/>
      <c r="R2135" s="419"/>
      <c r="S2135" s="419"/>
      <c r="T2135" s="419"/>
      <c r="U2135" s="419"/>
      <c r="V2135" s="419"/>
      <c r="W2135" s="419"/>
      <c r="X2135" s="412"/>
      <c r="Y2135" s="412"/>
      <c r="Z2135" s="412"/>
      <c r="AA2135" s="412"/>
      <c r="AB2135" s="412"/>
      <c r="AC2135" s="412"/>
      <c r="AD2135" s="412"/>
      <c r="AE2135" s="412"/>
      <c r="AF2135" s="427"/>
      <c r="AG2135" s="412">
        <v>300</v>
      </c>
      <c r="AH2135" s="412"/>
      <c r="AI2135" s="412"/>
      <c r="AJ2135" s="412">
        <f t="shared" si="101"/>
        <v>300</v>
      </c>
      <c r="AK2135" s="410"/>
      <c r="AL2135" s="250" t="s">
        <v>2067</v>
      </c>
    </row>
    <row r="2136" spans="1:38" x14ac:dyDescent="0.2">
      <c r="A2136" s="409" t="str">
        <f t="shared" si="102"/>
        <v>Rancho Estanzuela</v>
      </c>
      <c r="B2136" s="209">
        <v>5691</v>
      </c>
      <c r="C2136" s="210" t="s">
        <v>913</v>
      </c>
      <c r="D2136" s="229" t="str">
        <f t="shared" si="110"/>
        <v>Rancho Estanzuela No. 9, B</v>
      </c>
      <c r="E2136" s="229" t="str">
        <f t="shared" si="111"/>
        <v>Velasco Rojas</v>
      </c>
      <c r="F2136" s="240">
        <f t="shared" si="112"/>
        <v>200</v>
      </c>
      <c r="G2136" s="205">
        <v>1</v>
      </c>
      <c r="H2136" s="206">
        <v>400</v>
      </c>
      <c r="I2136" s="207">
        <v>41546</v>
      </c>
      <c r="J2136" s="197" t="str">
        <f t="shared" si="113"/>
        <v>ok</v>
      </c>
      <c r="K2136" s="419"/>
      <c r="L2136" s="419"/>
      <c r="M2136" s="419"/>
      <c r="N2136" s="419"/>
      <c r="O2136" s="419"/>
      <c r="P2136" s="419"/>
      <c r="Q2136" s="419"/>
      <c r="R2136" s="419"/>
      <c r="S2136" s="419"/>
      <c r="T2136" s="419"/>
      <c r="U2136" s="419"/>
      <c r="V2136" s="419"/>
      <c r="W2136" s="419"/>
      <c r="X2136" s="412"/>
      <c r="Y2136" s="412"/>
      <c r="Z2136" s="412"/>
      <c r="AA2136" s="412"/>
      <c r="AB2136" s="412"/>
      <c r="AC2136" s="412"/>
      <c r="AD2136" s="412"/>
      <c r="AE2136" s="412"/>
      <c r="AF2136" s="427">
        <v>200</v>
      </c>
      <c r="AG2136" s="412">
        <v>200</v>
      </c>
      <c r="AH2136" s="412"/>
      <c r="AI2136" s="412"/>
      <c r="AJ2136" s="412">
        <f t="shared" si="101"/>
        <v>400</v>
      </c>
      <c r="AK2136" s="410"/>
      <c r="AL2136" s="250" t="s">
        <v>2067</v>
      </c>
    </row>
    <row r="2137" spans="1:38" x14ac:dyDescent="0.2">
      <c r="A2137" s="409" t="str">
        <f t="shared" si="102"/>
        <v>Rancho Zinamba</v>
      </c>
      <c r="B2137" s="209">
        <v>5692</v>
      </c>
      <c r="C2137" s="210" t="s">
        <v>767</v>
      </c>
      <c r="D2137" s="229" t="str">
        <f t="shared" si="110"/>
        <v>Rancho Zinamba No. 38</v>
      </c>
      <c r="E2137" s="229" t="str">
        <f t="shared" si="111"/>
        <v>Ramírez Díaz</v>
      </c>
      <c r="F2137" s="240">
        <f t="shared" si="112"/>
        <v>300</v>
      </c>
      <c r="G2137" s="205">
        <v>1</v>
      </c>
      <c r="H2137" s="206">
        <v>400</v>
      </c>
      <c r="I2137" s="207">
        <v>41546</v>
      </c>
      <c r="J2137" s="197" t="str">
        <f t="shared" si="113"/>
        <v>ok</v>
      </c>
      <c r="K2137" s="419"/>
      <c r="L2137" s="419"/>
      <c r="M2137" s="419"/>
      <c r="N2137" s="419"/>
      <c r="O2137" s="419"/>
      <c r="P2137" s="419"/>
      <c r="Q2137" s="419"/>
      <c r="R2137" s="419"/>
      <c r="S2137" s="419"/>
      <c r="T2137" s="419"/>
      <c r="U2137" s="419"/>
      <c r="V2137" s="419"/>
      <c r="W2137" s="419"/>
      <c r="X2137" s="412"/>
      <c r="Y2137" s="412"/>
      <c r="Z2137" s="412"/>
      <c r="AA2137" s="412"/>
      <c r="AB2137" s="412"/>
      <c r="AC2137" s="412"/>
      <c r="AD2137" s="412"/>
      <c r="AE2137" s="412"/>
      <c r="AF2137" s="427"/>
      <c r="AG2137" s="412">
        <v>400</v>
      </c>
      <c r="AH2137" s="412"/>
      <c r="AI2137" s="412"/>
      <c r="AJ2137" s="412">
        <f t="shared" si="101"/>
        <v>400</v>
      </c>
      <c r="AK2137" s="410"/>
      <c r="AL2137" s="250" t="s">
        <v>2067</v>
      </c>
    </row>
    <row r="2138" spans="1:38" x14ac:dyDescent="0.2">
      <c r="A2138" s="409" t="str">
        <f t="shared" si="102"/>
        <v>Rancho Estanzuela</v>
      </c>
      <c r="B2138" s="209">
        <v>5693</v>
      </c>
      <c r="C2138" s="210" t="s">
        <v>942</v>
      </c>
      <c r="D2138" s="229" t="str">
        <f t="shared" si="110"/>
        <v>Rancho Estanzuela No. 95</v>
      </c>
      <c r="E2138" s="229" t="str">
        <f t="shared" si="111"/>
        <v>Castro Puente</v>
      </c>
      <c r="F2138" s="240">
        <f t="shared" si="112"/>
        <v>300</v>
      </c>
      <c r="G2138" s="205">
        <v>1</v>
      </c>
      <c r="H2138" s="206">
        <v>600</v>
      </c>
      <c r="I2138" s="207">
        <v>41546</v>
      </c>
      <c r="J2138" s="197" t="str">
        <f t="shared" si="113"/>
        <v>ok</v>
      </c>
      <c r="K2138" s="419"/>
      <c r="L2138" s="419"/>
      <c r="M2138" s="419"/>
      <c r="N2138" s="419"/>
      <c r="O2138" s="419"/>
      <c r="P2138" s="419"/>
      <c r="Q2138" s="419"/>
      <c r="R2138" s="419"/>
      <c r="S2138" s="419"/>
      <c r="T2138" s="419"/>
      <c r="U2138" s="419"/>
      <c r="V2138" s="419"/>
      <c r="W2138" s="419"/>
      <c r="X2138" s="412"/>
      <c r="Y2138" s="412"/>
      <c r="Z2138" s="412"/>
      <c r="AA2138" s="412"/>
      <c r="AB2138" s="412"/>
      <c r="AC2138" s="412"/>
      <c r="AD2138" s="412"/>
      <c r="AE2138" s="412"/>
      <c r="AF2138" s="427"/>
      <c r="AG2138" s="412">
        <v>300</v>
      </c>
      <c r="AH2138" s="412">
        <v>300</v>
      </c>
      <c r="AI2138" s="412"/>
      <c r="AJ2138" s="412">
        <f t="shared" si="101"/>
        <v>600</v>
      </c>
      <c r="AK2138" s="410"/>
      <c r="AL2138" s="250" t="s">
        <v>2067</v>
      </c>
    </row>
    <row r="2139" spans="1:38" x14ac:dyDescent="0.2">
      <c r="A2139" s="409" t="str">
        <f t="shared" si="102"/>
        <v>Rancho Upácuaro</v>
      </c>
      <c r="B2139" s="209">
        <v>5694</v>
      </c>
      <c r="C2139" s="210" t="s">
        <v>1130</v>
      </c>
      <c r="D2139" s="229" t="str">
        <f t="shared" si="110"/>
        <v>Rancho Upácuaro No. 95</v>
      </c>
      <c r="E2139" s="229" t="str">
        <f t="shared" si="111"/>
        <v>Flores</v>
      </c>
      <c r="F2139" s="240">
        <f t="shared" si="112"/>
        <v>300</v>
      </c>
      <c r="G2139" s="205">
        <v>1</v>
      </c>
      <c r="H2139" s="206">
        <v>300</v>
      </c>
      <c r="I2139" s="207">
        <v>41546</v>
      </c>
      <c r="J2139" s="197" t="str">
        <f t="shared" si="113"/>
        <v>ok</v>
      </c>
      <c r="K2139" s="419"/>
      <c r="L2139" s="419"/>
      <c r="M2139" s="419"/>
      <c r="N2139" s="419"/>
      <c r="O2139" s="419"/>
      <c r="P2139" s="419"/>
      <c r="Q2139" s="419"/>
      <c r="R2139" s="419"/>
      <c r="S2139" s="419"/>
      <c r="T2139" s="419"/>
      <c r="U2139" s="419"/>
      <c r="V2139" s="419"/>
      <c r="W2139" s="419"/>
      <c r="X2139" s="412"/>
      <c r="Y2139" s="412"/>
      <c r="Z2139" s="412"/>
      <c r="AA2139" s="412"/>
      <c r="AB2139" s="412"/>
      <c r="AC2139" s="412"/>
      <c r="AD2139" s="412"/>
      <c r="AE2139" s="412"/>
      <c r="AF2139" s="427">
        <v>300</v>
      </c>
      <c r="AG2139" s="412"/>
      <c r="AH2139" s="412"/>
      <c r="AI2139" s="412"/>
      <c r="AJ2139" s="412">
        <f t="shared" si="101"/>
        <v>300</v>
      </c>
      <c r="AK2139" s="410"/>
      <c r="AL2139" s="250" t="s">
        <v>2067</v>
      </c>
    </row>
    <row r="2140" spans="1:38" x14ac:dyDescent="0.2">
      <c r="A2140" s="409" t="str">
        <f t="shared" si="102"/>
        <v>Rancho Estanzuela</v>
      </c>
      <c r="B2140" s="209">
        <v>5695</v>
      </c>
      <c r="C2140" s="210" t="s">
        <v>946</v>
      </c>
      <c r="D2140" s="229" t="str">
        <f t="shared" si="110"/>
        <v>Rancho Estanzuela No. 101</v>
      </c>
      <c r="E2140" s="229" t="str">
        <f t="shared" si="111"/>
        <v>Calderón Celis</v>
      </c>
      <c r="F2140" s="240">
        <f t="shared" si="112"/>
        <v>300</v>
      </c>
      <c r="G2140" s="205">
        <v>1</v>
      </c>
      <c r="H2140" s="206">
        <v>900</v>
      </c>
      <c r="I2140" s="207">
        <v>41546</v>
      </c>
      <c r="J2140" s="197" t="str">
        <f t="shared" si="113"/>
        <v>ok</v>
      </c>
      <c r="K2140" s="419"/>
      <c r="L2140" s="419"/>
      <c r="M2140" s="419"/>
      <c r="N2140" s="419"/>
      <c r="O2140" s="419"/>
      <c r="P2140" s="419"/>
      <c r="Q2140" s="419"/>
      <c r="R2140" s="419"/>
      <c r="S2140" s="419"/>
      <c r="T2140" s="419"/>
      <c r="U2140" s="419"/>
      <c r="V2140" s="419"/>
      <c r="W2140" s="419"/>
      <c r="X2140" s="412"/>
      <c r="Y2140" s="412"/>
      <c r="Z2140" s="412"/>
      <c r="AA2140" s="412"/>
      <c r="AB2140" s="412"/>
      <c r="AC2140" s="412"/>
      <c r="AD2140" s="412">
        <v>300</v>
      </c>
      <c r="AE2140" s="412">
        <v>300</v>
      </c>
      <c r="AF2140" s="427">
        <v>300</v>
      </c>
      <c r="AG2140" s="412"/>
      <c r="AH2140" s="412"/>
      <c r="AI2140" s="412"/>
      <c r="AJ2140" s="412">
        <f t="shared" si="101"/>
        <v>900</v>
      </c>
      <c r="AK2140" s="410"/>
      <c r="AL2140" s="250" t="s">
        <v>2067</v>
      </c>
    </row>
    <row r="2141" spans="1:38" x14ac:dyDescent="0.2">
      <c r="A2141" s="409" t="str">
        <f t="shared" si="102"/>
        <v>Rancho La Cuchilla</v>
      </c>
      <c r="B2141" s="209">
        <v>5696</v>
      </c>
      <c r="C2141" s="210" t="s">
        <v>838</v>
      </c>
      <c r="D2141" s="229" t="str">
        <f t="shared" si="110"/>
        <v>Rancho La Cuchilla No. 74</v>
      </c>
      <c r="E2141" s="229" t="str">
        <f t="shared" si="111"/>
        <v>Gil</v>
      </c>
      <c r="F2141" s="240">
        <f t="shared" si="112"/>
        <v>300</v>
      </c>
      <c r="G2141" s="205">
        <v>1</v>
      </c>
      <c r="H2141" s="206">
        <v>600</v>
      </c>
      <c r="I2141" s="207">
        <v>41546</v>
      </c>
      <c r="J2141" s="197" t="str">
        <f t="shared" si="113"/>
        <v>ok</v>
      </c>
      <c r="K2141" s="419"/>
      <c r="L2141" s="419"/>
      <c r="M2141" s="419"/>
      <c r="N2141" s="419"/>
      <c r="O2141" s="419"/>
      <c r="P2141" s="419"/>
      <c r="Q2141" s="419"/>
      <c r="R2141" s="419"/>
      <c r="S2141" s="419"/>
      <c r="T2141" s="419"/>
      <c r="U2141" s="419"/>
      <c r="V2141" s="419"/>
      <c r="W2141" s="419"/>
      <c r="X2141" s="412"/>
      <c r="Y2141" s="412"/>
      <c r="Z2141" s="412"/>
      <c r="AA2141" s="412">
        <v>300</v>
      </c>
      <c r="AB2141" s="412">
        <v>300</v>
      </c>
      <c r="AC2141" s="412"/>
      <c r="AD2141" s="412"/>
      <c r="AE2141" s="412"/>
      <c r="AF2141" s="427"/>
      <c r="AG2141" s="412"/>
      <c r="AH2141" s="412"/>
      <c r="AI2141" s="412"/>
      <c r="AJ2141" s="412">
        <f t="shared" si="101"/>
        <v>600</v>
      </c>
      <c r="AK2141" s="410"/>
      <c r="AL2141" s="250" t="s">
        <v>2067</v>
      </c>
    </row>
    <row r="2142" spans="1:38" x14ac:dyDescent="0.2">
      <c r="A2142" s="409" t="str">
        <f t="shared" si="102"/>
        <v>Rancho Estanzuela</v>
      </c>
      <c r="B2142" s="209">
        <v>5697</v>
      </c>
      <c r="C2142" s="210" t="s">
        <v>921</v>
      </c>
      <c r="D2142" s="229" t="str">
        <f t="shared" si="110"/>
        <v>Rancho Estanzuela No. 25</v>
      </c>
      <c r="E2142" s="229" t="str">
        <f t="shared" si="111"/>
        <v>Contreras Figueroa</v>
      </c>
      <c r="F2142" s="240">
        <f t="shared" si="112"/>
        <v>300</v>
      </c>
      <c r="G2142" s="205">
        <v>1</v>
      </c>
      <c r="H2142" s="206">
        <v>300</v>
      </c>
      <c r="I2142" s="207">
        <v>41546</v>
      </c>
      <c r="J2142" s="197" t="str">
        <f t="shared" si="113"/>
        <v>ok</v>
      </c>
      <c r="K2142" s="419"/>
      <c r="L2142" s="419"/>
      <c r="M2142" s="419"/>
      <c r="N2142" s="419"/>
      <c r="O2142" s="419"/>
      <c r="P2142" s="419"/>
      <c r="Q2142" s="419"/>
      <c r="R2142" s="419"/>
      <c r="S2142" s="419"/>
      <c r="T2142" s="419"/>
      <c r="U2142" s="419"/>
      <c r="V2142" s="419"/>
      <c r="W2142" s="419"/>
      <c r="X2142" s="412"/>
      <c r="Y2142" s="412"/>
      <c r="Z2142" s="412"/>
      <c r="AA2142" s="412"/>
      <c r="AB2142" s="412"/>
      <c r="AC2142" s="412"/>
      <c r="AD2142" s="412"/>
      <c r="AE2142" s="412"/>
      <c r="AF2142" s="427">
        <v>300</v>
      </c>
      <c r="AG2142" s="412"/>
      <c r="AH2142" s="412"/>
      <c r="AI2142" s="412"/>
      <c r="AJ2142" s="412">
        <f t="shared" si="101"/>
        <v>300</v>
      </c>
      <c r="AK2142" s="410"/>
      <c r="AL2142" s="250" t="s">
        <v>2067</v>
      </c>
    </row>
    <row r="2143" spans="1:38" x14ac:dyDescent="0.2">
      <c r="A2143" s="409" t="str">
        <f t="shared" si="102"/>
        <v>Rancho Romeral</v>
      </c>
      <c r="B2143" s="209">
        <v>5698</v>
      </c>
      <c r="C2143" s="210" t="s">
        <v>1050</v>
      </c>
      <c r="D2143" s="229" t="str">
        <f t="shared" si="110"/>
        <v>Rancho Romeral No. 10, A</v>
      </c>
      <c r="E2143" s="229" t="str">
        <f t="shared" si="111"/>
        <v>Casillas Álvarez</v>
      </c>
      <c r="F2143" s="240">
        <f t="shared" si="112"/>
        <v>150</v>
      </c>
      <c r="G2143" s="205">
        <v>1</v>
      </c>
      <c r="H2143" s="206">
        <v>200</v>
      </c>
      <c r="I2143" s="207">
        <v>41546</v>
      </c>
      <c r="J2143" s="197" t="str">
        <f t="shared" si="113"/>
        <v>ok</v>
      </c>
      <c r="K2143" s="419"/>
      <c r="L2143" s="419"/>
      <c r="M2143" s="419"/>
      <c r="N2143" s="419"/>
      <c r="O2143" s="419"/>
      <c r="P2143" s="419"/>
      <c r="Q2143" s="419"/>
      <c r="R2143" s="419"/>
      <c r="S2143" s="419"/>
      <c r="T2143" s="419"/>
      <c r="U2143" s="419"/>
      <c r="V2143" s="419"/>
      <c r="W2143" s="419"/>
      <c r="X2143" s="412"/>
      <c r="Y2143" s="412"/>
      <c r="Z2143" s="412"/>
      <c r="AA2143" s="412"/>
      <c r="AB2143" s="412"/>
      <c r="AC2143" s="412"/>
      <c r="AD2143" s="412"/>
      <c r="AE2143" s="412"/>
      <c r="AF2143" s="427"/>
      <c r="AG2143" s="412">
        <v>200</v>
      </c>
      <c r="AH2143" s="412"/>
      <c r="AI2143" s="412"/>
      <c r="AJ2143" s="412">
        <f t="shared" si="101"/>
        <v>200</v>
      </c>
      <c r="AK2143" s="410"/>
      <c r="AL2143" s="250" t="s">
        <v>2067</v>
      </c>
    </row>
    <row r="2144" spans="1:38" x14ac:dyDescent="0.2">
      <c r="A2144" s="409" t="str">
        <f t="shared" si="102"/>
        <v>Rancho Landero</v>
      </c>
      <c r="B2144" s="209">
        <v>5699</v>
      </c>
      <c r="C2144" s="210" t="s">
        <v>992</v>
      </c>
      <c r="D2144" s="229" t="str">
        <f t="shared" si="110"/>
        <v>Rancho Landero No. 25</v>
      </c>
      <c r="E2144" s="229" t="str">
        <f t="shared" si="111"/>
        <v>Escamilla Martínez</v>
      </c>
      <c r="F2144" s="240">
        <f t="shared" si="112"/>
        <v>300</v>
      </c>
      <c r="G2144" s="205">
        <v>1</v>
      </c>
      <c r="H2144" s="206">
        <v>300</v>
      </c>
      <c r="I2144" s="207">
        <v>41546</v>
      </c>
      <c r="J2144" s="197" t="str">
        <f t="shared" si="113"/>
        <v>ok</v>
      </c>
      <c r="K2144" s="419"/>
      <c r="L2144" s="419"/>
      <c r="M2144" s="419"/>
      <c r="N2144" s="419"/>
      <c r="O2144" s="419"/>
      <c r="P2144" s="419"/>
      <c r="Q2144" s="419"/>
      <c r="R2144" s="419"/>
      <c r="S2144" s="419"/>
      <c r="T2144" s="419"/>
      <c r="U2144" s="419"/>
      <c r="V2144" s="419"/>
      <c r="W2144" s="419"/>
      <c r="X2144" s="412"/>
      <c r="Y2144" s="412"/>
      <c r="Z2144" s="412"/>
      <c r="AA2144" s="412"/>
      <c r="AB2144" s="412"/>
      <c r="AC2144" s="412"/>
      <c r="AD2144" s="412"/>
      <c r="AE2144" s="412">
        <v>300</v>
      </c>
      <c r="AF2144" s="427"/>
      <c r="AG2144" s="412"/>
      <c r="AH2144" s="412"/>
      <c r="AI2144" s="412"/>
      <c r="AJ2144" s="412">
        <f t="shared" si="101"/>
        <v>300</v>
      </c>
      <c r="AK2144" s="410"/>
      <c r="AL2144" s="250" t="s">
        <v>2067</v>
      </c>
    </row>
    <row r="2145" spans="1:38" x14ac:dyDescent="0.2">
      <c r="A2145" s="409" t="str">
        <f t="shared" si="102"/>
        <v>Rancho Landero</v>
      </c>
      <c r="B2145" s="209">
        <v>5700</v>
      </c>
      <c r="C2145" s="210" t="s">
        <v>1043</v>
      </c>
      <c r="D2145" s="229" t="str">
        <f t="shared" si="110"/>
        <v>Rancho Landero No. 99</v>
      </c>
      <c r="E2145" s="229" t="str">
        <f t="shared" si="111"/>
        <v>Rangel</v>
      </c>
      <c r="F2145" s="240">
        <f t="shared" si="112"/>
        <v>300</v>
      </c>
      <c r="G2145" s="205">
        <v>1</v>
      </c>
      <c r="H2145" s="206">
        <v>300</v>
      </c>
      <c r="I2145" s="207">
        <v>41546</v>
      </c>
      <c r="J2145" s="197" t="str">
        <f t="shared" si="113"/>
        <v>ok</v>
      </c>
      <c r="K2145" s="419"/>
      <c r="L2145" s="419"/>
      <c r="M2145" s="419"/>
      <c r="N2145" s="419"/>
      <c r="O2145" s="419"/>
      <c r="P2145" s="419"/>
      <c r="Q2145" s="419"/>
      <c r="R2145" s="419"/>
      <c r="S2145" s="419"/>
      <c r="T2145" s="419"/>
      <c r="U2145" s="419"/>
      <c r="V2145" s="419"/>
      <c r="W2145" s="419"/>
      <c r="X2145" s="412"/>
      <c r="Y2145" s="412"/>
      <c r="Z2145" s="412"/>
      <c r="AA2145" s="412"/>
      <c r="AB2145" s="412"/>
      <c r="AC2145" s="412"/>
      <c r="AD2145" s="412"/>
      <c r="AE2145" s="412">
        <v>300</v>
      </c>
      <c r="AF2145" s="427"/>
      <c r="AG2145" s="412"/>
      <c r="AH2145" s="412"/>
      <c r="AI2145" s="412"/>
      <c r="AJ2145" s="412">
        <f t="shared" si="101"/>
        <v>300</v>
      </c>
      <c r="AK2145" s="410"/>
      <c r="AL2145" s="250" t="s">
        <v>2067</v>
      </c>
    </row>
    <row r="2146" spans="1:38" x14ac:dyDescent="0.2">
      <c r="A2146" s="409" t="str">
        <f t="shared" si="102"/>
        <v>Rancho Recoveco</v>
      </c>
      <c r="B2146" s="209">
        <v>5701</v>
      </c>
      <c r="C2146" s="210" t="s">
        <v>1060</v>
      </c>
      <c r="D2146" s="229" t="str">
        <f t="shared" si="110"/>
        <v>Rancho Recoveco No. 179</v>
      </c>
      <c r="E2146" s="229" t="str">
        <f t="shared" si="111"/>
        <v>Flores Delgado</v>
      </c>
      <c r="F2146" s="240">
        <f t="shared" si="112"/>
        <v>300</v>
      </c>
      <c r="G2146" s="205">
        <v>1</v>
      </c>
      <c r="H2146" s="206">
        <v>400</v>
      </c>
      <c r="I2146" s="207">
        <v>41546</v>
      </c>
      <c r="J2146" s="197" t="str">
        <f t="shared" si="113"/>
        <v>ok</v>
      </c>
      <c r="K2146" s="419"/>
      <c r="L2146" s="419"/>
      <c r="M2146" s="419"/>
      <c r="N2146" s="419"/>
      <c r="O2146" s="419"/>
      <c r="P2146" s="419"/>
      <c r="Q2146" s="419"/>
      <c r="R2146" s="419"/>
      <c r="S2146" s="419"/>
      <c r="T2146" s="419"/>
      <c r="U2146" s="419"/>
      <c r="V2146" s="419"/>
      <c r="W2146" s="419"/>
      <c r="X2146" s="412"/>
      <c r="Y2146" s="412"/>
      <c r="Z2146" s="412"/>
      <c r="AA2146" s="412"/>
      <c r="AB2146" s="412"/>
      <c r="AC2146" s="412"/>
      <c r="AD2146" s="412"/>
      <c r="AE2146" s="412"/>
      <c r="AF2146" s="427"/>
      <c r="AG2146" s="412">
        <v>400</v>
      </c>
      <c r="AH2146" s="412"/>
      <c r="AI2146" s="412"/>
      <c r="AJ2146" s="412">
        <f t="shared" si="101"/>
        <v>400</v>
      </c>
      <c r="AK2146" s="410"/>
      <c r="AL2146" s="250" t="s">
        <v>2067</v>
      </c>
    </row>
    <row r="2147" spans="1:38" x14ac:dyDescent="0.2">
      <c r="A2147" s="409" t="str">
        <f t="shared" si="102"/>
        <v>Rancho Estanzuela</v>
      </c>
      <c r="B2147" s="209">
        <v>5702</v>
      </c>
      <c r="C2147" s="210" t="s">
        <v>930</v>
      </c>
      <c r="D2147" s="229" t="str">
        <f t="shared" si="110"/>
        <v>Rancho Estanzuela No. 61</v>
      </c>
      <c r="E2147" s="229" t="str">
        <f t="shared" si="111"/>
        <v>González Almazán</v>
      </c>
      <c r="F2147" s="240">
        <f t="shared" si="112"/>
        <v>300</v>
      </c>
      <c r="G2147" s="205">
        <v>1</v>
      </c>
      <c r="H2147" s="206">
        <v>600</v>
      </c>
      <c r="I2147" s="207">
        <v>41546</v>
      </c>
      <c r="J2147" s="197" t="str">
        <f t="shared" si="113"/>
        <v>ok</v>
      </c>
      <c r="K2147" s="419"/>
      <c r="L2147" s="419"/>
      <c r="M2147" s="419"/>
      <c r="N2147" s="419"/>
      <c r="O2147" s="419"/>
      <c r="P2147" s="419"/>
      <c r="Q2147" s="419"/>
      <c r="R2147" s="419"/>
      <c r="S2147" s="419"/>
      <c r="T2147" s="419"/>
      <c r="U2147" s="419"/>
      <c r="V2147" s="419"/>
      <c r="W2147" s="419"/>
      <c r="X2147" s="412"/>
      <c r="Y2147" s="412"/>
      <c r="Z2147" s="412"/>
      <c r="AA2147" s="412"/>
      <c r="AB2147" s="412"/>
      <c r="AC2147" s="412"/>
      <c r="AD2147" s="412"/>
      <c r="AE2147" s="412"/>
      <c r="AF2147" s="427">
        <v>300</v>
      </c>
      <c r="AG2147" s="412">
        <v>300</v>
      </c>
      <c r="AH2147" s="412"/>
      <c r="AI2147" s="412"/>
      <c r="AJ2147" s="412">
        <f t="shared" si="101"/>
        <v>600</v>
      </c>
      <c r="AK2147" s="410"/>
      <c r="AL2147" s="250" t="s">
        <v>2067</v>
      </c>
    </row>
    <row r="2148" spans="1:38" x14ac:dyDescent="0.2">
      <c r="A2148" s="409" t="str">
        <f t="shared" si="102"/>
        <v>Rancho Estanzuela</v>
      </c>
      <c r="B2148" s="209">
        <v>5703</v>
      </c>
      <c r="C2148" s="210" t="s">
        <v>929</v>
      </c>
      <c r="D2148" s="229" t="str">
        <f t="shared" si="110"/>
        <v>Rancho Estanzuela No. 57</v>
      </c>
      <c r="E2148" s="229" t="str">
        <f t="shared" si="111"/>
        <v>Olivares</v>
      </c>
      <c r="F2148" s="240">
        <f t="shared" si="112"/>
        <v>300</v>
      </c>
      <c r="G2148" s="205">
        <v>1</v>
      </c>
      <c r="H2148" s="206">
        <v>600</v>
      </c>
      <c r="I2148" s="207">
        <v>41546</v>
      </c>
      <c r="J2148" s="197" t="str">
        <f t="shared" si="113"/>
        <v>ok</v>
      </c>
      <c r="K2148" s="419"/>
      <c r="L2148" s="419"/>
      <c r="M2148" s="419"/>
      <c r="N2148" s="419"/>
      <c r="O2148" s="419"/>
      <c r="P2148" s="419"/>
      <c r="Q2148" s="419"/>
      <c r="R2148" s="419"/>
      <c r="S2148" s="419"/>
      <c r="T2148" s="419"/>
      <c r="U2148" s="419"/>
      <c r="V2148" s="419"/>
      <c r="W2148" s="419"/>
      <c r="X2148" s="412"/>
      <c r="Y2148" s="412"/>
      <c r="Z2148" s="412"/>
      <c r="AA2148" s="412"/>
      <c r="AB2148" s="412"/>
      <c r="AC2148" s="412"/>
      <c r="AD2148" s="412"/>
      <c r="AE2148" s="412">
        <v>300</v>
      </c>
      <c r="AF2148" s="427">
        <v>300</v>
      </c>
      <c r="AG2148" s="412"/>
      <c r="AH2148" s="412"/>
      <c r="AI2148" s="412"/>
      <c r="AJ2148" s="412">
        <f t="shared" si="101"/>
        <v>600</v>
      </c>
      <c r="AK2148" s="410"/>
      <c r="AL2148" s="250" t="s">
        <v>2067</v>
      </c>
    </row>
    <row r="2149" spans="1:38" x14ac:dyDescent="0.2">
      <c r="A2149" s="409" t="str">
        <f t="shared" si="102"/>
        <v>Rancho La Cuchilla</v>
      </c>
      <c r="B2149" s="209">
        <v>5704</v>
      </c>
      <c r="C2149" s="210" t="s">
        <v>883</v>
      </c>
      <c r="D2149" s="229" t="str">
        <f t="shared" si="110"/>
        <v>Rancho La Cuchilla No. terreno</v>
      </c>
      <c r="E2149" s="229" t="str">
        <f t="shared" si="111"/>
        <v>Martínez Flores</v>
      </c>
      <c r="F2149" s="240">
        <f t="shared" si="112"/>
        <v>300</v>
      </c>
      <c r="G2149" s="205">
        <v>1</v>
      </c>
      <c r="H2149" s="206">
        <v>600</v>
      </c>
      <c r="I2149" s="207">
        <v>41546</v>
      </c>
      <c r="J2149" s="197" t="str">
        <f t="shared" si="113"/>
        <v>ok</v>
      </c>
      <c r="K2149" s="419"/>
      <c r="L2149" s="419"/>
      <c r="M2149" s="419"/>
      <c r="N2149" s="419"/>
      <c r="O2149" s="419"/>
      <c r="P2149" s="419"/>
      <c r="Q2149" s="419"/>
      <c r="R2149" s="419"/>
      <c r="S2149" s="419"/>
      <c r="T2149" s="419"/>
      <c r="U2149" s="419"/>
      <c r="V2149" s="419"/>
      <c r="W2149" s="419"/>
      <c r="X2149" s="412"/>
      <c r="Y2149" s="412"/>
      <c r="Z2149" s="412"/>
      <c r="AA2149" s="412"/>
      <c r="AB2149" s="412">
        <v>300</v>
      </c>
      <c r="AC2149" s="412">
        <v>300</v>
      </c>
      <c r="AD2149" s="412"/>
      <c r="AE2149" s="412"/>
      <c r="AF2149" s="427"/>
      <c r="AG2149" s="412"/>
      <c r="AH2149" s="412"/>
      <c r="AI2149" s="412"/>
      <c r="AJ2149" s="412">
        <f t="shared" si="101"/>
        <v>600</v>
      </c>
      <c r="AK2149" s="410"/>
      <c r="AL2149" s="250" t="s">
        <v>2067</v>
      </c>
    </row>
    <row r="2150" spans="1:38" x14ac:dyDescent="0.2">
      <c r="A2150" s="409" t="str">
        <f t="shared" si="102"/>
        <v>Rancho Landero</v>
      </c>
      <c r="B2150" s="209">
        <v>5705</v>
      </c>
      <c r="C2150" s="210" t="s">
        <v>787</v>
      </c>
      <c r="D2150" s="229" t="str">
        <f t="shared" si="110"/>
        <v>Rancho Landero No. 80</v>
      </c>
      <c r="E2150" s="229" t="str">
        <f t="shared" si="111"/>
        <v>Villaseñor Sánchez</v>
      </c>
      <c r="F2150" s="240">
        <f t="shared" si="112"/>
        <v>300</v>
      </c>
      <c r="G2150" s="205">
        <v>1</v>
      </c>
      <c r="H2150" s="206">
        <v>400</v>
      </c>
      <c r="I2150" s="207">
        <v>41546</v>
      </c>
      <c r="J2150" s="197" t="str">
        <f t="shared" si="113"/>
        <v>ok</v>
      </c>
      <c r="K2150" s="419"/>
      <c r="L2150" s="419"/>
      <c r="M2150" s="419"/>
      <c r="N2150" s="419"/>
      <c r="O2150" s="419"/>
      <c r="P2150" s="419"/>
      <c r="Q2150" s="419"/>
      <c r="R2150" s="419"/>
      <c r="S2150" s="419"/>
      <c r="T2150" s="419"/>
      <c r="U2150" s="419"/>
      <c r="V2150" s="419"/>
      <c r="W2150" s="419"/>
      <c r="X2150" s="412"/>
      <c r="Y2150" s="412"/>
      <c r="Z2150" s="412"/>
      <c r="AA2150" s="412"/>
      <c r="AB2150" s="412"/>
      <c r="AC2150" s="412"/>
      <c r="AD2150" s="412"/>
      <c r="AE2150" s="412"/>
      <c r="AF2150" s="427"/>
      <c r="AG2150" s="412">
        <v>400</v>
      </c>
      <c r="AH2150" s="412"/>
      <c r="AI2150" s="412"/>
      <c r="AJ2150" s="412">
        <f t="shared" si="101"/>
        <v>400</v>
      </c>
      <c r="AK2150" s="410"/>
      <c r="AL2150" s="250" t="s">
        <v>2067</v>
      </c>
    </row>
    <row r="2151" spans="1:38" x14ac:dyDescent="0.2">
      <c r="A2151" s="409" t="str">
        <f t="shared" si="102"/>
        <v>Rancho Estanzuela</v>
      </c>
      <c r="B2151" s="209">
        <v>5706</v>
      </c>
      <c r="C2151" s="210" t="s">
        <v>930</v>
      </c>
      <c r="D2151" s="229" t="str">
        <f t="shared" si="110"/>
        <v>Rancho Estanzuela No. 61</v>
      </c>
      <c r="E2151" s="229" t="str">
        <f t="shared" si="111"/>
        <v>González Almazán</v>
      </c>
      <c r="F2151" s="240">
        <f t="shared" si="112"/>
        <v>300</v>
      </c>
      <c r="G2151" s="205">
        <v>1</v>
      </c>
      <c r="H2151" s="206">
        <v>100</v>
      </c>
      <c r="I2151" s="207">
        <v>41546</v>
      </c>
      <c r="J2151" s="197" t="str">
        <f t="shared" si="113"/>
        <v>ok</v>
      </c>
      <c r="K2151" s="419"/>
      <c r="L2151" s="419"/>
      <c r="M2151" s="419"/>
      <c r="N2151" s="419"/>
      <c r="O2151" s="419"/>
      <c r="P2151" s="419"/>
      <c r="Q2151" s="419"/>
      <c r="R2151" s="419"/>
      <c r="S2151" s="419"/>
      <c r="T2151" s="419"/>
      <c r="U2151" s="419"/>
      <c r="V2151" s="419"/>
      <c r="W2151" s="419"/>
      <c r="X2151" s="412"/>
      <c r="Y2151" s="412"/>
      <c r="Z2151" s="412"/>
      <c r="AA2151" s="412"/>
      <c r="AB2151" s="412"/>
      <c r="AC2151" s="412"/>
      <c r="AD2151" s="412"/>
      <c r="AE2151" s="412"/>
      <c r="AF2151" s="427"/>
      <c r="AG2151" s="412">
        <v>100</v>
      </c>
      <c r="AH2151" s="412"/>
      <c r="AI2151" s="412"/>
      <c r="AJ2151" s="412">
        <f t="shared" si="101"/>
        <v>100</v>
      </c>
      <c r="AK2151" s="410" t="s">
        <v>2070</v>
      </c>
      <c r="AL2151" s="250" t="s">
        <v>2067</v>
      </c>
    </row>
    <row r="2152" spans="1:38" x14ac:dyDescent="0.2">
      <c r="A2152" s="409" t="str">
        <f t="shared" si="102"/>
        <v>Rancho Upácuaro</v>
      </c>
      <c r="B2152" s="209">
        <v>5707</v>
      </c>
      <c r="C2152" s="210" t="s">
        <v>1130</v>
      </c>
      <c r="D2152" s="229" t="str">
        <f t="shared" si="110"/>
        <v>Rancho Upácuaro No. 95</v>
      </c>
      <c r="E2152" s="229" t="str">
        <f t="shared" si="111"/>
        <v>Flores</v>
      </c>
      <c r="F2152" s="240">
        <f t="shared" si="112"/>
        <v>300</v>
      </c>
      <c r="G2152" s="205">
        <v>1</v>
      </c>
      <c r="H2152" s="206">
        <v>400</v>
      </c>
      <c r="I2152" s="207">
        <v>41546</v>
      </c>
      <c r="J2152" s="197" t="str">
        <f t="shared" si="113"/>
        <v>ok</v>
      </c>
      <c r="K2152" s="419"/>
      <c r="L2152" s="419"/>
      <c r="M2152" s="419"/>
      <c r="N2152" s="419"/>
      <c r="O2152" s="419"/>
      <c r="P2152" s="419"/>
      <c r="Q2152" s="419"/>
      <c r="R2152" s="419"/>
      <c r="S2152" s="419"/>
      <c r="T2152" s="419"/>
      <c r="U2152" s="419"/>
      <c r="V2152" s="419"/>
      <c r="W2152" s="419"/>
      <c r="X2152" s="412"/>
      <c r="Y2152" s="412"/>
      <c r="Z2152" s="412"/>
      <c r="AA2152" s="412"/>
      <c r="AB2152" s="412"/>
      <c r="AC2152" s="412"/>
      <c r="AD2152" s="412"/>
      <c r="AE2152" s="412"/>
      <c r="AF2152" s="427"/>
      <c r="AG2152" s="412">
        <v>400</v>
      </c>
      <c r="AH2152" s="412"/>
      <c r="AI2152" s="412"/>
      <c r="AJ2152" s="412">
        <f t="shared" si="101"/>
        <v>400</v>
      </c>
      <c r="AK2152" s="410"/>
      <c r="AL2152" s="250" t="s">
        <v>2067</v>
      </c>
    </row>
    <row r="2153" spans="1:38" x14ac:dyDescent="0.2">
      <c r="A2153" s="409" t="str">
        <f t="shared" si="102"/>
        <v>Rancho Upácuaro</v>
      </c>
      <c r="B2153" s="209">
        <v>5708</v>
      </c>
      <c r="C2153" s="210" t="s">
        <v>1123</v>
      </c>
      <c r="D2153" s="229" t="str">
        <f t="shared" si="110"/>
        <v>Rancho Upácuaro No. 86</v>
      </c>
      <c r="E2153" s="229" t="str">
        <f t="shared" si="111"/>
        <v>López Canseco</v>
      </c>
      <c r="F2153" s="240">
        <f t="shared" si="112"/>
        <v>300</v>
      </c>
      <c r="G2153" s="205">
        <v>1</v>
      </c>
      <c r="H2153" s="206">
        <v>300</v>
      </c>
      <c r="I2153" s="207">
        <v>41546</v>
      </c>
      <c r="J2153" s="197" t="str">
        <f t="shared" si="113"/>
        <v>ok</v>
      </c>
      <c r="K2153" s="419"/>
      <c r="L2153" s="419"/>
      <c r="M2153" s="419"/>
      <c r="N2153" s="419"/>
      <c r="O2153" s="419"/>
      <c r="P2153" s="419"/>
      <c r="Q2153" s="419"/>
      <c r="R2153" s="419"/>
      <c r="S2153" s="419"/>
      <c r="T2153" s="419"/>
      <c r="U2153" s="419"/>
      <c r="V2153" s="419"/>
      <c r="W2153" s="419"/>
      <c r="X2153" s="412"/>
      <c r="Y2153" s="412"/>
      <c r="Z2153" s="412"/>
      <c r="AA2153" s="412"/>
      <c r="AB2153" s="412"/>
      <c r="AC2153" s="412"/>
      <c r="AD2153" s="412"/>
      <c r="AE2153" s="412"/>
      <c r="AF2153" s="427"/>
      <c r="AG2153" s="412">
        <v>100</v>
      </c>
      <c r="AH2153" s="412">
        <v>100</v>
      </c>
      <c r="AI2153" s="412">
        <v>100</v>
      </c>
      <c r="AJ2153" s="412">
        <f t="shared" si="101"/>
        <v>300</v>
      </c>
      <c r="AK2153" s="410" t="s">
        <v>2071</v>
      </c>
      <c r="AL2153" s="250" t="s">
        <v>2067</v>
      </c>
    </row>
    <row r="2154" spans="1:38" x14ac:dyDescent="0.2">
      <c r="A2154" s="409" t="str">
        <f t="shared" si="102"/>
        <v>Rancho La Cuchilla</v>
      </c>
      <c r="B2154" s="209">
        <v>5709</v>
      </c>
      <c r="C2154" s="210" t="s">
        <v>825</v>
      </c>
      <c r="D2154" s="229" t="str">
        <f t="shared" si="110"/>
        <v>Rancho La Cuchilla No. 55</v>
      </c>
      <c r="E2154" s="229" t="str">
        <f t="shared" si="111"/>
        <v>López Velázquez</v>
      </c>
      <c r="F2154" s="240">
        <f t="shared" si="112"/>
        <v>300</v>
      </c>
      <c r="G2154" s="205">
        <v>1</v>
      </c>
      <c r="H2154" s="206">
        <v>300</v>
      </c>
      <c r="I2154" s="207">
        <v>41546</v>
      </c>
      <c r="J2154" s="197" t="str">
        <f t="shared" si="113"/>
        <v>ok</v>
      </c>
      <c r="K2154" s="419"/>
      <c r="L2154" s="419"/>
      <c r="M2154" s="419"/>
      <c r="N2154" s="419"/>
      <c r="O2154" s="419"/>
      <c r="P2154" s="419"/>
      <c r="Q2154" s="419"/>
      <c r="R2154" s="419"/>
      <c r="S2154" s="419"/>
      <c r="T2154" s="419"/>
      <c r="U2154" s="419"/>
      <c r="V2154" s="419"/>
      <c r="W2154" s="419"/>
      <c r="X2154" s="412"/>
      <c r="Y2154" s="412"/>
      <c r="Z2154" s="412"/>
      <c r="AA2154" s="412"/>
      <c r="AB2154" s="412"/>
      <c r="AC2154" s="412"/>
      <c r="AD2154" s="412"/>
      <c r="AE2154" s="412"/>
      <c r="AF2154" s="427">
        <v>300</v>
      </c>
      <c r="AG2154" s="412"/>
      <c r="AH2154" s="412"/>
      <c r="AI2154" s="412"/>
      <c r="AJ2154" s="412">
        <f t="shared" si="101"/>
        <v>300</v>
      </c>
      <c r="AK2154" s="410"/>
      <c r="AL2154" s="250" t="s">
        <v>2067</v>
      </c>
    </row>
    <row r="2155" spans="1:38" x14ac:dyDescent="0.2">
      <c r="A2155" s="409" t="str">
        <f t="shared" si="102"/>
        <v>Rancho Landero</v>
      </c>
      <c r="B2155" s="209">
        <v>5710</v>
      </c>
      <c r="C2155" s="210" t="s">
        <v>1030</v>
      </c>
      <c r="D2155" s="229" t="str">
        <f t="shared" si="110"/>
        <v>Rancho Landero No. 77</v>
      </c>
      <c r="E2155" s="229" t="str">
        <f t="shared" si="111"/>
        <v>Muñoz</v>
      </c>
      <c r="F2155" s="240">
        <f t="shared" si="112"/>
        <v>300</v>
      </c>
      <c r="G2155" s="205">
        <v>4</v>
      </c>
      <c r="H2155" s="206">
        <v>160</v>
      </c>
      <c r="I2155" s="207">
        <v>41546</v>
      </c>
      <c r="J2155" s="197" t="str">
        <f t="shared" si="113"/>
        <v>ok</v>
      </c>
      <c r="K2155" s="419"/>
      <c r="L2155" s="419"/>
      <c r="M2155" s="419"/>
      <c r="N2155" s="419"/>
      <c r="O2155" s="419"/>
      <c r="P2155" s="419"/>
      <c r="Q2155" s="419"/>
      <c r="R2155" s="419"/>
      <c r="S2155" s="419"/>
      <c r="T2155" s="419"/>
      <c r="U2155" s="419"/>
      <c r="V2155" s="419"/>
      <c r="W2155" s="419"/>
      <c r="X2155" s="412"/>
      <c r="Y2155" s="412"/>
      <c r="Z2155" s="412"/>
      <c r="AA2155" s="412"/>
      <c r="AB2155" s="412"/>
      <c r="AC2155" s="412"/>
      <c r="AD2155" s="412"/>
      <c r="AE2155" s="412"/>
      <c r="AF2155" s="427"/>
      <c r="AG2155" s="412"/>
      <c r="AH2155" s="412"/>
      <c r="AI2155" s="412"/>
      <c r="AJ2155" s="412">
        <f t="shared" si="101"/>
        <v>0</v>
      </c>
      <c r="AK2155" s="410"/>
      <c r="AL2155" s="250" t="s">
        <v>2067</v>
      </c>
    </row>
    <row r="2156" spans="1:38" x14ac:dyDescent="0.2">
      <c r="A2156" s="409" t="str">
        <f t="shared" si="102"/>
        <v>Rancho La Cuchilla</v>
      </c>
      <c r="B2156" s="209">
        <v>5711</v>
      </c>
      <c r="C2156" s="210" t="s">
        <v>789</v>
      </c>
      <c r="D2156" s="229" t="str">
        <f t="shared" si="110"/>
        <v>Rancho La Cuchilla No. 110</v>
      </c>
      <c r="E2156" s="229" t="str">
        <f t="shared" si="111"/>
        <v>Domínguez Canudas</v>
      </c>
      <c r="F2156" s="240">
        <f t="shared" si="112"/>
        <v>300</v>
      </c>
      <c r="G2156" s="205">
        <v>1</v>
      </c>
      <c r="H2156" s="206">
        <v>560</v>
      </c>
      <c r="I2156" s="207">
        <v>41546</v>
      </c>
      <c r="J2156" s="197" t="str">
        <f t="shared" si="113"/>
        <v>error</v>
      </c>
      <c r="X2156" s="412"/>
      <c r="Y2156" s="412"/>
      <c r="Z2156" s="412"/>
      <c r="AA2156" s="412"/>
      <c r="AB2156" s="412"/>
      <c r="AC2156" s="412"/>
      <c r="AD2156" s="412"/>
      <c r="AE2156" s="412"/>
      <c r="AF2156" s="427"/>
      <c r="AG2156" s="412">
        <v>400</v>
      </c>
      <c r="AH2156" s="412"/>
      <c r="AI2156" s="412"/>
      <c r="AJ2156" s="412">
        <f t="shared" si="101"/>
        <v>400</v>
      </c>
      <c r="AK2156" s="410" t="s">
        <v>2072</v>
      </c>
      <c r="AL2156" s="250" t="s">
        <v>2067</v>
      </c>
    </row>
    <row r="2157" spans="1:38" x14ac:dyDescent="0.2">
      <c r="A2157" s="409" t="str">
        <f t="shared" si="102"/>
        <v>Rancho Landero</v>
      </c>
      <c r="B2157" s="209">
        <v>5712</v>
      </c>
      <c r="C2157" s="210" t="s">
        <v>1009</v>
      </c>
      <c r="D2157" s="229" t="str">
        <f t="shared" si="110"/>
        <v>Rancho Landero No. 47</v>
      </c>
      <c r="E2157" s="229" t="str">
        <f t="shared" si="111"/>
        <v>García González</v>
      </c>
      <c r="F2157" s="240">
        <f t="shared" si="112"/>
        <v>300</v>
      </c>
      <c r="G2157" s="205">
        <v>1</v>
      </c>
      <c r="H2157" s="206">
        <v>300</v>
      </c>
      <c r="I2157" s="207">
        <v>41546</v>
      </c>
      <c r="J2157" s="197" t="str">
        <f t="shared" si="113"/>
        <v>ok</v>
      </c>
      <c r="X2157" s="412"/>
      <c r="Y2157" s="412"/>
      <c r="Z2157" s="412"/>
      <c r="AA2157" s="412"/>
      <c r="AB2157" s="412"/>
      <c r="AC2157" s="412"/>
      <c r="AD2157" s="412"/>
      <c r="AE2157" s="412"/>
      <c r="AF2157" s="427">
        <v>300</v>
      </c>
      <c r="AG2157" s="412"/>
      <c r="AH2157" s="412"/>
      <c r="AI2157" s="412"/>
      <c r="AJ2157" s="412">
        <f t="shared" si="101"/>
        <v>300</v>
      </c>
      <c r="AK2157" s="410"/>
      <c r="AL2157" s="250" t="s">
        <v>2067</v>
      </c>
    </row>
    <row r="2158" spans="1:38" x14ac:dyDescent="0.2">
      <c r="A2158" s="409" t="str">
        <f t="shared" si="102"/>
        <v>Rancho Zinamba</v>
      </c>
      <c r="B2158" s="209">
        <v>5713</v>
      </c>
      <c r="C2158" s="210" t="s">
        <v>1166</v>
      </c>
      <c r="D2158" s="229" t="str">
        <f t="shared" si="110"/>
        <v>Rancho Zinamba No. 50</v>
      </c>
      <c r="E2158" s="229" t="str">
        <f t="shared" si="111"/>
        <v>Del Castillo</v>
      </c>
      <c r="F2158" s="240">
        <f t="shared" si="112"/>
        <v>300</v>
      </c>
      <c r="G2158" s="205">
        <v>1</v>
      </c>
      <c r="H2158" s="206">
        <v>300</v>
      </c>
      <c r="I2158" s="207">
        <v>41546</v>
      </c>
      <c r="J2158" s="197" t="str">
        <f t="shared" si="113"/>
        <v>ok</v>
      </c>
      <c r="X2158" s="412"/>
      <c r="Y2158" s="412"/>
      <c r="Z2158" s="412"/>
      <c r="AA2158" s="412"/>
      <c r="AB2158" s="412"/>
      <c r="AC2158" s="412"/>
      <c r="AD2158" s="412"/>
      <c r="AE2158" s="412"/>
      <c r="AF2158" s="427">
        <v>300</v>
      </c>
      <c r="AG2158" s="412"/>
      <c r="AH2158" s="412"/>
      <c r="AI2158" s="412"/>
      <c r="AJ2158" s="412">
        <f t="shared" si="101"/>
        <v>300</v>
      </c>
      <c r="AK2158" s="410"/>
      <c r="AL2158" s="250" t="s">
        <v>2067</v>
      </c>
    </row>
    <row r="2159" spans="1:38" x14ac:dyDescent="0.2">
      <c r="A2159" s="409" t="str">
        <f t="shared" si="102"/>
        <v>Rancho La Cuchilla</v>
      </c>
      <c r="B2159" s="209">
        <v>5714</v>
      </c>
      <c r="C2159" s="210" t="s">
        <v>836</v>
      </c>
      <c r="D2159" s="229" t="str">
        <f t="shared" si="110"/>
        <v>Rancho La Cuchilla No. 72</v>
      </c>
      <c r="E2159" s="229" t="str">
        <f t="shared" si="111"/>
        <v>Ortiz González</v>
      </c>
      <c r="F2159" s="240">
        <f t="shared" si="112"/>
        <v>300</v>
      </c>
      <c r="G2159" s="205">
        <v>1</v>
      </c>
      <c r="H2159" s="206">
        <v>400</v>
      </c>
      <c r="I2159" s="207">
        <v>41546</v>
      </c>
      <c r="J2159" s="197" t="str">
        <f t="shared" si="113"/>
        <v>ok</v>
      </c>
      <c r="X2159" s="412"/>
      <c r="Y2159" s="412"/>
      <c r="Z2159" s="412"/>
      <c r="AA2159" s="412"/>
      <c r="AB2159" s="412"/>
      <c r="AC2159" s="412"/>
      <c r="AD2159" s="412"/>
      <c r="AE2159" s="412"/>
      <c r="AF2159" s="427"/>
      <c r="AG2159" s="412">
        <v>400</v>
      </c>
      <c r="AH2159" s="412"/>
      <c r="AI2159" s="412"/>
      <c r="AJ2159" s="412">
        <f t="shared" si="101"/>
        <v>400</v>
      </c>
      <c r="AK2159" s="410"/>
      <c r="AL2159" s="250" t="s">
        <v>2067</v>
      </c>
    </row>
    <row r="2160" spans="1:38" x14ac:dyDescent="0.2">
      <c r="A2160" s="409" t="str">
        <f t="shared" si="102"/>
        <v>Rancho Upácuaro</v>
      </c>
      <c r="B2160" s="209">
        <v>5715</v>
      </c>
      <c r="C2160" s="210" t="s">
        <v>1079</v>
      </c>
      <c r="D2160" s="229" t="str">
        <f t="shared" si="110"/>
        <v>Rancho Upácuaro No. 21</v>
      </c>
      <c r="E2160" s="229" t="str">
        <f t="shared" si="111"/>
        <v>Fierro Betancourt</v>
      </c>
      <c r="F2160" s="240">
        <f t="shared" si="112"/>
        <v>150</v>
      </c>
      <c r="G2160" s="205">
        <v>1</v>
      </c>
      <c r="H2160" s="206">
        <v>150</v>
      </c>
      <c r="I2160" s="207">
        <v>41546</v>
      </c>
      <c r="J2160" s="197" t="str">
        <f t="shared" si="113"/>
        <v>ok</v>
      </c>
      <c r="X2160" s="412"/>
      <c r="Y2160" s="412"/>
      <c r="Z2160" s="412"/>
      <c r="AA2160" s="412"/>
      <c r="AB2160" s="412"/>
      <c r="AC2160" s="412"/>
      <c r="AD2160" s="412"/>
      <c r="AE2160" s="412"/>
      <c r="AF2160" s="427">
        <v>150</v>
      </c>
      <c r="AG2160" s="412"/>
      <c r="AH2160" s="412"/>
      <c r="AI2160" s="412"/>
      <c r="AJ2160" s="412">
        <f t="shared" si="101"/>
        <v>150</v>
      </c>
      <c r="AK2160" s="410"/>
      <c r="AL2160" s="250" t="s">
        <v>2067</v>
      </c>
    </row>
    <row r="2161" spans="1:38" x14ac:dyDescent="0.2">
      <c r="A2161" s="409" t="str">
        <f t="shared" si="102"/>
        <v>Rancho La Cuchilla</v>
      </c>
      <c r="B2161" s="209">
        <v>5716</v>
      </c>
      <c r="C2161" s="210" t="s">
        <v>818</v>
      </c>
      <c r="D2161" s="229" t="str">
        <f t="shared" si="110"/>
        <v>Rancho La Cuchilla No. 41</v>
      </c>
      <c r="E2161" s="229" t="str">
        <f t="shared" si="111"/>
        <v>Arriaga Lemus</v>
      </c>
      <c r="F2161" s="240">
        <f t="shared" si="112"/>
        <v>250</v>
      </c>
      <c r="G2161" s="205">
        <v>1</v>
      </c>
      <c r="H2161" s="206">
        <v>300</v>
      </c>
      <c r="I2161" s="207">
        <v>41546</v>
      </c>
      <c r="J2161" s="197" t="str">
        <f t="shared" si="113"/>
        <v>ok</v>
      </c>
      <c r="X2161" s="412"/>
      <c r="Y2161" s="412"/>
      <c r="Z2161" s="412"/>
      <c r="AA2161" s="412"/>
      <c r="AB2161" s="412"/>
      <c r="AC2161" s="412"/>
      <c r="AD2161" s="412"/>
      <c r="AE2161" s="412"/>
      <c r="AF2161" s="427">
        <v>300</v>
      </c>
      <c r="AG2161" s="412"/>
      <c r="AH2161" s="412"/>
      <c r="AI2161" s="412"/>
      <c r="AJ2161" s="412">
        <f t="shared" si="101"/>
        <v>300</v>
      </c>
      <c r="AK2161" s="410"/>
      <c r="AL2161" s="250" t="s">
        <v>2067</v>
      </c>
    </row>
    <row r="2162" spans="1:38" x14ac:dyDescent="0.2">
      <c r="A2162" s="409" t="str">
        <f t="shared" si="102"/>
        <v>Rancho La Cuchilla</v>
      </c>
      <c r="B2162" s="209">
        <v>5717</v>
      </c>
      <c r="C2162" s="210" t="s">
        <v>874</v>
      </c>
      <c r="D2162" s="229" t="str">
        <f t="shared" si="110"/>
        <v>Rancho La Cuchilla No. 132</v>
      </c>
      <c r="E2162" s="229" t="str">
        <f t="shared" si="111"/>
        <v>Téllez Girón</v>
      </c>
      <c r="F2162" s="240">
        <f t="shared" si="112"/>
        <v>300</v>
      </c>
      <c r="G2162" s="205">
        <v>1</v>
      </c>
      <c r="H2162" s="206">
        <v>300</v>
      </c>
      <c r="I2162" s="207">
        <v>41546</v>
      </c>
      <c r="J2162" s="197" t="str">
        <f t="shared" si="113"/>
        <v>ok</v>
      </c>
      <c r="X2162" s="412"/>
      <c r="Y2162" s="412"/>
      <c r="Z2162" s="412"/>
      <c r="AA2162" s="412"/>
      <c r="AB2162" s="412"/>
      <c r="AC2162" s="412"/>
      <c r="AD2162" s="412"/>
      <c r="AE2162" s="412"/>
      <c r="AF2162" s="427">
        <v>300</v>
      </c>
      <c r="AG2162" s="412"/>
      <c r="AH2162" s="412"/>
      <c r="AI2162" s="412"/>
      <c r="AJ2162" s="412">
        <f t="shared" si="101"/>
        <v>300</v>
      </c>
      <c r="AK2162" s="410"/>
      <c r="AL2162" s="250" t="s">
        <v>2067</v>
      </c>
    </row>
    <row r="2163" spans="1:38" x14ac:dyDescent="0.2">
      <c r="A2163" s="409" t="str">
        <f t="shared" si="102"/>
        <v>Rancho Estanzuela</v>
      </c>
      <c r="B2163" s="209">
        <v>5718</v>
      </c>
      <c r="C2163" s="210" t="s">
        <v>939</v>
      </c>
      <c r="D2163" s="229" t="str">
        <f t="shared" si="110"/>
        <v>Rancho Estanzuela No. 89</v>
      </c>
      <c r="E2163" s="229" t="str">
        <f t="shared" si="111"/>
        <v>Romero Ortiz</v>
      </c>
      <c r="F2163" s="240">
        <f t="shared" si="112"/>
        <v>300</v>
      </c>
      <c r="G2163" s="205">
        <v>1</v>
      </c>
      <c r="H2163" s="206">
        <v>1000</v>
      </c>
      <c r="I2163" s="207">
        <v>41546</v>
      </c>
      <c r="J2163" s="197" t="str">
        <f t="shared" si="113"/>
        <v>ok</v>
      </c>
      <c r="X2163" s="412"/>
      <c r="Y2163" s="412"/>
      <c r="Z2163" s="412"/>
      <c r="AA2163" s="412"/>
      <c r="AB2163" s="412"/>
      <c r="AC2163" s="412"/>
      <c r="AD2163" s="412"/>
      <c r="AE2163" s="412">
        <v>300</v>
      </c>
      <c r="AF2163" s="427">
        <v>300</v>
      </c>
      <c r="AG2163" s="412">
        <v>400</v>
      </c>
      <c r="AH2163" s="412"/>
      <c r="AI2163" s="412"/>
      <c r="AJ2163" s="412">
        <f t="shared" si="101"/>
        <v>1000</v>
      </c>
      <c r="AK2163" s="410"/>
      <c r="AL2163" s="250" t="s">
        <v>2067</v>
      </c>
    </row>
    <row r="2164" spans="1:38" x14ac:dyDescent="0.2">
      <c r="A2164" s="409" t="str">
        <f t="shared" si="102"/>
        <v>Rancho Landero</v>
      </c>
      <c r="B2164" s="209">
        <v>5719</v>
      </c>
      <c r="C2164" s="210" t="s">
        <v>1029</v>
      </c>
      <c r="D2164" s="229" t="str">
        <f t="shared" si="110"/>
        <v>Rancho Landero No. 76</v>
      </c>
      <c r="E2164" s="229" t="str">
        <f t="shared" si="111"/>
        <v>Ugarte</v>
      </c>
      <c r="F2164" s="240">
        <f t="shared" si="112"/>
        <v>300</v>
      </c>
      <c r="G2164" s="205">
        <v>1</v>
      </c>
      <c r="H2164" s="206">
        <v>600</v>
      </c>
      <c r="I2164" s="207">
        <v>41546</v>
      </c>
      <c r="J2164" s="197" t="str">
        <f t="shared" si="113"/>
        <v>ok</v>
      </c>
      <c r="X2164" s="412"/>
      <c r="Y2164" s="412"/>
      <c r="Z2164" s="412"/>
      <c r="AA2164" s="412"/>
      <c r="AB2164" s="412"/>
      <c r="AC2164" s="412"/>
      <c r="AD2164" s="412"/>
      <c r="AE2164" s="412"/>
      <c r="AF2164" s="427">
        <v>300</v>
      </c>
      <c r="AG2164" s="412">
        <v>300</v>
      </c>
      <c r="AH2164" s="412"/>
      <c r="AI2164" s="412"/>
      <c r="AJ2164" s="412">
        <f t="shared" si="101"/>
        <v>600</v>
      </c>
      <c r="AK2164" s="410" t="s">
        <v>2073</v>
      </c>
      <c r="AL2164" s="250" t="s">
        <v>2067</v>
      </c>
    </row>
    <row r="2165" spans="1:38" x14ac:dyDescent="0.2">
      <c r="A2165" s="409" t="str">
        <f t="shared" si="102"/>
        <v>Rancho La Cuchilla</v>
      </c>
      <c r="B2165" s="209">
        <v>5720</v>
      </c>
      <c r="C2165" s="210" t="s">
        <v>788</v>
      </c>
      <c r="D2165" s="229" t="str">
        <f t="shared" si="110"/>
        <v>Rancho La Cuchilla No. 45</v>
      </c>
      <c r="E2165" s="229" t="str">
        <f t="shared" si="111"/>
        <v>Estévez Hernández</v>
      </c>
      <c r="F2165" s="240">
        <f t="shared" si="112"/>
        <v>300</v>
      </c>
      <c r="G2165" s="205">
        <v>1</v>
      </c>
      <c r="H2165" s="206">
        <v>400</v>
      </c>
      <c r="I2165" s="207">
        <v>41546</v>
      </c>
      <c r="J2165" s="197" t="str">
        <f t="shared" si="113"/>
        <v>ok</v>
      </c>
      <c r="X2165" s="412"/>
      <c r="Y2165" s="412"/>
      <c r="Z2165" s="412"/>
      <c r="AA2165" s="412"/>
      <c r="AB2165" s="412"/>
      <c r="AC2165" s="412"/>
      <c r="AD2165" s="412"/>
      <c r="AE2165" s="412"/>
      <c r="AF2165" s="427"/>
      <c r="AG2165" s="412">
        <v>400</v>
      </c>
      <c r="AH2165" s="412"/>
      <c r="AI2165" s="412"/>
      <c r="AJ2165" s="412">
        <f t="shared" si="101"/>
        <v>400</v>
      </c>
      <c r="AK2165" s="410"/>
      <c r="AL2165" s="250" t="s">
        <v>2067</v>
      </c>
    </row>
    <row r="2166" spans="1:38" x14ac:dyDescent="0.2">
      <c r="A2166" s="409" t="str">
        <f t="shared" si="102"/>
        <v>Rancho La Cuchilla</v>
      </c>
      <c r="B2166" s="209">
        <v>5721</v>
      </c>
      <c r="C2166" s="210" t="s">
        <v>839</v>
      </c>
      <c r="D2166" s="229" t="str">
        <f t="shared" si="110"/>
        <v>Rancho La Cuchilla No. 75</v>
      </c>
      <c r="E2166" s="229" t="str">
        <f t="shared" si="111"/>
        <v>Sosa Lucio</v>
      </c>
      <c r="F2166" s="240">
        <f t="shared" si="112"/>
        <v>300</v>
      </c>
      <c r="G2166" s="205">
        <v>1</v>
      </c>
      <c r="H2166" s="206">
        <v>300</v>
      </c>
      <c r="I2166" s="207">
        <v>41546</v>
      </c>
      <c r="J2166" s="197" t="str">
        <f t="shared" si="113"/>
        <v>ok</v>
      </c>
      <c r="X2166" s="412"/>
      <c r="Y2166" s="412"/>
      <c r="Z2166" s="412"/>
      <c r="AA2166" s="412"/>
      <c r="AB2166" s="412"/>
      <c r="AC2166" s="412"/>
      <c r="AD2166" s="412"/>
      <c r="AE2166" s="412"/>
      <c r="AF2166" s="427">
        <v>300</v>
      </c>
      <c r="AG2166" s="412"/>
      <c r="AH2166" s="412"/>
      <c r="AI2166" s="412"/>
      <c r="AJ2166" s="412">
        <f t="shared" si="101"/>
        <v>300</v>
      </c>
      <c r="AK2166" s="410"/>
      <c r="AL2166" s="250" t="s">
        <v>2067</v>
      </c>
    </row>
    <row r="2167" spans="1:38" x14ac:dyDescent="0.2">
      <c r="A2167" s="409" t="str">
        <f t="shared" si="102"/>
        <v>Rancho Landero</v>
      </c>
      <c r="B2167" s="209">
        <v>5722</v>
      </c>
      <c r="C2167" s="210" t="s">
        <v>1024</v>
      </c>
      <c r="D2167" s="229" t="str">
        <f t="shared" si="110"/>
        <v>Rancho Landero No. 70</v>
      </c>
      <c r="E2167" s="229" t="str">
        <f t="shared" si="111"/>
        <v>Olguín</v>
      </c>
      <c r="F2167" s="240">
        <f t="shared" si="112"/>
        <v>100</v>
      </c>
      <c r="G2167" s="205">
        <v>1</v>
      </c>
      <c r="H2167" s="206">
        <v>200</v>
      </c>
      <c r="I2167" s="207">
        <v>41546</v>
      </c>
      <c r="J2167" s="197" t="str">
        <f t="shared" si="113"/>
        <v>ok</v>
      </c>
      <c r="X2167" s="412"/>
      <c r="Y2167" s="412"/>
      <c r="Z2167" s="412"/>
      <c r="AA2167" s="412"/>
      <c r="AB2167" s="412"/>
      <c r="AC2167" s="412"/>
      <c r="AD2167" s="412"/>
      <c r="AE2167" s="412">
        <v>100</v>
      </c>
      <c r="AF2167" s="427">
        <v>100</v>
      </c>
      <c r="AG2167" s="412"/>
      <c r="AH2167" s="412"/>
      <c r="AI2167" s="412"/>
      <c r="AJ2167" s="412">
        <f t="shared" si="101"/>
        <v>200</v>
      </c>
      <c r="AK2167" s="410"/>
      <c r="AL2167" s="250" t="s">
        <v>2067</v>
      </c>
    </row>
    <row r="2168" spans="1:38" x14ac:dyDescent="0.2">
      <c r="A2168" s="409" t="str">
        <f t="shared" si="102"/>
        <v>Rancho Zinamba</v>
      </c>
      <c r="B2168" s="209">
        <v>5723</v>
      </c>
      <c r="C2168" s="210" t="s">
        <v>784</v>
      </c>
      <c r="D2168" s="229" t="str">
        <f t="shared" si="110"/>
        <v>Rancho Zinamba No. 20</v>
      </c>
      <c r="E2168" s="229" t="str">
        <f t="shared" si="111"/>
        <v>Alegre Retana</v>
      </c>
      <c r="F2168" s="240">
        <f t="shared" si="112"/>
        <v>300</v>
      </c>
      <c r="G2168" s="205">
        <v>1</v>
      </c>
      <c r="H2168" s="206">
        <v>300</v>
      </c>
      <c r="I2168" s="207">
        <v>41546</v>
      </c>
      <c r="J2168" s="197" t="str">
        <f t="shared" si="113"/>
        <v>ok</v>
      </c>
      <c r="X2168" s="412"/>
      <c r="Y2168" s="412"/>
      <c r="Z2168" s="412"/>
      <c r="AA2168" s="412"/>
      <c r="AB2168" s="412"/>
      <c r="AC2168" s="412"/>
      <c r="AD2168" s="412"/>
      <c r="AE2168" s="412"/>
      <c r="AF2168" s="427">
        <v>300</v>
      </c>
      <c r="AG2168" s="412"/>
      <c r="AH2168" s="412"/>
      <c r="AI2168" s="412"/>
      <c r="AJ2168" s="412">
        <f t="shared" si="101"/>
        <v>300</v>
      </c>
      <c r="AK2168" s="410"/>
      <c r="AL2168" s="250" t="s">
        <v>2067</v>
      </c>
    </row>
    <row r="2169" spans="1:38" x14ac:dyDescent="0.2">
      <c r="A2169" s="409" t="str">
        <f t="shared" si="102"/>
        <v>Rancho Upácuaro</v>
      </c>
      <c r="B2169" s="209">
        <v>5724</v>
      </c>
      <c r="C2169" s="210" t="s">
        <v>1116</v>
      </c>
      <c r="D2169" s="229" t="str">
        <f t="shared" si="110"/>
        <v>Rancho Upácuaro No. 75</v>
      </c>
      <c r="E2169" s="229" t="str">
        <f t="shared" si="111"/>
        <v>Montaño Zetina</v>
      </c>
      <c r="F2169" s="240">
        <f t="shared" si="112"/>
        <v>300</v>
      </c>
      <c r="G2169" s="205">
        <v>1</v>
      </c>
      <c r="H2169" s="206">
        <v>1200</v>
      </c>
      <c r="I2169" s="207">
        <v>41546</v>
      </c>
      <c r="J2169" s="197" t="str">
        <f t="shared" si="113"/>
        <v>ok</v>
      </c>
      <c r="X2169" s="412"/>
      <c r="Y2169" s="412"/>
      <c r="Z2169" s="412"/>
      <c r="AA2169" s="412"/>
      <c r="AB2169" s="412"/>
      <c r="AC2169" s="412"/>
      <c r="AD2169" s="412"/>
      <c r="AE2169" s="412"/>
      <c r="AF2169" s="427">
        <v>300</v>
      </c>
      <c r="AG2169" s="412">
        <v>300</v>
      </c>
      <c r="AH2169" s="412">
        <v>300</v>
      </c>
      <c r="AI2169" s="412">
        <v>300</v>
      </c>
      <c r="AJ2169" s="412">
        <f t="shared" si="101"/>
        <v>1200</v>
      </c>
      <c r="AK2169" s="410"/>
      <c r="AL2169" s="250" t="s">
        <v>2067</v>
      </c>
    </row>
    <row r="2170" spans="1:38" x14ac:dyDescent="0.2">
      <c r="A2170" s="409" t="str">
        <f t="shared" si="102"/>
        <v>Rancho Zinamba</v>
      </c>
      <c r="B2170" s="209">
        <v>5725</v>
      </c>
      <c r="C2170" s="210" t="s">
        <v>1163</v>
      </c>
      <c r="D2170" s="229" t="str">
        <f t="shared" si="110"/>
        <v>Rancho Zinamba No. 42</v>
      </c>
      <c r="E2170" s="229" t="str">
        <f t="shared" si="111"/>
        <v>López Aldave</v>
      </c>
      <c r="F2170" s="240">
        <f t="shared" si="112"/>
        <v>250</v>
      </c>
      <c r="G2170" s="205">
        <v>1</v>
      </c>
      <c r="H2170" s="206">
        <v>300</v>
      </c>
      <c r="I2170" s="207">
        <v>41546</v>
      </c>
      <c r="J2170" s="197" t="str">
        <f t="shared" si="113"/>
        <v>ok</v>
      </c>
      <c r="X2170" s="412"/>
      <c r="Y2170" s="412"/>
      <c r="Z2170" s="412"/>
      <c r="AA2170" s="412"/>
      <c r="AB2170" s="412"/>
      <c r="AC2170" s="412"/>
      <c r="AD2170" s="412"/>
      <c r="AE2170" s="412"/>
      <c r="AF2170" s="427"/>
      <c r="AG2170" s="412">
        <v>300</v>
      </c>
      <c r="AH2170" s="412"/>
      <c r="AI2170" s="412"/>
      <c r="AJ2170" s="412">
        <f t="shared" si="101"/>
        <v>300</v>
      </c>
      <c r="AK2170" s="410"/>
      <c r="AL2170" s="250" t="s">
        <v>2067</v>
      </c>
    </row>
    <row r="2171" spans="1:38" x14ac:dyDescent="0.2">
      <c r="A2171" s="409" t="str">
        <f t="shared" si="102"/>
        <v>Rancho Zinamba</v>
      </c>
      <c r="B2171" s="209">
        <v>5726</v>
      </c>
      <c r="C2171" s="210" t="s">
        <v>1151</v>
      </c>
      <c r="D2171" s="229" t="str">
        <f t="shared" si="110"/>
        <v>Rancho Zinamba No. 8</v>
      </c>
      <c r="E2171" s="229" t="str">
        <f t="shared" si="111"/>
        <v>Florido</v>
      </c>
      <c r="F2171" s="240">
        <f t="shared" si="112"/>
        <v>300</v>
      </c>
      <c r="G2171" s="205">
        <v>1</v>
      </c>
      <c r="H2171" s="206">
        <v>700</v>
      </c>
      <c r="I2171" s="207">
        <v>41546</v>
      </c>
      <c r="J2171" s="197" t="str">
        <f t="shared" si="113"/>
        <v>ok</v>
      </c>
      <c r="X2171" s="412"/>
      <c r="Y2171" s="412"/>
      <c r="Z2171" s="412"/>
      <c r="AA2171" s="412"/>
      <c r="AB2171" s="412"/>
      <c r="AC2171" s="412"/>
      <c r="AD2171" s="412"/>
      <c r="AE2171" s="412"/>
      <c r="AF2171" s="427">
        <v>300</v>
      </c>
      <c r="AG2171" s="412">
        <v>400</v>
      </c>
      <c r="AH2171" s="412"/>
      <c r="AI2171" s="412"/>
      <c r="AJ2171" s="412">
        <f t="shared" si="101"/>
        <v>700</v>
      </c>
      <c r="AK2171" s="410"/>
      <c r="AL2171" s="250" t="s">
        <v>2067</v>
      </c>
    </row>
    <row r="2172" spans="1:38" x14ac:dyDescent="0.2">
      <c r="A2172" s="409" t="str">
        <f t="shared" si="102"/>
        <v>Rancho La Cuchilla</v>
      </c>
      <c r="B2172" s="209">
        <v>5727</v>
      </c>
      <c r="C2172" s="210" t="s">
        <v>800</v>
      </c>
      <c r="D2172" s="229" t="str">
        <f t="shared" si="110"/>
        <v>Rancho La Cuchilla No. 15</v>
      </c>
      <c r="E2172" s="229" t="str">
        <f t="shared" si="111"/>
        <v>Guerrero Ponce</v>
      </c>
      <c r="F2172" s="240">
        <f t="shared" si="112"/>
        <v>300</v>
      </c>
      <c r="G2172" s="205">
        <v>1</v>
      </c>
      <c r="H2172" s="206">
        <v>600</v>
      </c>
      <c r="I2172" s="207">
        <v>41546</v>
      </c>
      <c r="J2172" s="197" t="str">
        <f t="shared" si="113"/>
        <v>ok</v>
      </c>
      <c r="X2172" s="412"/>
      <c r="Y2172" s="412"/>
      <c r="Z2172" s="412"/>
      <c r="AA2172" s="412"/>
      <c r="AB2172" s="412"/>
      <c r="AC2172" s="412"/>
      <c r="AD2172" s="412"/>
      <c r="AE2172" s="412"/>
      <c r="AF2172" s="427">
        <v>300</v>
      </c>
      <c r="AG2172" s="412">
        <v>300</v>
      </c>
      <c r="AH2172" s="412"/>
      <c r="AI2172" s="412"/>
      <c r="AJ2172" s="412">
        <f t="shared" si="101"/>
        <v>600</v>
      </c>
      <c r="AK2172" s="410"/>
      <c r="AL2172" s="250" t="s">
        <v>2067</v>
      </c>
    </row>
    <row r="2173" spans="1:38" x14ac:dyDescent="0.2">
      <c r="A2173" s="409" t="str">
        <f t="shared" si="102"/>
        <v>Rancho La Cuchilla</v>
      </c>
      <c r="B2173" s="209">
        <v>5728</v>
      </c>
      <c r="C2173" s="210" t="s">
        <v>838</v>
      </c>
      <c r="D2173" s="229" t="str">
        <f t="shared" si="110"/>
        <v>Rancho La Cuchilla No. 74</v>
      </c>
      <c r="E2173" s="229" t="str">
        <f t="shared" si="111"/>
        <v>Gil</v>
      </c>
      <c r="F2173" s="240">
        <f t="shared" si="112"/>
        <v>300</v>
      </c>
      <c r="G2173" s="205">
        <v>1</v>
      </c>
      <c r="H2173" s="206">
        <v>1200</v>
      </c>
      <c r="I2173" s="207">
        <v>41546</v>
      </c>
      <c r="J2173" s="197" t="str">
        <f t="shared" si="113"/>
        <v>ok</v>
      </c>
      <c r="X2173" s="412"/>
      <c r="Y2173" s="412"/>
      <c r="Z2173" s="412"/>
      <c r="AA2173" s="412"/>
      <c r="AB2173" s="412"/>
      <c r="AC2173" s="412">
        <v>300</v>
      </c>
      <c r="AD2173" s="412">
        <v>300</v>
      </c>
      <c r="AE2173" s="412">
        <v>300</v>
      </c>
      <c r="AF2173" s="427">
        <v>300</v>
      </c>
      <c r="AG2173" s="412"/>
      <c r="AH2173" s="412"/>
      <c r="AI2173" s="412"/>
      <c r="AJ2173" s="412">
        <f t="shared" si="101"/>
        <v>1200</v>
      </c>
      <c r="AK2173" s="410"/>
      <c r="AL2173" s="250" t="s">
        <v>2067</v>
      </c>
    </row>
    <row r="2174" spans="1:38" x14ac:dyDescent="0.2">
      <c r="A2174" s="409" t="str">
        <f t="shared" si="102"/>
        <v>Rancho La Cuchilla</v>
      </c>
      <c r="B2174" s="209">
        <v>5729</v>
      </c>
      <c r="C2174" s="210" t="s">
        <v>872</v>
      </c>
      <c r="D2174" s="229" t="str">
        <f t="shared" si="110"/>
        <v>Rancho La Cuchilla No. 130</v>
      </c>
      <c r="E2174" s="229" t="str">
        <f t="shared" si="111"/>
        <v>De la Huerta</v>
      </c>
      <c r="F2174" s="240">
        <f t="shared" si="112"/>
        <v>300</v>
      </c>
      <c r="G2174" s="205">
        <v>1</v>
      </c>
      <c r="H2174" s="206">
        <v>700</v>
      </c>
      <c r="I2174" s="207">
        <v>41547</v>
      </c>
      <c r="J2174" s="433" t="s">
        <v>2074</v>
      </c>
      <c r="X2174" s="412"/>
      <c r="Y2174" s="412"/>
      <c r="Z2174" s="412"/>
      <c r="AA2174" s="412"/>
      <c r="AB2174" s="412"/>
      <c r="AC2174" s="412"/>
      <c r="AD2174" s="412"/>
      <c r="AE2174" s="412"/>
      <c r="AF2174" s="427">
        <v>300</v>
      </c>
      <c r="AG2174" s="412">
        <v>400</v>
      </c>
      <c r="AH2174" s="412"/>
      <c r="AI2174" s="412"/>
      <c r="AJ2174" s="412">
        <f t="shared" si="101"/>
        <v>700</v>
      </c>
      <c r="AK2174" s="410"/>
      <c r="AL2174" s="250" t="s">
        <v>2067</v>
      </c>
    </row>
    <row r="2175" spans="1:38" x14ac:dyDescent="0.2">
      <c r="A2175" s="405" t="s">
        <v>686</v>
      </c>
      <c r="B2175" s="405" t="s">
        <v>756</v>
      </c>
      <c r="C2175" s="405" t="s">
        <v>903</v>
      </c>
      <c r="D2175" s="405" t="s">
        <v>885</v>
      </c>
      <c r="E2175" s="405" t="s">
        <v>689</v>
      </c>
      <c r="F2175" s="406" t="s">
        <v>702</v>
      </c>
      <c r="G2175" s="405" t="s">
        <v>1182</v>
      </c>
      <c r="H2175" s="405" t="s">
        <v>757</v>
      </c>
      <c r="I2175" s="405" t="s">
        <v>758</v>
      </c>
      <c r="J2175" s="126" t="s">
        <v>2069</v>
      </c>
      <c r="K2175" s="126" t="s">
        <v>690</v>
      </c>
      <c r="L2175" s="126" t="s">
        <v>691</v>
      </c>
      <c r="M2175" s="126" t="s">
        <v>692</v>
      </c>
      <c r="N2175" s="126" t="s">
        <v>693</v>
      </c>
      <c r="O2175" s="126" t="s">
        <v>694</v>
      </c>
      <c r="P2175" s="126" t="s">
        <v>695</v>
      </c>
      <c r="Q2175" s="126" t="s">
        <v>696</v>
      </c>
      <c r="R2175" s="126" t="s">
        <v>697</v>
      </c>
      <c r="S2175" s="126" t="s">
        <v>698</v>
      </c>
      <c r="T2175" s="126" t="s">
        <v>699</v>
      </c>
      <c r="U2175" s="126" t="s">
        <v>700</v>
      </c>
      <c r="V2175" s="126" t="s">
        <v>701</v>
      </c>
      <c r="W2175" s="248" t="s">
        <v>1715</v>
      </c>
      <c r="X2175" s="126" t="s">
        <v>690</v>
      </c>
      <c r="Y2175" s="126" t="s">
        <v>691</v>
      </c>
      <c r="Z2175" s="126" t="s">
        <v>692</v>
      </c>
      <c r="AA2175" s="126" t="s">
        <v>693</v>
      </c>
      <c r="AB2175" s="126" t="s">
        <v>694</v>
      </c>
      <c r="AC2175" s="126" t="s">
        <v>695</v>
      </c>
      <c r="AD2175" s="126" t="s">
        <v>696</v>
      </c>
      <c r="AE2175" s="126" t="s">
        <v>697</v>
      </c>
      <c r="AF2175" s="126" t="s">
        <v>698</v>
      </c>
      <c r="AG2175" s="126" t="s">
        <v>699</v>
      </c>
      <c r="AH2175" s="126" t="s">
        <v>700</v>
      </c>
      <c r="AI2175" s="126" t="s">
        <v>701</v>
      </c>
      <c r="AJ2175" s="248" t="s">
        <v>1834</v>
      </c>
      <c r="AK2175" s="126" t="s">
        <v>759</v>
      </c>
      <c r="AL2175" s="250" t="e">
        <v>#VALUE!</v>
      </c>
    </row>
    <row r="2176" spans="1:38" x14ac:dyDescent="0.2">
      <c r="A2176" s="409" t="str">
        <f t="shared" si="102"/>
        <v>Calzada del Hueso</v>
      </c>
      <c r="B2176" s="430">
        <v>5730</v>
      </c>
      <c r="C2176" s="210" t="s">
        <v>970</v>
      </c>
      <c r="D2176" s="229" t="str">
        <f t="shared" si="110"/>
        <v>Calzada del Hueso No. 828</v>
      </c>
      <c r="E2176" s="229" t="str">
        <f t="shared" si="111"/>
        <v>Cervantes, Miguel</v>
      </c>
      <c r="F2176" s="240">
        <f t="shared" si="112"/>
        <v>300</v>
      </c>
      <c r="G2176" s="431">
        <v>1</v>
      </c>
      <c r="H2176" s="432">
        <v>300</v>
      </c>
      <c r="I2176" s="207">
        <v>41549</v>
      </c>
      <c r="J2176" s="197" t="str">
        <f t="shared" si="113"/>
        <v>ok</v>
      </c>
      <c r="AG2176" s="429">
        <v>300</v>
      </c>
      <c r="AJ2176" s="412">
        <f t="shared" si="101"/>
        <v>300</v>
      </c>
      <c r="AK2176" s="410"/>
      <c r="AL2176" s="250" t="s">
        <v>2067</v>
      </c>
    </row>
    <row r="2177" spans="1:38" x14ac:dyDescent="0.2">
      <c r="A2177" s="409" t="str">
        <f t="shared" si="102"/>
        <v>Rancho La Cuchilla</v>
      </c>
      <c r="B2177" s="430">
        <v>5731</v>
      </c>
      <c r="C2177" s="210" t="s">
        <v>817</v>
      </c>
      <c r="D2177" s="229" t="str">
        <f t="shared" si="110"/>
        <v>Rancho La Cuchilla No. 40</v>
      </c>
      <c r="E2177" s="229" t="str">
        <f t="shared" si="111"/>
        <v>López Pico</v>
      </c>
      <c r="F2177" s="240">
        <f t="shared" si="112"/>
        <v>300</v>
      </c>
      <c r="G2177" s="431">
        <v>1</v>
      </c>
      <c r="H2177" s="432">
        <v>400</v>
      </c>
      <c r="I2177" s="207">
        <v>41549</v>
      </c>
      <c r="J2177" s="197" t="str">
        <f t="shared" si="113"/>
        <v>ok</v>
      </c>
      <c r="AG2177" s="429">
        <v>400</v>
      </c>
      <c r="AJ2177" s="412">
        <f t="shared" si="101"/>
        <v>400</v>
      </c>
      <c r="AK2177" s="410"/>
      <c r="AL2177" s="250" t="s">
        <v>2067</v>
      </c>
    </row>
    <row r="2178" spans="1:38" x14ac:dyDescent="0.2">
      <c r="A2178" s="409" t="str">
        <f t="shared" si="102"/>
        <v>Rancho La Cuchilla</v>
      </c>
      <c r="B2178" s="430">
        <v>5732</v>
      </c>
      <c r="C2178" s="210" t="s">
        <v>832</v>
      </c>
      <c r="D2178" s="229" t="str">
        <f t="shared" si="110"/>
        <v>Rancho La Cuchilla No. 67</v>
      </c>
      <c r="E2178" s="229" t="str">
        <f t="shared" si="111"/>
        <v>Quezada Viruega</v>
      </c>
      <c r="F2178" s="240">
        <f t="shared" si="112"/>
        <v>300</v>
      </c>
      <c r="G2178" s="431">
        <v>1</v>
      </c>
      <c r="H2178" s="432">
        <v>400</v>
      </c>
      <c r="I2178" s="207">
        <v>41550</v>
      </c>
      <c r="J2178" s="197" t="str">
        <f t="shared" si="113"/>
        <v>ok</v>
      </c>
      <c r="AG2178" s="429">
        <v>400</v>
      </c>
      <c r="AJ2178" s="412">
        <f t="shared" si="101"/>
        <v>400</v>
      </c>
      <c r="AK2178" s="410"/>
      <c r="AL2178" s="250" t="s">
        <v>2067</v>
      </c>
    </row>
    <row r="2179" spans="1:38" x14ac:dyDescent="0.2">
      <c r="A2179" s="409" t="str">
        <f t="shared" si="102"/>
        <v>Rancho La Cuchilla</v>
      </c>
      <c r="B2179" s="430">
        <v>5733</v>
      </c>
      <c r="C2179" s="210" t="s">
        <v>796</v>
      </c>
      <c r="D2179" s="229" t="str">
        <f t="shared" si="110"/>
        <v>Rancho La Cuchilla No. 11</v>
      </c>
      <c r="E2179" s="229" t="str">
        <f t="shared" si="111"/>
        <v>Santiago</v>
      </c>
      <c r="F2179" s="240">
        <f t="shared" si="112"/>
        <v>300</v>
      </c>
      <c r="G2179" s="431">
        <v>1</v>
      </c>
      <c r="H2179" s="432">
        <v>1000</v>
      </c>
      <c r="I2179" s="207">
        <v>41553</v>
      </c>
      <c r="J2179" s="197" t="str">
        <f t="shared" si="113"/>
        <v>ok</v>
      </c>
      <c r="X2179">
        <v>100</v>
      </c>
      <c r="Y2179">
        <v>100</v>
      </c>
      <c r="Z2179">
        <v>100</v>
      </c>
      <c r="AA2179">
        <v>100</v>
      </c>
      <c r="AB2179">
        <v>100</v>
      </c>
      <c r="AC2179">
        <v>100</v>
      </c>
      <c r="AD2179">
        <v>100</v>
      </c>
      <c r="AE2179">
        <v>100</v>
      </c>
      <c r="AF2179">
        <v>100</v>
      </c>
      <c r="AG2179" s="429">
        <v>100</v>
      </c>
      <c r="AJ2179" s="412">
        <f t="shared" si="101"/>
        <v>1000</v>
      </c>
      <c r="AK2179" s="410"/>
      <c r="AL2179" s="250" t="s">
        <v>2067</v>
      </c>
    </row>
    <row r="2180" spans="1:38" x14ac:dyDescent="0.2">
      <c r="A2180" s="409" t="str">
        <f t="shared" si="102"/>
        <v>Rancho Upácuaro</v>
      </c>
      <c r="B2180" s="430">
        <v>5734</v>
      </c>
      <c r="C2180" s="210" t="s">
        <v>1117</v>
      </c>
      <c r="D2180" s="229" t="str">
        <f t="shared" si="110"/>
        <v>Rancho Upácuaro No. 76</v>
      </c>
      <c r="E2180" s="229" t="str">
        <f t="shared" si="111"/>
        <v>Ruiz de San Pedro</v>
      </c>
      <c r="F2180" s="240">
        <f t="shared" si="112"/>
        <v>300</v>
      </c>
      <c r="G2180" s="431">
        <v>1</v>
      </c>
      <c r="H2180" s="432">
        <v>400</v>
      </c>
      <c r="I2180" s="207">
        <v>41553</v>
      </c>
      <c r="J2180" s="197" t="str">
        <f t="shared" si="113"/>
        <v>ok</v>
      </c>
      <c r="AG2180" s="429">
        <v>400</v>
      </c>
      <c r="AJ2180" s="412">
        <f t="shared" si="101"/>
        <v>400</v>
      </c>
      <c r="AK2180" s="410"/>
      <c r="AL2180" s="250" t="s">
        <v>2067</v>
      </c>
    </row>
    <row r="2181" spans="1:38" x14ac:dyDescent="0.2">
      <c r="A2181" s="409" t="str">
        <f t="shared" si="102"/>
        <v>Rancho Upácuaro</v>
      </c>
      <c r="B2181" s="430">
        <v>5735</v>
      </c>
      <c r="C2181" s="210" t="s">
        <v>1145</v>
      </c>
      <c r="D2181" s="229" t="str">
        <f t="shared" si="110"/>
        <v>Rancho Upácuaro No. 134</v>
      </c>
      <c r="E2181" s="229" t="str">
        <f t="shared" si="111"/>
        <v>Flores Pérez</v>
      </c>
      <c r="F2181" s="240">
        <f t="shared" si="112"/>
        <v>300</v>
      </c>
      <c r="G2181" s="431">
        <v>1</v>
      </c>
      <c r="H2181" s="432">
        <v>1000</v>
      </c>
      <c r="I2181" s="207">
        <v>41553</v>
      </c>
      <c r="J2181" s="197" t="str">
        <f t="shared" si="113"/>
        <v>ok</v>
      </c>
      <c r="AE2181">
        <v>300</v>
      </c>
      <c r="AF2181">
        <v>300</v>
      </c>
      <c r="AG2181" s="429">
        <v>400</v>
      </c>
      <c r="AJ2181" s="412">
        <f t="shared" si="101"/>
        <v>1000</v>
      </c>
      <c r="AL2181" s="250" t="s">
        <v>2067</v>
      </c>
    </row>
    <row r="2182" spans="1:38" x14ac:dyDescent="0.2">
      <c r="A2182" s="409" t="str">
        <f t="shared" si="102"/>
        <v>Rancho La Cuchilla</v>
      </c>
      <c r="B2182" s="430">
        <v>5736</v>
      </c>
      <c r="C2182" s="210" t="s">
        <v>849</v>
      </c>
      <c r="D2182" s="229" t="str">
        <f t="shared" si="110"/>
        <v>Rancho La Cuchilla No. 90</v>
      </c>
      <c r="E2182" s="229" t="str">
        <f t="shared" si="111"/>
        <v>Porras Fuentes</v>
      </c>
      <c r="F2182" s="240">
        <f t="shared" si="112"/>
        <v>150</v>
      </c>
      <c r="G2182" s="431">
        <v>1</v>
      </c>
      <c r="H2182" s="432">
        <v>350</v>
      </c>
      <c r="I2182" s="207">
        <v>41553</v>
      </c>
      <c r="J2182" s="197" t="str">
        <f t="shared" si="113"/>
        <v>ok</v>
      </c>
      <c r="AF2182">
        <v>150</v>
      </c>
      <c r="AG2182" s="429">
        <v>200</v>
      </c>
      <c r="AJ2182" s="412">
        <f t="shared" si="101"/>
        <v>350</v>
      </c>
      <c r="AL2182" s="250" t="s">
        <v>2067</v>
      </c>
    </row>
    <row r="2183" spans="1:38" x14ac:dyDescent="0.2">
      <c r="A2183" s="409" t="str">
        <f t="shared" si="102"/>
        <v>Rancho Recoveco</v>
      </c>
      <c r="B2183" s="430">
        <v>5737</v>
      </c>
      <c r="C2183" s="210" t="s">
        <v>1066</v>
      </c>
      <c r="D2183" s="229" t="str">
        <f t="shared" si="110"/>
        <v>Rancho Recoveco No. 197</v>
      </c>
      <c r="E2183" s="229" t="str">
        <f t="shared" si="111"/>
        <v>Colín González</v>
      </c>
      <c r="F2183" s="240">
        <f t="shared" si="112"/>
        <v>300</v>
      </c>
      <c r="G2183" s="431">
        <v>1</v>
      </c>
      <c r="H2183" s="432">
        <v>400</v>
      </c>
      <c r="I2183" s="207">
        <v>41553</v>
      </c>
      <c r="J2183" s="197" t="str">
        <f t="shared" si="113"/>
        <v>ok</v>
      </c>
      <c r="AG2183" s="429">
        <v>400</v>
      </c>
      <c r="AJ2183" s="412">
        <f t="shared" ref="AJ2183:AJ2246" si="114">SUM(X2183:AI2183)</f>
        <v>400</v>
      </c>
      <c r="AL2183" s="250" t="s">
        <v>2067</v>
      </c>
    </row>
    <row r="2184" spans="1:38" x14ac:dyDescent="0.2">
      <c r="A2184" s="409" t="str">
        <f t="shared" si="102"/>
        <v>Rancho Zinamba</v>
      </c>
      <c r="B2184" s="430">
        <v>5738</v>
      </c>
      <c r="C2184" s="210" t="s">
        <v>1179</v>
      </c>
      <c r="D2184" s="229" t="str">
        <f t="shared" si="110"/>
        <v>Rancho Zinamba No. 88</v>
      </c>
      <c r="E2184" s="229" t="str">
        <f t="shared" si="111"/>
        <v>Martínez</v>
      </c>
      <c r="F2184" s="240">
        <f t="shared" si="112"/>
        <v>250</v>
      </c>
      <c r="G2184" s="431">
        <v>1</v>
      </c>
      <c r="H2184" s="432">
        <v>600</v>
      </c>
      <c r="I2184" s="207">
        <v>41553</v>
      </c>
      <c r="J2184" s="197" t="str">
        <f t="shared" si="113"/>
        <v>ok</v>
      </c>
      <c r="AF2184">
        <v>250</v>
      </c>
      <c r="AG2184" s="429">
        <v>350</v>
      </c>
      <c r="AJ2184" s="412">
        <f t="shared" si="114"/>
        <v>600</v>
      </c>
      <c r="AL2184" s="250" t="s">
        <v>2067</v>
      </c>
    </row>
    <row r="2185" spans="1:38" x14ac:dyDescent="0.2">
      <c r="A2185" s="409" t="str">
        <f t="shared" si="102"/>
        <v>Rancho Estopila</v>
      </c>
      <c r="B2185" s="430">
        <v>5739</v>
      </c>
      <c r="C2185" s="210" t="s">
        <v>904</v>
      </c>
      <c r="D2185" s="229" t="str">
        <f t="shared" si="110"/>
        <v>Rancho Estopila No. 18</v>
      </c>
      <c r="E2185" s="229" t="str">
        <f t="shared" si="111"/>
        <v>Aguilar Zarmeño</v>
      </c>
      <c r="F2185" s="240">
        <f t="shared" si="112"/>
        <v>300</v>
      </c>
      <c r="G2185" s="431">
        <v>1</v>
      </c>
      <c r="H2185" s="432">
        <v>700</v>
      </c>
      <c r="I2185" s="207">
        <v>41553</v>
      </c>
      <c r="J2185" s="197" t="str">
        <f t="shared" si="113"/>
        <v>ok</v>
      </c>
      <c r="AF2185">
        <v>300</v>
      </c>
      <c r="AG2185" s="429">
        <v>400</v>
      </c>
      <c r="AJ2185" s="412">
        <f t="shared" si="114"/>
        <v>700</v>
      </c>
      <c r="AL2185" s="250" t="s">
        <v>2067</v>
      </c>
    </row>
    <row r="2186" spans="1:38" x14ac:dyDescent="0.2">
      <c r="A2186" s="409" t="str">
        <f t="shared" si="102"/>
        <v>Rancho La Cuchilla</v>
      </c>
      <c r="B2186" s="430">
        <v>5740</v>
      </c>
      <c r="C2186" s="210" t="s">
        <v>867</v>
      </c>
      <c r="D2186" s="229" t="str">
        <f t="shared" si="110"/>
        <v>Rancho La Cuchilla No. 120</v>
      </c>
      <c r="E2186" s="229" t="str">
        <f t="shared" si="111"/>
        <v>Pozos Vilchis</v>
      </c>
      <c r="F2186" s="240">
        <f t="shared" si="112"/>
        <v>300</v>
      </c>
      <c r="G2186" s="431">
        <v>1</v>
      </c>
      <c r="H2186" s="432">
        <v>400</v>
      </c>
      <c r="I2186" s="207">
        <v>41553</v>
      </c>
      <c r="J2186" s="197" t="str">
        <f t="shared" si="113"/>
        <v>ok</v>
      </c>
      <c r="AG2186" s="429">
        <v>400</v>
      </c>
      <c r="AJ2186" s="412">
        <f t="shared" si="114"/>
        <v>400</v>
      </c>
      <c r="AL2186" s="250" t="s">
        <v>2067</v>
      </c>
    </row>
    <row r="2187" spans="1:38" x14ac:dyDescent="0.2">
      <c r="A2187" s="409" t="str">
        <f t="shared" ref="A2187:A2250" si="115">IF(C2187=0,"",VLOOKUP(C2187,BASE_A,5,FALSE))</f>
        <v>Rancho Landero</v>
      </c>
      <c r="B2187" s="430">
        <v>5741</v>
      </c>
      <c r="C2187" s="210" t="s">
        <v>770</v>
      </c>
      <c r="D2187" s="229" t="str">
        <f t="shared" si="110"/>
        <v>Rancho Landero No. 83</v>
      </c>
      <c r="E2187" s="229" t="str">
        <f t="shared" si="111"/>
        <v>Aguilar</v>
      </c>
      <c r="F2187" s="240">
        <f t="shared" si="112"/>
        <v>300</v>
      </c>
      <c r="G2187" s="431">
        <v>1</v>
      </c>
      <c r="H2187" s="432">
        <v>350</v>
      </c>
      <c r="I2187" s="207">
        <v>41553</v>
      </c>
      <c r="J2187" s="197" t="str">
        <f t="shared" si="113"/>
        <v>ok</v>
      </c>
      <c r="AG2187" s="429">
        <v>350</v>
      </c>
      <c r="AJ2187" s="412">
        <f t="shared" si="114"/>
        <v>350</v>
      </c>
      <c r="AL2187" s="250" t="s">
        <v>2067</v>
      </c>
    </row>
    <row r="2188" spans="1:38" x14ac:dyDescent="0.2">
      <c r="A2188" s="409" t="str">
        <f t="shared" si="115"/>
        <v>Rancho Zinamba</v>
      </c>
      <c r="B2188" s="430">
        <v>5742</v>
      </c>
      <c r="C2188" s="210" t="s">
        <v>1164</v>
      </c>
      <c r="D2188" s="229" t="str">
        <f t="shared" si="110"/>
        <v>Rancho Zinamba No. 44</v>
      </c>
      <c r="E2188" s="229" t="str">
        <f t="shared" si="111"/>
        <v>Canales</v>
      </c>
      <c r="F2188" s="240">
        <f t="shared" si="112"/>
        <v>300</v>
      </c>
      <c r="G2188" s="431">
        <v>1</v>
      </c>
      <c r="H2188" s="432">
        <v>400</v>
      </c>
      <c r="I2188" s="207">
        <v>41553</v>
      </c>
      <c r="J2188" s="197" t="str">
        <f t="shared" si="113"/>
        <v>ok</v>
      </c>
      <c r="AG2188" s="429">
        <v>400</v>
      </c>
      <c r="AJ2188" s="412">
        <f t="shared" si="114"/>
        <v>400</v>
      </c>
      <c r="AL2188" s="250" t="s">
        <v>2067</v>
      </c>
    </row>
    <row r="2189" spans="1:38" x14ac:dyDescent="0.2">
      <c r="A2189" s="409" t="str">
        <f t="shared" si="115"/>
        <v>Rancho La Cuchilla</v>
      </c>
      <c r="B2189" s="430">
        <v>5743</v>
      </c>
      <c r="C2189" s="210" t="s">
        <v>811</v>
      </c>
      <c r="D2189" s="229" t="str">
        <f t="shared" ref="D2189:D2208" si="116">IF(C2189=0,"",VLOOKUP(C2189,BASE_A,6,FALSE))</f>
        <v>Rancho La Cuchilla No. 32</v>
      </c>
      <c r="E2189" s="229" t="str">
        <f t="shared" ref="E2189:E2208" si="117">IF(C2189=0,"",VLOOKUP(C2189,BASE_A,8,FALSE))</f>
        <v>Hernández</v>
      </c>
      <c r="F2189" s="240">
        <f t="shared" ref="F2189:F2208" si="118">IF(C2189=0,"",VLOOKUP(C2189,BASE_A,9,FALSE))</f>
        <v>300</v>
      </c>
      <c r="G2189" s="431">
        <v>1</v>
      </c>
      <c r="H2189" s="432">
        <v>700</v>
      </c>
      <c r="I2189" s="207">
        <v>41553</v>
      </c>
      <c r="J2189" s="197" t="str">
        <f t="shared" ref="J2189:J2252" si="119">IF(OR(G2189&lt;&gt;1,SUM(W2189,AJ2189)=H2189),"ok","error")</f>
        <v>ok</v>
      </c>
      <c r="AF2189">
        <v>300</v>
      </c>
      <c r="AG2189" s="429">
        <v>400</v>
      </c>
      <c r="AJ2189" s="412">
        <f t="shared" si="114"/>
        <v>700</v>
      </c>
      <c r="AL2189" s="250" t="s">
        <v>2067</v>
      </c>
    </row>
    <row r="2190" spans="1:38" x14ac:dyDescent="0.2">
      <c r="A2190" s="409" t="str">
        <f t="shared" si="115"/>
        <v>Rancho Landero</v>
      </c>
      <c r="B2190" s="430">
        <v>5744</v>
      </c>
      <c r="C2190" s="210" t="s">
        <v>997</v>
      </c>
      <c r="D2190" s="229" t="str">
        <f t="shared" si="116"/>
        <v>Rancho Landero No. 31</v>
      </c>
      <c r="E2190" s="229" t="str">
        <f t="shared" si="117"/>
        <v>Díaz Hernández</v>
      </c>
      <c r="F2190" s="240">
        <f t="shared" si="118"/>
        <v>200</v>
      </c>
      <c r="G2190" s="431">
        <v>1</v>
      </c>
      <c r="H2190" s="432">
        <v>200</v>
      </c>
      <c r="I2190" s="207">
        <v>41553</v>
      </c>
      <c r="J2190" s="197" t="str">
        <f t="shared" si="119"/>
        <v>ok</v>
      </c>
      <c r="AG2190" s="429">
        <v>200</v>
      </c>
      <c r="AJ2190" s="412">
        <f t="shared" si="114"/>
        <v>200</v>
      </c>
      <c r="AL2190" s="250" t="s">
        <v>2067</v>
      </c>
    </row>
    <row r="2191" spans="1:38" x14ac:dyDescent="0.2">
      <c r="A2191" s="409" t="str">
        <f t="shared" si="115"/>
        <v>Rancho La Cuchilla</v>
      </c>
      <c r="B2191" s="430">
        <v>5745</v>
      </c>
      <c r="C2191" s="210" t="s">
        <v>794</v>
      </c>
      <c r="D2191" s="229" t="str">
        <f t="shared" si="116"/>
        <v>Rancho La Cuchilla No. 7, 202</v>
      </c>
      <c r="E2191" s="229" t="str">
        <f t="shared" si="117"/>
        <v>Carbajal Zayas</v>
      </c>
      <c r="F2191" s="240">
        <f t="shared" si="118"/>
        <v>100</v>
      </c>
      <c r="G2191" s="431">
        <v>1</v>
      </c>
      <c r="H2191" s="432">
        <v>100</v>
      </c>
      <c r="I2191" s="207">
        <v>41553</v>
      </c>
      <c r="J2191" s="197" t="str">
        <f t="shared" si="119"/>
        <v>ok</v>
      </c>
      <c r="AF2191">
        <v>100</v>
      </c>
      <c r="AG2191" s="429"/>
      <c r="AJ2191" s="412">
        <f t="shared" si="114"/>
        <v>100</v>
      </c>
      <c r="AL2191" s="250" t="s">
        <v>2067</v>
      </c>
    </row>
    <row r="2192" spans="1:38" x14ac:dyDescent="0.2">
      <c r="A2192" s="409" t="str">
        <f t="shared" si="115"/>
        <v>Rancho La Cuchilla</v>
      </c>
      <c r="B2192" s="430">
        <v>5746</v>
      </c>
      <c r="C2192" s="210" t="s">
        <v>792</v>
      </c>
      <c r="D2192" s="229" t="str">
        <f t="shared" si="116"/>
        <v>Rancho La Cuchilla No. 7, 102</v>
      </c>
      <c r="E2192" s="229" t="str">
        <f t="shared" si="117"/>
        <v>García Moreno</v>
      </c>
      <c r="F2192" s="240">
        <f t="shared" si="118"/>
        <v>100</v>
      </c>
      <c r="G2192" s="431">
        <v>1</v>
      </c>
      <c r="H2192" s="432">
        <v>100</v>
      </c>
      <c r="I2192" s="207">
        <v>41553</v>
      </c>
      <c r="J2192" s="197" t="str">
        <f t="shared" si="119"/>
        <v>ok</v>
      </c>
      <c r="AG2192" s="429">
        <v>100</v>
      </c>
      <c r="AJ2192" s="412">
        <f t="shared" si="114"/>
        <v>100</v>
      </c>
      <c r="AL2192" s="250" t="s">
        <v>2067</v>
      </c>
    </row>
    <row r="2193" spans="1:38" x14ac:dyDescent="0.2">
      <c r="A2193" s="409" t="str">
        <f t="shared" si="115"/>
        <v>Rancho Estanzuela</v>
      </c>
      <c r="B2193" s="430">
        <v>5747</v>
      </c>
      <c r="C2193" s="210" t="s">
        <v>919</v>
      </c>
      <c r="D2193" s="229" t="str">
        <f t="shared" si="116"/>
        <v>Rancho Estanzuela No. 19</v>
      </c>
      <c r="E2193" s="229" t="str">
        <f t="shared" si="117"/>
        <v>Robles</v>
      </c>
      <c r="F2193" s="240">
        <f t="shared" si="118"/>
        <v>300</v>
      </c>
      <c r="G2193" s="431">
        <v>1</v>
      </c>
      <c r="H2193" s="432">
        <v>400</v>
      </c>
      <c r="I2193" s="207">
        <v>41553</v>
      </c>
      <c r="J2193" s="197" t="str">
        <f t="shared" si="119"/>
        <v>ok</v>
      </c>
      <c r="AG2193" s="429">
        <v>400</v>
      </c>
      <c r="AJ2193" s="412">
        <f t="shared" si="114"/>
        <v>400</v>
      </c>
      <c r="AL2193" s="250" t="s">
        <v>2067</v>
      </c>
    </row>
    <row r="2194" spans="1:38" x14ac:dyDescent="0.2">
      <c r="A2194" s="409" t="str">
        <f t="shared" si="115"/>
        <v>Rancho La Cuchilla</v>
      </c>
      <c r="B2194" s="430">
        <v>5748</v>
      </c>
      <c r="C2194" s="210" t="s">
        <v>772</v>
      </c>
      <c r="D2194" s="229" t="str">
        <f t="shared" si="116"/>
        <v>Rancho La Cuchilla No. 43, B</v>
      </c>
      <c r="E2194" s="229" t="str">
        <f t="shared" si="117"/>
        <v>Luna Albertano</v>
      </c>
      <c r="F2194" s="240">
        <f t="shared" si="118"/>
        <v>125</v>
      </c>
      <c r="G2194" s="431">
        <v>1</v>
      </c>
      <c r="H2194" s="432">
        <v>125</v>
      </c>
      <c r="I2194" s="207">
        <v>41553</v>
      </c>
      <c r="J2194" s="197" t="str">
        <f t="shared" si="119"/>
        <v>ok</v>
      </c>
      <c r="AG2194" s="429">
        <v>125</v>
      </c>
      <c r="AJ2194" s="412">
        <f t="shared" si="114"/>
        <v>125</v>
      </c>
      <c r="AL2194" s="250" t="s">
        <v>2067</v>
      </c>
    </row>
    <row r="2195" spans="1:38" x14ac:dyDescent="0.2">
      <c r="A2195" s="409" t="str">
        <f t="shared" si="115"/>
        <v>Rancho Upácuaro</v>
      </c>
      <c r="B2195" s="430">
        <v>5749</v>
      </c>
      <c r="C2195" s="210" t="s">
        <v>1107</v>
      </c>
      <c r="D2195" s="229" t="str">
        <f t="shared" si="116"/>
        <v>Rancho Upácuaro No. 64</v>
      </c>
      <c r="E2195" s="229" t="str">
        <f t="shared" si="117"/>
        <v>Méndez Oliva</v>
      </c>
      <c r="F2195" s="240">
        <f t="shared" si="118"/>
        <v>300</v>
      </c>
      <c r="G2195" s="431">
        <v>1</v>
      </c>
      <c r="H2195" s="432">
        <v>300</v>
      </c>
      <c r="I2195" s="207">
        <v>41553</v>
      </c>
      <c r="J2195" s="197" t="str">
        <f t="shared" si="119"/>
        <v>ok</v>
      </c>
      <c r="AG2195" s="429">
        <v>300</v>
      </c>
      <c r="AJ2195" s="412">
        <f t="shared" si="114"/>
        <v>300</v>
      </c>
      <c r="AL2195" s="250" t="s">
        <v>2067</v>
      </c>
    </row>
    <row r="2196" spans="1:38" x14ac:dyDescent="0.2">
      <c r="A2196" s="409" t="str">
        <f t="shared" si="115"/>
        <v>Rancho La Cuchilla</v>
      </c>
      <c r="B2196" s="430">
        <v>5750</v>
      </c>
      <c r="C2196" s="210" t="s">
        <v>803</v>
      </c>
      <c r="D2196" s="229" t="str">
        <f t="shared" si="116"/>
        <v>Rancho La Cuchilla No. 20</v>
      </c>
      <c r="E2196" s="229" t="str">
        <f t="shared" si="117"/>
        <v>Sánchez López</v>
      </c>
      <c r="F2196" s="240">
        <f t="shared" si="118"/>
        <v>300</v>
      </c>
      <c r="G2196" s="431">
        <v>1</v>
      </c>
      <c r="H2196" s="432">
        <v>400</v>
      </c>
      <c r="I2196" s="207">
        <v>41553</v>
      </c>
      <c r="J2196" s="197" t="str">
        <f t="shared" si="119"/>
        <v>ok</v>
      </c>
      <c r="AG2196" s="429">
        <v>400</v>
      </c>
      <c r="AJ2196" s="412">
        <f t="shared" si="114"/>
        <v>400</v>
      </c>
      <c r="AL2196" s="250" t="s">
        <v>2067</v>
      </c>
    </row>
    <row r="2197" spans="1:38" x14ac:dyDescent="0.2">
      <c r="A2197" s="409" t="str">
        <f t="shared" si="115"/>
        <v>Rancho Estanzuela</v>
      </c>
      <c r="B2197" s="430">
        <v>5751</v>
      </c>
      <c r="C2197" s="210" t="s">
        <v>907</v>
      </c>
      <c r="D2197" s="229" t="str">
        <f t="shared" si="116"/>
        <v>Rancho Estanzuela No. 3</v>
      </c>
      <c r="E2197" s="229" t="str">
        <f t="shared" si="117"/>
        <v>Villanueva Nájera</v>
      </c>
      <c r="F2197" s="240">
        <f t="shared" si="118"/>
        <v>150</v>
      </c>
      <c r="G2197" s="431">
        <v>1</v>
      </c>
      <c r="H2197" s="432">
        <v>600</v>
      </c>
      <c r="I2197" s="207">
        <v>41553</v>
      </c>
      <c r="J2197" s="197" t="str">
        <f t="shared" si="119"/>
        <v>ok</v>
      </c>
      <c r="AG2197" s="429">
        <v>200</v>
      </c>
      <c r="AH2197">
        <v>200</v>
      </c>
      <c r="AI2197">
        <v>200</v>
      </c>
      <c r="AJ2197" s="412">
        <f t="shared" si="114"/>
        <v>600</v>
      </c>
      <c r="AL2197" s="250" t="s">
        <v>2067</v>
      </c>
    </row>
    <row r="2198" spans="1:38" x14ac:dyDescent="0.2">
      <c r="A2198" s="409" t="str">
        <f t="shared" si="115"/>
        <v>Rancho Landero</v>
      </c>
      <c r="B2198" s="430">
        <v>5752</v>
      </c>
      <c r="C2198" s="210" t="s">
        <v>977</v>
      </c>
      <c r="D2198" s="229" t="str">
        <f t="shared" si="116"/>
        <v>Rancho Landero No. 7</v>
      </c>
      <c r="E2198" s="229" t="str">
        <f t="shared" si="117"/>
        <v>Robles</v>
      </c>
      <c r="F2198" s="240">
        <f t="shared" si="118"/>
        <v>150</v>
      </c>
      <c r="G2198" s="431">
        <v>1</v>
      </c>
      <c r="H2198" s="432">
        <v>150</v>
      </c>
      <c r="I2198" s="207">
        <v>41553</v>
      </c>
      <c r="J2198" s="197" t="str">
        <f t="shared" si="119"/>
        <v>ok</v>
      </c>
      <c r="AG2198" s="429">
        <v>150</v>
      </c>
      <c r="AJ2198" s="412">
        <f t="shared" si="114"/>
        <v>150</v>
      </c>
      <c r="AL2198" s="250" t="s">
        <v>2067</v>
      </c>
    </row>
    <row r="2199" spans="1:38" x14ac:dyDescent="0.2">
      <c r="A2199" s="409" t="str">
        <f t="shared" si="115"/>
        <v>Rancho La Cuchilla</v>
      </c>
      <c r="B2199" s="430">
        <v>5753</v>
      </c>
      <c r="C2199" s="210" t="s">
        <v>851</v>
      </c>
      <c r="D2199" s="229" t="str">
        <f t="shared" si="116"/>
        <v>Rancho La Cuchilla No. 92</v>
      </c>
      <c r="E2199" s="229" t="str">
        <f t="shared" si="117"/>
        <v>Cabrera</v>
      </c>
      <c r="F2199" s="240">
        <f t="shared" si="118"/>
        <v>300</v>
      </c>
      <c r="G2199" s="431">
        <v>1</v>
      </c>
      <c r="H2199" s="432">
        <v>400</v>
      </c>
      <c r="I2199" s="207">
        <v>41553</v>
      </c>
      <c r="J2199" s="197" t="str">
        <f t="shared" si="119"/>
        <v>ok</v>
      </c>
      <c r="AG2199" s="429">
        <v>400</v>
      </c>
      <c r="AJ2199" s="412">
        <f t="shared" si="114"/>
        <v>400</v>
      </c>
      <c r="AL2199" s="250" t="s">
        <v>2067</v>
      </c>
    </row>
    <row r="2200" spans="1:38" x14ac:dyDescent="0.2">
      <c r="A2200" s="409" t="str">
        <f t="shared" si="115"/>
        <v>Rancho La Cuchilla</v>
      </c>
      <c r="B2200" s="430">
        <v>5754</v>
      </c>
      <c r="C2200" s="210" t="s">
        <v>775</v>
      </c>
      <c r="D2200" s="229" t="str">
        <f t="shared" si="116"/>
        <v>Rancho La Cuchilla No. 89</v>
      </c>
      <c r="E2200" s="229" t="str">
        <f t="shared" si="117"/>
        <v>Gálvez</v>
      </c>
      <c r="F2200" s="240">
        <f t="shared" si="118"/>
        <v>300</v>
      </c>
      <c r="G2200" s="431">
        <v>1</v>
      </c>
      <c r="H2200" s="432">
        <v>400</v>
      </c>
      <c r="I2200" s="207">
        <v>41553</v>
      </c>
      <c r="J2200" s="197" t="str">
        <f t="shared" si="119"/>
        <v>ok</v>
      </c>
      <c r="AG2200" s="429">
        <v>400</v>
      </c>
      <c r="AJ2200" s="412">
        <f t="shared" si="114"/>
        <v>400</v>
      </c>
      <c r="AL2200" s="250" t="s">
        <v>2067</v>
      </c>
    </row>
    <row r="2201" spans="1:38" x14ac:dyDescent="0.2">
      <c r="A2201" s="409" t="str">
        <f t="shared" si="115"/>
        <v>Rancho Recoveco</v>
      </c>
      <c r="B2201" s="430">
        <v>5755</v>
      </c>
      <c r="C2201" s="210" t="s">
        <v>782</v>
      </c>
      <c r="D2201" s="229" t="str">
        <f t="shared" si="116"/>
        <v>Rancho Recoveco No. 195</v>
      </c>
      <c r="E2201" s="229" t="str">
        <f t="shared" si="117"/>
        <v>Sandoval</v>
      </c>
      <c r="F2201" s="240">
        <f t="shared" si="118"/>
        <v>300</v>
      </c>
      <c r="G2201" s="431">
        <v>1</v>
      </c>
      <c r="H2201" s="432">
        <v>700</v>
      </c>
      <c r="I2201" s="207">
        <v>41553</v>
      </c>
      <c r="J2201" s="197" t="str">
        <f t="shared" si="119"/>
        <v>ok</v>
      </c>
      <c r="AF2201">
        <v>300</v>
      </c>
      <c r="AG2201" s="429">
        <v>400</v>
      </c>
      <c r="AJ2201" s="412">
        <f t="shared" si="114"/>
        <v>700</v>
      </c>
      <c r="AL2201" s="250" t="s">
        <v>2067</v>
      </c>
    </row>
    <row r="2202" spans="1:38" x14ac:dyDescent="0.2">
      <c r="A2202" s="409" t="str">
        <f t="shared" si="115"/>
        <v>Rancho La Cuchilla</v>
      </c>
      <c r="B2202" s="430">
        <v>5756</v>
      </c>
      <c r="C2202" s="210" t="s">
        <v>855</v>
      </c>
      <c r="D2202" s="229" t="str">
        <f t="shared" si="116"/>
        <v>Rancho La Cuchilla No. 96</v>
      </c>
      <c r="E2202" s="229" t="str">
        <f t="shared" si="117"/>
        <v>Valdez Álvarez</v>
      </c>
      <c r="F2202" s="240">
        <f t="shared" si="118"/>
        <v>300</v>
      </c>
      <c r="G2202" s="431">
        <v>1</v>
      </c>
      <c r="H2202" s="432">
        <v>300</v>
      </c>
      <c r="I2202" s="207">
        <v>41553</v>
      </c>
      <c r="J2202" s="197" t="str">
        <f t="shared" si="119"/>
        <v>ok</v>
      </c>
      <c r="AG2202" s="429">
        <v>100</v>
      </c>
      <c r="AH2202">
        <v>100</v>
      </c>
      <c r="AI2202">
        <v>100</v>
      </c>
      <c r="AJ2202" s="412">
        <f t="shared" si="114"/>
        <v>300</v>
      </c>
      <c r="AL2202" s="250" t="s">
        <v>2067</v>
      </c>
    </row>
    <row r="2203" spans="1:38" x14ac:dyDescent="0.2">
      <c r="A2203" s="409" t="str">
        <f t="shared" si="115"/>
        <v>Rancho La Cuchilla</v>
      </c>
      <c r="B2203" s="430">
        <v>5757</v>
      </c>
      <c r="C2203" s="210" t="s">
        <v>855</v>
      </c>
      <c r="D2203" s="229" t="str">
        <f t="shared" si="116"/>
        <v>Rancho La Cuchilla No. 96</v>
      </c>
      <c r="E2203" s="229" t="str">
        <f t="shared" si="117"/>
        <v>Valdez Álvarez</v>
      </c>
      <c r="F2203" s="240">
        <f t="shared" si="118"/>
        <v>300</v>
      </c>
      <c r="G2203" s="431">
        <v>4</v>
      </c>
      <c r="H2203" s="432">
        <v>160</v>
      </c>
      <c r="I2203" s="207">
        <v>41553</v>
      </c>
      <c r="J2203" s="197" t="str">
        <f t="shared" si="119"/>
        <v>ok</v>
      </c>
      <c r="AG2203" s="429"/>
      <c r="AJ2203" s="412">
        <f t="shared" si="114"/>
        <v>0</v>
      </c>
      <c r="AL2203" s="250" t="s">
        <v>2067</v>
      </c>
    </row>
    <row r="2204" spans="1:38" x14ac:dyDescent="0.2">
      <c r="A2204" s="409" t="str">
        <f t="shared" si="115"/>
        <v>Rancho Zinamba</v>
      </c>
      <c r="B2204" s="430">
        <v>5758</v>
      </c>
      <c r="C2204" s="210" t="s">
        <v>1161</v>
      </c>
      <c r="D2204" s="229" t="str">
        <f t="shared" si="116"/>
        <v>Rancho Zinamba No. 36</v>
      </c>
      <c r="E2204" s="229" t="str">
        <f t="shared" si="117"/>
        <v>Rodríguez Ortiz</v>
      </c>
      <c r="F2204" s="240">
        <f t="shared" si="118"/>
        <v>300</v>
      </c>
      <c r="G2204" s="431">
        <v>1</v>
      </c>
      <c r="H2204" s="432">
        <v>600</v>
      </c>
      <c r="I2204" s="207">
        <v>41553</v>
      </c>
      <c r="J2204" s="197" t="str">
        <f t="shared" si="119"/>
        <v>ok</v>
      </c>
      <c r="AF2204">
        <v>300</v>
      </c>
      <c r="AG2204" s="429">
        <v>300</v>
      </c>
      <c r="AJ2204" s="412">
        <f t="shared" si="114"/>
        <v>600</v>
      </c>
      <c r="AL2204" s="250" t="s">
        <v>2067</v>
      </c>
    </row>
    <row r="2205" spans="1:38" x14ac:dyDescent="0.2">
      <c r="A2205" s="409" t="str">
        <f t="shared" si="115"/>
        <v>Rancho La Cuchilla</v>
      </c>
      <c r="B2205" s="430">
        <v>5759</v>
      </c>
      <c r="C2205" s="210" t="s">
        <v>861</v>
      </c>
      <c r="D2205" s="229" t="str">
        <f t="shared" si="116"/>
        <v>Rancho La Cuchilla No. 112, PB</v>
      </c>
      <c r="E2205" s="229" t="str">
        <f t="shared" si="117"/>
        <v>Soreque</v>
      </c>
      <c r="F2205" s="240">
        <f t="shared" si="118"/>
        <v>150</v>
      </c>
      <c r="G2205" s="431">
        <v>1</v>
      </c>
      <c r="H2205" s="432">
        <v>200</v>
      </c>
      <c r="I2205" s="207">
        <v>41553</v>
      </c>
      <c r="J2205" s="197" t="str">
        <f t="shared" si="119"/>
        <v>ok</v>
      </c>
      <c r="AG2205" s="429">
        <v>200</v>
      </c>
      <c r="AJ2205" s="412">
        <f t="shared" si="114"/>
        <v>200</v>
      </c>
      <c r="AL2205" s="250" t="s">
        <v>2067</v>
      </c>
    </row>
    <row r="2206" spans="1:38" x14ac:dyDescent="0.2">
      <c r="A2206" s="409" t="str">
        <f t="shared" si="115"/>
        <v>Rancho La Cuchilla</v>
      </c>
      <c r="B2206" s="430">
        <v>5760</v>
      </c>
      <c r="C2206" s="210" t="s">
        <v>843</v>
      </c>
      <c r="D2206" s="229" t="str">
        <f t="shared" si="116"/>
        <v>Rancho La Cuchilla No. 81, A</v>
      </c>
      <c r="E2206" s="229" t="str">
        <f t="shared" si="117"/>
        <v>Barrientos López</v>
      </c>
      <c r="F2206" s="240">
        <f t="shared" si="118"/>
        <v>300</v>
      </c>
      <c r="G2206" s="431">
        <v>1</v>
      </c>
      <c r="H2206" s="432">
        <v>400</v>
      </c>
      <c r="I2206" s="207">
        <v>41553</v>
      </c>
      <c r="J2206" s="197" t="str">
        <f t="shared" si="119"/>
        <v>ok</v>
      </c>
      <c r="AG2206" s="429">
        <v>400</v>
      </c>
      <c r="AJ2206" s="412">
        <f t="shared" si="114"/>
        <v>400</v>
      </c>
      <c r="AL2206" s="250" t="s">
        <v>2067</v>
      </c>
    </row>
    <row r="2207" spans="1:38" x14ac:dyDescent="0.2">
      <c r="A2207" s="409" t="str">
        <f t="shared" si="115"/>
        <v>Rancho Upácuaro</v>
      </c>
      <c r="B2207" s="430">
        <v>5761</v>
      </c>
      <c r="C2207" s="210" t="s">
        <v>777</v>
      </c>
      <c r="D2207" s="229" t="str">
        <f t="shared" si="116"/>
        <v>Rancho Upácuaro No. 47</v>
      </c>
      <c r="E2207" s="229" t="str">
        <f t="shared" si="117"/>
        <v>Flores Muñoz</v>
      </c>
      <c r="F2207" s="240">
        <f t="shared" si="118"/>
        <v>300</v>
      </c>
      <c r="G2207" s="431">
        <v>1</v>
      </c>
      <c r="H2207" s="432">
        <v>400</v>
      </c>
      <c r="I2207" s="207">
        <v>41553</v>
      </c>
      <c r="J2207" s="197" t="str">
        <f t="shared" si="119"/>
        <v>ok</v>
      </c>
      <c r="AG2207" s="429">
        <v>400</v>
      </c>
      <c r="AJ2207" s="412">
        <f t="shared" si="114"/>
        <v>400</v>
      </c>
      <c r="AL2207" s="250" t="s">
        <v>2067</v>
      </c>
    </row>
    <row r="2208" spans="1:38" x14ac:dyDescent="0.2">
      <c r="A2208" s="409" t="str">
        <f t="shared" si="115"/>
        <v>Rancho Upácuaro</v>
      </c>
      <c r="B2208" s="430">
        <v>5762</v>
      </c>
      <c r="C2208" s="210" t="s">
        <v>1076</v>
      </c>
      <c r="D2208" s="229" t="str">
        <f t="shared" si="116"/>
        <v>Rancho Upácuaro No. 18</v>
      </c>
      <c r="E2208" s="229" t="str">
        <f t="shared" si="117"/>
        <v>Guzmán</v>
      </c>
      <c r="F2208" s="240">
        <f t="shared" si="118"/>
        <v>300</v>
      </c>
      <c r="G2208" s="431">
        <v>1</v>
      </c>
      <c r="H2208" s="432">
        <v>300</v>
      </c>
      <c r="I2208" s="207">
        <v>41553</v>
      </c>
      <c r="J2208" s="197" t="str">
        <f t="shared" si="119"/>
        <v>ok</v>
      </c>
      <c r="AG2208" s="429">
        <v>300</v>
      </c>
      <c r="AJ2208" s="412">
        <f t="shared" si="114"/>
        <v>300</v>
      </c>
      <c r="AL2208" s="250" t="s">
        <v>2067</v>
      </c>
    </row>
    <row r="2209" spans="1:38" x14ac:dyDescent="0.2">
      <c r="A2209" s="409" t="str">
        <f t="shared" si="115"/>
        <v>Rancho Landero</v>
      </c>
      <c r="B2209" s="430">
        <v>5763</v>
      </c>
      <c r="C2209" s="210" t="s">
        <v>1034</v>
      </c>
      <c r="D2209" s="229" t="str">
        <f t="shared" ref="D2209:D2272" si="120">IF(C2209=0,"",VLOOKUP(C2209,BASE_A,6,FALSE))</f>
        <v>Rancho Landero No. 86</v>
      </c>
      <c r="E2209" s="229" t="str">
        <f t="shared" ref="E2209:E2272" si="121">IF(C2209=0,"",VLOOKUP(C2209,BASE_A,8,FALSE))</f>
        <v>Cuervo</v>
      </c>
      <c r="F2209" s="240">
        <f t="shared" ref="F2209:F2272" si="122">IF(C2209=0,"",VLOOKUP(C2209,BASE_A,9,FALSE))</f>
        <v>300</v>
      </c>
      <c r="G2209" s="431">
        <v>4</v>
      </c>
      <c r="H2209" s="432">
        <v>160</v>
      </c>
      <c r="I2209" s="207">
        <v>41553</v>
      </c>
      <c r="J2209" s="197" t="str">
        <f t="shared" si="119"/>
        <v>ok</v>
      </c>
      <c r="AG2209" s="429"/>
      <c r="AJ2209" s="412">
        <f t="shared" si="114"/>
        <v>0</v>
      </c>
      <c r="AL2209" s="250" t="s">
        <v>2067</v>
      </c>
    </row>
    <row r="2210" spans="1:38" x14ac:dyDescent="0.2">
      <c r="A2210" s="409" t="str">
        <f t="shared" si="115"/>
        <v>Rancho La Cuchilla</v>
      </c>
      <c r="B2210" s="430">
        <v>5764</v>
      </c>
      <c r="C2210" s="210" t="s">
        <v>802</v>
      </c>
      <c r="D2210" s="229" t="str">
        <f t="shared" si="120"/>
        <v>Rancho La Cuchilla No. 19</v>
      </c>
      <c r="E2210" s="229" t="str">
        <f t="shared" si="121"/>
        <v>Tapia Vázquez</v>
      </c>
      <c r="F2210" s="240">
        <f t="shared" si="122"/>
        <v>300</v>
      </c>
      <c r="G2210" s="431">
        <v>1</v>
      </c>
      <c r="H2210" s="432">
        <v>300</v>
      </c>
      <c r="I2210" s="207">
        <v>41553</v>
      </c>
      <c r="J2210" s="197" t="str">
        <f t="shared" si="119"/>
        <v>ok</v>
      </c>
      <c r="AG2210" s="429">
        <v>300</v>
      </c>
      <c r="AJ2210" s="412">
        <f t="shared" si="114"/>
        <v>300</v>
      </c>
      <c r="AL2210" s="250" t="s">
        <v>2067</v>
      </c>
    </row>
    <row r="2211" spans="1:38" x14ac:dyDescent="0.2">
      <c r="A2211" s="409" t="str">
        <f t="shared" si="115"/>
        <v>Rancho Upácuaro</v>
      </c>
      <c r="B2211" s="430">
        <v>5765</v>
      </c>
      <c r="C2211" s="210" t="s">
        <v>1146</v>
      </c>
      <c r="D2211" s="229" t="str">
        <f t="shared" si="120"/>
        <v>Rancho Upácuaro No. 136</v>
      </c>
      <c r="E2211" s="229" t="str">
        <f t="shared" si="121"/>
        <v>López Lena</v>
      </c>
      <c r="F2211" s="240">
        <f t="shared" si="122"/>
        <v>300</v>
      </c>
      <c r="G2211" s="431">
        <v>1</v>
      </c>
      <c r="H2211" s="432">
        <v>400</v>
      </c>
      <c r="I2211" s="207">
        <v>41553</v>
      </c>
      <c r="J2211" s="197" t="str">
        <f t="shared" si="119"/>
        <v>ok</v>
      </c>
      <c r="AG2211" s="429">
        <v>400</v>
      </c>
      <c r="AJ2211" s="412">
        <f t="shared" si="114"/>
        <v>400</v>
      </c>
      <c r="AL2211" s="250" t="s">
        <v>2067</v>
      </c>
    </row>
    <row r="2212" spans="1:38" x14ac:dyDescent="0.2">
      <c r="A2212" s="409" t="str">
        <f t="shared" si="115"/>
        <v>Rancho La Cuchilla</v>
      </c>
      <c r="B2212" s="430">
        <v>5766</v>
      </c>
      <c r="C2212" s="210" t="s">
        <v>785</v>
      </c>
      <c r="D2212" s="229" t="str">
        <f t="shared" si="120"/>
        <v>Rancho La Cuchilla No. 47</v>
      </c>
      <c r="E2212" s="229" t="str">
        <f t="shared" si="121"/>
        <v>López</v>
      </c>
      <c r="F2212" s="240">
        <f t="shared" si="122"/>
        <v>300</v>
      </c>
      <c r="G2212" s="431">
        <v>1</v>
      </c>
      <c r="H2212" s="432">
        <v>2000</v>
      </c>
      <c r="I2212" s="207">
        <v>41553</v>
      </c>
      <c r="J2212" s="197" t="str">
        <f t="shared" si="119"/>
        <v>ok</v>
      </c>
      <c r="AC2212">
        <v>300</v>
      </c>
      <c r="AD2212">
        <v>300</v>
      </c>
      <c r="AE2212">
        <v>300</v>
      </c>
      <c r="AF2212">
        <v>300</v>
      </c>
      <c r="AG2212" s="429">
        <v>400</v>
      </c>
      <c r="AH2212">
        <v>400</v>
      </c>
      <c r="AJ2212" s="412">
        <f t="shared" si="114"/>
        <v>2000</v>
      </c>
      <c r="AL2212" s="250" t="s">
        <v>2067</v>
      </c>
    </row>
    <row r="2213" spans="1:38" x14ac:dyDescent="0.2">
      <c r="A2213" s="409" t="str">
        <f t="shared" si="115"/>
        <v>Rancho Recoveco</v>
      </c>
      <c r="B2213" s="430">
        <v>5767</v>
      </c>
      <c r="C2213" s="210" t="s">
        <v>1055</v>
      </c>
      <c r="D2213" s="229" t="str">
        <f t="shared" si="120"/>
        <v>Rancho Recoveco No. 1</v>
      </c>
      <c r="E2213" s="229" t="str">
        <f t="shared" si="121"/>
        <v>Díaz</v>
      </c>
      <c r="F2213" s="240">
        <f t="shared" si="122"/>
        <v>300</v>
      </c>
      <c r="G2213" s="431">
        <v>1</v>
      </c>
      <c r="H2213" s="432">
        <v>300</v>
      </c>
      <c r="I2213" s="207">
        <v>41553</v>
      </c>
      <c r="J2213" s="197" t="str">
        <f t="shared" si="119"/>
        <v>ok</v>
      </c>
      <c r="AG2213" s="429">
        <v>300</v>
      </c>
      <c r="AJ2213" s="412">
        <f t="shared" si="114"/>
        <v>300</v>
      </c>
      <c r="AL2213" s="250" t="s">
        <v>2067</v>
      </c>
    </row>
    <row r="2214" spans="1:38" x14ac:dyDescent="0.2">
      <c r="A2214" s="409" t="str">
        <f t="shared" si="115"/>
        <v>Rancho Estanzuela</v>
      </c>
      <c r="B2214" s="430">
        <v>5768</v>
      </c>
      <c r="C2214" s="210" t="s">
        <v>937</v>
      </c>
      <c r="D2214" s="229" t="str">
        <f t="shared" si="120"/>
        <v>Rancho Estanzuela No. 77</v>
      </c>
      <c r="E2214" s="229" t="str">
        <f t="shared" si="121"/>
        <v>De la Rosa Rico</v>
      </c>
      <c r="F2214" s="240">
        <f t="shared" si="122"/>
        <v>300</v>
      </c>
      <c r="G2214" s="431">
        <v>1</v>
      </c>
      <c r="H2214" s="432">
        <v>900</v>
      </c>
      <c r="I2214" s="207">
        <v>41553</v>
      </c>
      <c r="J2214" s="197" t="str">
        <f t="shared" si="119"/>
        <v>ok</v>
      </c>
      <c r="AD2214">
        <v>300</v>
      </c>
      <c r="AE2214">
        <v>300</v>
      </c>
      <c r="AF2214">
        <v>300</v>
      </c>
      <c r="AG2214" s="429"/>
      <c r="AJ2214" s="412">
        <f t="shared" si="114"/>
        <v>900</v>
      </c>
      <c r="AL2214" s="250" t="s">
        <v>2067</v>
      </c>
    </row>
    <row r="2215" spans="1:38" x14ac:dyDescent="0.2">
      <c r="A2215" s="409" t="str">
        <f t="shared" si="115"/>
        <v>Rancho Landero</v>
      </c>
      <c r="B2215" s="430">
        <v>5769</v>
      </c>
      <c r="C2215" s="210" t="s">
        <v>1006</v>
      </c>
      <c r="D2215" s="229" t="str">
        <f t="shared" si="120"/>
        <v>Rancho Landero No. 42</v>
      </c>
      <c r="E2215" s="229" t="str">
        <f t="shared" si="121"/>
        <v>Ávila Fidel</v>
      </c>
      <c r="F2215" s="240">
        <f t="shared" si="122"/>
        <v>300</v>
      </c>
      <c r="G2215" s="431">
        <v>1</v>
      </c>
      <c r="H2215" s="432">
        <v>400</v>
      </c>
      <c r="I2215" s="207">
        <v>41553</v>
      </c>
      <c r="J2215" s="197" t="str">
        <f t="shared" si="119"/>
        <v>ok</v>
      </c>
      <c r="AG2215" s="429">
        <v>400</v>
      </c>
      <c r="AJ2215" s="412">
        <f t="shared" si="114"/>
        <v>400</v>
      </c>
      <c r="AL2215" s="250" t="s">
        <v>2067</v>
      </c>
    </row>
    <row r="2216" spans="1:38" x14ac:dyDescent="0.2">
      <c r="A2216" s="409" t="str">
        <f t="shared" si="115"/>
        <v>Rancho Landero</v>
      </c>
      <c r="B2216" s="430">
        <v>5770</v>
      </c>
      <c r="C2216" s="210" t="s">
        <v>1043</v>
      </c>
      <c r="D2216" s="229" t="str">
        <f t="shared" si="120"/>
        <v>Rancho Landero No. 99</v>
      </c>
      <c r="E2216" s="229" t="str">
        <f t="shared" si="121"/>
        <v>Rangel</v>
      </c>
      <c r="F2216" s="240">
        <f t="shared" si="122"/>
        <v>300</v>
      </c>
      <c r="G2216" s="431">
        <v>1</v>
      </c>
      <c r="H2216" s="432">
        <v>300</v>
      </c>
      <c r="I2216" s="207">
        <v>41553</v>
      </c>
      <c r="J2216" s="197" t="str">
        <f t="shared" si="119"/>
        <v>ok</v>
      </c>
      <c r="AF2216">
        <v>300</v>
      </c>
      <c r="AG2216" s="429"/>
      <c r="AJ2216" s="412">
        <f t="shared" si="114"/>
        <v>300</v>
      </c>
      <c r="AL2216" s="250" t="s">
        <v>2067</v>
      </c>
    </row>
    <row r="2217" spans="1:38" x14ac:dyDescent="0.2">
      <c r="A2217" s="409" t="str">
        <f t="shared" si="115"/>
        <v>Rancho La Cuchilla</v>
      </c>
      <c r="B2217" s="430">
        <v>5771</v>
      </c>
      <c r="C2217" s="210" t="s">
        <v>839</v>
      </c>
      <c r="D2217" s="229" t="str">
        <f t="shared" si="120"/>
        <v>Rancho La Cuchilla No. 75</v>
      </c>
      <c r="E2217" s="229" t="str">
        <f t="shared" si="121"/>
        <v>Sosa Lucio</v>
      </c>
      <c r="F2217" s="240">
        <f t="shared" si="122"/>
        <v>300</v>
      </c>
      <c r="G2217" s="431">
        <v>3</v>
      </c>
      <c r="H2217" s="432">
        <v>160</v>
      </c>
      <c r="I2217" s="207">
        <v>41553</v>
      </c>
      <c r="J2217" s="197" t="str">
        <f t="shared" si="119"/>
        <v>ok</v>
      </c>
      <c r="AG2217" s="429"/>
      <c r="AJ2217" s="412">
        <f t="shared" si="114"/>
        <v>0</v>
      </c>
      <c r="AL2217" s="250" t="s">
        <v>2067</v>
      </c>
    </row>
    <row r="2218" spans="1:38" x14ac:dyDescent="0.2">
      <c r="A2218" s="409" t="str">
        <f t="shared" si="115"/>
        <v>Rancho La Cuchilla</v>
      </c>
      <c r="B2218" s="430">
        <v>5772</v>
      </c>
      <c r="C2218" s="210" t="s">
        <v>871</v>
      </c>
      <c r="D2218" s="229" t="str">
        <f t="shared" si="120"/>
        <v>Rancho La Cuchilla No. 129</v>
      </c>
      <c r="E2218" s="229" t="str">
        <f t="shared" si="121"/>
        <v>Gamboa Rueda</v>
      </c>
      <c r="F2218" s="240">
        <f t="shared" si="122"/>
        <v>200</v>
      </c>
      <c r="G2218" s="431">
        <v>1</v>
      </c>
      <c r="H2218" s="432">
        <v>100</v>
      </c>
      <c r="I2218" s="207">
        <v>41553</v>
      </c>
      <c r="J2218" s="197" t="str">
        <f t="shared" si="119"/>
        <v>ok</v>
      </c>
      <c r="AG2218" s="429">
        <v>100</v>
      </c>
      <c r="AJ2218" s="412">
        <f t="shared" si="114"/>
        <v>100</v>
      </c>
      <c r="AK2218" t="s">
        <v>2075</v>
      </c>
      <c r="AL2218" s="250" t="s">
        <v>2067</v>
      </c>
    </row>
    <row r="2219" spans="1:38" x14ac:dyDescent="0.2">
      <c r="A2219" s="409" t="str">
        <f t="shared" si="115"/>
        <v>Rancho Upácuaro</v>
      </c>
      <c r="B2219" s="430">
        <v>5773</v>
      </c>
      <c r="C2219" s="210" t="s">
        <v>778</v>
      </c>
      <c r="D2219" s="229" t="str">
        <f t="shared" si="120"/>
        <v>Rancho Upácuaro No. 100</v>
      </c>
      <c r="E2219" s="229" t="str">
        <f t="shared" si="121"/>
        <v>Mancera Rodríguez</v>
      </c>
      <c r="F2219" s="240">
        <f t="shared" si="122"/>
        <v>300</v>
      </c>
      <c r="G2219" s="431">
        <v>1</v>
      </c>
      <c r="H2219" s="432">
        <v>400</v>
      </c>
      <c r="I2219" s="207">
        <v>41553</v>
      </c>
      <c r="J2219" s="197" t="str">
        <f t="shared" si="119"/>
        <v>ok</v>
      </c>
      <c r="AG2219" s="429">
        <v>400</v>
      </c>
      <c r="AJ2219" s="412">
        <f t="shared" si="114"/>
        <v>400</v>
      </c>
      <c r="AL2219" s="250" t="s">
        <v>2067</v>
      </c>
    </row>
    <row r="2220" spans="1:38" x14ac:dyDescent="0.2">
      <c r="A2220" s="409" t="str">
        <f t="shared" si="115"/>
        <v>Rancho La Cuchilla</v>
      </c>
      <c r="B2220" s="430">
        <v>5774</v>
      </c>
      <c r="C2220" s="210" t="s">
        <v>877</v>
      </c>
      <c r="D2220" s="229" t="str">
        <f t="shared" si="120"/>
        <v>Rancho La Cuchilla No. 135</v>
      </c>
      <c r="E2220" s="229" t="str">
        <f t="shared" si="121"/>
        <v>Ruiz</v>
      </c>
      <c r="F2220" s="240">
        <f t="shared" si="122"/>
        <v>300</v>
      </c>
      <c r="I2220" s="207">
        <v>41553</v>
      </c>
      <c r="J2220" s="197" t="str">
        <f t="shared" si="119"/>
        <v>ok</v>
      </c>
      <c r="AG2220" s="429"/>
      <c r="AJ2220" s="412">
        <f t="shared" si="114"/>
        <v>0</v>
      </c>
      <c r="AK2220" t="s">
        <v>2076</v>
      </c>
      <c r="AL2220" s="250" t="s">
        <v>2067</v>
      </c>
    </row>
    <row r="2221" spans="1:38" x14ac:dyDescent="0.2">
      <c r="A2221" s="409" t="str">
        <f t="shared" si="115"/>
        <v>Rancho Landero</v>
      </c>
      <c r="B2221" s="430">
        <v>5775</v>
      </c>
      <c r="C2221" s="210" t="s">
        <v>1035</v>
      </c>
      <c r="D2221" s="229" t="str">
        <f t="shared" si="120"/>
        <v>Rancho Landero No. 87</v>
      </c>
      <c r="E2221" s="229" t="str">
        <f t="shared" si="121"/>
        <v>Fey Lafferla</v>
      </c>
      <c r="F2221" s="240">
        <f t="shared" si="122"/>
        <v>300</v>
      </c>
      <c r="G2221" s="431">
        <v>1</v>
      </c>
      <c r="H2221" s="432">
        <v>300</v>
      </c>
      <c r="I2221" s="207">
        <v>41553</v>
      </c>
      <c r="J2221" s="197" t="str">
        <f t="shared" si="119"/>
        <v>ok</v>
      </c>
      <c r="AF2221">
        <v>300</v>
      </c>
      <c r="AG2221" s="429"/>
      <c r="AJ2221" s="412">
        <f t="shared" si="114"/>
        <v>300</v>
      </c>
      <c r="AL2221" s="250" t="s">
        <v>2067</v>
      </c>
    </row>
    <row r="2222" spans="1:38" x14ac:dyDescent="0.2">
      <c r="A2222" s="409" t="str">
        <f t="shared" si="115"/>
        <v>Rancho Upácuaro</v>
      </c>
      <c r="B2222" s="430">
        <v>5776</v>
      </c>
      <c r="C2222" s="210" t="s">
        <v>1079</v>
      </c>
      <c r="D2222" s="229" t="str">
        <f t="shared" si="120"/>
        <v>Rancho Upácuaro No. 21</v>
      </c>
      <c r="E2222" s="229" t="str">
        <f t="shared" si="121"/>
        <v>Fierro Betancourt</v>
      </c>
      <c r="F2222" s="240">
        <f t="shared" si="122"/>
        <v>150</v>
      </c>
      <c r="G2222" s="431">
        <v>1</v>
      </c>
      <c r="H2222" s="432">
        <v>200</v>
      </c>
      <c r="I2222" s="207">
        <v>41553</v>
      </c>
      <c r="J2222" s="197" t="str">
        <f t="shared" si="119"/>
        <v>ok</v>
      </c>
      <c r="AG2222" s="429">
        <v>200</v>
      </c>
      <c r="AJ2222" s="412">
        <f t="shared" si="114"/>
        <v>200</v>
      </c>
      <c r="AL2222" s="250" t="s">
        <v>2067</v>
      </c>
    </row>
    <row r="2223" spans="1:38" x14ac:dyDescent="0.2">
      <c r="A2223" s="409" t="str">
        <f t="shared" si="115"/>
        <v>Rancho Upácuaro</v>
      </c>
      <c r="B2223" s="430">
        <v>5777</v>
      </c>
      <c r="C2223" s="210" t="s">
        <v>779</v>
      </c>
      <c r="D2223" s="229" t="str">
        <f t="shared" si="120"/>
        <v>Rancho Upácuaro No. 32</v>
      </c>
      <c r="E2223" s="229" t="str">
        <f t="shared" si="121"/>
        <v>Sairafi Carmen</v>
      </c>
      <c r="F2223" s="240">
        <f t="shared" si="122"/>
        <v>300</v>
      </c>
      <c r="G2223" s="431">
        <v>1</v>
      </c>
      <c r="H2223" s="432">
        <v>400</v>
      </c>
      <c r="I2223" s="207">
        <v>41553</v>
      </c>
      <c r="J2223" s="197" t="str">
        <f t="shared" si="119"/>
        <v>ok</v>
      </c>
      <c r="AG2223" s="429">
        <v>400</v>
      </c>
      <c r="AJ2223" s="412">
        <f t="shared" si="114"/>
        <v>400</v>
      </c>
      <c r="AL2223" s="250" t="s">
        <v>2067</v>
      </c>
    </row>
    <row r="2224" spans="1:38" x14ac:dyDescent="0.2">
      <c r="A2224" s="409" t="str">
        <f t="shared" si="115"/>
        <v>Rancho Landero</v>
      </c>
      <c r="B2224" s="430">
        <v>5778</v>
      </c>
      <c r="C2224" s="210" t="s">
        <v>1016</v>
      </c>
      <c r="D2224" s="229" t="str">
        <f t="shared" si="120"/>
        <v>Rancho Landero No. 58</v>
      </c>
      <c r="E2224" s="229" t="str">
        <f t="shared" si="121"/>
        <v>Valero</v>
      </c>
      <c r="F2224" s="240">
        <f t="shared" si="122"/>
        <v>300</v>
      </c>
      <c r="G2224" s="431">
        <v>1</v>
      </c>
      <c r="H2224" s="432">
        <v>400</v>
      </c>
      <c r="I2224" s="207">
        <v>41553</v>
      </c>
      <c r="J2224" s="197" t="str">
        <f t="shared" si="119"/>
        <v>ok</v>
      </c>
      <c r="AG2224" s="429">
        <v>400</v>
      </c>
      <c r="AJ2224" s="412">
        <f t="shared" si="114"/>
        <v>400</v>
      </c>
      <c r="AL2224" s="250" t="s">
        <v>2067</v>
      </c>
    </row>
    <row r="2225" spans="1:38" x14ac:dyDescent="0.2">
      <c r="A2225" s="409" t="str">
        <f t="shared" si="115"/>
        <v>Rancho La Cuchilla</v>
      </c>
      <c r="B2225" s="430">
        <v>5779</v>
      </c>
      <c r="C2225" s="210" t="s">
        <v>879</v>
      </c>
      <c r="D2225" s="229" t="str">
        <f t="shared" si="120"/>
        <v>Rancho La Cuchilla No. 145</v>
      </c>
      <c r="E2225" s="229" t="str">
        <f t="shared" si="121"/>
        <v>Arámburu C.</v>
      </c>
      <c r="F2225" s="240">
        <f t="shared" si="122"/>
        <v>300</v>
      </c>
      <c r="G2225" s="431">
        <v>1</v>
      </c>
      <c r="H2225" s="432">
        <v>300</v>
      </c>
      <c r="I2225" s="207">
        <v>41553</v>
      </c>
      <c r="J2225" s="197" t="str">
        <f t="shared" si="119"/>
        <v>ok</v>
      </c>
      <c r="AG2225" s="429">
        <v>100</v>
      </c>
      <c r="AH2225">
        <v>100</v>
      </c>
      <c r="AI2225">
        <v>100</v>
      </c>
      <c r="AJ2225" s="412">
        <f t="shared" si="114"/>
        <v>300</v>
      </c>
      <c r="AL2225" s="250" t="s">
        <v>2067</v>
      </c>
    </row>
    <row r="2226" spans="1:38" x14ac:dyDescent="0.2">
      <c r="A2226" s="409" t="str">
        <f t="shared" si="115"/>
        <v>Rancho Estanzuela</v>
      </c>
      <c r="B2226" s="430">
        <v>5780</v>
      </c>
      <c r="C2226" s="210" t="s">
        <v>958</v>
      </c>
      <c r="D2226" s="229" t="str">
        <f t="shared" si="120"/>
        <v>Rancho Estanzuela No. 149</v>
      </c>
      <c r="E2226" s="229" t="str">
        <f t="shared" si="121"/>
        <v>Sala</v>
      </c>
      <c r="F2226" s="240">
        <f t="shared" si="122"/>
        <v>300</v>
      </c>
      <c r="G2226" s="431">
        <v>1</v>
      </c>
      <c r="H2226" s="432">
        <v>300</v>
      </c>
      <c r="I2226" s="207">
        <v>41553</v>
      </c>
      <c r="J2226" s="197" t="str">
        <f t="shared" si="119"/>
        <v>ok</v>
      </c>
      <c r="AG2226" s="429">
        <v>100</v>
      </c>
      <c r="AH2226">
        <v>100</v>
      </c>
      <c r="AI2226">
        <v>100</v>
      </c>
      <c r="AJ2226" s="412">
        <f t="shared" si="114"/>
        <v>300</v>
      </c>
      <c r="AL2226" s="250" t="s">
        <v>2067</v>
      </c>
    </row>
    <row r="2227" spans="1:38" x14ac:dyDescent="0.2">
      <c r="A2227" s="409" t="str">
        <f t="shared" si="115"/>
        <v>Rancho Recoveco</v>
      </c>
      <c r="B2227" s="430">
        <v>5781</v>
      </c>
      <c r="C2227" s="210" t="s">
        <v>1060</v>
      </c>
      <c r="D2227" s="229" t="str">
        <f t="shared" si="120"/>
        <v>Rancho Recoveco No. 179</v>
      </c>
      <c r="E2227" s="229" t="str">
        <f t="shared" si="121"/>
        <v>Flores Delgado</v>
      </c>
      <c r="F2227" s="240">
        <f t="shared" si="122"/>
        <v>300</v>
      </c>
      <c r="G2227" s="431">
        <v>4</v>
      </c>
      <c r="H2227" s="432">
        <v>320</v>
      </c>
      <c r="I2227" s="207">
        <v>41553</v>
      </c>
      <c r="J2227" s="197" t="str">
        <f t="shared" si="119"/>
        <v>ok</v>
      </c>
      <c r="AG2227" s="429"/>
      <c r="AJ2227" s="412">
        <f t="shared" si="114"/>
        <v>0</v>
      </c>
      <c r="AL2227" s="250" t="s">
        <v>2067</v>
      </c>
    </row>
    <row r="2228" spans="1:38" x14ac:dyDescent="0.2">
      <c r="A2228" s="409" t="str">
        <f t="shared" si="115"/>
        <v>Rancho Landero</v>
      </c>
      <c r="B2228" s="430">
        <v>5782</v>
      </c>
      <c r="C2228" s="210" t="s">
        <v>1030</v>
      </c>
      <c r="D2228" s="229" t="str">
        <f t="shared" si="120"/>
        <v>Rancho Landero No. 77</v>
      </c>
      <c r="E2228" s="229" t="str">
        <f t="shared" si="121"/>
        <v>Muñoz</v>
      </c>
      <c r="F2228" s="240">
        <f t="shared" si="122"/>
        <v>300</v>
      </c>
      <c r="G2228" s="431">
        <v>1</v>
      </c>
      <c r="H2228" s="432">
        <v>600</v>
      </c>
      <c r="I2228" s="207">
        <v>41553</v>
      </c>
      <c r="J2228" s="197" t="str">
        <f t="shared" si="119"/>
        <v>ok</v>
      </c>
      <c r="AD2228">
        <v>300</v>
      </c>
      <c r="AE2228">
        <v>300</v>
      </c>
      <c r="AG2228" s="429"/>
      <c r="AJ2228" s="412">
        <f t="shared" si="114"/>
        <v>600</v>
      </c>
      <c r="AL2228" s="250" t="s">
        <v>2067</v>
      </c>
    </row>
    <row r="2229" spans="1:38" x14ac:dyDescent="0.2">
      <c r="A2229" s="409" t="str">
        <f t="shared" si="115"/>
        <v>Rancho Landero</v>
      </c>
      <c r="B2229" s="430">
        <v>5783</v>
      </c>
      <c r="C2229" s="210" t="s">
        <v>990</v>
      </c>
      <c r="D2229" s="229" t="str">
        <f t="shared" si="120"/>
        <v>Rancho Landero No. 22</v>
      </c>
      <c r="E2229" s="229" t="str">
        <f t="shared" si="121"/>
        <v>Reyes</v>
      </c>
      <c r="F2229" s="240">
        <f t="shared" si="122"/>
        <v>150</v>
      </c>
      <c r="G2229" s="431">
        <v>1</v>
      </c>
      <c r="H2229" s="432">
        <v>200</v>
      </c>
      <c r="I2229" s="207">
        <v>41553</v>
      </c>
      <c r="J2229" s="197" t="str">
        <f t="shared" si="119"/>
        <v>ok</v>
      </c>
      <c r="AG2229" s="429">
        <v>200</v>
      </c>
      <c r="AJ2229" s="412">
        <f t="shared" si="114"/>
        <v>200</v>
      </c>
      <c r="AL2229" s="250" t="s">
        <v>2067</v>
      </c>
    </row>
    <row r="2230" spans="1:38" x14ac:dyDescent="0.2">
      <c r="A2230" s="409" t="str">
        <f t="shared" si="115"/>
        <v>Rancho Upácuaro</v>
      </c>
      <c r="B2230" s="430">
        <v>5784</v>
      </c>
      <c r="C2230" s="210" t="s">
        <v>1124</v>
      </c>
      <c r="D2230" s="229" t="str">
        <f t="shared" si="120"/>
        <v>Rancho Upácuaro No. 87</v>
      </c>
      <c r="E2230" s="229" t="str">
        <f t="shared" si="121"/>
        <v>Rodríguez Parés</v>
      </c>
      <c r="F2230" s="240">
        <f t="shared" si="122"/>
        <v>300</v>
      </c>
      <c r="G2230" s="431">
        <v>1</v>
      </c>
      <c r="H2230" s="432">
        <v>400</v>
      </c>
      <c r="I2230" s="207">
        <v>41553</v>
      </c>
      <c r="J2230" s="197" t="str">
        <f t="shared" si="119"/>
        <v>ok</v>
      </c>
      <c r="AG2230" s="429">
        <v>400</v>
      </c>
      <c r="AJ2230" s="412">
        <f t="shared" si="114"/>
        <v>400</v>
      </c>
      <c r="AL2230" s="250" t="s">
        <v>2067</v>
      </c>
    </row>
    <row r="2231" spans="1:38" x14ac:dyDescent="0.2">
      <c r="A2231" s="409" t="str">
        <f t="shared" si="115"/>
        <v>Rancho Landero</v>
      </c>
      <c r="B2231" s="430">
        <v>5785</v>
      </c>
      <c r="C2231" s="210" t="s">
        <v>1045</v>
      </c>
      <c r="D2231" s="229" t="str">
        <f t="shared" si="120"/>
        <v>Rancho Landero No. 101</v>
      </c>
      <c r="E2231" s="229" t="str">
        <f t="shared" si="121"/>
        <v>Ramírez</v>
      </c>
      <c r="F2231" s="240">
        <f t="shared" si="122"/>
        <v>300</v>
      </c>
      <c r="G2231" s="431">
        <v>1</v>
      </c>
      <c r="H2231" s="432">
        <v>400</v>
      </c>
      <c r="I2231" s="207">
        <v>41553</v>
      </c>
      <c r="J2231" s="197" t="str">
        <f t="shared" si="119"/>
        <v>ok</v>
      </c>
      <c r="AG2231" s="429">
        <v>400</v>
      </c>
      <c r="AJ2231" s="412">
        <f t="shared" si="114"/>
        <v>400</v>
      </c>
      <c r="AL2231" s="250" t="s">
        <v>2067</v>
      </c>
    </row>
    <row r="2232" spans="1:38" x14ac:dyDescent="0.2">
      <c r="A2232" s="409" t="str">
        <f t="shared" si="115"/>
        <v>Rancho La Cuchilla</v>
      </c>
      <c r="B2232" s="430">
        <v>5786</v>
      </c>
      <c r="C2232" s="210" t="s">
        <v>848</v>
      </c>
      <c r="D2232" s="229" t="str">
        <f t="shared" si="120"/>
        <v>Rancho La Cuchilla No. 87</v>
      </c>
      <c r="E2232" s="229" t="str">
        <f t="shared" si="121"/>
        <v>Villanueva S.</v>
      </c>
      <c r="F2232" s="240">
        <f t="shared" si="122"/>
        <v>300</v>
      </c>
      <c r="G2232" s="431">
        <v>1</v>
      </c>
      <c r="H2232" s="432">
        <v>400</v>
      </c>
      <c r="I2232" s="207">
        <v>41553</v>
      </c>
      <c r="J2232" s="197" t="str">
        <f t="shared" si="119"/>
        <v>ok</v>
      </c>
      <c r="AG2232" s="429">
        <v>400</v>
      </c>
      <c r="AJ2232" s="412">
        <f t="shared" si="114"/>
        <v>400</v>
      </c>
      <c r="AL2232" s="250" t="s">
        <v>2067</v>
      </c>
    </row>
    <row r="2233" spans="1:38" x14ac:dyDescent="0.2">
      <c r="A2233" s="409" t="str">
        <f t="shared" si="115"/>
        <v>Rancho Zinamba</v>
      </c>
      <c r="B2233" s="430">
        <v>5787</v>
      </c>
      <c r="C2233" s="210" t="s">
        <v>1167</v>
      </c>
      <c r="D2233" s="229" t="str">
        <f t="shared" si="120"/>
        <v>Rancho Zinamba No. 56</v>
      </c>
      <c r="E2233" s="229" t="str">
        <f t="shared" si="121"/>
        <v>Aguado</v>
      </c>
      <c r="F2233" s="240">
        <f t="shared" si="122"/>
        <v>250</v>
      </c>
      <c r="G2233" s="431">
        <v>1</v>
      </c>
      <c r="H2233" s="432">
        <v>600</v>
      </c>
      <c r="I2233" s="207">
        <v>41553</v>
      </c>
      <c r="J2233" s="197" t="str">
        <f t="shared" si="119"/>
        <v>ok</v>
      </c>
      <c r="AF2233">
        <v>250</v>
      </c>
      <c r="AG2233" s="429">
        <v>350</v>
      </c>
      <c r="AJ2233" s="412">
        <f t="shared" si="114"/>
        <v>600</v>
      </c>
      <c r="AL2233" s="250" t="s">
        <v>2067</v>
      </c>
    </row>
    <row r="2234" spans="1:38" x14ac:dyDescent="0.2">
      <c r="A2234" s="409" t="str">
        <f t="shared" si="115"/>
        <v>Rancho La Cuchilla</v>
      </c>
      <c r="B2234" s="430">
        <v>5788</v>
      </c>
      <c r="C2234" s="210" t="s">
        <v>764</v>
      </c>
      <c r="D2234" s="229" t="str">
        <f t="shared" si="120"/>
        <v>Rancho La Cuchilla No. 139</v>
      </c>
      <c r="E2234" s="229" t="str">
        <f t="shared" si="121"/>
        <v>Gloria García</v>
      </c>
      <c r="F2234" s="240">
        <f t="shared" si="122"/>
        <v>200</v>
      </c>
      <c r="I2234" s="207">
        <v>41553</v>
      </c>
      <c r="J2234" s="197" t="str">
        <f t="shared" si="119"/>
        <v>ok</v>
      </c>
      <c r="AG2234" s="429"/>
      <c r="AJ2234" s="412">
        <f t="shared" si="114"/>
        <v>0</v>
      </c>
      <c r="AK2234" t="s">
        <v>2076</v>
      </c>
      <c r="AL2234" s="250" t="s">
        <v>2067</v>
      </c>
    </row>
    <row r="2235" spans="1:38" x14ac:dyDescent="0.2">
      <c r="A2235" s="409" t="str">
        <f t="shared" si="115"/>
        <v>Rancho Upácuaro</v>
      </c>
      <c r="B2235" s="430">
        <v>5789</v>
      </c>
      <c r="C2235" s="210" t="s">
        <v>1122</v>
      </c>
      <c r="D2235" s="229" t="str">
        <f t="shared" si="120"/>
        <v>Rancho Upácuaro No. 85</v>
      </c>
      <c r="E2235" s="229" t="str">
        <f t="shared" si="121"/>
        <v>Del Toro Huerta</v>
      </c>
      <c r="F2235" s="240">
        <f t="shared" si="122"/>
        <v>300</v>
      </c>
      <c r="G2235" s="431">
        <v>1</v>
      </c>
      <c r="H2235" s="432">
        <v>400</v>
      </c>
      <c r="I2235" s="207">
        <v>41553</v>
      </c>
      <c r="J2235" s="197" t="str">
        <f t="shared" si="119"/>
        <v>ok</v>
      </c>
      <c r="AG2235" s="429">
        <v>400</v>
      </c>
      <c r="AJ2235" s="412">
        <f t="shared" si="114"/>
        <v>400</v>
      </c>
      <c r="AL2235" s="250" t="s">
        <v>2067</v>
      </c>
    </row>
    <row r="2236" spans="1:38" x14ac:dyDescent="0.2">
      <c r="A2236" s="409" t="str">
        <f t="shared" si="115"/>
        <v>Rancho La Cuchilla</v>
      </c>
      <c r="B2236" s="430">
        <v>5790</v>
      </c>
      <c r="C2236" s="210" t="s">
        <v>814</v>
      </c>
      <c r="D2236" s="229" t="str">
        <f t="shared" si="120"/>
        <v>Rancho La Cuchilla No. 36</v>
      </c>
      <c r="E2236" s="229" t="str">
        <f t="shared" si="121"/>
        <v>Castillo</v>
      </c>
      <c r="F2236" s="240">
        <f t="shared" si="122"/>
        <v>300</v>
      </c>
      <c r="G2236" s="431">
        <v>1</v>
      </c>
      <c r="H2236" s="432">
        <v>700</v>
      </c>
      <c r="I2236" s="207">
        <v>41553</v>
      </c>
      <c r="J2236" s="197" t="str">
        <f t="shared" si="119"/>
        <v>ok</v>
      </c>
      <c r="AF2236">
        <v>300</v>
      </c>
      <c r="AG2236" s="429">
        <v>400</v>
      </c>
      <c r="AJ2236" s="412">
        <f t="shared" si="114"/>
        <v>700</v>
      </c>
      <c r="AL2236" s="250" t="s">
        <v>2067</v>
      </c>
    </row>
    <row r="2237" spans="1:38" x14ac:dyDescent="0.2">
      <c r="A2237" s="409" t="str">
        <f t="shared" si="115"/>
        <v>Rancho Zinamba</v>
      </c>
      <c r="B2237" s="430">
        <v>5791</v>
      </c>
      <c r="C2237" s="210" t="s">
        <v>1152</v>
      </c>
      <c r="D2237" s="229" t="str">
        <f t="shared" si="120"/>
        <v>Rancho Zinamba No. 10</v>
      </c>
      <c r="E2237" s="229" t="str">
        <f t="shared" si="121"/>
        <v>Roy Sánchez</v>
      </c>
      <c r="F2237" s="240">
        <f t="shared" si="122"/>
        <v>300</v>
      </c>
      <c r="G2237" s="431">
        <v>1</v>
      </c>
      <c r="H2237" s="432">
        <v>1200</v>
      </c>
      <c r="I2237" s="207">
        <v>41555</v>
      </c>
      <c r="J2237" s="197" t="str">
        <f t="shared" si="119"/>
        <v>ok</v>
      </c>
      <c r="AG2237" s="429">
        <v>400</v>
      </c>
      <c r="AH2237">
        <v>400</v>
      </c>
      <c r="AI2237">
        <v>400</v>
      </c>
      <c r="AJ2237" s="412">
        <f t="shared" si="114"/>
        <v>1200</v>
      </c>
      <c r="AL2237" s="250" t="s">
        <v>2067</v>
      </c>
    </row>
    <row r="2238" spans="1:38" x14ac:dyDescent="0.2">
      <c r="A2238" s="409" t="str">
        <f t="shared" si="115"/>
        <v>Rancho Landero</v>
      </c>
      <c r="B2238" s="430">
        <v>5792</v>
      </c>
      <c r="C2238" s="210" t="s">
        <v>1033</v>
      </c>
      <c r="D2238" s="229" t="str">
        <f t="shared" si="120"/>
        <v>Rancho Landero No. 85</v>
      </c>
      <c r="E2238" s="229" t="str">
        <f t="shared" si="121"/>
        <v>Martínez Olague</v>
      </c>
      <c r="F2238" s="240">
        <f t="shared" si="122"/>
        <v>300</v>
      </c>
      <c r="G2238" s="431">
        <v>1</v>
      </c>
      <c r="H2238" s="432">
        <v>400</v>
      </c>
      <c r="I2238" s="207">
        <v>41557</v>
      </c>
      <c r="J2238" s="197" t="str">
        <f t="shared" si="119"/>
        <v>ok</v>
      </c>
      <c r="AG2238" s="429">
        <v>400</v>
      </c>
      <c r="AJ2238" s="412">
        <f t="shared" si="114"/>
        <v>400</v>
      </c>
      <c r="AL2238" s="250" t="s">
        <v>2067</v>
      </c>
    </row>
    <row r="2239" spans="1:38" x14ac:dyDescent="0.2">
      <c r="A2239" s="409" t="str">
        <f t="shared" si="115"/>
        <v>Rancho Estanzuela</v>
      </c>
      <c r="B2239" s="430">
        <v>5793</v>
      </c>
      <c r="C2239" s="210" t="s">
        <v>955</v>
      </c>
      <c r="D2239" s="229" t="str">
        <f t="shared" si="120"/>
        <v>Rancho Estanzuela No. 129</v>
      </c>
      <c r="E2239" s="229" t="str">
        <f t="shared" si="121"/>
        <v>González</v>
      </c>
      <c r="F2239" s="240">
        <f t="shared" si="122"/>
        <v>300</v>
      </c>
      <c r="G2239" s="431">
        <v>1</v>
      </c>
      <c r="H2239" s="432">
        <v>250</v>
      </c>
      <c r="I2239" s="207">
        <v>41555</v>
      </c>
      <c r="J2239" s="197" t="str">
        <f t="shared" si="119"/>
        <v>ok</v>
      </c>
      <c r="AG2239" s="429">
        <v>250</v>
      </c>
      <c r="AJ2239" s="412">
        <f t="shared" si="114"/>
        <v>250</v>
      </c>
      <c r="AL2239" s="250" t="s">
        <v>2067</v>
      </c>
    </row>
    <row r="2240" spans="1:38" x14ac:dyDescent="0.2">
      <c r="A2240" s="409" t="str">
        <f t="shared" si="115"/>
        <v>Rancho Zinamba</v>
      </c>
      <c r="B2240" s="430">
        <v>5794</v>
      </c>
      <c r="C2240" s="210" t="s">
        <v>1154</v>
      </c>
      <c r="D2240" s="229" t="str">
        <f t="shared" si="120"/>
        <v>Rancho Zinamba No. 14</v>
      </c>
      <c r="E2240" s="229" t="str">
        <f t="shared" si="121"/>
        <v>Gutiérrez García</v>
      </c>
      <c r="F2240" s="240">
        <f t="shared" si="122"/>
        <v>300</v>
      </c>
      <c r="G2240" s="431">
        <v>1</v>
      </c>
      <c r="H2240" s="432">
        <v>460</v>
      </c>
      <c r="I2240" s="207">
        <v>41557</v>
      </c>
      <c r="J2240" s="197" t="str">
        <f t="shared" si="119"/>
        <v>error</v>
      </c>
      <c r="AF2240">
        <v>300</v>
      </c>
      <c r="AG2240" s="429"/>
      <c r="AJ2240" s="412">
        <f t="shared" si="114"/>
        <v>300</v>
      </c>
      <c r="AK2240" t="s">
        <v>2077</v>
      </c>
      <c r="AL2240" s="250" t="s">
        <v>2067</v>
      </c>
    </row>
    <row r="2241" spans="1:38" x14ac:dyDescent="0.2">
      <c r="A2241" s="409" t="str">
        <f t="shared" si="115"/>
        <v>Rancho Upácuaro</v>
      </c>
      <c r="B2241" s="430">
        <v>5795</v>
      </c>
      <c r="C2241" s="210" t="s">
        <v>780</v>
      </c>
      <c r="D2241" s="229" t="str">
        <f t="shared" si="120"/>
        <v>Rancho Upácuaro No. 93</v>
      </c>
      <c r="E2241" s="229" t="str">
        <f t="shared" si="121"/>
        <v>Valdés</v>
      </c>
      <c r="F2241" s="240">
        <f t="shared" si="122"/>
        <v>300</v>
      </c>
      <c r="G2241" s="431">
        <v>1</v>
      </c>
      <c r="H2241" s="432">
        <v>400</v>
      </c>
      <c r="I2241" s="207">
        <v>41560</v>
      </c>
      <c r="J2241" s="197" t="str">
        <f t="shared" si="119"/>
        <v>ok</v>
      </c>
      <c r="AG2241" s="429">
        <v>400</v>
      </c>
      <c r="AJ2241" s="412">
        <f t="shared" si="114"/>
        <v>400</v>
      </c>
      <c r="AL2241" s="250" t="s">
        <v>2067</v>
      </c>
    </row>
    <row r="2242" spans="1:38" x14ac:dyDescent="0.2">
      <c r="A2242" s="409" t="str">
        <f t="shared" si="115"/>
        <v>Rancho La Cuchilla</v>
      </c>
      <c r="B2242" s="430">
        <v>5796</v>
      </c>
      <c r="C2242" s="210" t="s">
        <v>804</v>
      </c>
      <c r="D2242" s="229" t="str">
        <f t="shared" si="120"/>
        <v>Rancho La Cuchilla No. 21</v>
      </c>
      <c r="E2242" s="229" t="str">
        <f t="shared" si="121"/>
        <v>Solórzano Calderón</v>
      </c>
      <c r="F2242" s="240">
        <f t="shared" si="122"/>
        <v>300</v>
      </c>
      <c r="G2242" s="431">
        <v>3</v>
      </c>
      <c r="H2242" s="432">
        <v>480</v>
      </c>
      <c r="I2242" s="207">
        <v>41560</v>
      </c>
      <c r="J2242" s="197" t="str">
        <f t="shared" si="119"/>
        <v>ok</v>
      </c>
      <c r="AG2242" s="429"/>
      <c r="AJ2242" s="412">
        <f t="shared" si="114"/>
        <v>0</v>
      </c>
      <c r="AK2242" t="s">
        <v>2078</v>
      </c>
      <c r="AL2242" s="250" t="s">
        <v>2067</v>
      </c>
    </row>
    <row r="2243" spans="1:38" x14ac:dyDescent="0.2">
      <c r="A2243" s="409" t="str">
        <f t="shared" si="115"/>
        <v>Rancho Recoveco</v>
      </c>
      <c r="B2243" s="430">
        <v>5797</v>
      </c>
      <c r="C2243" s="210" t="s">
        <v>1061</v>
      </c>
      <c r="D2243" s="229" t="str">
        <f t="shared" si="120"/>
        <v>Rancho Recoveco No. 181</v>
      </c>
      <c r="E2243" s="229" t="str">
        <f t="shared" si="121"/>
        <v>Paredes</v>
      </c>
      <c r="F2243" s="240">
        <f t="shared" si="122"/>
        <v>300</v>
      </c>
      <c r="G2243" s="431">
        <v>1</v>
      </c>
      <c r="H2243" s="432">
        <v>400</v>
      </c>
      <c r="I2243" s="207">
        <v>41560</v>
      </c>
      <c r="J2243" s="197" t="str">
        <f t="shared" si="119"/>
        <v>ok</v>
      </c>
      <c r="AG2243" s="429">
        <v>400</v>
      </c>
      <c r="AJ2243" s="412">
        <f t="shared" si="114"/>
        <v>400</v>
      </c>
      <c r="AL2243" s="250" t="s">
        <v>2067</v>
      </c>
    </row>
    <row r="2244" spans="1:38" x14ac:dyDescent="0.2">
      <c r="A2244" s="409" t="str">
        <f t="shared" si="115"/>
        <v>Rancho Landero</v>
      </c>
      <c r="B2244" s="430">
        <v>5798</v>
      </c>
      <c r="C2244" s="210" t="s">
        <v>1025</v>
      </c>
      <c r="D2244" s="229" t="str">
        <f t="shared" si="120"/>
        <v>Rancho Landero No. 71</v>
      </c>
      <c r="E2244" s="229" t="str">
        <f t="shared" si="121"/>
        <v>Cabrera Balcázar</v>
      </c>
      <c r="F2244" s="240">
        <f t="shared" si="122"/>
        <v>300</v>
      </c>
      <c r="G2244" s="431">
        <v>1</v>
      </c>
      <c r="H2244" s="432">
        <v>400</v>
      </c>
      <c r="I2244" s="207">
        <v>41560</v>
      </c>
      <c r="J2244" s="197" t="str">
        <f t="shared" si="119"/>
        <v>ok</v>
      </c>
      <c r="AG2244" s="429">
        <v>400</v>
      </c>
      <c r="AJ2244" s="412">
        <f t="shared" si="114"/>
        <v>400</v>
      </c>
      <c r="AL2244" s="250" t="s">
        <v>2067</v>
      </c>
    </row>
    <row r="2245" spans="1:38" x14ac:dyDescent="0.2">
      <c r="A2245" s="409" t="str">
        <f t="shared" si="115"/>
        <v>Rancho Landero</v>
      </c>
      <c r="B2245" s="430">
        <v>5799</v>
      </c>
      <c r="C2245" s="210" t="s">
        <v>1021</v>
      </c>
      <c r="D2245" s="229" t="str">
        <f t="shared" si="120"/>
        <v>Rancho Landero No. 65</v>
      </c>
      <c r="E2245" s="229" t="str">
        <f t="shared" si="121"/>
        <v>Alpizar</v>
      </c>
      <c r="F2245" s="240">
        <f t="shared" si="122"/>
        <v>300</v>
      </c>
      <c r="G2245" s="431">
        <v>1</v>
      </c>
      <c r="H2245" s="432">
        <v>1000</v>
      </c>
      <c r="I2245" s="207">
        <v>41560</v>
      </c>
      <c r="J2245" s="197" t="str">
        <f t="shared" si="119"/>
        <v>ok</v>
      </c>
      <c r="AE2245">
        <v>300</v>
      </c>
      <c r="AF2245">
        <v>300</v>
      </c>
      <c r="AG2245" s="429">
        <v>400</v>
      </c>
      <c r="AJ2245" s="412">
        <f t="shared" si="114"/>
        <v>1000</v>
      </c>
      <c r="AL2245" s="250" t="s">
        <v>2067</v>
      </c>
    </row>
    <row r="2246" spans="1:38" x14ac:dyDescent="0.2">
      <c r="A2246" s="409" t="str">
        <f t="shared" si="115"/>
        <v>Rancho Upácuaro</v>
      </c>
      <c r="B2246" s="430">
        <v>5800</v>
      </c>
      <c r="C2246" s="210" t="s">
        <v>1149</v>
      </c>
      <c r="D2246" s="229" t="str">
        <f t="shared" si="120"/>
        <v>Rancho Upácuaro No. 146</v>
      </c>
      <c r="E2246" s="229" t="str">
        <f t="shared" si="121"/>
        <v>Islas</v>
      </c>
      <c r="F2246" s="240">
        <f t="shared" si="122"/>
        <v>300</v>
      </c>
      <c r="G2246" s="431">
        <v>1</v>
      </c>
      <c r="H2246" s="432">
        <v>700</v>
      </c>
      <c r="I2246" s="207">
        <v>41560</v>
      </c>
      <c r="J2246" s="197" t="str">
        <f t="shared" si="119"/>
        <v>ok</v>
      </c>
      <c r="AF2246">
        <v>300</v>
      </c>
      <c r="AG2246" s="429">
        <v>400</v>
      </c>
      <c r="AJ2246" s="412">
        <f t="shared" si="114"/>
        <v>700</v>
      </c>
      <c r="AL2246" s="250" t="s">
        <v>2067</v>
      </c>
    </row>
    <row r="2247" spans="1:38" x14ac:dyDescent="0.2">
      <c r="A2247" s="409" t="str">
        <f t="shared" si="115"/>
        <v>Rancho Romeral</v>
      </c>
      <c r="B2247" s="430">
        <v>5801</v>
      </c>
      <c r="C2247" s="210" t="s">
        <v>1052</v>
      </c>
      <c r="D2247" s="229" t="str">
        <f t="shared" si="120"/>
        <v>Rancho Romeral No. 17</v>
      </c>
      <c r="E2247" s="229" t="str">
        <f t="shared" si="121"/>
        <v>Aguilar Lomelí</v>
      </c>
      <c r="F2247" s="240">
        <f t="shared" si="122"/>
        <v>300</v>
      </c>
      <c r="G2247" s="431">
        <v>1</v>
      </c>
      <c r="H2247" s="432">
        <v>1000</v>
      </c>
      <c r="I2247" s="207">
        <v>41560</v>
      </c>
      <c r="J2247" s="197" t="str">
        <f t="shared" si="119"/>
        <v>ok</v>
      </c>
      <c r="AE2247">
        <v>300</v>
      </c>
      <c r="AF2247">
        <v>300</v>
      </c>
      <c r="AG2247" s="429">
        <v>400</v>
      </c>
      <c r="AJ2247" s="412">
        <f t="shared" ref="AJ2247:AJ2310" si="123">SUM(X2247:AI2247)</f>
        <v>1000</v>
      </c>
      <c r="AL2247" s="250" t="s">
        <v>2067</v>
      </c>
    </row>
    <row r="2248" spans="1:38" x14ac:dyDescent="0.2">
      <c r="A2248" s="409" t="str">
        <f t="shared" si="115"/>
        <v>Rancho Upácuaro</v>
      </c>
      <c r="B2248" s="430">
        <v>5802</v>
      </c>
      <c r="C2248" s="210" t="s">
        <v>1103</v>
      </c>
      <c r="D2248" s="229" t="str">
        <f t="shared" si="120"/>
        <v>Rancho Upácuaro No. 60</v>
      </c>
      <c r="E2248" s="229" t="str">
        <f t="shared" si="121"/>
        <v>Zavala</v>
      </c>
      <c r="F2248" s="240">
        <f t="shared" si="122"/>
        <v>300</v>
      </c>
      <c r="G2248" s="431">
        <v>1</v>
      </c>
      <c r="H2248" s="432">
        <v>700</v>
      </c>
      <c r="I2248" s="207">
        <v>41560</v>
      </c>
      <c r="J2248" s="197" t="str">
        <f t="shared" si="119"/>
        <v>ok</v>
      </c>
      <c r="AF2248">
        <v>300</v>
      </c>
      <c r="AG2248" s="429">
        <v>400</v>
      </c>
      <c r="AJ2248" s="412">
        <f t="shared" si="123"/>
        <v>700</v>
      </c>
      <c r="AL2248" s="250" t="s">
        <v>2067</v>
      </c>
    </row>
    <row r="2249" spans="1:38" x14ac:dyDescent="0.2">
      <c r="A2249" s="409" t="str">
        <f t="shared" si="115"/>
        <v>Rancho Estanzuela</v>
      </c>
      <c r="B2249" s="430">
        <v>5803</v>
      </c>
      <c r="C2249" s="210" t="s">
        <v>962</v>
      </c>
      <c r="D2249" s="229" t="str">
        <f t="shared" si="120"/>
        <v>Rancho Estanzuela No. 161, 1</v>
      </c>
      <c r="E2249" s="229" t="str">
        <f t="shared" si="121"/>
        <v>Guevara</v>
      </c>
      <c r="F2249" s="240">
        <f t="shared" si="122"/>
        <v>150</v>
      </c>
      <c r="G2249" s="431">
        <v>1</v>
      </c>
      <c r="H2249" s="432">
        <v>200</v>
      </c>
      <c r="I2249" s="207">
        <v>41560</v>
      </c>
      <c r="J2249" s="197" t="str">
        <f t="shared" si="119"/>
        <v>ok</v>
      </c>
      <c r="AG2249" s="429">
        <v>200</v>
      </c>
      <c r="AJ2249" s="412">
        <f t="shared" si="123"/>
        <v>200</v>
      </c>
      <c r="AL2249" s="250" t="s">
        <v>2067</v>
      </c>
    </row>
    <row r="2250" spans="1:38" x14ac:dyDescent="0.2">
      <c r="A2250" s="409" t="str">
        <f t="shared" si="115"/>
        <v>Rancho Landero</v>
      </c>
      <c r="B2250" s="430">
        <v>5804</v>
      </c>
      <c r="C2250" s="210" t="s">
        <v>987</v>
      </c>
      <c r="D2250" s="229" t="str">
        <f t="shared" si="120"/>
        <v>Rancho Landero No. 19</v>
      </c>
      <c r="E2250" s="229" t="str">
        <f t="shared" si="121"/>
        <v>Jiménez Guadarrama</v>
      </c>
      <c r="F2250" s="240">
        <f t="shared" si="122"/>
        <v>300</v>
      </c>
      <c r="G2250" s="431">
        <v>1</v>
      </c>
      <c r="H2250" s="432">
        <v>1200</v>
      </c>
      <c r="I2250" s="207">
        <v>41560</v>
      </c>
      <c r="J2250" s="197" t="str">
        <f t="shared" si="119"/>
        <v>ok</v>
      </c>
      <c r="AD2250">
        <v>300</v>
      </c>
      <c r="AE2250">
        <v>300</v>
      </c>
      <c r="AF2250">
        <v>300</v>
      </c>
      <c r="AG2250" s="429">
        <v>300</v>
      </c>
      <c r="AJ2250" s="412">
        <f t="shared" si="123"/>
        <v>1200</v>
      </c>
      <c r="AL2250" s="250" t="s">
        <v>2067</v>
      </c>
    </row>
    <row r="2251" spans="1:38" x14ac:dyDescent="0.2">
      <c r="A2251" s="409" t="str">
        <f t="shared" ref="A2251:A2314" si="124">IF(C2251=0,"",VLOOKUP(C2251,BASE_A,5,FALSE))</f>
        <v>Rancho Upácuaro</v>
      </c>
      <c r="B2251" s="430">
        <v>5805</v>
      </c>
      <c r="C2251" s="210" t="s">
        <v>773</v>
      </c>
      <c r="D2251" s="229" t="str">
        <f t="shared" si="120"/>
        <v>Rancho Upácuaro No. 120</v>
      </c>
      <c r="E2251" s="229" t="str">
        <f t="shared" si="121"/>
        <v>Rayas Rivera</v>
      </c>
      <c r="F2251" s="240">
        <f t="shared" si="122"/>
        <v>300</v>
      </c>
      <c r="G2251" s="431">
        <v>1</v>
      </c>
      <c r="H2251" s="432">
        <v>400</v>
      </c>
      <c r="I2251" s="207">
        <v>41560</v>
      </c>
      <c r="J2251" s="197" t="str">
        <f t="shared" si="119"/>
        <v>ok</v>
      </c>
      <c r="AG2251" s="429">
        <v>400</v>
      </c>
      <c r="AJ2251" s="412">
        <f t="shared" si="123"/>
        <v>400</v>
      </c>
      <c r="AL2251" s="250" t="s">
        <v>2067</v>
      </c>
    </row>
    <row r="2252" spans="1:38" x14ac:dyDescent="0.2">
      <c r="A2252" s="409" t="str">
        <f t="shared" si="124"/>
        <v>Rancho Landero</v>
      </c>
      <c r="B2252" s="430">
        <v>5806</v>
      </c>
      <c r="C2252" s="210" t="s">
        <v>1038</v>
      </c>
      <c r="D2252" s="229" t="str">
        <f t="shared" si="120"/>
        <v>Rancho Landero No. 90</v>
      </c>
      <c r="E2252" s="229" t="str">
        <f t="shared" si="121"/>
        <v>Córdova Reséndiz</v>
      </c>
      <c r="F2252" s="240">
        <f t="shared" si="122"/>
        <v>300</v>
      </c>
      <c r="G2252" s="431">
        <v>1</v>
      </c>
      <c r="H2252" s="432">
        <v>600</v>
      </c>
      <c r="I2252" s="207">
        <v>41560</v>
      </c>
      <c r="J2252" s="197" t="str">
        <f t="shared" si="119"/>
        <v>ok</v>
      </c>
      <c r="AG2252" s="429">
        <v>300</v>
      </c>
      <c r="AH2252">
        <v>300</v>
      </c>
      <c r="AJ2252" s="412">
        <f t="shared" si="123"/>
        <v>600</v>
      </c>
      <c r="AL2252" s="250" t="s">
        <v>2067</v>
      </c>
    </row>
    <row r="2253" spans="1:38" x14ac:dyDescent="0.2">
      <c r="A2253" s="409" t="str">
        <f t="shared" si="124"/>
        <v>Rancho Estanzuela</v>
      </c>
      <c r="B2253" s="430">
        <v>5807</v>
      </c>
      <c r="C2253" s="210" t="s">
        <v>910</v>
      </c>
      <c r="D2253" s="229" t="str">
        <f t="shared" si="120"/>
        <v>Rancho Estanzuela No. 7, A</v>
      </c>
      <c r="E2253" s="229" t="str">
        <f t="shared" si="121"/>
        <v>Herrera Izquierdo</v>
      </c>
      <c r="F2253" s="240">
        <f t="shared" si="122"/>
        <v>150</v>
      </c>
      <c r="G2253" s="431">
        <v>1</v>
      </c>
      <c r="H2253" s="432">
        <v>200</v>
      </c>
      <c r="I2253" s="207">
        <v>41560</v>
      </c>
      <c r="J2253" s="197" t="str">
        <f t="shared" ref="J2253:J2301" si="125">IF(OR(G2253&lt;&gt;1,SUM(W2253,AJ2253)=H2253),"ok","error")</f>
        <v>ok</v>
      </c>
      <c r="AG2253" s="429">
        <v>200</v>
      </c>
      <c r="AJ2253" s="412">
        <f t="shared" si="123"/>
        <v>200</v>
      </c>
      <c r="AL2253" s="250" t="s">
        <v>2067</v>
      </c>
    </row>
    <row r="2254" spans="1:38" x14ac:dyDescent="0.2">
      <c r="A2254" s="409" t="str">
        <f t="shared" si="124"/>
        <v>Rancho Landero</v>
      </c>
      <c r="B2254" s="430">
        <v>5808</v>
      </c>
      <c r="C2254" s="210" t="s">
        <v>765</v>
      </c>
      <c r="D2254" s="229" t="str">
        <f t="shared" si="120"/>
        <v>Rancho Landero No. 96</v>
      </c>
      <c r="E2254" s="229" t="str">
        <f t="shared" si="121"/>
        <v>Espinoza Aguirre</v>
      </c>
      <c r="F2254" s="240">
        <f t="shared" si="122"/>
        <v>300</v>
      </c>
      <c r="G2254" s="431">
        <v>1</v>
      </c>
      <c r="H2254" s="432">
        <v>1000</v>
      </c>
      <c r="I2254" s="207">
        <v>41560</v>
      </c>
      <c r="J2254" s="197" t="str">
        <f t="shared" si="125"/>
        <v>ok</v>
      </c>
      <c r="AE2254">
        <v>300</v>
      </c>
      <c r="AF2254">
        <v>300</v>
      </c>
      <c r="AG2254" s="429">
        <v>400</v>
      </c>
      <c r="AJ2254" s="412">
        <f t="shared" si="123"/>
        <v>1000</v>
      </c>
      <c r="AL2254" s="250" t="s">
        <v>2067</v>
      </c>
    </row>
    <row r="2255" spans="1:38" x14ac:dyDescent="0.2">
      <c r="A2255" s="409" t="str">
        <f t="shared" si="124"/>
        <v>Rancho La Cuchilla</v>
      </c>
      <c r="B2255" s="430">
        <v>5809</v>
      </c>
      <c r="C2255" s="210" t="s">
        <v>783</v>
      </c>
      <c r="D2255" s="229" t="str">
        <f t="shared" si="120"/>
        <v>Rancho La Cuchilla No. 42</v>
      </c>
      <c r="E2255" s="229" t="str">
        <f t="shared" si="121"/>
        <v>Mac Kinney</v>
      </c>
      <c r="F2255" s="240">
        <f t="shared" si="122"/>
        <v>300</v>
      </c>
      <c r="G2255" s="431">
        <v>1</v>
      </c>
      <c r="H2255" s="432">
        <v>400</v>
      </c>
      <c r="I2255" s="207">
        <v>41560</v>
      </c>
      <c r="J2255" s="197" t="str">
        <f t="shared" si="125"/>
        <v>ok</v>
      </c>
      <c r="AG2255" s="429">
        <v>400</v>
      </c>
      <c r="AJ2255" s="412">
        <f t="shared" si="123"/>
        <v>400</v>
      </c>
      <c r="AL2255" s="250" t="s">
        <v>2067</v>
      </c>
    </row>
    <row r="2256" spans="1:38" x14ac:dyDescent="0.2">
      <c r="A2256" s="409" t="str">
        <f t="shared" si="124"/>
        <v>Rancho Estanzuela</v>
      </c>
      <c r="B2256" s="430">
        <v>5810</v>
      </c>
      <c r="C2256" s="210" t="s">
        <v>934</v>
      </c>
      <c r="D2256" s="229" t="str">
        <f t="shared" si="120"/>
        <v>Rancho Estanzuela No. 71</v>
      </c>
      <c r="E2256" s="229" t="str">
        <f t="shared" si="121"/>
        <v>Soriano</v>
      </c>
      <c r="F2256" s="240">
        <f t="shared" si="122"/>
        <v>300</v>
      </c>
      <c r="G2256" s="431">
        <v>3</v>
      </c>
      <c r="H2256" s="432">
        <v>160</v>
      </c>
      <c r="I2256" s="207">
        <v>41560</v>
      </c>
      <c r="J2256" s="197" t="str">
        <f t="shared" si="125"/>
        <v>ok</v>
      </c>
      <c r="AG2256" s="429"/>
      <c r="AJ2256" s="412">
        <f t="shared" si="123"/>
        <v>0</v>
      </c>
      <c r="AL2256" s="250" t="s">
        <v>2067</v>
      </c>
    </row>
    <row r="2257" spans="1:38" x14ac:dyDescent="0.2">
      <c r="A2257" s="409" t="str">
        <f t="shared" si="124"/>
        <v>Rancho La Cuchilla</v>
      </c>
      <c r="B2257" s="430">
        <v>5811</v>
      </c>
      <c r="C2257" s="210" t="s">
        <v>852</v>
      </c>
      <c r="D2257" s="229" t="str">
        <f t="shared" si="120"/>
        <v>Rancho La Cuchilla No. 93</v>
      </c>
      <c r="E2257" s="229" t="str">
        <f t="shared" si="121"/>
        <v>Alcántara Silva</v>
      </c>
      <c r="F2257" s="240">
        <f t="shared" si="122"/>
        <v>300</v>
      </c>
      <c r="G2257" s="431">
        <v>4</v>
      </c>
      <c r="H2257" s="432">
        <v>160</v>
      </c>
      <c r="I2257" s="207">
        <v>41560</v>
      </c>
      <c r="J2257" s="197" t="str">
        <f t="shared" si="125"/>
        <v>ok</v>
      </c>
      <c r="AG2257" s="429"/>
      <c r="AJ2257" s="412">
        <f t="shared" si="123"/>
        <v>0</v>
      </c>
      <c r="AK2257" t="s">
        <v>2079</v>
      </c>
      <c r="AL2257" s="250" t="s">
        <v>2067</v>
      </c>
    </row>
    <row r="2258" spans="1:38" x14ac:dyDescent="0.2">
      <c r="A2258" s="409" t="str">
        <f t="shared" si="124"/>
        <v>Rancho Upácuaro</v>
      </c>
      <c r="B2258" s="430">
        <v>5812</v>
      </c>
      <c r="C2258" s="210" t="s">
        <v>1136</v>
      </c>
      <c r="D2258" s="229" t="str">
        <f t="shared" si="120"/>
        <v>Rancho Upácuaro No. 108</v>
      </c>
      <c r="E2258" s="229" t="str">
        <f t="shared" si="121"/>
        <v>Mejía</v>
      </c>
      <c r="F2258" s="240">
        <f t="shared" si="122"/>
        <v>300</v>
      </c>
      <c r="G2258" s="431">
        <v>1</v>
      </c>
      <c r="H2258" s="432">
        <v>300</v>
      </c>
      <c r="I2258" s="207">
        <v>41560</v>
      </c>
      <c r="J2258" s="197" t="str">
        <f t="shared" si="125"/>
        <v>ok</v>
      </c>
      <c r="AF2258">
        <v>300</v>
      </c>
      <c r="AG2258" s="429"/>
      <c r="AJ2258" s="412">
        <f t="shared" si="123"/>
        <v>300</v>
      </c>
      <c r="AL2258" s="250" t="s">
        <v>2067</v>
      </c>
    </row>
    <row r="2259" spans="1:38" x14ac:dyDescent="0.2">
      <c r="A2259" s="409" t="str">
        <f t="shared" si="124"/>
        <v>Rancho Upácuaro</v>
      </c>
      <c r="B2259" s="430">
        <v>5813</v>
      </c>
      <c r="C2259" s="210" t="s">
        <v>1080</v>
      </c>
      <c r="D2259" s="229" t="str">
        <f t="shared" si="120"/>
        <v>Rancho Upácuaro No. 23</v>
      </c>
      <c r="E2259" s="229" t="str">
        <f t="shared" si="121"/>
        <v>Arredondo</v>
      </c>
      <c r="F2259" s="240">
        <f t="shared" si="122"/>
        <v>300</v>
      </c>
      <c r="G2259" s="431">
        <v>1</v>
      </c>
      <c r="H2259" s="432">
        <v>350</v>
      </c>
      <c r="I2259" s="207">
        <v>41560</v>
      </c>
      <c r="J2259" s="197" t="str">
        <f t="shared" si="125"/>
        <v>ok</v>
      </c>
      <c r="AG2259" s="429">
        <v>350</v>
      </c>
      <c r="AJ2259" s="412">
        <f t="shared" si="123"/>
        <v>350</v>
      </c>
      <c r="AL2259" s="250" t="s">
        <v>2067</v>
      </c>
    </row>
    <row r="2260" spans="1:38" x14ac:dyDescent="0.2">
      <c r="A2260" s="409" t="str">
        <f t="shared" si="124"/>
        <v>Rancho Upácuaro</v>
      </c>
      <c r="B2260" s="430">
        <v>5814</v>
      </c>
      <c r="C2260" s="210" t="s">
        <v>1080</v>
      </c>
      <c r="D2260" s="229" t="str">
        <f t="shared" si="120"/>
        <v>Rancho Upácuaro No. 23</v>
      </c>
      <c r="E2260" s="229" t="str">
        <f t="shared" si="121"/>
        <v>Arredondo</v>
      </c>
      <c r="F2260" s="240">
        <f t="shared" si="122"/>
        <v>300</v>
      </c>
      <c r="G2260" s="431">
        <v>1</v>
      </c>
      <c r="H2260" s="432">
        <v>350</v>
      </c>
      <c r="I2260" s="207">
        <v>41560</v>
      </c>
      <c r="J2260" s="197" t="str">
        <f t="shared" si="125"/>
        <v>ok</v>
      </c>
      <c r="AG2260" s="429"/>
      <c r="AH2260">
        <v>350</v>
      </c>
      <c r="AJ2260" s="412">
        <f t="shared" si="123"/>
        <v>350</v>
      </c>
      <c r="AL2260" s="250" t="s">
        <v>2067</v>
      </c>
    </row>
    <row r="2261" spans="1:38" x14ac:dyDescent="0.2">
      <c r="A2261" s="409" t="str">
        <f t="shared" si="124"/>
        <v>Rancho La Cuchilla</v>
      </c>
      <c r="B2261" s="430">
        <v>5815</v>
      </c>
      <c r="C2261" s="210" t="s">
        <v>812</v>
      </c>
      <c r="D2261" s="229" t="str">
        <f t="shared" si="120"/>
        <v>Rancho La Cuchilla No. 33</v>
      </c>
      <c r="E2261" s="229" t="str">
        <f t="shared" si="121"/>
        <v>Tanús</v>
      </c>
      <c r="F2261" s="240">
        <f t="shared" si="122"/>
        <v>300</v>
      </c>
      <c r="G2261" s="431">
        <v>1</v>
      </c>
      <c r="H2261" s="432">
        <v>400</v>
      </c>
      <c r="I2261" s="207">
        <v>41560</v>
      </c>
      <c r="J2261" s="197" t="str">
        <f t="shared" si="125"/>
        <v>ok</v>
      </c>
      <c r="AG2261" s="429">
        <v>400</v>
      </c>
      <c r="AJ2261" s="412">
        <f t="shared" si="123"/>
        <v>400</v>
      </c>
      <c r="AL2261" s="250" t="s">
        <v>2067</v>
      </c>
    </row>
    <row r="2262" spans="1:38" x14ac:dyDescent="0.2">
      <c r="A2262" s="409" t="str">
        <f t="shared" si="124"/>
        <v>Rancho Landero</v>
      </c>
      <c r="B2262" s="430">
        <v>5816</v>
      </c>
      <c r="C2262" s="210" t="s">
        <v>992</v>
      </c>
      <c r="D2262" s="229" t="str">
        <f t="shared" si="120"/>
        <v>Rancho Landero No. 25</v>
      </c>
      <c r="E2262" s="229" t="str">
        <f t="shared" si="121"/>
        <v>Escamilla Martínez</v>
      </c>
      <c r="F2262" s="240">
        <f t="shared" si="122"/>
        <v>300</v>
      </c>
      <c r="G2262" s="431">
        <v>1</v>
      </c>
      <c r="H2262" s="432">
        <v>300</v>
      </c>
      <c r="I2262" s="207">
        <v>41560</v>
      </c>
      <c r="J2262" s="197" t="str">
        <f t="shared" si="125"/>
        <v>ok</v>
      </c>
      <c r="AF2262">
        <v>300</v>
      </c>
      <c r="AG2262" s="429"/>
      <c r="AJ2262" s="412">
        <f t="shared" si="123"/>
        <v>300</v>
      </c>
      <c r="AL2262" s="250" t="s">
        <v>2067</v>
      </c>
    </row>
    <row r="2263" spans="1:38" x14ac:dyDescent="0.2">
      <c r="A2263" s="409" t="str">
        <f t="shared" si="124"/>
        <v>Rancho Upácuaro</v>
      </c>
      <c r="B2263" s="430">
        <v>5817</v>
      </c>
      <c r="C2263" s="210" t="s">
        <v>1138</v>
      </c>
      <c r="D2263" s="229" t="str">
        <f t="shared" si="120"/>
        <v>Rancho Upácuaro No. 114</v>
      </c>
      <c r="E2263" s="229" t="str">
        <f t="shared" si="121"/>
        <v>Hernández Cornejo</v>
      </c>
      <c r="F2263" s="240">
        <f t="shared" si="122"/>
        <v>300</v>
      </c>
      <c r="G2263" s="431">
        <v>1</v>
      </c>
      <c r="H2263" s="432">
        <v>400</v>
      </c>
      <c r="I2263" s="207">
        <v>41560</v>
      </c>
      <c r="J2263" s="197" t="str">
        <f t="shared" si="125"/>
        <v>ok</v>
      </c>
      <c r="AG2263" s="429">
        <v>400</v>
      </c>
      <c r="AJ2263" s="412">
        <f t="shared" si="123"/>
        <v>400</v>
      </c>
      <c r="AL2263" s="250" t="s">
        <v>2067</v>
      </c>
    </row>
    <row r="2264" spans="1:38" x14ac:dyDescent="0.2">
      <c r="A2264" s="409" t="str">
        <f t="shared" si="124"/>
        <v>Rancho Estanzuela</v>
      </c>
      <c r="B2264" s="430">
        <v>5818</v>
      </c>
      <c r="C2264" s="210" t="s">
        <v>928</v>
      </c>
      <c r="D2264" s="229" t="str">
        <f t="shared" si="120"/>
        <v>Rancho Estanzuela No. 55</v>
      </c>
      <c r="E2264" s="229" t="str">
        <f t="shared" si="121"/>
        <v>Rodríguez Acevedo</v>
      </c>
      <c r="F2264" s="240">
        <f t="shared" si="122"/>
        <v>300</v>
      </c>
      <c r="G2264" s="431">
        <v>1</v>
      </c>
      <c r="H2264" s="432">
        <v>400</v>
      </c>
      <c r="I2264" s="207">
        <v>41560</v>
      </c>
      <c r="J2264" s="197" t="str">
        <f t="shared" si="125"/>
        <v>ok</v>
      </c>
      <c r="AG2264" s="429">
        <v>400</v>
      </c>
      <c r="AJ2264" s="412">
        <f t="shared" si="123"/>
        <v>400</v>
      </c>
      <c r="AL2264" s="250" t="s">
        <v>2067</v>
      </c>
    </row>
    <row r="2265" spans="1:38" x14ac:dyDescent="0.2">
      <c r="A2265" s="409" t="str">
        <f t="shared" si="124"/>
        <v>Rancho La Cuchilla</v>
      </c>
      <c r="B2265" s="430">
        <v>5819</v>
      </c>
      <c r="C2265" s="210" t="s">
        <v>845</v>
      </c>
      <c r="D2265" s="229" t="str">
        <f t="shared" si="120"/>
        <v>Rancho La Cuchilla No. 82</v>
      </c>
      <c r="E2265" s="229" t="str">
        <f t="shared" si="121"/>
        <v>Cruz</v>
      </c>
      <c r="F2265" s="240">
        <f t="shared" si="122"/>
        <v>300</v>
      </c>
      <c r="G2265" s="431">
        <v>1</v>
      </c>
      <c r="H2265" s="432">
        <v>1200</v>
      </c>
      <c r="I2265" s="207">
        <v>41560</v>
      </c>
      <c r="J2265" s="197" t="str">
        <f t="shared" si="125"/>
        <v>ok</v>
      </c>
      <c r="AG2265" s="429">
        <v>400</v>
      </c>
      <c r="AH2265">
        <v>400</v>
      </c>
      <c r="AI2265">
        <v>400</v>
      </c>
      <c r="AJ2265" s="412">
        <f t="shared" si="123"/>
        <v>1200</v>
      </c>
      <c r="AL2265" s="250" t="s">
        <v>2067</v>
      </c>
    </row>
    <row r="2266" spans="1:38" x14ac:dyDescent="0.2">
      <c r="A2266" s="409" t="str">
        <f t="shared" si="124"/>
        <v>Rancho Estanzuela</v>
      </c>
      <c r="B2266" s="430">
        <v>5820</v>
      </c>
      <c r="C2266" s="210" t="s">
        <v>933</v>
      </c>
      <c r="D2266" s="229" t="str">
        <f t="shared" si="120"/>
        <v>Rancho Estanzuela No. 69</v>
      </c>
      <c r="E2266" s="229" t="str">
        <f t="shared" si="121"/>
        <v>Apaez</v>
      </c>
      <c r="F2266" s="240">
        <f t="shared" si="122"/>
        <v>300</v>
      </c>
      <c r="G2266" s="431">
        <v>1</v>
      </c>
      <c r="H2266" s="432">
        <v>400</v>
      </c>
      <c r="I2266" s="207">
        <v>41560</v>
      </c>
      <c r="J2266" s="197" t="str">
        <f t="shared" si="125"/>
        <v>ok</v>
      </c>
      <c r="AG2266" s="429">
        <v>400</v>
      </c>
      <c r="AJ2266" s="412">
        <f t="shared" si="123"/>
        <v>400</v>
      </c>
      <c r="AL2266" s="250" t="s">
        <v>2067</v>
      </c>
    </row>
    <row r="2267" spans="1:38" x14ac:dyDescent="0.2">
      <c r="A2267" s="409" t="str">
        <f t="shared" si="124"/>
        <v>Rancho Upácuaro</v>
      </c>
      <c r="B2267" s="430">
        <v>5821</v>
      </c>
      <c r="C2267" s="210" t="s">
        <v>1077</v>
      </c>
      <c r="D2267" s="229" t="str">
        <f t="shared" si="120"/>
        <v>Rancho Upácuaro No. 19</v>
      </c>
      <c r="E2267" s="229" t="str">
        <f t="shared" si="121"/>
        <v>Peña Inclán</v>
      </c>
      <c r="F2267" s="240">
        <f t="shared" si="122"/>
        <v>200</v>
      </c>
      <c r="G2267" s="431">
        <v>1</v>
      </c>
      <c r="H2267" s="432">
        <v>300</v>
      </c>
      <c r="I2267" s="207">
        <v>41560</v>
      </c>
      <c r="J2267" s="197" t="str">
        <f t="shared" si="125"/>
        <v>ok</v>
      </c>
      <c r="AG2267" s="429">
        <v>300</v>
      </c>
      <c r="AJ2267" s="412">
        <f t="shared" si="123"/>
        <v>300</v>
      </c>
      <c r="AL2267" s="250" t="s">
        <v>2067</v>
      </c>
    </row>
    <row r="2268" spans="1:38" x14ac:dyDescent="0.2">
      <c r="A2268" s="409" t="str">
        <f t="shared" si="124"/>
        <v>Rancho Landero</v>
      </c>
      <c r="B2268" s="430">
        <v>5822</v>
      </c>
      <c r="C2268" s="210" t="s">
        <v>978</v>
      </c>
      <c r="D2268" s="229" t="str">
        <f t="shared" si="120"/>
        <v>Rancho Landero No. 8</v>
      </c>
      <c r="E2268" s="229" t="str">
        <f t="shared" si="121"/>
        <v>Peña Torres</v>
      </c>
      <c r="F2268" s="240">
        <f t="shared" si="122"/>
        <v>250</v>
      </c>
      <c r="G2268" s="431">
        <v>1</v>
      </c>
      <c r="H2268" s="432">
        <v>500</v>
      </c>
      <c r="I2268" s="207">
        <v>41560</v>
      </c>
      <c r="J2268" s="197" t="str">
        <f t="shared" si="125"/>
        <v>ok</v>
      </c>
      <c r="AF2268">
        <v>250</v>
      </c>
      <c r="AG2268" s="429">
        <v>250</v>
      </c>
      <c r="AJ2268" s="412">
        <f t="shared" si="123"/>
        <v>500</v>
      </c>
      <c r="AL2268" s="250" t="s">
        <v>2067</v>
      </c>
    </row>
    <row r="2269" spans="1:38" x14ac:dyDescent="0.2">
      <c r="A2269" s="409" t="str">
        <f t="shared" si="124"/>
        <v>Rancho Estanzuela</v>
      </c>
      <c r="B2269" s="430">
        <v>5823</v>
      </c>
      <c r="C2269" s="210" t="s">
        <v>786</v>
      </c>
      <c r="D2269" s="229" t="str">
        <f t="shared" si="120"/>
        <v>Rancho Estanzuela No. 37</v>
      </c>
      <c r="E2269" s="229" t="str">
        <f t="shared" si="121"/>
        <v>Cabello Eduardo</v>
      </c>
      <c r="F2269" s="240">
        <f t="shared" si="122"/>
        <v>300</v>
      </c>
      <c r="G2269" s="431">
        <v>1</v>
      </c>
      <c r="H2269" s="432">
        <v>300</v>
      </c>
      <c r="I2269" s="207">
        <v>41560</v>
      </c>
      <c r="J2269" s="197" t="str">
        <f t="shared" si="125"/>
        <v>ok</v>
      </c>
      <c r="AF2269">
        <v>150</v>
      </c>
      <c r="AG2269" s="429">
        <v>150</v>
      </c>
      <c r="AJ2269" s="412">
        <f t="shared" si="123"/>
        <v>300</v>
      </c>
      <c r="AL2269" s="250" t="s">
        <v>2067</v>
      </c>
    </row>
    <row r="2270" spans="1:38" x14ac:dyDescent="0.2">
      <c r="A2270" s="409" t="str">
        <f t="shared" si="124"/>
        <v>Rancho Recoveco</v>
      </c>
      <c r="B2270" s="430">
        <v>5824</v>
      </c>
      <c r="C2270" s="210" t="s">
        <v>1062</v>
      </c>
      <c r="D2270" s="229" t="str">
        <f t="shared" si="120"/>
        <v>Rancho Recoveco No. 183</v>
      </c>
      <c r="E2270" s="229" t="str">
        <f t="shared" si="121"/>
        <v>Atilano Limón</v>
      </c>
      <c r="F2270" s="240">
        <f t="shared" si="122"/>
        <v>300</v>
      </c>
      <c r="G2270" s="431">
        <v>1</v>
      </c>
      <c r="H2270" s="432">
        <v>300</v>
      </c>
      <c r="I2270" s="207">
        <v>41589</v>
      </c>
      <c r="J2270" s="197" t="str">
        <f t="shared" si="125"/>
        <v>ok</v>
      </c>
      <c r="AG2270" s="429">
        <v>100</v>
      </c>
      <c r="AH2270">
        <v>100</v>
      </c>
      <c r="AI2270">
        <v>100</v>
      </c>
      <c r="AJ2270" s="412">
        <f t="shared" si="123"/>
        <v>300</v>
      </c>
      <c r="AK2270" t="s">
        <v>2080</v>
      </c>
      <c r="AL2270" s="250" t="s">
        <v>2067</v>
      </c>
    </row>
    <row r="2271" spans="1:38" x14ac:dyDescent="0.2">
      <c r="A2271" s="409" t="str">
        <f t="shared" si="124"/>
        <v>Rancho Recoveco</v>
      </c>
      <c r="B2271" s="430">
        <v>5825</v>
      </c>
      <c r="C2271" s="210" t="s">
        <v>1062</v>
      </c>
      <c r="D2271" s="229" t="str">
        <f t="shared" si="120"/>
        <v>Rancho Recoveco No. 183</v>
      </c>
      <c r="E2271" s="229" t="str">
        <f t="shared" si="121"/>
        <v>Atilano Limón</v>
      </c>
      <c r="F2271" s="240">
        <f t="shared" si="122"/>
        <v>300</v>
      </c>
      <c r="G2271" s="431">
        <v>4</v>
      </c>
      <c r="H2271" s="432">
        <v>160</v>
      </c>
      <c r="I2271" s="207">
        <v>41553</v>
      </c>
      <c r="J2271" s="197" t="str">
        <f t="shared" si="125"/>
        <v>ok</v>
      </c>
      <c r="AG2271" s="429"/>
      <c r="AJ2271" s="412">
        <f t="shared" si="123"/>
        <v>0</v>
      </c>
      <c r="AK2271" t="s">
        <v>2081</v>
      </c>
      <c r="AL2271" s="250" t="s">
        <v>2067</v>
      </c>
    </row>
    <row r="2272" spans="1:38" x14ac:dyDescent="0.2">
      <c r="A2272" s="409" t="str">
        <f t="shared" si="124"/>
        <v/>
      </c>
      <c r="B2272" s="430">
        <v>5826</v>
      </c>
      <c r="C2272" s="210"/>
      <c r="D2272" s="229" t="str">
        <f t="shared" si="120"/>
        <v/>
      </c>
      <c r="E2272" s="229" t="str">
        <f t="shared" si="121"/>
        <v/>
      </c>
      <c r="F2272" s="240" t="str">
        <f t="shared" si="122"/>
        <v/>
      </c>
      <c r="I2272" s="207"/>
      <c r="J2272" s="197" t="str">
        <f t="shared" si="125"/>
        <v>ok</v>
      </c>
      <c r="AG2272" s="429"/>
      <c r="AJ2272" s="412">
        <f t="shared" si="123"/>
        <v>0</v>
      </c>
      <c r="AL2272" s="250" t="s">
        <v>2067</v>
      </c>
    </row>
    <row r="2273" spans="1:38" x14ac:dyDescent="0.2">
      <c r="A2273" s="409" t="str">
        <f t="shared" si="124"/>
        <v/>
      </c>
      <c r="B2273" s="430">
        <v>5827</v>
      </c>
      <c r="C2273" s="210"/>
      <c r="D2273" s="229" t="str">
        <f t="shared" ref="D2273:D2305" si="126">IF(C2273=0,"",VLOOKUP(C2273,BASE_A,6,FALSE))</f>
        <v/>
      </c>
      <c r="E2273" s="229" t="str">
        <f t="shared" ref="E2273:E2336" si="127">IF(C2273=0,"",VLOOKUP(C2273,BASE_A,8,FALSE))</f>
        <v/>
      </c>
      <c r="F2273" s="240" t="str">
        <f t="shared" ref="F2273:F2336" si="128">IF(C2273=0,"",VLOOKUP(C2273,BASE_A,9,FALSE))</f>
        <v/>
      </c>
      <c r="I2273" s="207"/>
      <c r="J2273" s="197" t="str">
        <f t="shared" si="125"/>
        <v>ok</v>
      </c>
      <c r="AG2273" s="429"/>
      <c r="AJ2273" s="412">
        <f t="shared" si="123"/>
        <v>0</v>
      </c>
      <c r="AL2273" s="250" t="s">
        <v>2067</v>
      </c>
    </row>
    <row r="2274" spans="1:38" x14ac:dyDescent="0.2">
      <c r="A2274" s="409" t="str">
        <f t="shared" si="124"/>
        <v/>
      </c>
      <c r="B2274" s="430">
        <v>5828</v>
      </c>
      <c r="C2274" s="210"/>
      <c r="D2274" s="229" t="str">
        <f t="shared" si="126"/>
        <v/>
      </c>
      <c r="E2274" s="229" t="str">
        <f t="shared" si="127"/>
        <v/>
      </c>
      <c r="F2274" s="240" t="str">
        <f t="shared" si="128"/>
        <v/>
      </c>
      <c r="I2274" s="207"/>
      <c r="J2274" s="197" t="str">
        <f t="shared" si="125"/>
        <v>ok</v>
      </c>
      <c r="AG2274" s="429"/>
      <c r="AJ2274" s="412">
        <f t="shared" si="123"/>
        <v>0</v>
      </c>
      <c r="AK2274" t="s">
        <v>755</v>
      </c>
      <c r="AL2274" s="250" t="s">
        <v>2067</v>
      </c>
    </row>
    <row r="2275" spans="1:38" x14ac:dyDescent="0.2">
      <c r="A2275" s="409" t="str">
        <f t="shared" si="124"/>
        <v>Rancho Estanzuela</v>
      </c>
      <c r="B2275" s="430">
        <v>5829</v>
      </c>
      <c r="C2275" s="210" t="s">
        <v>1703</v>
      </c>
      <c r="D2275" s="229" t="str">
        <f t="shared" si="126"/>
        <v>Rancho Estanzuela No. 130, A</v>
      </c>
      <c r="E2275" s="229" t="str">
        <f t="shared" si="127"/>
        <v>Colegio Carmel</v>
      </c>
      <c r="F2275" s="240">
        <f t="shared" si="128"/>
        <v>10000</v>
      </c>
      <c r="G2275" s="431">
        <v>3</v>
      </c>
      <c r="H2275" s="432">
        <v>160</v>
      </c>
      <c r="I2275" s="207">
        <v>41562</v>
      </c>
      <c r="J2275" s="197" t="str">
        <f t="shared" si="125"/>
        <v>ok</v>
      </c>
      <c r="AG2275" s="429"/>
      <c r="AJ2275" s="412">
        <f t="shared" si="123"/>
        <v>0</v>
      </c>
      <c r="AK2275" t="s">
        <v>2082</v>
      </c>
      <c r="AL2275" s="250" t="s">
        <v>2067</v>
      </c>
    </row>
    <row r="2276" spans="1:38" x14ac:dyDescent="0.2">
      <c r="A2276" s="409" t="str">
        <f t="shared" si="124"/>
        <v/>
      </c>
      <c r="B2276" s="430">
        <v>5830</v>
      </c>
      <c r="C2276" s="210"/>
      <c r="D2276" s="229" t="str">
        <f t="shared" si="126"/>
        <v/>
      </c>
      <c r="E2276" s="229" t="str">
        <f t="shared" si="127"/>
        <v/>
      </c>
      <c r="F2276" s="240" t="str">
        <f t="shared" si="128"/>
        <v/>
      </c>
      <c r="G2276" s="431"/>
      <c r="H2276" s="432"/>
      <c r="I2276" s="207">
        <v>41553</v>
      </c>
      <c r="J2276" s="197" t="str">
        <f t="shared" si="125"/>
        <v>ok</v>
      </c>
      <c r="AG2276" s="429"/>
      <c r="AJ2276" s="412">
        <f t="shared" si="123"/>
        <v>0</v>
      </c>
      <c r="AK2276" t="s">
        <v>755</v>
      </c>
      <c r="AL2276" s="250" t="s">
        <v>2067</v>
      </c>
    </row>
    <row r="2277" spans="1:38" x14ac:dyDescent="0.2">
      <c r="A2277" s="409" t="str">
        <f t="shared" si="124"/>
        <v>Rancho Landero</v>
      </c>
      <c r="B2277" s="430">
        <v>5831</v>
      </c>
      <c r="C2277" s="210" t="s">
        <v>1851</v>
      </c>
      <c r="D2277" s="229" t="str">
        <f t="shared" si="126"/>
        <v>Rancho Landero No. 1, A</v>
      </c>
      <c r="E2277" s="229" t="str">
        <f t="shared" si="127"/>
        <v>Ebysos</v>
      </c>
      <c r="F2277" s="240">
        <f t="shared" si="128"/>
        <v>300</v>
      </c>
      <c r="G2277" s="431">
        <v>1</v>
      </c>
      <c r="H2277" s="432">
        <v>400</v>
      </c>
      <c r="I2277" s="207">
        <v>41563</v>
      </c>
      <c r="J2277" s="197" t="str">
        <f t="shared" si="125"/>
        <v>ok</v>
      </c>
      <c r="AG2277" s="429">
        <v>400</v>
      </c>
      <c r="AJ2277" s="412">
        <f t="shared" si="123"/>
        <v>400</v>
      </c>
      <c r="AL2277" s="250" t="s">
        <v>2067</v>
      </c>
    </row>
    <row r="2278" spans="1:38" x14ac:dyDescent="0.2">
      <c r="A2278" s="409" t="str">
        <f t="shared" si="124"/>
        <v>Rancho Zinamba</v>
      </c>
      <c r="B2278" s="430">
        <v>5832</v>
      </c>
      <c r="C2278" s="210" t="s">
        <v>1153</v>
      </c>
      <c r="D2278" s="229" t="str">
        <f t="shared" si="126"/>
        <v>Rancho Zinamba No. 12</v>
      </c>
      <c r="E2278" s="229" t="str">
        <f t="shared" si="127"/>
        <v>Rodríguez</v>
      </c>
      <c r="F2278" s="240">
        <f t="shared" si="128"/>
        <v>400</v>
      </c>
      <c r="G2278" s="431">
        <v>1</v>
      </c>
      <c r="H2278" s="432">
        <v>400</v>
      </c>
      <c r="I2278" s="207">
        <v>41564</v>
      </c>
      <c r="J2278" s="197" t="str">
        <f t="shared" si="125"/>
        <v>ok</v>
      </c>
      <c r="AG2278" s="429">
        <v>400</v>
      </c>
      <c r="AJ2278" s="412">
        <f t="shared" si="123"/>
        <v>400</v>
      </c>
      <c r="AL2278" s="250" t="s">
        <v>2067</v>
      </c>
    </row>
    <row r="2279" spans="1:38" x14ac:dyDescent="0.2">
      <c r="A2279" s="409" t="str">
        <f t="shared" si="124"/>
        <v>Rancho Landero</v>
      </c>
      <c r="B2279" s="430">
        <v>5833</v>
      </c>
      <c r="C2279" s="210" t="s">
        <v>1030</v>
      </c>
      <c r="D2279" s="229" t="str">
        <f t="shared" si="126"/>
        <v>Rancho Landero No. 77</v>
      </c>
      <c r="E2279" s="229" t="str">
        <f t="shared" si="127"/>
        <v>Muñoz</v>
      </c>
      <c r="F2279" s="240">
        <f t="shared" si="128"/>
        <v>300</v>
      </c>
      <c r="G2279" s="431">
        <v>1</v>
      </c>
      <c r="H2279" s="432">
        <v>300</v>
      </c>
      <c r="I2279" s="207">
        <v>41567</v>
      </c>
      <c r="J2279" s="197" t="str">
        <f t="shared" si="125"/>
        <v>ok</v>
      </c>
      <c r="AF2279">
        <v>300</v>
      </c>
      <c r="AG2279" s="429"/>
      <c r="AJ2279" s="412">
        <f t="shared" si="123"/>
        <v>300</v>
      </c>
      <c r="AL2279" s="250" t="s">
        <v>2067</v>
      </c>
    </row>
    <row r="2280" spans="1:38" x14ac:dyDescent="0.2">
      <c r="A2280" s="409" t="str">
        <f t="shared" si="124"/>
        <v>Rancho La Cuchilla</v>
      </c>
      <c r="B2280" s="430">
        <v>5834</v>
      </c>
      <c r="C2280" s="210" t="s">
        <v>831</v>
      </c>
      <c r="D2280" s="229" t="str">
        <f t="shared" si="126"/>
        <v>Rancho La Cuchilla No. 66</v>
      </c>
      <c r="E2280" s="229" t="str">
        <f t="shared" si="127"/>
        <v>Prieto</v>
      </c>
      <c r="F2280" s="240">
        <f t="shared" si="128"/>
        <v>300</v>
      </c>
      <c r="G2280" s="431">
        <v>1</v>
      </c>
      <c r="H2280" s="432">
        <v>300</v>
      </c>
      <c r="I2280" s="207">
        <v>41567</v>
      </c>
      <c r="J2280" s="197" t="str">
        <f t="shared" si="125"/>
        <v>ok</v>
      </c>
      <c r="AG2280" s="429">
        <v>300</v>
      </c>
      <c r="AJ2280" s="412">
        <f t="shared" si="123"/>
        <v>300</v>
      </c>
      <c r="AL2280" s="250" t="s">
        <v>2067</v>
      </c>
    </row>
    <row r="2281" spans="1:38" x14ac:dyDescent="0.2">
      <c r="A2281" s="409" t="str">
        <f t="shared" si="124"/>
        <v>Rancho La Cuchilla</v>
      </c>
      <c r="B2281" s="430">
        <v>5835</v>
      </c>
      <c r="C2281" s="210" t="s">
        <v>859</v>
      </c>
      <c r="D2281" s="229" t="str">
        <f t="shared" si="126"/>
        <v>Rancho La Cuchilla No. 111</v>
      </c>
      <c r="E2281" s="229" t="str">
        <f t="shared" si="127"/>
        <v>García Santos Ofelia</v>
      </c>
      <c r="F2281" s="240">
        <f t="shared" si="128"/>
        <v>150</v>
      </c>
      <c r="G2281" s="431">
        <v>1</v>
      </c>
      <c r="H2281" s="432">
        <v>200</v>
      </c>
      <c r="I2281" s="207">
        <v>41567</v>
      </c>
      <c r="J2281" s="197" t="str">
        <f t="shared" si="125"/>
        <v>ok</v>
      </c>
      <c r="AG2281" s="429">
        <v>200</v>
      </c>
      <c r="AJ2281" s="412">
        <f t="shared" si="123"/>
        <v>200</v>
      </c>
      <c r="AL2281" s="250" t="s">
        <v>2067</v>
      </c>
    </row>
    <row r="2282" spans="1:38" x14ac:dyDescent="0.2">
      <c r="A2282" s="409" t="str">
        <f t="shared" si="124"/>
        <v>Rancho Romeral</v>
      </c>
      <c r="B2282" s="430">
        <v>5836</v>
      </c>
      <c r="C2282" s="210" t="s">
        <v>1049</v>
      </c>
      <c r="D2282" s="229" t="str">
        <f t="shared" si="126"/>
        <v>Rancho Romeral No. 9, B</v>
      </c>
      <c r="E2282" s="229" t="str">
        <f t="shared" si="127"/>
        <v>Morales Macías</v>
      </c>
      <c r="F2282" s="240">
        <f t="shared" si="128"/>
        <v>100</v>
      </c>
      <c r="G2282" s="431">
        <v>1</v>
      </c>
      <c r="H2282" s="432">
        <v>100</v>
      </c>
      <c r="I2282" s="207">
        <v>41567</v>
      </c>
      <c r="J2282" s="197" t="str">
        <f t="shared" si="125"/>
        <v>ok</v>
      </c>
      <c r="AG2282" s="429">
        <v>100</v>
      </c>
      <c r="AJ2282" s="412">
        <f t="shared" si="123"/>
        <v>100</v>
      </c>
      <c r="AL2282" s="250" t="s">
        <v>2067</v>
      </c>
    </row>
    <row r="2283" spans="1:38" x14ac:dyDescent="0.2">
      <c r="A2283" s="409" t="str">
        <f t="shared" si="124"/>
        <v>Rancho Recoveco</v>
      </c>
      <c r="B2283" s="430">
        <v>5837</v>
      </c>
      <c r="C2283" s="210" t="s">
        <v>1065</v>
      </c>
      <c r="D2283" s="229" t="str">
        <f t="shared" si="126"/>
        <v>Rancho Recoveco No. 193</v>
      </c>
      <c r="E2283" s="229" t="str">
        <f t="shared" si="127"/>
        <v>Salazar Pérez</v>
      </c>
      <c r="F2283" s="240">
        <f t="shared" si="128"/>
        <v>300</v>
      </c>
      <c r="G2283" s="431">
        <v>1</v>
      </c>
      <c r="H2283" s="432">
        <v>400</v>
      </c>
      <c r="I2283" s="207">
        <v>41567</v>
      </c>
      <c r="J2283" s="197" t="str">
        <f t="shared" si="125"/>
        <v>ok</v>
      </c>
      <c r="AG2283" s="429">
        <v>400</v>
      </c>
      <c r="AJ2283" s="412">
        <f t="shared" si="123"/>
        <v>400</v>
      </c>
      <c r="AL2283" s="250" t="s">
        <v>2067</v>
      </c>
    </row>
    <row r="2284" spans="1:38" x14ac:dyDescent="0.2">
      <c r="A2284" s="409" t="str">
        <f t="shared" si="124"/>
        <v>Rancho Zinamba</v>
      </c>
      <c r="B2284" s="430">
        <v>5838</v>
      </c>
      <c r="C2284" s="210" t="s">
        <v>1153</v>
      </c>
      <c r="D2284" s="229" t="str">
        <f t="shared" si="126"/>
        <v>Rancho Zinamba No. 12</v>
      </c>
      <c r="E2284" s="229" t="str">
        <f t="shared" si="127"/>
        <v>Rodríguez</v>
      </c>
      <c r="F2284" s="240">
        <f t="shared" si="128"/>
        <v>400</v>
      </c>
      <c r="G2284" s="431">
        <v>4</v>
      </c>
      <c r="H2284" s="432">
        <v>160</v>
      </c>
      <c r="I2284" s="207">
        <v>41567</v>
      </c>
      <c r="J2284" s="197" t="str">
        <f t="shared" si="125"/>
        <v>ok</v>
      </c>
      <c r="AG2284" s="429"/>
      <c r="AJ2284" s="412">
        <f t="shared" si="123"/>
        <v>0</v>
      </c>
      <c r="AK2284" t="s">
        <v>2084</v>
      </c>
      <c r="AL2284" s="250" t="s">
        <v>2067</v>
      </c>
    </row>
    <row r="2285" spans="1:38" x14ac:dyDescent="0.2">
      <c r="A2285" s="409" t="str">
        <f t="shared" si="124"/>
        <v>Rancho La Cuchilla</v>
      </c>
      <c r="B2285" s="430">
        <v>5839</v>
      </c>
      <c r="C2285" s="210" t="s">
        <v>797</v>
      </c>
      <c r="D2285" s="229" t="str">
        <f t="shared" si="126"/>
        <v>Rancho La Cuchilla No. 12</v>
      </c>
      <c r="E2285" s="229" t="str">
        <f t="shared" si="127"/>
        <v>Rivera Flores</v>
      </c>
      <c r="F2285" s="240">
        <f t="shared" si="128"/>
        <v>300</v>
      </c>
      <c r="G2285" s="431">
        <v>1</v>
      </c>
      <c r="H2285" s="432">
        <v>350</v>
      </c>
      <c r="I2285" s="207">
        <v>41567</v>
      </c>
      <c r="J2285" s="197" t="str">
        <f t="shared" si="125"/>
        <v>ok</v>
      </c>
      <c r="AG2285" s="429">
        <v>350</v>
      </c>
      <c r="AJ2285" s="412">
        <f t="shared" si="123"/>
        <v>350</v>
      </c>
      <c r="AL2285" s="250" t="s">
        <v>2067</v>
      </c>
    </row>
    <row r="2286" spans="1:38" x14ac:dyDescent="0.2">
      <c r="A2286" s="409" t="str">
        <f t="shared" si="124"/>
        <v>Rancho La Cuchilla</v>
      </c>
      <c r="B2286" s="430">
        <v>5840</v>
      </c>
      <c r="C2286" s="210" t="s">
        <v>858</v>
      </c>
      <c r="D2286" s="229" t="str">
        <f t="shared" si="126"/>
        <v>Rancho La Cuchilla No. 107</v>
      </c>
      <c r="E2286" s="229" t="str">
        <f t="shared" si="127"/>
        <v>Olivares Rivera</v>
      </c>
      <c r="F2286" s="240">
        <f t="shared" si="128"/>
        <v>300</v>
      </c>
      <c r="G2286" s="431">
        <v>1</v>
      </c>
      <c r="H2286" s="432">
        <v>400</v>
      </c>
      <c r="I2286" s="207">
        <v>41567</v>
      </c>
      <c r="J2286" s="197" t="str">
        <f t="shared" si="125"/>
        <v>ok</v>
      </c>
      <c r="AG2286" s="429">
        <v>400</v>
      </c>
      <c r="AJ2286" s="412">
        <f t="shared" si="123"/>
        <v>400</v>
      </c>
      <c r="AL2286" s="250" t="s">
        <v>2067</v>
      </c>
    </row>
    <row r="2287" spans="1:38" x14ac:dyDescent="0.2">
      <c r="A2287" s="409" t="str">
        <f t="shared" si="124"/>
        <v>Rancho Zinamba</v>
      </c>
      <c r="B2287" s="430">
        <v>5841</v>
      </c>
      <c r="C2287" s="210" t="s">
        <v>1175</v>
      </c>
      <c r="D2287" s="229" t="str">
        <f t="shared" si="126"/>
        <v>Rancho Zinamba No. 76</v>
      </c>
      <c r="E2287" s="229" t="str">
        <f t="shared" si="127"/>
        <v>Márquez</v>
      </c>
      <c r="F2287" s="240">
        <f t="shared" si="128"/>
        <v>300</v>
      </c>
      <c r="G2287" s="431">
        <v>1</v>
      </c>
      <c r="H2287" s="432">
        <v>1300</v>
      </c>
      <c r="I2287" s="207">
        <v>41567</v>
      </c>
      <c r="J2287" s="197" t="str">
        <f t="shared" si="125"/>
        <v>ok</v>
      </c>
      <c r="AD2287">
        <v>300</v>
      </c>
      <c r="AE2287">
        <v>300</v>
      </c>
      <c r="AF2287">
        <v>300</v>
      </c>
      <c r="AG2287" s="429">
        <v>400</v>
      </c>
      <c r="AJ2287" s="412">
        <f t="shared" si="123"/>
        <v>1300</v>
      </c>
      <c r="AL2287" s="250" t="s">
        <v>2067</v>
      </c>
    </row>
    <row r="2288" spans="1:38" x14ac:dyDescent="0.2">
      <c r="A2288" s="409" t="str">
        <f t="shared" si="124"/>
        <v>Rancho Recoveco</v>
      </c>
      <c r="B2288" s="430">
        <v>5842</v>
      </c>
      <c r="C2288" s="210" t="s">
        <v>1059</v>
      </c>
      <c r="D2288" s="229" t="str">
        <f t="shared" si="126"/>
        <v>Rancho Recoveco No. 175, B</v>
      </c>
      <c r="E2288" s="229" t="str">
        <f t="shared" si="127"/>
        <v>García Calderón</v>
      </c>
      <c r="F2288" s="240">
        <f t="shared" si="128"/>
        <v>150</v>
      </c>
      <c r="G2288" s="431">
        <v>1</v>
      </c>
      <c r="H2288" s="432">
        <v>200</v>
      </c>
      <c r="I2288" s="207">
        <v>41567</v>
      </c>
      <c r="J2288" s="197" t="str">
        <f t="shared" si="125"/>
        <v>ok</v>
      </c>
      <c r="AG2288" s="429">
        <v>200</v>
      </c>
      <c r="AJ2288" s="412">
        <f t="shared" si="123"/>
        <v>200</v>
      </c>
      <c r="AL2288" s="250" t="s">
        <v>2067</v>
      </c>
    </row>
    <row r="2289" spans="1:38" x14ac:dyDescent="0.2">
      <c r="A2289" s="409" t="str">
        <f t="shared" si="124"/>
        <v>Rancho Estanzuela</v>
      </c>
      <c r="B2289" s="430">
        <v>5843</v>
      </c>
      <c r="C2289" s="210" t="s">
        <v>944</v>
      </c>
      <c r="D2289" s="229" t="str">
        <f t="shared" si="126"/>
        <v>Rancho Estanzuela No. 99</v>
      </c>
      <c r="E2289" s="229" t="str">
        <f t="shared" si="127"/>
        <v>García López</v>
      </c>
      <c r="F2289" s="240">
        <f t="shared" si="128"/>
        <v>300</v>
      </c>
      <c r="G2289" s="431">
        <v>1</v>
      </c>
      <c r="H2289" s="432">
        <v>700</v>
      </c>
      <c r="I2289" s="207">
        <v>41567</v>
      </c>
      <c r="J2289" s="197" t="str">
        <f t="shared" si="125"/>
        <v>ok</v>
      </c>
      <c r="AF2289">
        <v>300</v>
      </c>
      <c r="AG2289" s="429">
        <v>400</v>
      </c>
      <c r="AJ2289" s="412">
        <f t="shared" si="123"/>
        <v>700</v>
      </c>
      <c r="AL2289" s="250" t="s">
        <v>2067</v>
      </c>
    </row>
    <row r="2290" spans="1:38" x14ac:dyDescent="0.2">
      <c r="A2290" s="409" t="str">
        <f t="shared" si="124"/>
        <v>Rancho Upácuaro</v>
      </c>
      <c r="B2290" s="430">
        <v>5844</v>
      </c>
      <c r="C2290" s="210" t="s">
        <v>1101</v>
      </c>
      <c r="D2290" s="229" t="str">
        <f t="shared" si="126"/>
        <v>Rancho Upácuaro No. 54</v>
      </c>
      <c r="E2290" s="229" t="str">
        <f t="shared" si="127"/>
        <v>García Rueda</v>
      </c>
      <c r="F2290" s="240">
        <f t="shared" si="128"/>
        <v>200</v>
      </c>
      <c r="G2290" s="431">
        <v>1</v>
      </c>
      <c r="H2290" s="432">
        <v>400</v>
      </c>
      <c r="I2290" s="207">
        <v>41567</v>
      </c>
      <c r="J2290" s="197" t="str">
        <f t="shared" si="125"/>
        <v>ok</v>
      </c>
      <c r="AG2290" s="429">
        <v>200</v>
      </c>
      <c r="AH2290">
        <v>200</v>
      </c>
      <c r="AJ2290" s="412">
        <f t="shared" si="123"/>
        <v>400</v>
      </c>
      <c r="AL2290" s="250" t="s">
        <v>2067</v>
      </c>
    </row>
    <row r="2291" spans="1:38" x14ac:dyDescent="0.2">
      <c r="A2291" s="409" t="str">
        <f t="shared" si="124"/>
        <v>Rancho La Cuchilla</v>
      </c>
      <c r="B2291" s="430">
        <v>5845</v>
      </c>
      <c r="C2291" s="210" t="s">
        <v>819</v>
      </c>
      <c r="D2291" s="229" t="str">
        <f t="shared" si="126"/>
        <v>Rancho La Cuchilla No. 43, A</v>
      </c>
      <c r="E2291" s="229" t="str">
        <f t="shared" si="127"/>
        <v>De la Rosa</v>
      </c>
      <c r="F2291" s="240">
        <f t="shared" si="128"/>
        <v>200</v>
      </c>
      <c r="G2291" s="431">
        <v>1</v>
      </c>
      <c r="H2291" s="432">
        <v>400</v>
      </c>
      <c r="I2291" s="207">
        <v>41567</v>
      </c>
      <c r="J2291" s="197" t="str">
        <f t="shared" si="125"/>
        <v>ok</v>
      </c>
      <c r="AG2291" s="429">
        <v>400</v>
      </c>
      <c r="AJ2291" s="412">
        <f t="shared" si="123"/>
        <v>400</v>
      </c>
    </row>
    <row r="2292" spans="1:38" x14ac:dyDescent="0.2">
      <c r="A2292" s="409" t="str">
        <f t="shared" si="124"/>
        <v>Rancho Landero</v>
      </c>
      <c r="B2292" s="430">
        <v>5846</v>
      </c>
      <c r="C2292" s="434" t="s">
        <v>988</v>
      </c>
      <c r="D2292" s="229" t="str">
        <f t="shared" si="126"/>
        <v>Rancho Landero No. 20</v>
      </c>
      <c r="E2292" s="229" t="str">
        <f t="shared" si="127"/>
        <v>Velasco</v>
      </c>
      <c r="F2292" s="240">
        <f t="shared" si="128"/>
        <v>300</v>
      </c>
      <c r="G2292" s="431">
        <v>1</v>
      </c>
      <c r="H2292" s="432">
        <v>300</v>
      </c>
      <c r="I2292" s="207">
        <v>41567</v>
      </c>
      <c r="J2292" s="435" t="str">
        <f t="shared" si="125"/>
        <v>ok</v>
      </c>
      <c r="AG2292" s="429">
        <v>300</v>
      </c>
      <c r="AJ2292" s="412">
        <f t="shared" si="123"/>
        <v>300</v>
      </c>
    </row>
    <row r="2293" spans="1:38" x14ac:dyDescent="0.2">
      <c r="A2293" s="409" t="str">
        <f t="shared" si="124"/>
        <v>Rancho La Cuchilla</v>
      </c>
      <c r="B2293" s="430">
        <v>5847</v>
      </c>
      <c r="C2293" s="434" t="s">
        <v>881</v>
      </c>
      <c r="D2293" s="229" t="str">
        <f t="shared" si="126"/>
        <v>Rancho La Cuchilla No. 148</v>
      </c>
      <c r="E2293" s="229" t="str">
        <f t="shared" si="127"/>
        <v>Vázquez Vázquez</v>
      </c>
      <c r="F2293" s="240">
        <f t="shared" si="128"/>
        <v>300</v>
      </c>
      <c r="G2293" s="431">
        <v>1</v>
      </c>
      <c r="H2293" s="432">
        <v>1000</v>
      </c>
      <c r="I2293" s="207">
        <v>41567</v>
      </c>
      <c r="J2293" s="435" t="str">
        <f t="shared" si="125"/>
        <v>ok</v>
      </c>
      <c r="AE2293">
        <v>300</v>
      </c>
      <c r="AF2293">
        <v>300</v>
      </c>
      <c r="AG2293" s="429">
        <v>400</v>
      </c>
      <c r="AJ2293" s="412">
        <f t="shared" si="123"/>
        <v>1000</v>
      </c>
    </row>
    <row r="2294" spans="1:38" x14ac:dyDescent="0.2">
      <c r="A2294" s="409" t="str">
        <f t="shared" si="124"/>
        <v>Rancho La Cuchilla</v>
      </c>
      <c r="B2294" s="430">
        <v>5848</v>
      </c>
      <c r="C2294" s="434" t="s">
        <v>835</v>
      </c>
      <c r="D2294" s="229" t="str">
        <f t="shared" si="126"/>
        <v>Rancho La Cuchilla No. 71</v>
      </c>
      <c r="E2294" s="229" t="str">
        <f t="shared" si="127"/>
        <v>Pulido</v>
      </c>
      <c r="F2294" s="240">
        <f t="shared" si="128"/>
        <v>300</v>
      </c>
      <c r="G2294" s="431">
        <v>1</v>
      </c>
      <c r="H2294" s="432">
        <v>300</v>
      </c>
      <c r="I2294" s="207">
        <v>41567</v>
      </c>
      <c r="J2294" s="435" t="str">
        <f t="shared" si="125"/>
        <v>ok</v>
      </c>
      <c r="AG2294" s="429">
        <v>300</v>
      </c>
      <c r="AJ2294" s="412">
        <f t="shared" si="123"/>
        <v>300</v>
      </c>
    </row>
    <row r="2295" spans="1:38" x14ac:dyDescent="0.2">
      <c r="A2295" s="409" t="str">
        <f t="shared" si="124"/>
        <v>Rancho Landero</v>
      </c>
      <c r="B2295" s="430">
        <v>5849</v>
      </c>
      <c r="C2295" s="434" t="s">
        <v>1035</v>
      </c>
      <c r="D2295" s="229" t="str">
        <f t="shared" si="126"/>
        <v>Rancho Landero No. 87</v>
      </c>
      <c r="E2295" s="229" t="str">
        <f t="shared" si="127"/>
        <v>Fey Lafferla</v>
      </c>
      <c r="F2295" s="240">
        <f t="shared" si="128"/>
        <v>300</v>
      </c>
      <c r="G2295" s="431">
        <v>1</v>
      </c>
      <c r="H2295" s="432">
        <v>400</v>
      </c>
      <c r="I2295" s="207">
        <v>41567</v>
      </c>
      <c r="J2295" s="435" t="str">
        <f t="shared" si="125"/>
        <v>ok</v>
      </c>
      <c r="AG2295" s="429">
        <v>400</v>
      </c>
      <c r="AJ2295" s="412">
        <f t="shared" si="123"/>
        <v>400</v>
      </c>
    </row>
    <row r="2296" spans="1:38" x14ac:dyDescent="0.2">
      <c r="A2296" s="409" t="str">
        <f t="shared" si="124"/>
        <v>Rancho Zinamba</v>
      </c>
      <c r="B2296" s="430">
        <v>5850</v>
      </c>
      <c r="C2296" s="434" t="s">
        <v>1170</v>
      </c>
      <c r="D2296" s="229" t="str">
        <f t="shared" si="126"/>
        <v>Rancho Zinamba No. 62</v>
      </c>
      <c r="E2296" s="229" t="str">
        <f t="shared" si="127"/>
        <v>Martínez León</v>
      </c>
      <c r="F2296" s="240">
        <f t="shared" si="128"/>
        <v>250</v>
      </c>
      <c r="G2296" s="431">
        <v>1</v>
      </c>
      <c r="H2296" s="432">
        <v>1000</v>
      </c>
      <c r="I2296" s="207">
        <v>41567</v>
      </c>
      <c r="J2296" s="435" t="str">
        <f t="shared" si="125"/>
        <v>ok</v>
      </c>
      <c r="AB2296">
        <v>250</v>
      </c>
      <c r="AC2296">
        <v>250</v>
      </c>
      <c r="AD2296">
        <v>250</v>
      </c>
      <c r="AE2296">
        <v>250</v>
      </c>
      <c r="AG2296" s="429"/>
      <c r="AJ2296" s="412">
        <f t="shared" si="123"/>
        <v>1000</v>
      </c>
    </row>
    <row r="2297" spans="1:38" x14ac:dyDescent="0.2">
      <c r="A2297" s="409" t="str">
        <f t="shared" si="124"/>
        <v>Rancho Landero</v>
      </c>
      <c r="B2297" s="430">
        <v>5851</v>
      </c>
      <c r="C2297" s="434" t="s">
        <v>1009</v>
      </c>
      <c r="D2297" s="229" t="str">
        <f t="shared" si="126"/>
        <v>Rancho Landero No. 47</v>
      </c>
      <c r="E2297" s="229" t="str">
        <f t="shared" si="127"/>
        <v>García González</v>
      </c>
      <c r="F2297" s="240">
        <f t="shared" si="128"/>
        <v>300</v>
      </c>
      <c r="G2297" s="431">
        <v>1</v>
      </c>
      <c r="H2297" s="432">
        <v>560</v>
      </c>
      <c r="I2297" s="207">
        <v>41567</v>
      </c>
      <c r="J2297" s="435" t="str">
        <f t="shared" si="125"/>
        <v>error</v>
      </c>
      <c r="AG2297" s="429">
        <v>400</v>
      </c>
      <c r="AJ2297" s="412">
        <f t="shared" si="123"/>
        <v>400</v>
      </c>
      <c r="AK2297" t="s">
        <v>2085</v>
      </c>
    </row>
    <row r="2298" spans="1:38" x14ac:dyDescent="0.2">
      <c r="A2298" s="409" t="str">
        <f t="shared" si="124"/>
        <v>Rancho Recoveco</v>
      </c>
      <c r="B2298" s="430">
        <v>5852</v>
      </c>
      <c r="C2298" s="434" t="s">
        <v>1063</v>
      </c>
      <c r="D2298" s="229" t="str">
        <f t="shared" si="126"/>
        <v>Rancho Recoveco No. 187</v>
      </c>
      <c r="E2298" s="229" t="str">
        <f t="shared" si="127"/>
        <v>Moreno</v>
      </c>
      <c r="F2298" s="240">
        <f t="shared" si="128"/>
        <v>300</v>
      </c>
      <c r="G2298" s="431">
        <v>1</v>
      </c>
      <c r="H2298" s="432">
        <v>600</v>
      </c>
      <c r="I2298" s="207">
        <v>41567</v>
      </c>
      <c r="J2298" s="435" t="str">
        <f t="shared" si="125"/>
        <v>ok</v>
      </c>
      <c r="AF2298">
        <v>300</v>
      </c>
      <c r="AG2298" s="429">
        <v>300</v>
      </c>
      <c r="AJ2298" s="412">
        <f t="shared" si="123"/>
        <v>600</v>
      </c>
    </row>
    <row r="2299" spans="1:38" x14ac:dyDescent="0.2">
      <c r="A2299" s="409" t="str">
        <f t="shared" si="124"/>
        <v>Rancho La Cuchilla</v>
      </c>
      <c r="B2299" s="430">
        <v>5853</v>
      </c>
      <c r="C2299" s="434" t="s">
        <v>818</v>
      </c>
      <c r="D2299" s="229" t="str">
        <f t="shared" si="126"/>
        <v>Rancho La Cuchilla No. 41</v>
      </c>
      <c r="E2299" s="229" t="str">
        <f t="shared" si="127"/>
        <v>Arriaga Lemus</v>
      </c>
      <c r="F2299" s="240">
        <f t="shared" si="128"/>
        <v>250</v>
      </c>
      <c r="G2299" s="431">
        <v>1</v>
      </c>
      <c r="H2299" s="432">
        <v>400</v>
      </c>
      <c r="I2299" s="207">
        <v>41567</v>
      </c>
      <c r="J2299" s="435" t="str">
        <f t="shared" si="125"/>
        <v>ok</v>
      </c>
      <c r="AG2299" s="429">
        <v>400</v>
      </c>
      <c r="AJ2299" s="412">
        <f t="shared" si="123"/>
        <v>400</v>
      </c>
    </row>
    <row r="2300" spans="1:38" x14ac:dyDescent="0.2">
      <c r="A2300" s="409" t="str">
        <f t="shared" si="124"/>
        <v>Rancho Landero</v>
      </c>
      <c r="B2300" s="430">
        <v>5854</v>
      </c>
      <c r="C2300" s="434" t="s">
        <v>991</v>
      </c>
      <c r="D2300" s="229" t="str">
        <f t="shared" si="126"/>
        <v>Rancho Landero No. 24</v>
      </c>
      <c r="E2300" s="229" t="str">
        <f t="shared" si="127"/>
        <v>Vázquez Peralta</v>
      </c>
      <c r="F2300" s="240">
        <f t="shared" si="128"/>
        <v>300</v>
      </c>
      <c r="G2300" s="431">
        <v>1</v>
      </c>
      <c r="H2300" s="432">
        <v>400</v>
      </c>
      <c r="I2300" s="207">
        <v>41567</v>
      </c>
      <c r="J2300" s="435" t="str">
        <f t="shared" si="125"/>
        <v>ok</v>
      </c>
      <c r="AG2300" s="429">
        <v>400</v>
      </c>
      <c r="AJ2300" s="412">
        <f t="shared" si="123"/>
        <v>400</v>
      </c>
    </row>
    <row r="2301" spans="1:38" x14ac:dyDescent="0.2">
      <c r="A2301" s="409" t="str">
        <f t="shared" si="124"/>
        <v>Rancho La Cuchilla</v>
      </c>
      <c r="B2301" s="430">
        <v>5855</v>
      </c>
      <c r="C2301" s="434" t="s">
        <v>872</v>
      </c>
      <c r="D2301" s="229" t="str">
        <f t="shared" si="126"/>
        <v>Rancho La Cuchilla No. 130</v>
      </c>
      <c r="E2301" s="229" t="str">
        <f t="shared" si="127"/>
        <v>De la Huerta</v>
      </c>
      <c r="F2301" s="240">
        <f t="shared" si="128"/>
        <v>300</v>
      </c>
      <c r="G2301" s="431">
        <v>1</v>
      </c>
      <c r="H2301" s="432">
        <v>400</v>
      </c>
      <c r="I2301" s="207">
        <v>41567</v>
      </c>
      <c r="J2301" s="435" t="str">
        <f t="shared" si="125"/>
        <v>ok</v>
      </c>
      <c r="AG2301" s="429"/>
      <c r="AH2301">
        <v>400</v>
      </c>
      <c r="AJ2301" s="412">
        <f t="shared" si="123"/>
        <v>400</v>
      </c>
    </row>
    <row r="2302" spans="1:38" x14ac:dyDescent="0.2">
      <c r="A2302" s="409" t="str">
        <f t="shared" si="124"/>
        <v/>
      </c>
      <c r="B2302" s="430">
        <v>5856</v>
      </c>
      <c r="D2302" s="229" t="str">
        <f t="shared" si="126"/>
        <v/>
      </c>
      <c r="E2302" s="229" t="str">
        <f t="shared" si="127"/>
        <v/>
      </c>
      <c r="F2302" s="240" t="str">
        <f t="shared" si="128"/>
        <v/>
      </c>
      <c r="G2302" s="431"/>
      <c r="H2302" s="432"/>
      <c r="I2302" s="207"/>
      <c r="AG2302" s="429"/>
      <c r="AJ2302" s="412">
        <f t="shared" si="123"/>
        <v>0</v>
      </c>
    </row>
    <row r="2303" spans="1:38" x14ac:dyDescent="0.2">
      <c r="A2303" s="409" t="str">
        <f t="shared" si="124"/>
        <v/>
      </c>
      <c r="B2303" s="430">
        <v>5857</v>
      </c>
      <c r="D2303" s="229" t="str">
        <f t="shared" si="126"/>
        <v/>
      </c>
      <c r="E2303" s="229" t="str">
        <f t="shared" si="127"/>
        <v/>
      </c>
      <c r="F2303" s="240" t="str">
        <f t="shared" si="128"/>
        <v/>
      </c>
      <c r="G2303" s="431"/>
      <c r="H2303" s="432"/>
      <c r="I2303" s="207"/>
      <c r="AG2303" s="429"/>
      <c r="AJ2303" s="412">
        <f t="shared" si="123"/>
        <v>0</v>
      </c>
    </row>
    <row r="2304" spans="1:38" x14ac:dyDescent="0.2">
      <c r="A2304" s="409" t="str">
        <f t="shared" si="124"/>
        <v/>
      </c>
      <c r="B2304" s="430">
        <v>5858</v>
      </c>
      <c r="D2304" s="229" t="str">
        <f t="shared" si="126"/>
        <v/>
      </c>
      <c r="E2304" s="229" t="str">
        <f t="shared" si="127"/>
        <v/>
      </c>
      <c r="F2304" s="240" t="str">
        <f t="shared" si="128"/>
        <v/>
      </c>
      <c r="G2304" s="431"/>
      <c r="H2304" s="432"/>
      <c r="I2304" s="207"/>
      <c r="AG2304" s="429"/>
      <c r="AJ2304" s="412">
        <f t="shared" si="123"/>
        <v>0</v>
      </c>
    </row>
    <row r="2305" spans="1:36" x14ac:dyDescent="0.2">
      <c r="A2305" s="409" t="str">
        <f t="shared" si="124"/>
        <v/>
      </c>
      <c r="B2305" s="430">
        <v>5859</v>
      </c>
      <c r="D2305" s="229" t="str">
        <f t="shared" si="126"/>
        <v/>
      </c>
      <c r="E2305" s="229" t="str">
        <f t="shared" si="127"/>
        <v/>
      </c>
      <c r="F2305" s="240" t="str">
        <f t="shared" si="128"/>
        <v/>
      </c>
      <c r="G2305" s="431"/>
      <c r="H2305" s="432"/>
      <c r="I2305" s="207"/>
      <c r="AG2305" s="429"/>
      <c r="AJ2305" s="412">
        <f t="shared" si="123"/>
        <v>0</v>
      </c>
    </row>
    <row r="2306" spans="1:36" x14ac:dyDescent="0.2">
      <c r="A2306" s="409" t="str">
        <f t="shared" si="124"/>
        <v/>
      </c>
      <c r="B2306" s="430">
        <v>5860</v>
      </c>
      <c r="D2306" s="229"/>
      <c r="E2306" s="229" t="str">
        <f t="shared" si="127"/>
        <v/>
      </c>
      <c r="F2306" s="240" t="str">
        <f t="shared" si="128"/>
        <v/>
      </c>
      <c r="G2306" s="431"/>
      <c r="H2306" s="432"/>
      <c r="I2306" s="207"/>
      <c r="AG2306" s="429"/>
      <c r="AJ2306" s="412">
        <f t="shared" si="123"/>
        <v>0</v>
      </c>
    </row>
    <row r="2307" spans="1:36" x14ac:dyDescent="0.2">
      <c r="A2307" s="409" t="str">
        <f t="shared" si="124"/>
        <v/>
      </c>
      <c r="B2307" s="430">
        <v>5861</v>
      </c>
      <c r="D2307" s="229"/>
      <c r="E2307" s="229" t="str">
        <f t="shared" si="127"/>
        <v/>
      </c>
      <c r="F2307" s="240" t="str">
        <f t="shared" si="128"/>
        <v/>
      </c>
      <c r="G2307" s="431"/>
      <c r="H2307" s="432"/>
      <c r="I2307" s="207"/>
      <c r="AG2307" s="429"/>
      <c r="AJ2307" s="412">
        <f t="shared" si="123"/>
        <v>0</v>
      </c>
    </row>
    <row r="2308" spans="1:36" x14ac:dyDescent="0.2">
      <c r="A2308" s="409" t="str">
        <f t="shared" si="124"/>
        <v/>
      </c>
      <c r="B2308" s="430">
        <v>5862</v>
      </c>
      <c r="D2308" s="229"/>
      <c r="E2308" s="229" t="str">
        <f t="shared" si="127"/>
        <v/>
      </c>
      <c r="F2308" s="240" t="str">
        <f t="shared" si="128"/>
        <v/>
      </c>
      <c r="G2308" s="431"/>
      <c r="H2308" s="432"/>
      <c r="I2308" s="207"/>
      <c r="AG2308" s="429"/>
      <c r="AJ2308" s="412">
        <f t="shared" si="123"/>
        <v>0</v>
      </c>
    </row>
    <row r="2309" spans="1:36" x14ac:dyDescent="0.2">
      <c r="A2309" s="409" t="str">
        <f t="shared" si="124"/>
        <v/>
      </c>
      <c r="B2309" s="430">
        <v>5863</v>
      </c>
      <c r="D2309" s="229"/>
      <c r="E2309" s="229" t="str">
        <f t="shared" si="127"/>
        <v/>
      </c>
      <c r="F2309" s="240" t="str">
        <f t="shared" si="128"/>
        <v/>
      </c>
      <c r="G2309" s="431"/>
      <c r="H2309" s="432"/>
      <c r="I2309" s="207"/>
      <c r="AG2309" s="429"/>
      <c r="AJ2309" s="412">
        <f t="shared" si="123"/>
        <v>0</v>
      </c>
    </row>
    <row r="2310" spans="1:36" x14ac:dyDescent="0.2">
      <c r="A2310" s="409" t="str">
        <f t="shared" si="124"/>
        <v/>
      </c>
      <c r="B2310" s="430">
        <v>5864</v>
      </c>
      <c r="D2310" s="229"/>
      <c r="E2310" s="229" t="str">
        <f t="shared" si="127"/>
        <v/>
      </c>
      <c r="F2310" s="240" t="str">
        <f t="shared" si="128"/>
        <v/>
      </c>
      <c r="G2310" s="431"/>
      <c r="H2310" s="432"/>
      <c r="I2310" s="207"/>
      <c r="AG2310" s="429"/>
      <c r="AJ2310" s="412">
        <f t="shared" si="123"/>
        <v>0</v>
      </c>
    </row>
    <row r="2311" spans="1:36" x14ac:dyDescent="0.2">
      <c r="A2311" s="409" t="str">
        <f t="shared" si="124"/>
        <v/>
      </c>
      <c r="B2311" s="430">
        <v>5865</v>
      </c>
      <c r="D2311" s="229"/>
      <c r="E2311" s="229" t="str">
        <f t="shared" si="127"/>
        <v/>
      </c>
      <c r="F2311" s="240" t="str">
        <f t="shared" si="128"/>
        <v/>
      </c>
      <c r="G2311" s="431"/>
      <c r="H2311" s="432"/>
      <c r="I2311" s="207"/>
      <c r="AG2311" s="429"/>
      <c r="AJ2311" s="412">
        <f t="shared" ref="AJ2311:AJ2334" si="129">SUM(X2311:AI2311)</f>
        <v>0</v>
      </c>
    </row>
    <row r="2312" spans="1:36" x14ac:dyDescent="0.2">
      <c r="A2312" s="409" t="str">
        <f t="shared" si="124"/>
        <v/>
      </c>
      <c r="B2312" s="430">
        <v>5866</v>
      </c>
      <c r="D2312" s="229"/>
      <c r="E2312" s="229" t="str">
        <f t="shared" si="127"/>
        <v/>
      </c>
      <c r="F2312" s="240" t="str">
        <f t="shared" si="128"/>
        <v/>
      </c>
      <c r="G2312" s="431"/>
      <c r="H2312" s="432"/>
      <c r="I2312" s="207"/>
      <c r="AG2312" s="429"/>
      <c r="AJ2312" s="412">
        <f t="shared" si="129"/>
        <v>0</v>
      </c>
    </row>
    <row r="2313" spans="1:36" x14ac:dyDescent="0.2">
      <c r="A2313" s="409" t="str">
        <f t="shared" si="124"/>
        <v/>
      </c>
      <c r="B2313" s="430">
        <v>5867</v>
      </c>
      <c r="D2313" s="229"/>
      <c r="E2313" s="229" t="str">
        <f t="shared" si="127"/>
        <v/>
      </c>
      <c r="F2313" s="240" t="str">
        <f t="shared" si="128"/>
        <v/>
      </c>
      <c r="G2313" s="431"/>
      <c r="H2313" s="432"/>
      <c r="I2313" s="207"/>
      <c r="AG2313" s="429"/>
      <c r="AJ2313" s="412">
        <f t="shared" si="129"/>
        <v>0</v>
      </c>
    </row>
    <row r="2314" spans="1:36" x14ac:dyDescent="0.2">
      <c r="A2314" s="409" t="str">
        <f t="shared" si="124"/>
        <v/>
      </c>
      <c r="B2314" s="430">
        <v>5868</v>
      </c>
      <c r="D2314" s="229"/>
      <c r="E2314" s="229" t="str">
        <f t="shared" si="127"/>
        <v/>
      </c>
      <c r="F2314" s="240" t="str">
        <f t="shared" si="128"/>
        <v/>
      </c>
      <c r="G2314" s="431"/>
      <c r="H2314" s="432"/>
      <c r="I2314" s="207"/>
      <c r="AG2314" s="429"/>
      <c r="AJ2314" s="412">
        <f t="shared" si="129"/>
        <v>0</v>
      </c>
    </row>
    <row r="2315" spans="1:36" x14ac:dyDescent="0.2">
      <c r="A2315" s="409" t="str">
        <f t="shared" ref="A2315:A2334" si="130">IF(C2315=0,"",VLOOKUP(C2315,BASE_A,5,FALSE))</f>
        <v/>
      </c>
      <c r="B2315" s="430">
        <v>5869</v>
      </c>
      <c r="D2315" s="229"/>
      <c r="E2315" s="229" t="str">
        <f t="shared" si="127"/>
        <v/>
      </c>
      <c r="F2315" s="240" t="str">
        <f t="shared" si="128"/>
        <v/>
      </c>
      <c r="G2315" s="431"/>
      <c r="H2315" s="432"/>
      <c r="I2315" s="207"/>
      <c r="AG2315" s="429"/>
      <c r="AJ2315" s="412">
        <f t="shared" si="129"/>
        <v>0</v>
      </c>
    </row>
    <row r="2316" spans="1:36" x14ac:dyDescent="0.2">
      <c r="A2316" s="409" t="str">
        <f t="shared" si="130"/>
        <v/>
      </c>
      <c r="B2316" s="430">
        <v>5870</v>
      </c>
      <c r="D2316" s="229"/>
      <c r="E2316" s="229" t="str">
        <f t="shared" si="127"/>
        <v/>
      </c>
      <c r="F2316" s="240" t="str">
        <f t="shared" si="128"/>
        <v/>
      </c>
      <c r="G2316" s="431"/>
      <c r="H2316" s="432"/>
      <c r="I2316" s="207"/>
      <c r="AG2316" s="429"/>
      <c r="AJ2316" s="412">
        <f t="shared" si="129"/>
        <v>0</v>
      </c>
    </row>
    <row r="2317" spans="1:36" x14ac:dyDescent="0.2">
      <c r="A2317" s="409" t="str">
        <f t="shared" si="130"/>
        <v/>
      </c>
      <c r="B2317" s="430">
        <v>5871</v>
      </c>
      <c r="D2317" s="229"/>
      <c r="E2317" s="229" t="str">
        <f t="shared" si="127"/>
        <v/>
      </c>
      <c r="F2317" s="240" t="str">
        <f t="shared" si="128"/>
        <v/>
      </c>
      <c r="G2317" s="431"/>
      <c r="H2317" s="432"/>
      <c r="I2317" s="207"/>
      <c r="AG2317" s="429"/>
      <c r="AJ2317" s="412">
        <f t="shared" si="129"/>
        <v>0</v>
      </c>
    </row>
    <row r="2318" spans="1:36" x14ac:dyDescent="0.2">
      <c r="A2318" s="409" t="str">
        <f t="shared" si="130"/>
        <v/>
      </c>
      <c r="B2318" s="430">
        <v>5872</v>
      </c>
      <c r="D2318" s="229"/>
      <c r="E2318" s="229" t="str">
        <f t="shared" si="127"/>
        <v/>
      </c>
      <c r="F2318" s="240" t="str">
        <f t="shared" si="128"/>
        <v/>
      </c>
      <c r="G2318" s="431"/>
      <c r="H2318" s="432"/>
      <c r="I2318" s="207"/>
      <c r="AG2318" s="429"/>
      <c r="AJ2318" s="412">
        <f t="shared" si="129"/>
        <v>0</v>
      </c>
    </row>
    <row r="2319" spans="1:36" x14ac:dyDescent="0.2">
      <c r="A2319" s="409" t="str">
        <f t="shared" si="130"/>
        <v/>
      </c>
      <c r="B2319" s="430">
        <v>5873</v>
      </c>
      <c r="D2319" s="229"/>
      <c r="E2319" s="229" t="str">
        <f t="shared" si="127"/>
        <v/>
      </c>
      <c r="F2319" s="240" t="str">
        <f t="shared" si="128"/>
        <v/>
      </c>
      <c r="G2319" s="431"/>
      <c r="H2319" s="432"/>
      <c r="I2319" s="207"/>
      <c r="AG2319" s="429"/>
      <c r="AJ2319" s="412">
        <f t="shared" si="129"/>
        <v>0</v>
      </c>
    </row>
    <row r="2320" spans="1:36" x14ac:dyDescent="0.2">
      <c r="A2320" s="409" t="str">
        <f t="shared" si="130"/>
        <v/>
      </c>
      <c r="B2320" s="430">
        <v>5874</v>
      </c>
      <c r="D2320" s="229"/>
      <c r="E2320" s="229" t="str">
        <f t="shared" si="127"/>
        <v/>
      </c>
      <c r="F2320" s="240" t="str">
        <f t="shared" si="128"/>
        <v/>
      </c>
      <c r="G2320" s="431"/>
      <c r="H2320" s="432"/>
      <c r="I2320" s="207"/>
      <c r="AG2320" s="429"/>
      <c r="AJ2320" s="412">
        <f t="shared" si="129"/>
        <v>0</v>
      </c>
    </row>
    <row r="2321" spans="1:36" x14ac:dyDescent="0.2">
      <c r="A2321" s="409" t="str">
        <f t="shared" si="130"/>
        <v/>
      </c>
      <c r="B2321" s="430">
        <v>5875</v>
      </c>
      <c r="D2321" s="229"/>
      <c r="E2321" s="229" t="str">
        <f t="shared" si="127"/>
        <v/>
      </c>
      <c r="F2321" s="240" t="str">
        <f t="shared" si="128"/>
        <v/>
      </c>
      <c r="G2321" s="431"/>
      <c r="H2321" s="432"/>
      <c r="I2321" s="207"/>
      <c r="AG2321" s="429"/>
      <c r="AJ2321" s="412">
        <f t="shared" si="129"/>
        <v>0</v>
      </c>
    </row>
    <row r="2322" spans="1:36" x14ac:dyDescent="0.2">
      <c r="A2322" s="409" t="str">
        <f t="shared" si="130"/>
        <v/>
      </c>
      <c r="B2322" s="430">
        <v>5876</v>
      </c>
      <c r="D2322" s="229"/>
      <c r="E2322" s="229" t="str">
        <f t="shared" si="127"/>
        <v/>
      </c>
      <c r="F2322" s="240" t="str">
        <f t="shared" si="128"/>
        <v/>
      </c>
      <c r="G2322" s="431"/>
      <c r="H2322" s="432"/>
      <c r="I2322" s="207"/>
      <c r="AG2322" s="429"/>
      <c r="AJ2322" s="412">
        <f t="shared" si="129"/>
        <v>0</v>
      </c>
    </row>
    <row r="2323" spans="1:36" x14ac:dyDescent="0.2">
      <c r="A2323" s="409" t="str">
        <f t="shared" si="130"/>
        <v/>
      </c>
      <c r="B2323" s="430">
        <v>5877</v>
      </c>
      <c r="D2323" s="229"/>
      <c r="E2323" s="229" t="str">
        <f t="shared" si="127"/>
        <v/>
      </c>
      <c r="F2323" s="240" t="str">
        <f t="shared" si="128"/>
        <v/>
      </c>
      <c r="G2323" s="431"/>
      <c r="H2323" s="432"/>
      <c r="I2323" s="207"/>
      <c r="AG2323" s="429"/>
      <c r="AJ2323" s="412">
        <f t="shared" si="129"/>
        <v>0</v>
      </c>
    </row>
    <row r="2324" spans="1:36" x14ac:dyDescent="0.2">
      <c r="A2324" s="409" t="str">
        <f t="shared" si="130"/>
        <v/>
      </c>
      <c r="B2324" s="430">
        <v>5878</v>
      </c>
      <c r="D2324" s="229"/>
      <c r="E2324" s="229" t="str">
        <f t="shared" si="127"/>
        <v/>
      </c>
      <c r="F2324" s="240" t="str">
        <f t="shared" si="128"/>
        <v/>
      </c>
      <c r="G2324" s="431"/>
      <c r="H2324" s="432"/>
      <c r="I2324" s="207"/>
      <c r="AG2324" s="429"/>
      <c r="AJ2324" s="412">
        <f t="shared" si="129"/>
        <v>0</v>
      </c>
    </row>
    <row r="2325" spans="1:36" x14ac:dyDescent="0.2">
      <c r="A2325" s="409" t="str">
        <f t="shared" si="130"/>
        <v/>
      </c>
      <c r="B2325" s="430">
        <v>5879</v>
      </c>
      <c r="D2325" s="229"/>
      <c r="E2325" s="229" t="str">
        <f t="shared" si="127"/>
        <v/>
      </c>
      <c r="F2325" s="240" t="str">
        <f t="shared" si="128"/>
        <v/>
      </c>
      <c r="G2325" s="431"/>
      <c r="H2325" s="432"/>
      <c r="AG2325" s="429"/>
      <c r="AJ2325" s="412">
        <f t="shared" si="129"/>
        <v>0</v>
      </c>
    </row>
    <row r="2326" spans="1:36" x14ac:dyDescent="0.2">
      <c r="A2326" s="409" t="str">
        <f t="shared" si="130"/>
        <v/>
      </c>
      <c r="B2326" s="430">
        <v>5880</v>
      </c>
      <c r="D2326" s="229"/>
      <c r="E2326" s="229" t="str">
        <f t="shared" si="127"/>
        <v/>
      </c>
      <c r="F2326" s="240" t="str">
        <f t="shared" si="128"/>
        <v/>
      </c>
      <c r="G2326" s="431"/>
      <c r="H2326" s="432"/>
      <c r="AG2326" s="429"/>
      <c r="AJ2326" s="412">
        <f t="shared" si="129"/>
        <v>0</v>
      </c>
    </row>
    <row r="2327" spans="1:36" x14ac:dyDescent="0.2">
      <c r="A2327" s="409" t="str">
        <f t="shared" si="130"/>
        <v/>
      </c>
      <c r="B2327" s="430">
        <v>5881</v>
      </c>
      <c r="D2327" s="229"/>
      <c r="E2327" s="229" t="str">
        <f t="shared" si="127"/>
        <v/>
      </c>
      <c r="F2327" s="240" t="str">
        <f t="shared" si="128"/>
        <v/>
      </c>
      <c r="G2327" s="431"/>
      <c r="H2327" s="432"/>
      <c r="AG2327" s="429"/>
      <c r="AJ2327" s="412">
        <f t="shared" si="129"/>
        <v>0</v>
      </c>
    </row>
    <row r="2328" spans="1:36" x14ac:dyDescent="0.2">
      <c r="A2328" s="409" t="str">
        <f t="shared" si="130"/>
        <v/>
      </c>
      <c r="B2328" s="430">
        <v>5882</v>
      </c>
      <c r="D2328" s="229"/>
      <c r="E2328" s="229" t="str">
        <f t="shared" si="127"/>
        <v/>
      </c>
      <c r="F2328" s="240" t="str">
        <f t="shared" si="128"/>
        <v/>
      </c>
      <c r="G2328" s="431"/>
      <c r="H2328" s="432"/>
      <c r="AG2328" s="429"/>
      <c r="AJ2328" s="412">
        <f t="shared" si="129"/>
        <v>0</v>
      </c>
    </row>
    <row r="2329" spans="1:36" x14ac:dyDescent="0.2">
      <c r="A2329" s="409" t="str">
        <f t="shared" si="130"/>
        <v/>
      </c>
      <c r="B2329" s="430">
        <v>5883</v>
      </c>
      <c r="D2329" s="229"/>
      <c r="E2329" s="229" t="str">
        <f t="shared" si="127"/>
        <v/>
      </c>
      <c r="F2329" s="240" t="str">
        <f t="shared" si="128"/>
        <v/>
      </c>
      <c r="G2329" s="431"/>
      <c r="H2329" s="432"/>
      <c r="AG2329" s="429"/>
      <c r="AJ2329" s="412">
        <f t="shared" si="129"/>
        <v>0</v>
      </c>
    </row>
    <row r="2330" spans="1:36" x14ac:dyDescent="0.2">
      <c r="A2330" s="409" t="str">
        <f t="shared" si="130"/>
        <v/>
      </c>
      <c r="B2330" s="430">
        <v>5884</v>
      </c>
      <c r="D2330" s="229"/>
      <c r="E2330" s="229" t="str">
        <f t="shared" si="127"/>
        <v/>
      </c>
      <c r="F2330" s="240" t="str">
        <f t="shared" si="128"/>
        <v/>
      </c>
      <c r="G2330" s="431"/>
      <c r="H2330" s="432"/>
      <c r="AG2330" s="429"/>
      <c r="AJ2330" s="412">
        <f t="shared" si="129"/>
        <v>0</v>
      </c>
    </row>
    <row r="2331" spans="1:36" x14ac:dyDescent="0.2">
      <c r="A2331" s="409" t="str">
        <f t="shared" si="130"/>
        <v/>
      </c>
      <c r="B2331" s="430">
        <v>5885</v>
      </c>
      <c r="D2331" s="229"/>
      <c r="E2331" s="229" t="str">
        <f t="shared" si="127"/>
        <v/>
      </c>
      <c r="F2331" s="240" t="str">
        <f t="shared" si="128"/>
        <v/>
      </c>
      <c r="G2331" s="431"/>
      <c r="H2331" s="432"/>
      <c r="AG2331" s="429"/>
      <c r="AJ2331" s="412">
        <f t="shared" si="129"/>
        <v>0</v>
      </c>
    </row>
    <row r="2332" spans="1:36" x14ac:dyDescent="0.2">
      <c r="A2332" s="409" t="str">
        <f t="shared" si="130"/>
        <v/>
      </c>
      <c r="D2332" s="229"/>
      <c r="E2332" s="229" t="str">
        <f t="shared" si="127"/>
        <v/>
      </c>
      <c r="F2332" s="240" t="str">
        <f t="shared" si="128"/>
        <v/>
      </c>
      <c r="G2332" s="431"/>
      <c r="H2332" s="432"/>
      <c r="AG2332" s="429"/>
      <c r="AJ2332" s="412">
        <f t="shared" si="129"/>
        <v>0</v>
      </c>
    </row>
    <row r="2333" spans="1:36" x14ac:dyDescent="0.2">
      <c r="A2333" s="409" t="str">
        <f t="shared" si="130"/>
        <v/>
      </c>
      <c r="D2333" s="229"/>
      <c r="E2333" s="229" t="str">
        <f t="shared" si="127"/>
        <v/>
      </c>
      <c r="F2333" s="240" t="str">
        <f t="shared" si="128"/>
        <v/>
      </c>
      <c r="G2333" s="431"/>
      <c r="H2333" s="432"/>
      <c r="AG2333" s="429"/>
      <c r="AJ2333" s="412">
        <f t="shared" si="129"/>
        <v>0</v>
      </c>
    </row>
    <row r="2334" spans="1:36" x14ac:dyDescent="0.2">
      <c r="A2334" s="409" t="str">
        <f t="shared" si="130"/>
        <v/>
      </c>
      <c r="D2334" s="229"/>
      <c r="E2334" s="229" t="str">
        <f t="shared" si="127"/>
        <v/>
      </c>
      <c r="F2334" s="240" t="str">
        <f t="shared" si="128"/>
        <v/>
      </c>
      <c r="G2334" s="431"/>
      <c r="H2334" s="432"/>
      <c r="AG2334" s="429"/>
      <c r="AJ2334" s="412">
        <f t="shared" si="129"/>
        <v>0</v>
      </c>
    </row>
    <row r="2335" spans="1:36" x14ac:dyDescent="0.2">
      <c r="D2335" s="229"/>
      <c r="E2335" s="229" t="str">
        <f t="shared" si="127"/>
        <v/>
      </c>
      <c r="F2335" s="240" t="str">
        <f t="shared" si="128"/>
        <v/>
      </c>
      <c r="AG2335" s="429"/>
    </row>
    <row r="2336" spans="1:36" x14ac:dyDescent="0.2">
      <c r="D2336" s="229"/>
      <c r="E2336" s="229" t="str">
        <f t="shared" si="127"/>
        <v/>
      </c>
      <c r="F2336" s="240" t="str">
        <f t="shared" si="128"/>
        <v/>
      </c>
    </row>
    <row r="2337" spans="4:6" x14ac:dyDescent="0.2">
      <c r="D2337" s="229"/>
      <c r="E2337" s="229" t="str">
        <f t="shared" ref="E2337:E2339" si="131">IF(C2337=0,"",VLOOKUP(C2337,BASE_A,8,FALSE))</f>
        <v/>
      </c>
      <c r="F2337" s="240" t="str">
        <f t="shared" ref="F2337:F2339" si="132">IF(C2337=0,"",VLOOKUP(C2337,BASE_A,9,FALSE))</f>
        <v/>
      </c>
    </row>
    <row r="2338" spans="4:6" x14ac:dyDescent="0.2">
      <c r="D2338" s="229"/>
      <c r="E2338" s="229" t="str">
        <f t="shared" si="131"/>
        <v/>
      </c>
      <c r="F2338" s="240" t="str">
        <f t="shared" si="132"/>
        <v/>
      </c>
    </row>
    <row r="2339" spans="4:6" x14ac:dyDescent="0.2">
      <c r="D2339" s="229"/>
      <c r="E2339" s="229" t="str">
        <f t="shared" si="131"/>
        <v/>
      </c>
      <c r="F2339" s="240" t="str">
        <f t="shared" si="132"/>
        <v/>
      </c>
    </row>
  </sheetData>
  <mergeCells count="2">
    <mergeCell ref="K3:L3"/>
    <mergeCell ref="X3:Y3"/>
  </mergeCells>
  <pageMargins left="0.7" right="0.7" top="0.75" bottom="0.75" header="0.3" footer="0.3"/>
  <pageSetup orientation="portrait" r:id="rId1"/>
  <ignoredErrors>
    <ignoredError sqref="W4 AJ4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/>
  <dimension ref="A1:LZ172"/>
  <sheetViews>
    <sheetView showGridLines="0" topLeftCell="A27" workbookViewId="0">
      <selection activeCell="B35" sqref="B35"/>
    </sheetView>
  </sheetViews>
  <sheetFormatPr baseColWidth="10" defaultRowHeight="12.75" x14ac:dyDescent="0.2"/>
  <cols>
    <col min="1" max="1" width="3.5703125" bestFit="1" customWidth="1"/>
    <col min="2" max="2" width="29.85546875" customWidth="1"/>
    <col min="3" max="3" width="3.7109375" customWidth="1"/>
    <col min="4" max="4" width="10.140625" bestFit="1" customWidth="1"/>
    <col min="5" max="5" width="6.28515625" customWidth="1"/>
    <col min="6" max="6" width="12.5703125" customWidth="1"/>
    <col min="7" max="7" width="6.28515625" customWidth="1"/>
    <col min="8" max="8" width="9.7109375" customWidth="1"/>
    <col min="9" max="9" width="6.28515625" customWidth="1"/>
    <col min="10" max="10" width="9.7109375" customWidth="1"/>
    <col min="11" max="11" width="6.28515625" customWidth="1"/>
    <col min="12" max="12" width="13" customWidth="1"/>
    <col min="13" max="13" width="6.28515625" customWidth="1"/>
    <col min="14" max="14" width="9.7109375" customWidth="1"/>
    <col min="15" max="15" width="6.28515625" customWidth="1"/>
    <col min="16" max="16" width="9.7109375" customWidth="1"/>
    <col min="17" max="17" width="6.28515625" customWidth="1"/>
    <col min="18" max="18" width="9.7109375" customWidth="1"/>
    <col min="19" max="19" width="6.28515625" customWidth="1"/>
    <col min="20" max="20" width="9.7109375" customWidth="1"/>
    <col min="21" max="21" width="7.7109375" customWidth="1"/>
    <col min="22" max="22" width="9.7109375" customWidth="1"/>
    <col min="23" max="23" width="6.28515625" customWidth="1"/>
    <col min="24" max="24" width="9.7109375" customWidth="1"/>
    <col min="25" max="25" width="7.7109375" customWidth="1"/>
    <col min="26" max="26" width="9.7109375" customWidth="1"/>
    <col min="27" max="27" width="6.28515625" customWidth="1"/>
    <col min="28" max="28" width="9.7109375" customWidth="1"/>
    <col min="29" max="29" width="6.28515625" customWidth="1"/>
    <col min="30" max="30" width="9.7109375" customWidth="1"/>
    <col min="31" max="31" width="6.28515625" customWidth="1"/>
    <col min="32" max="32" width="9.7109375" customWidth="1"/>
    <col min="33" max="33" width="6.28515625" customWidth="1"/>
    <col min="34" max="34" width="9.7109375" customWidth="1"/>
    <col min="35" max="35" width="6.28515625" customWidth="1"/>
    <col min="36" max="36" width="9.7109375" customWidth="1"/>
    <col min="37" max="37" width="6.28515625" customWidth="1"/>
    <col min="38" max="38" width="9.7109375" customWidth="1"/>
    <col min="39" max="39" width="6.28515625" customWidth="1"/>
    <col min="40" max="40" width="9.7109375" customWidth="1"/>
    <col min="41" max="41" width="6.28515625" customWidth="1"/>
    <col min="42" max="42" width="9.7109375" customWidth="1"/>
    <col min="43" max="43" width="6.28515625" customWidth="1"/>
    <col min="44" max="44" width="9.7109375" customWidth="1"/>
    <col min="45" max="45" width="6.28515625" customWidth="1"/>
    <col min="46" max="46" width="9.7109375" customWidth="1"/>
    <col min="47" max="47" width="6.28515625" customWidth="1"/>
    <col min="48" max="48" width="9.7109375" customWidth="1"/>
    <col min="49" max="49" width="6.28515625" customWidth="1"/>
    <col min="50" max="50" width="9.7109375" customWidth="1"/>
    <col min="51" max="51" width="6.28515625" customWidth="1"/>
    <col min="52" max="52" width="9.7109375" customWidth="1"/>
    <col min="53" max="53" width="6.28515625" customWidth="1"/>
    <col min="54" max="54" width="9.7109375" customWidth="1"/>
    <col min="55" max="55" width="6.28515625" customWidth="1"/>
    <col min="56" max="56" width="9.7109375" customWidth="1"/>
    <col min="57" max="57" width="6.28515625" customWidth="1"/>
    <col min="58" max="58" width="9.7109375" customWidth="1"/>
    <col min="59" max="59" width="6.28515625" customWidth="1"/>
    <col min="60" max="60" width="9.7109375" customWidth="1"/>
    <col min="61" max="61" width="6.28515625" customWidth="1"/>
    <col min="62" max="62" width="9.7109375" customWidth="1"/>
    <col min="63" max="63" width="6.28515625" customWidth="1"/>
    <col min="64" max="64" width="9.7109375" customWidth="1"/>
    <col min="65" max="65" width="6.28515625" customWidth="1"/>
    <col min="66" max="66" width="9.7109375" customWidth="1"/>
    <col min="67" max="67" width="6.28515625" customWidth="1"/>
    <col min="68" max="68" width="9.7109375" customWidth="1"/>
    <col min="69" max="69" width="6.28515625" customWidth="1"/>
    <col min="70" max="70" width="9.7109375" customWidth="1"/>
    <col min="71" max="71" width="6.28515625" customWidth="1"/>
    <col min="72" max="72" width="9.7109375" customWidth="1"/>
    <col min="73" max="73" width="6.28515625" customWidth="1"/>
    <col min="74" max="74" width="9.7109375" customWidth="1"/>
    <col min="75" max="75" width="6.28515625" customWidth="1"/>
    <col min="76" max="76" width="9.7109375" customWidth="1"/>
    <col min="77" max="77" width="6.28515625" customWidth="1"/>
    <col min="78" max="78" width="9.7109375" customWidth="1"/>
    <col min="79" max="79" width="6.28515625" customWidth="1"/>
    <col min="80" max="80" width="9.7109375" customWidth="1"/>
    <col min="81" max="81" width="6.28515625" customWidth="1"/>
    <col min="82" max="82" width="9.7109375" customWidth="1"/>
    <col min="83" max="83" width="6.28515625" customWidth="1"/>
    <col min="84" max="84" width="9.7109375" customWidth="1"/>
    <col min="85" max="85" width="6.28515625" customWidth="1"/>
    <col min="86" max="86" width="9.7109375" customWidth="1"/>
    <col min="87" max="87" width="6.28515625" customWidth="1"/>
    <col min="88" max="88" width="9.7109375" customWidth="1"/>
    <col min="89" max="89" width="6.28515625" customWidth="1"/>
    <col min="90" max="90" width="9.7109375" customWidth="1"/>
    <col min="91" max="91" width="6.28515625" customWidth="1"/>
    <col min="92" max="92" width="9.7109375" customWidth="1"/>
    <col min="93" max="93" width="6.28515625" customWidth="1"/>
    <col min="94" max="94" width="9.7109375" customWidth="1"/>
    <col min="95" max="95" width="6.28515625" customWidth="1"/>
    <col min="96" max="96" width="9.7109375" customWidth="1"/>
    <col min="97" max="97" width="6.28515625" customWidth="1"/>
    <col min="98" max="98" width="9.7109375" customWidth="1"/>
    <col min="99" max="99" width="6.28515625" customWidth="1"/>
    <col min="100" max="100" width="9.7109375" customWidth="1"/>
    <col min="101" max="101" width="6.28515625" customWidth="1"/>
    <col min="102" max="102" width="9.7109375" customWidth="1"/>
    <col min="103" max="103" width="6.28515625" customWidth="1"/>
    <col min="104" max="104" width="9.7109375" customWidth="1"/>
    <col min="105" max="105" width="6.28515625" customWidth="1"/>
    <col min="106" max="106" width="9.7109375" customWidth="1"/>
    <col min="107" max="107" width="6.28515625" customWidth="1"/>
    <col min="108" max="108" width="9.7109375" customWidth="1"/>
    <col min="109" max="109" width="6.28515625" customWidth="1"/>
    <col min="110" max="110" width="9.7109375" customWidth="1"/>
    <col min="111" max="111" width="6.28515625" customWidth="1"/>
    <col min="112" max="112" width="9.7109375" customWidth="1"/>
    <col min="113" max="113" width="6.28515625" customWidth="1"/>
    <col min="114" max="114" width="9.7109375" customWidth="1"/>
    <col min="115" max="115" width="6.28515625" customWidth="1"/>
    <col min="116" max="116" width="9.7109375" customWidth="1"/>
    <col min="117" max="117" width="6.28515625" customWidth="1"/>
    <col min="118" max="118" width="9.7109375" customWidth="1"/>
    <col min="119" max="119" width="6.28515625" customWidth="1"/>
    <col min="120" max="120" width="9.7109375" customWidth="1"/>
    <col min="121" max="121" width="6.28515625" customWidth="1"/>
    <col min="122" max="122" width="9.7109375" customWidth="1"/>
    <col min="123" max="123" width="6.28515625" customWidth="1"/>
    <col min="124" max="124" width="9.7109375" customWidth="1"/>
    <col min="125" max="125" width="6.28515625" customWidth="1"/>
    <col min="126" max="126" width="9.7109375" customWidth="1"/>
    <col min="127" max="127" width="6.28515625" customWidth="1"/>
    <col min="128" max="128" width="9.7109375" customWidth="1"/>
    <col min="129" max="129" width="6.28515625" customWidth="1"/>
    <col min="130" max="130" width="9.7109375" customWidth="1"/>
    <col min="131" max="131" width="6.28515625" customWidth="1"/>
    <col min="132" max="132" width="9.7109375" customWidth="1"/>
    <col min="133" max="133" width="6.28515625" customWidth="1"/>
    <col min="134" max="134" width="9.7109375" customWidth="1"/>
    <col min="135" max="135" width="6.28515625" customWidth="1"/>
    <col min="136" max="136" width="9.7109375" customWidth="1"/>
    <col min="137" max="137" width="6.28515625" customWidth="1"/>
    <col min="138" max="138" width="9.7109375" customWidth="1"/>
    <col min="139" max="139" width="6.28515625" customWidth="1"/>
    <col min="140" max="140" width="9.7109375" customWidth="1"/>
    <col min="141" max="141" width="6.28515625" customWidth="1"/>
    <col min="142" max="142" width="9.7109375" customWidth="1"/>
    <col min="143" max="143" width="6.28515625" customWidth="1"/>
    <col min="144" max="144" width="9.7109375" customWidth="1"/>
    <col min="145" max="145" width="6.28515625" customWidth="1"/>
    <col min="146" max="146" width="9.7109375" customWidth="1"/>
    <col min="147" max="147" width="6.28515625" customWidth="1"/>
    <col min="148" max="148" width="12.28515625" bestFit="1" customWidth="1"/>
    <col min="149" max="149" width="6.28515625" customWidth="1"/>
    <col min="150" max="150" width="9.7109375" customWidth="1"/>
    <col min="151" max="151" width="6.28515625" customWidth="1"/>
    <col min="152" max="152" width="9.7109375" customWidth="1"/>
    <col min="153" max="153" width="6.28515625" customWidth="1"/>
    <col min="154" max="154" width="9.7109375" customWidth="1"/>
    <col min="155" max="155" width="6.28515625" customWidth="1"/>
    <col min="156" max="156" width="9.7109375" customWidth="1"/>
    <col min="157" max="157" width="6.28515625" customWidth="1"/>
    <col min="158" max="158" width="9.7109375" customWidth="1"/>
    <col min="159" max="159" width="6.28515625" customWidth="1"/>
    <col min="160" max="160" width="9.7109375" customWidth="1"/>
    <col min="161" max="161" width="6.28515625" customWidth="1"/>
    <col min="162" max="162" width="9.7109375" customWidth="1"/>
    <col min="163" max="163" width="6.28515625" customWidth="1"/>
    <col min="164" max="164" width="9.7109375" customWidth="1"/>
    <col min="165" max="165" width="6.28515625" customWidth="1"/>
    <col min="166" max="166" width="9.7109375" customWidth="1"/>
    <col min="167" max="167" width="6.28515625" customWidth="1"/>
    <col min="168" max="168" width="9.7109375" customWidth="1"/>
    <col min="169" max="169" width="6.28515625" customWidth="1"/>
    <col min="170" max="170" width="9.7109375" customWidth="1"/>
    <col min="171" max="171" width="6.28515625" customWidth="1"/>
    <col min="172" max="172" width="9.7109375" customWidth="1"/>
    <col min="173" max="173" width="6.28515625" customWidth="1"/>
    <col min="174" max="174" width="9.7109375" customWidth="1"/>
    <col min="175" max="175" width="6.28515625" customWidth="1"/>
    <col min="176" max="176" width="9.7109375" customWidth="1"/>
    <col min="177" max="177" width="6.28515625" customWidth="1"/>
    <col min="178" max="178" width="9.7109375" customWidth="1"/>
    <col min="179" max="179" width="6.28515625" customWidth="1"/>
    <col min="180" max="180" width="9.7109375" customWidth="1"/>
    <col min="181" max="181" width="6.28515625" customWidth="1"/>
    <col min="182" max="182" width="9.7109375" customWidth="1"/>
    <col min="183" max="183" width="6.28515625" customWidth="1"/>
    <col min="184" max="184" width="9.7109375" customWidth="1"/>
    <col min="185" max="185" width="6.28515625" customWidth="1"/>
    <col min="186" max="186" width="11.28515625" bestFit="1" customWidth="1"/>
    <col min="187" max="187" width="6.28515625" customWidth="1"/>
    <col min="188" max="188" width="9.7109375" customWidth="1"/>
    <col min="189" max="189" width="6.28515625" customWidth="1"/>
    <col min="190" max="190" width="9.7109375" customWidth="1"/>
    <col min="191" max="191" width="6.28515625" customWidth="1"/>
    <col min="192" max="192" width="9.7109375" customWidth="1"/>
    <col min="193" max="193" width="6.28515625" customWidth="1"/>
    <col min="194" max="194" width="9.7109375" customWidth="1"/>
    <col min="195" max="195" width="6.28515625" customWidth="1"/>
    <col min="196" max="196" width="9.7109375" customWidth="1"/>
    <col min="197" max="197" width="6.28515625" customWidth="1"/>
    <col min="198" max="198" width="9.7109375" customWidth="1"/>
    <col min="199" max="199" width="6.28515625" customWidth="1"/>
    <col min="200" max="200" width="9.7109375" customWidth="1"/>
    <col min="201" max="201" width="6.28515625" customWidth="1"/>
    <col min="202" max="202" width="9.7109375" customWidth="1"/>
    <col min="203" max="203" width="6.28515625" customWidth="1"/>
    <col min="204" max="226" width="9.7109375" customWidth="1"/>
  </cols>
  <sheetData>
    <row r="1" spans="1:338" x14ac:dyDescent="0.2">
      <c r="A1" s="20"/>
      <c r="B1" s="20"/>
      <c r="C1" s="20"/>
      <c r="D1" s="21" t="s">
        <v>1188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K1" s="20"/>
      <c r="HL1" s="20"/>
    </row>
    <row r="2" spans="1:338" x14ac:dyDescent="0.2">
      <c r="A2" s="21" t="s">
        <v>902</v>
      </c>
      <c r="B2" s="20"/>
      <c r="C2" s="20"/>
      <c r="D2" s="23" t="s">
        <v>903</v>
      </c>
      <c r="E2" s="24" t="s">
        <v>1182</v>
      </c>
      <c r="F2" s="23" t="s">
        <v>903</v>
      </c>
      <c r="G2" s="24" t="s">
        <v>1182</v>
      </c>
      <c r="H2" s="23" t="s">
        <v>903</v>
      </c>
      <c r="I2" s="24" t="s">
        <v>1182</v>
      </c>
      <c r="J2" s="23" t="s">
        <v>903</v>
      </c>
      <c r="K2" s="24" t="s">
        <v>1182</v>
      </c>
      <c r="L2" s="23" t="s">
        <v>903</v>
      </c>
      <c r="M2" s="24" t="s">
        <v>1182</v>
      </c>
      <c r="N2" s="23" t="s">
        <v>903</v>
      </c>
      <c r="O2" s="24" t="s">
        <v>1182</v>
      </c>
      <c r="P2" s="23" t="s">
        <v>903</v>
      </c>
      <c r="Q2" s="24" t="s">
        <v>1182</v>
      </c>
      <c r="R2" s="23" t="s">
        <v>903</v>
      </c>
      <c r="S2" s="24" t="s">
        <v>1182</v>
      </c>
      <c r="T2" s="23" t="s">
        <v>903</v>
      </c>
      <c r="U2" s="24" t="s">
        <v>1182</v>
      </c>
      <c r="V2" s="23" t="s">
        <v>903</v>
      </c>
      <c r="W2" s="24" t="s">
        <v>1182</v>
      </c>
      <c r="X2" s="23" t="s">
        <v>903</v>
      </c>
      <c r="Y2" s="24" t="s">
        <v>1182</v>
      </c>
      <c r="Z2" s="23" t="s">
        <v>903</v>
      </c>
      <c r="AA2" s="24" t="s">
        <v>1182</v>
      </c>
      <c r="AB2" s="23" t="s">
        <v>903</v>
      </c>
      <c r="AC2" s="24" t="s">
        <v>1182</v>
      </c>
      <c r="AD2" s="23" t="s">
        <v>903</v>
      </c>
      <c r="AE2" s="24" t="s">
        <v>1182</v>
      </c>
      <c r="AF2" s="23" t="s">
        <v>903</v>
      </c>
      <c r="AG2" s="24" t="s">
        <v>1182</v>
      </c>
      <c r="AH2" s="23" t="s">
        <v>903</v>
      </c>
      <c r="AI2" s="24" t="s">
        <v>1182</v>
      </c>
      <c r="AJ2" s="23" t="s">
        <v>903</v>
      </c>
      <c r="AK2" s="24" t="s">
        <v>1182</v>
      </c>
      <c r="AL2" s="23" t="s">
        <v>903</v>
      </c>
      <c r="AM2" s="24" t="s">
        <v>1182</v>
      </c>
      <c r="AN2" s="23" t="s">
        <v>903</v>
      </c>
      <c r="AO2" s="24" t="s">
        <v>1182</v>
      </c>
      <c r="AP2" s="23" t="s">
        <v>903</v>
      </c>
      <c r="AQ2" s="24" t="s">
        <v>1182</v>
      </c>
      <c r="AR2" s="23" t="s">
        <v>903</v>
      </c>
      <c r="AS2" s="24" t="s">
        <v>1182</v>
      </c>
      <c r="AT2" s="23" t="s">
        <v>903</v>
      </c>
      <c r="AU2" s="24" t="s">
        <v>1182</v>
      </c>
      <c r="AV2" s="23" t="s">
        <v>903</v>
      </c>
      <c r="AW2" s="24" t="s">
        <v>1182</v>
      </c>
      <c r="AX2" s="23" t="s">
        <v>903</v>
      </c>
      <c r="AY2" s="24" t="s">
        <v>1182</v>
      </c>
      <c r="AZ2" s="23" t="s">
        <v>903</v>
      </c>
      <c r="BA2" s="24" t="s">
        <v>1182</v>
      </c>
      <c r="BB2" s="23" t="s">
        <v>903</v>
      </c>
      <c r="BC2" s="24" t="s">
        <v>1182</v>
      </c>
      <c r="BD2" s="23" t="s">
        <v>903</v>
      </c>
      <c r="BE2" s="24" t="s">
        <v>1182</v>
      </c>
      <c r="BF2" s="23" t="s">
        <v>903</v>
      </c>
      <c r="BG2" s="24" t="s">
        <v>1182</v>
      </c>
      <c r="BH2" s="23" t="s">
        <v>903</v>
      </c>
      <c r="BI2" s="24" t="s">
        <v>1182</v>
      </c>
      <c r="BJ2" s="23" t="s">
        <v>903</v>
      </c>
      <c r="BK2" s="24" t="s">
        <v>1182</v>
      </c>
      <c r="BL2" s="23" t="s">
        <v>903</v>
      </c>
      <c r="BM2" s="24" t="s">
        <v>1182</v>
      </c>
      <c r="BN2" s="23" t="s">
        <v>903</v>
      </c>
      <c r="BO2" s="24" t="s">
        <v>1182</v>
      </c>
      <c r="BP2" s="23" t="s">
        <v>903</v>
      </c>
      <c r="BQ2" s="24" t="s">
        <v>1182</v>
      </c>
      <c r="BR2" s="23" t="s">
        <v>903</v>
      </c>
      <c r="BS2" s="24" t="s">
        <v>1182</v>
      </c>
      <c r="BT2" s="23" t="s">
        <v>903</v>
      </c>
      <c r="BU2" s="24" t="s">
        <v>1182</v>
      </c>
      <c r="BV2" s="23" t="s">
        <v>903</v>
      </c>
      <c r="BW2" s="24" t="s">
        <v>1182</v>
      </c>
      <c r="BX2" s="23" t="s">
        <v>903</v>
      </c>
      <c r="BY2" s="24" t="s">
        <v>1182</v>
      </c>
      <c r="BZ2" s="23" t="s">
        <v>903</v>
      </c>
      <c r="CA2" s="24" t="s">
        <v>1182</v>
      </c>
      <c r="CB2" s="23" t="s">
        <v>903</v>
      </c>
      <c r="CC2" s="24" t="s">
        <v>1182</v>
      </c>
      <c r="CD2" s="23" t="s">
        <v>903</v>
      </c>
      <c r="CE2" s="24" t="s">
        <v>1182</v>
      </c>
      <c r="CF2" s="23" t="s">
        <v>903</v>
      </c>
      <c r="CG2" s="24" t="s">
        <v>1182</v>
      </c>
      <c r="CH2" s="23" t="s">
        <v>903</v>
      </c>
      <c r="CI2" s="24" t="s">
        <v>1182</v>
      </c>
      <c r="CJ2" s="23" t="s">
        <v>903</v>
      </c>
      <c r="CK2" s="24" t="s">
        <v>1182</v>
      </c>
      <c r="CL2" s="23" t="s">
        <v>903</v>
      </c>
      <c r="CM2" s="24" t="s">
        <v>1182</v>
      </c>
      <c r="CN2" s="23" t="s">
        <v>903</v>
      </c>
      <c r="CO2" s="24" t="s">
        <v>1182</v>
      </c>
      <c r="CP2" s="23" t="s">
        <v>903</v>
      </c>
      <c r="CQ2" s="24" t="s">
        <v>1182</v>
      </c>
      <c r="CR2" s="23" t="s">
        <v>903</v>
      </c>
      <c r="CS2" s="24" t="s">
        <v>1182</v>
      </c>
      <c r="CT2" s="23" t="s">
        <v>903</v>
      </c>
      <c r="CU2" s="24" t="s">
        <v>1182</v>
      </c>
      <c r="CV2" s="23" t="s">
        <v>903</v>
      </c>
      <c r="CW2" s="24" t="s">
        <v>1182</v>
      </c>
      <c r="CX2" s="23" t="s">
        <v>903</v>
      </c>
      <c r="CY2" s="24" t="s">
        <v>1182</v>
      </c>
      <c r="CZ2" s="23" t="s">
        <v>903</v>
      </c>
      <c r="DA2" s="24" t="s">
        <v>1182</v>
      </c>
      <c r="DB2" s="23" t="s">
        <v>903</v>
      </c>
      <c r="DC2" s="24" t="s">
        <v>1182</v>
      </c>
      <c r="DD2" s="23" t="s">
        <v>903</v>
      </c>
      <c r="DE2" s="24" t="s">
        <v>1182</v>
      </c>
      <c r="DF2" s="23" t="s">
        <v>903</v>
      </c>
      <c r="DG2" s="24" t="s">
        <v>1182</v>
      </c>
      <c r="DH2" s="23" t="s">
        <v>903</v>
      </c>
      <c r="DI2" s="24" t="s">
        <v>1182</v>
      </c>
      <c r="DJ2" s="23" t="s">
        <v>903</v>
      </c>
      <c r="DK2" s="24" t="s">
        <v>1182</v>
      </c>
      <c r="DL2" s="23" t="s">
        <v>903</v>
      </c>
      <c r="DM2" s="24" t="s">
        <v>1182</v>
      </c>
      <c r="DN2" s="23" t="s">
        <v>903</v>
      </c>
      <c r="DO2" s="24" t="s">
        <v>1182</v>
      </c>
      <c r="DP2" s="23" t="s">
        <v>903</v>
      </c>
      <c r="DQ2" s="24" t="s">
        <v>1182</v>
      </c>
      <c r="DR2" s="23" t="s">
        <v>903</v>
      </c>
      <c r="DS2" s="24" t="s">
        <v>1182</v>
      </c>
      <c r="DT2" s="23" t="s">
        <v>903</v>
      </c>
      <c r="DU2" s="24" t="s">
        <v>1182</v>
      </c>
      <c r="DV2" s="23" t="s">
        <v>903</v>
      </c>
      <c r="DW2" s="24" t="s">
        <v>1182</v>
      </c>
      <c r="DX2" s="23" t="s">
        <v>903</v>
      </c>
      <c r="DY2" s="24" t="s">
        <v>1182</v>
      </c>
      <c r="DZ2" s="23" t="s">
        <v>903</v>
      </c>
      <c r="EA2" s="24" t="s">
        <v>1182</v>
      </c>
      <c r="EB2" s="23" t="s">
        <v>903</v>
      </c>
      <c r="EC2" s="24" t="s">
        <v>1182</v>
      </c>
      <c r="ED2" s="23" t="s">
        <v>903</v>
      </c>
      <c r="EE2" s="24" t="s">
        <v>1182</v>
      </c>
      <c r="EF2" s="23" t="s">
        <v>903</v>
      </c>
      <c r="EG2" s="24" t="s">
        <v>1182</v>
      </c>
      <c r="EH2" s="23" t="s">
        <v>903</v>
      </c>
      <c r="EI2" s="24" t="s">
        <v>1182</v>
      </c>
      <c r="EJ2" s="23" t="s">
        <v>903</v>
      </c>
      <c r="EK2" s="24" t="s">
        <v>1182</v>
      </c>
      <c r="EL2" s="23" t="s">
        <v>903</v>
      </c>
      <c r="EM2" s="24" t="s">
        <v>1182</v>
      </c>
      <c r="EN2" s="23" t="s">
        <v>903</v>
      </c>
      <c r="EO2" s="24" t="s">
        <v>1182</v>
      </c>
      <c r="EP2" s="23" t="s">
        <v>903</v>
      </c>
      <c r="EQ2" s="24" t="s">
        <v>1182</v>
      </c>
      <c r="ER2" s="23" t="s">
        <v>903</v>
      </c>
      <c r="ES2" s="24" t="s">
        <v>1182</v>
      </c>
      <c r="ET2" s="23" t="s">
        <v>903</v>
      </c>
      <c r="EU2" s="24" t="s">
        <v>1182</v>
      </c>
      <c r="EV2" s="23" t="s">
        <v>903</v>
      </c>
      <c r="EW2" s="24" t="s">
        <v>1182</v>
      </c>
      <c r="EX2" s="23" t="s">
        <v>903</v>
      </c>
      <c r="EY2" s="24" t="s">
        <v>1182</v>
      </c>
      <c r="EZ2" s="23" t="s">
        <v>903</v>
      </c>
      <c r="FA2" s="24" t="s">
        <v>1182</v>
      </c>
      <c r="FB2" s="23" t="s">
        <v>903</v>
      </c>
      <c r="FC2" s="24" t="s">
        <v>1182</v>
      </c>
      <c r="FD2" s="23" t="s">
        <v>903</v>
      </c>
      <c r="FE2" s="24" t="s">
        <v>1182</v>
      </c>
      <c r="FF2" s="23" t="s">
        <v>903</v>
      </c>
      <c r="FG2" s="24" t="s">
        <v>1182</v>
      </c>
      <c r="FH2" s="23" t="s">
        <v>903</v>
      </c>
      <c r="FI2" s="24" t="s">
        <v>1182</v>
      </c>
      <c r="FJ2" s="23" t="s">
        <v>903</v>
      </c>
      <c r="FK2" s="24" t="s">
        <v>1182</v>
      </c>
      <c r="FL2" s="23" t="s">
        <v>903</v>
      </c>
      <c r="FM2" s="24" t="s">
        <v>1182</v>
      </c>
      <c r="FN2" s="23" t="s">
        <v>903</v>
      </c>
      <c r="FO2" s="24" t="s">
        <v>1182</v>
      </c>
      <c r="FP2" s="23" t="s">
        <v>903</v>
      </c>
      <c r="FQ2" s="24" t="s">
        <v>1182</v>
      </c>
      <c r="FR2" s="23" t="s">
        <v>903</v>
      </c>
      <c r="FS2" s="24" t="s">
        <v>1182</v>
      </c>
      <c r="FT2" s="23" t="s">
        <v>903</v>
      </c>
      <c r="FU2" s="24" t="s">
        <v>1182</v>
      </c>
      <c r="FV2" s="23" t="s">
        <v>903</v>
      </c>
      <c r="FW2" s="24" t="s">
        <v>1182</v>
      </c>
      <c r="FX2" s="23" t="s">
        <v>903</v>
      </c>
      <c r="FY2" s="24" t="s">
        <v>1182</v>
      </c>
      <c r="FZ2" s="23" t="s">
        <v>903</v>
      </c>
      <c r="GA2" s="24" t="s">
        <v>1182</v>
      </c>
      <c r="GB2" s="23" t="s">
        <v>903</v>
      </c>
      <c r="GC2" s="24" t="s">
        <v>1182</v>
      </c>
      <c r="GD2" s="23" t="s">
        <v>903</v>
      </c>
      <c r="GE2" s="24" t="s">
        <v>1182</v>
      </c>
      <c r="GF2" s="23" t="s">
        <v>903</v>
      </c>
      <c r="GG2" s="24" t="s">
        <v>1182</v>
      </c>
      <c r="GH2" s="23" t="s">
        <v>903</v>
      </c>
      <c r="GI2" s="24" t="s">
        <v>1182</v>
      </c>
      <c r="GJ2" s="23" t="s">
        <v>903</v>
      </c>
      <c r="GK2" s="24" t="s">
        <v>1182</v>
      </c>
      <c r="GL2" s="23" t="s">
        <v>903</v>
      </c>
      <c r="GM2" s="24" t="s">
        <v>1182</v>
      </c>
      <c r="GN2" s="23" t="s">
        <v>903</v>
      </c>
      <c r="GO2" s="24" t="s">
        <v>1182</v>
      </c>
      <c r="GP2" s="23" t="s">
        <v>903</v>
      </c>
      <c r="GQ2" s="24" t="s">
        <v>1182</v>
      </c>
      <c r="GR2" s="23" t="s">
        <v>903</v>
      </c>
      <c r="GS2" s="24" t="s">
        <v>1182</v>
      </c>
      <c r="GT2" s="23" t="s">
        <v>903</v>
      </c>
      <c r="GU2" s="24" t="s">
        <v>1182</v>
      </c>
      <c r="GV2" s="23" t="s">
        <v>903</v>
      </c>
      <c r="GW2" s="24" t="s">
        <v>1182</v>
      </c>
      <c r="GX2" s="23" t="s">
        <v>903</v>
      </c>
      <c r="GY2" s="24" t="s">
        <v>1182</v>
      </c>
      <c r="GZ2" s="23" t="s">
        <v>903</v>
      </c>
      <c r="HA2" s="24" t="s">
        <v>1182</v>
      </c>
      <c r="HB2" s="23" t="s">
        <v>903</v>
      </c>
      <c r="HC2" s="24" t="s">
        <v>1182</v>
      </c>
      <c r="HD2" s="23" t="s">
        <v>903</v>
      </c>
      <c r="HE2" s="24" t="s">
        <v>1182</v>
      </c>
      <c r="HF2" s="23" t="s">
        <v>903</v>
      </c>
      <c r="HG2" s="24" t="s">
        <v>1182</v>
      </c>
      <c r="HH2" s="23" t="s">
        <v>903</v>
      </c>
      <c r="HI2" s="24" t="s">
        <v>1182</v>
      </c>
      <c r="HJ2" s="23" t="s">
        <v>903</v>
      </c>
      <c r="HK2" s="24" t="s">
        <v>1182</v>
      </c>
      <c r="HL2" s="23" t="s">
        <v>903</v>
      </c>
      <c r="HM2" s="24" t="s">
        <v>1182</v>
      </c>
      <c r="HN2" s="23" t="s">
        <v>903</v>
      </c>
      <c r="HO2" s="24" t="s">
        <v>1182</v>
      </c>
      <c r="HP2" s="23" t="s">
        <v>903</v>
      </c>
      <c r="HQ2" s="24" t="s">
        <v>1182</v>
      </c>
      <c r="HR2" s="102" t="s">
        <v>686</v>
      </c>
      <c r="HS2" s="11" t="s">
        <v>1285</v>
      </c>
      <c r="HT2" s="22"/>
      <c r="IE2" s="13"/>
      <c r="IF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</row>
    <row r="3" spans="1:338" x14ac:dyDescent="0.2">
      <c r="A3" s="28" t="s">
        <v>680</v>
      </c>
      <c r="B3" s="27" t="s">
        <v>884</v>
      </c>
      <c r="C3" s="113"/>
      <c r="D3" s="23" t="s">
        <v>791</v>
      </c>
      <c r="E3" s="24">
        <v>1</v>
      </c>
      <c r="F3" s="23" t="s">
        <v>792</v>
      </c>
      <c r="G3" s="24">
        <v>1</v>
      </c>
      <c r="H3" s="23" t="s">
        <v>793</v>
      </c>
      <c r="I3" s="24">
        <v>1</v>
      </c>
      <c r="J3" s="23" t="s">
        <v>794</v>
      </c>
      <c r="K3" s="24">
        <v>1</v>
      </c>
      <c r="L3" s="23" t="s">
        <v>795</v>
      </c>
      <c r="M3" s="24">
        <v>1</v>
      </c>
      <c r="N3" s="23" t="s">
        <v>796</v>
      </c>
      <c r="O3" s="24">
        <v>1</v>
      </c>
      <c r="P3" s="23" t="s">
        <v>797</v>
      </c>
      <c r="Q3" s="24">
        <v>1</v>
      </c>
      <c r="R3" s="23" t="s">
        <v>798</v>
      </c>
      <c r="S3" s="24">
        <v>1</v>
      </c>
      <c r="T3" s="23" t="s">
        <v>799</v>
      </c>
      <c r="U3" s="24">
        <v>1</v>
      </c>
      <c r="V3" s="23" t="s">
        <v>800</v>
      </c>
      <c r="W3" s="24">
        <v>1</v>
      </c>
      <c r="X3" s="23" t="s">
        <v>801</v>
      </c>
      <c r="Y3" s="24">
        <v>1</v>
      </c>
      <c r="Z3" s="23" t="s">
        <v>802</v>
      </c>
      <c r="AA3" s="24">
        <v>1</v>
      </c>
      <c r="AB3" s="23" t="s">
        <v>803</v>
      </c>
      <c r="AC3" s="24">
        <v>1</v>
      </c>
      <c r="AD3" s="23" t="s">
        <v>804</v>
      </c>
      <c r="AE3" s="24">
        <v>1</v>
      </c>
      <c r="AF3" s="23" t="s">
        <v>805</v>
      </c>
      <c r="AG3" s="24">
        <v>1</v>
      </c>
      <c r="AH3" s="23" t="s">
        <v>806</v>
      </c>
      <c r="AI3" s="24">
        <v>1</v>
      </c>
      <c r="AJ3" s="23" t="s">
        <v>807</v>
      </c>
      <c r="AK3" s="24">
        <v>1</v>
      </c>
      <c r="AL3" s="23" t="s">
        <v>1314</v>
      </c>
      <c r="AM3" s="24">
        <v>1</v>
      </c>
      <c r="AN3" s="23" t="s">
        <v>808</v>
      </c>
      <c r="AO3" s="24">
        <v>1</v>
      </c>
      <c r="AP3" s="23" t="s">
        <v>809</v>
      </c>
      <c r="AQ3" s="24">
        <v>1</v>
      </c>
      <c r="AR3" s="23" t="s">
        <v>810</v>
      </c>
      <c r="AS3" s="24">
        <v>1</v>
      </c>
      <c r="AT3" s="23" t="s">
        <v>811</v>
      </c>
      <c r="AU3" s="24">
        <v>1</v>
      </c>
      <c r="AV3" s="23" t="s">
        <v>812</v>
      </c>
      <c r="AW3" s="24">
        <v>1</v>
      </c>
      <c r="AX3" s="23" t="s">
        <v>813</v>
      </c>
      <c r="AY3" s="24">
        <v>1</v>
      </c>
      <c r="AZ3" s="23" t="s">
        <v>814</v>
      </c>
      <c r="BA3" s="24">
        <v>1</v>
      </c>
      <c r="BB3" s="23" t="s">
        <v>815</v>
      </c>
      <c r="BC3" s="24">
        <v>1</v>
      </c>
      <c r="BD3" s="23" t="s">
        <v>816</v>
      </c>
      <c r="BE3" s="24">
        <v>1</v>
      </c>
      <c r="BF3" s="23" t="s">
        <v>817</v>
      </c>
      <c r="BG3" s="24">
        <v>1</v>
      </c>
      <c r="BH3" s="23" t="s">
        <v>818</v>
      </c>
      <c r="BI3" s="24">
        <v>1</v>
      </c>
      <c r="BJ3" s="23" t="s">
        <v>783</v>
      </c>
      <c r="BK3" s="24">
        <v>1</v>
      </c>
      <c r="BL3" s="23" t="s">
        <v>819</v>
      </c>
      <c r="BM3" s="24">
        <v>1</v>
      </c>
      <c r="BN3" s="23" t="s">
        <v>772</v>
      </c>
      <c r="BO3" s="24">
        <v>1</v>
      </c>
      <c r="BP3" s="23" t="s">
        <v>820</v>
      </c>
      <c r="BQ3" s="24">
        <v>1</v>
      </c>
      <c r="BR3" s="23" t="s">
        <v>788</v>
      </c>
      <c r="BS3" s="24">
        <v>1</v>
      </c>
      <c r="BT3" s="23" t="s">
        <v>821</v>
      </c>
      <c r="BU3" s="24">
        <v>1</v>
      </c>
      <c r="BV3" s="23" t="s">
        <v>785</v>
      </c>
      <c r="BW3" s="24">
        <v>1</v>
      </c>
      <c r="BX3" s="23" t="s">
        <v>822</v>
      </c>
      <c r="BY3" s="24">
        <v>1</v>
      </c>
      <c r="BZ3" s="23" t="s">
        <v>823</v>
      </c>
      <c r="CA3" s="24">
        <v>1</v>
      </c>
      <c r="CB3" s="23" t="s">
        <v>1727</v>
      </c>
      <c r="CC3" s="24">
        <v>1</v>
      </c>
      <c r="CD3" s="23" t="s">
        <v>824</v>
      </c>
      <c r="CE3" s="24">
        <v>1</v>
      </c>
      <c r="CF3" s="23" t="s">
        <v>825</v>
      </c>
      <c r="CG3" s="24">
        <v>1</v>
      </c>
      <c r="CH3" s="23" t="s">
        <v>1317</v>
      </c>
      <c r="CI3" s="24">
        <v>1</v>
      </c>
      <c r="CJ3" s="23" t="s">
        <v>826</v>
      </c>
      <c r="CK3" s="24">
        <v>1</v>
      </c>
      <c r="CL3" s="23" t="s">
        <v>827</v>
      </c>
      <c r="CM3" s="24">
        <v>1</v>
      </c>
      <c r="CN3" s="23" t="s">
        <v>1318</v>
      </c>
      <c r="CO3" s="24">
        <v>1</v>
      </c>
      <c r="CP3" s="23" t="s">
        <v>828</v>
      </c>
      <c r="CQ3" s="24">
        <v>1</v>
      </c>
      <c r="CR3" s="23" t="s">
        <v>829</v>
      </c>
      <c r="CS3" s="24">
        <v>1</v>
      </c>
      <c r="CT3" s="23" t="s">
        <v>830</v>
      </c>
      <c r="CU3" s="24">
        <v>1</v>
      </c>
      <c r="CV3" s="23" t="s">
        <v>1319</v>
      </c>
      <c r="CW3" s="24">
        <v>1</v>
      </c>
      <c r="CX3" s="23" t="s">
        <v>831</v>
      </c>
      <c r="CY3" s="24">
        <v>1</v>
      </c>
      <c r="CZ3" s="23" t="s">
        <v>832</v>
      </c>
      <c r="DA3" s="24">
        <v>1</v>
      </c>
      <c r="DB3" s="23" t="s">
        <v>833</v>
      </c>
      <c r="DC3" s="24">
        <v>1</v>
      </c>
      <c r="DD3" s="23" t="s">
        <v>834</v>
      </c>
      <c r="DE3" s="24">
        <v>1</v>
      </c>
      <c r="DF3" s="23" t="s">
        <v>1320</v>
      </c>
      <c r="DG3" s="24">
        <v>1</v>
      </c>
      <c r="DH3" s="23" t="s">
        <v>835</v>
      </c>
      <c r="DI3" s="24">
        <v>1</v>
      </c>
      <c r="DJ3" s="23" t="s">
        <v>836</v>
      </c>
      <c r="DK3" s="24">
        <v>1</v>
      </c>
      <c r="DL3" s="23" t="s">
        <v>837</v>
      </c>
      <c r="DM3" s="24">
        <v>1</v>
      </c>
      <c r="DN3" s="23" t="s">
        <v>838</v>
      </c>
      <c r="DO3" s="24">
        <v>1</v>
      </c>
      <c r="DP3" s="23" t="s">
        <v>839</v>
      </c>
      <c r="DQ3" s="24">
        <v>1</v>
      </c>
      <c r="DR3" s="23" t="s">
        <v>1321</v>
      </c>
      <c r="DS3" s="24">
        <v>1</v>
      </c>
      <c r="DT3" s="23" t="s">
        <v>840</v>
      </c>
      <c r="DU3" s="24">
        <v>1</v>
      </c>
      <c r="DV3" s="23" t="s">
        <v>841</v>
      </c>
      <c r="DW3" s="24">
        <v>1</v>
      </c>
      <c r="DX3" s="23" t="s">
        <v>842</v>
      </c>
      <c r="DY3" s="24">
        <v>1</v>
      </c>
      <c r="DZ3" s="23" t="s">
        <v>843</v>
      </c>
      <c r="EA3" s="24">
        <v>1</v>
      </c>
      <c r="EB3" s="23" t="s">
        <v>844</v>
      </c>
      <c r="EC3" s="24">
        <v>1</v>
      </c>
      <c r="ED3" s="23" t="s">
        <v>845</v>
      </c>
      <c r="EE3" s="24">
        <v>1</v>
      </c>
      <c r="EF3" s="23" t="s">
        <v>846</v>
      </c>
      <c r="EG3" s="24">
        <v>1</v>
      </c>
      <c r="EH3" s="23" t="s">
        <v>847</v>
      </c>
      <c r="EI3" s="24">
        <v>1</v>
      </c>
      <c r="EJ3" s="23" t="s">
        <v>848</v>
      </c>
      <c r="EK3" s="24">
        <v>1</v>
      </c>
      <c r="EL3" s="23" t="s">
        <v>1322</v>
      </c>
      <c r="EM3" s="24">
        <v>1</v>
      </c>
      <c r="EN3" s="23" t="s">
        <v>775</v>
      </c>
      <c r="EO3" s="24">
        <v>1</v>
      </c>
      <c r="EP3" s="23" t="s">
        <v>849</v>
      </c>
      <c r="EQ3" s="24">
        <v>1</v>
      </c>
      <c r="ER3" s="23" t="s">
        <v>850</v>
      </c>
      <c r="ES3" s="24">
        <v>1</v>
      </c>
      <c r="ET3" s="23" t="s">
        <v>851</v>
      </c>
      <c r="EU3" s="24">
        <v>1</v>
      </c>
      <c r="EV3" s="23" t="s">
        <v>852</v>
      </c>
      <c r="EW3" s="24">
        <v>1</v>
      </c>
      <c r="EX3" s="23" t="s">
        <v>853</v>
      </c>
      <c r="EY3" s="24">
        <v>1</v>
      </c>
      <c r="EZ3" s="23" t="s">
        <v>854</v>
      </c>
      <c r="FA3" s="24">
        <v>1</v>
      </c>
      <c r="FB3" s="23" t="s">
        <v>855</v>
      </c>
      <c r="FC3" s="24">
        <v>1</v>
      </c>
      <c r="FD3" s="23" t="s">
        <v>856</v>
      </c>
      <c r="FE3" s="24">
        <v>1</v>
      </c>
      <c r="FF3" s="23" t="s">
        <v>857</v>
      </c>
      <c r="FG3" s="24">
        <v>1</v>
      </c>
      <c r="FH3" s="23" t="s">
        <v>858</v>
      </c>
      <c r="FI3" s="24">
        <v>1</v>
      </c>
      <c r="FJ3" s="23" t="s">
        <v>789</v>
      </c>
      <c r="FK3" s="24">
        <v>1</v>
      </c>
      <c r="FL3" s="23" t="s">
        <v>859</v>
      </c>
      <c r="FM3" s="24">
        <v>1</v>
      </c>
      <c r="FN3" s="23" t="s">
        <v>860</v>
      </c>
      <c r="FO3" s="24">
        <v>1</v>
      </c>
      <c r="FP3" s="23" t="s">
        <v>861</v>
      </c>
      <c r="FQ3" s="24">
        <v>1</v>
      </c>
      <c r="FR3" s="23" t="s">
        <v>862</v>
      </c>
      <c r="FS3" s="24">
        <v>1</v>
      </c>
      <c r="FT3" s="23" t="s">
        <v>863</v>
      </c>
      <c r="FU3" s="24">
        <v>1</v>
      </c>
      <c r="FV3" s="23" t="s">
        <v>864</v>
      </c>
      <c r="FW3" s="24">
        <v>1</v>
      </c>
      <c r="FX3" s="23" t="s">
        <v>865</v>
      </c>
      <c r="FY3" s="24">
        <v>1</v>
      </c>
      <c r="FZ3" s="23" t="s">
        <v>866</v>
      </c>
      <c r="GA3" s="24">
        <v>1</v>
      </c>
      <c r="GB3" s="23" t="s">
        <v>867</v>
      </c>
      <c r="GC3" s="24">
        <v>1</v>
      </c>
      <c r="GD3" s="23" t="s">
        <v>868</v>
      </c>
      <c r="GE3" s="24">
        <v>1</v>
      </c>
      <c r="GF3" s="23" t="s">
        <v>869</v>
      </c>
      <c r="GG3" s="24">
        <v>1</v>
      </c>
      <c r="GH3" s="23" t="s">
        <v>870</v>
      </c>
      <c r="GI3" s="24">
        <v>1</v>
      </c>
      <c r="GJ3" s="23" t="s">
        <v>766</v>
      </c>
      <c r="GK3" s="24">
        <v>1</v>
      </c>
      <c r="GL3" s="23" t="s">
        <v>871</v>
      </c>
      <c r="GM3" s="24">
        <v>1</v>
      </c>
      <c r="GN3" s="23" t="s">
        <v>872</v>
      </c>
      <c r="GO3" s="24">
        <v>1</v>
      </c>
      <c r="GP3" s="23" t="s">
        <v>873</v>
      </c>
      <c r="GQ3" s="24">
        <v>1</v>
      </c>
      <c r="GR3" s="23" t="s">
        <v>874</v>
      </c>
      <c r="GS3" s="24">
        <v>1</v>
      </c>
      <c r="GT3" s="23" t="s">
        <v>875</v>
      </c>
      <c r="GU3" s="24">
        <v>1</v>
      </c>
      <c r="GV3" s="23" t="s">
        <v>876</v>
      </c>
      <c r="GW3" s="24">
        <v>1</v>
      </c>
      <c r="GX3" s="23" t="s">
        <v>877</v>
      </c>
      <c r="GY3" s="24">
        <v>1</v>
      </c>
      <c r="GZ3" s="23" t="s">
        <v>1323</v>
      </c>
      <c r="HA3" s="24">
        <v>1</v>
      </c>
      <c r="HB3" s="23" t="s">
        <v>764</v>
      </c>
      <c r="HC3" s="24">
        <v>1</v>
      </c>
      <c r="HD3" s="23" t="s">
        <v>878</v>
      </c>
      <c r="HE3" s="24">
        <v>1</v>
      </c>
      <c r="HF3" s="23" t="s">
        <v>1324</v>
      </c>
      <c r="HG3" s="24">
        <v>1</v>
      </c>
      <c r="HH3" s="23" t="s">
        <v>879</v>
      </c>
      <c r="HI3" s="24">
        <v>1</v>
      </c>
      <c r="HJ3" s="23" t="s">
        <v>880</v>
      </c>
      <c r="HK3" s="24">
        <v>1</v>
      </c>
      <c r="HL3" s="23" t="s">
        <v>881</v>
      </c>
      <c r="HM3" s="24">
        <v>1</v>
      </c>
      <c r="HN3" s="23" t="s">
        <v>882</v>
      </c>
      <c r="HO3" s="24">
        <v>1</v>
      </c>
      <c r="HP3" s="23" t="s">
        <v>883</v>
      </c>
      <c r="HQ3" s="24">
        <v>1</v>
      </c>
      <c r="HR3" s="102" t="s">
        <v>680</v>
      </c>
      <c r="HS3" s="75" t="s">
        <v>1276</v>
      </c>
      <c r="HT3" s="22"/>
      <c r="IE3" s="14"/>
      <c r="IF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</row>
    <row r="4" spans="1:338" x14ac:dyDescent="0.2">
      <c r="A4" s="32" t="s">
        <v>709</v>
      </c>
      <c r="B4" s="31" t="s">
        <v>886</v>
      </c>
      <c r="C4" s="113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</row>
    <row r="5" spans="1:338" x14ac:dyDescent="0.2">
      <c r="A5" s="32" t="s">
        <v>679</v>
      </c>
      <c r="B5" s="31" t="s">
        <v>887</v>
      </c>
      <c r="C5" s="113"/>
      <c r="D5" s="23" t="s">
        <v>903</v>
      </c>
      <c r="E5" s="24" t="s">
        <v>1182</v>
      </c>
      <c r="F5" s="23" t="s">
        <v>903</v>
      </c>
      <c r="G5" s="24" t="s">
        <v>1182</v>
      </c>
      <c r="H5" s="23" t="s">
        <v>903</v>
      </c>
      <c r="I5" s="24" t="s">
        <v>1182</v>
      </c>
      <c r="J5" s="23" t="s">
        <v>903</v>
      </c>
      <c r="K5" s="24" t="s">
        <v>1182</v>
      </c>
      <c r="L5" s="23" t="s">
        <v>903</v>
      </c>
      <c r="M5" s="24" t="s">
        <v>1182</v>
      </c>
      <c r="N5" s="11" t="s">
        <v>1285</v>
      </c>
      <c r="O5" s="102" t="s">
        <v>686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</row>
    <row r="6" spans="1:338" x14ac:dyDescent="0.2">
      <c r="A6" s="32" t="s">
        <v>682</v>
      </c>
      <c r="B6" s="31" t="s">
        <v>888</v>
      </c>
      <c r="C6" s="113"/>
      <c r="D6" s="23" t="s">
        <v>1326</v>
      </c>
      <c r="E6" s="24">
        <v>1</v>
      </c>
      <c r="F6" s="23" t="s">
        <v>904</v>
      </c>
      <c r="G6" s="24">
        <v>1</v>
      </c>
      <c r="H6" s="23" t="s">
        <v>905</v>
      </c>
      <c r="I6" s="24">
        <v>1</v>
      </c>
      <c r="J6" s="23" t="s">
        <v>1327</v>
      </c>
      <c r="K6" s="24">
        <v>1</v>
      </c>
      <c r="L6" s="23" t="s">
        <v>906</v>
      </c>
      <c r="M6" s="24">
        <v>1</v>
      </c>
      <c r="N6" s="6" t="s">
        <v>1277</v>
      </c>
      <c r="O6" s="102" t="s">
        <v>679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</row>
    <row r="7" spans="1:338" x14ac:dyDescent="0.2">
      <c r="A7" s="32" t="s">
        <v>685</v>
      </c>
      <c r="B7" s="31" t="s">
        <v>889</v>
      </c>
      <c r="C7" s="113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</row>
    <row r="8" spans="1:338" x14ac:dyDescent="0.2">
      <c r="A8" s="32" t="s">
        <v>683</v>
      </c>
      <c r="B8" s="31" t="s">
        <v>890</v>
      </c>
      <c r="C8" s="113"/>
      <c r="D8" s="23" t="s">
        <v>903</v>
      </c>
      <c r="E8" s="24" t="s">
        <v>1182</v>
      </c>
      <c r="F8" s="23" t="s">
        <v>903</v>
      </c>
      <c r="G8" s="24" t="s">
        <v>1182</v>
      </c>
      <c r="H8" s="23" t="s">
        <v>903</v>
      </c>
      <c r="I8" s="24" t="s">
        <v>1182</v>
      </c>
      <c r="J8" s="23" t="s">
        <v>903</v>
      </c>
      <c r="K8" s="24" t="s">
        <v>1182</v>
      </c>
      <c r="L8" s="23" t="s">
        <v>903</v>
      </c>
      <c r="M8" s="24" t="s">
        <v>1182</v>
      </c>
      <c r="N8" s="23" t="s">
        <v>903</v>
      </c>
      <c r="O8" s="24" t="s">
        <v>1182</v>
      </c>
      <c r="P8" s="23" t="s">
        <v>903</v>
      </c>
      <c r="Q8" s="24" t="s">
        <v>1182</v>
      </c>
      <c r="R8" s="23" t="s">
        <v>903</v>
      </c>
      <c r="S8" s="24" t="s">
        <v>1182</v>
      </c>
      <c r="T8" s="23" t="s">
        <v>903</v>
      </c>
      <c r="U8" s="24" t="s">
        <v>1182</v>
      </c>
      <c r="V8" s="23" t="s">
        <v>903</v>
      </c>
      <c r="W8" s="24" t="s">
        <v>1182</v>
      </c>
      <c r="X8" s="23" t="s">
        <v>903</v>
      </c>
      <c r="Y8" s="24" t="s">
        <v>1182</v>
      </c>
      <c r="Z8" s="23" t="s">
        <v>903</v>
      </c>
      <c r="AA8" s="24" t="s">
        <v>1182</v>
      </c>
      <c r="AB8" s="23" t="s">
        <v>903</v>
      </c>
      <c r="AC8" s="24" t="s">
        <v>1182</v>
      </c>
      <c r="AD8" s="23" t="s">
        <v>903</v>
      </c>
      <c r="AE8" s="24" t="s">
        <v>1182</v>
      </c>
      <c r="AF8" s="23" t="s">
        <v>903</v>
      </c>
      <c r="AG8" s="24" t="s">
        <v>1182</v>
      </c>
      <c r="AH8" s="23" t="s">
        <v>903</v>
      </c>
      <c r="AI8" s="24" t="s">
        <v>1182</v>
      </c>
      <c r="AJ8" s="23" t="s">
        <v>903</v>
      </c>
      <c r="AK8" s="24" t="s">
        <v>1182</v>
      </c>
      <c r="AL8" s="23" t="s">
        <v>903</v>
      </c>
      <c r="AM8" s="24" t="s">
        <v>1182</v>
      </c>
      <c r="AN8" s="23" t="s">
        <v>903</v>
      </c>
      <c r="AO8" s="24" t="s">
        <v>1182</v>
      </c>
      <c r="AP8" s="23" t="s">
        <v>903</v>
      </c>
      <c r="AQ8" s="24" t="s">
        <v>1182</v>
      </c>
      <c r="AR8" s="23" t="s">
        <v>903</v>
      </c>
      <c r="AS8" s="24" t="s">
        <v>1182</v>
      </c>
      <c r="AT8" s="23" t="s">
        <v>903</v>
      </c>
      <c r="AU8" s="24" t="s">
        <v>1182</v>
      </c>
      <c r="AV8" s="23" t="s">
        <v>903</v>
      </c>
      <c r="AW8" s="24" t="s">
        <v>1182</v>
      </c>
      <c r="AX8" s="23" t="s">
        <v>903</v>
      </c>
      <c r="AY8" s="24" t="s">
        <v>1182</v>
      </c>
      <c r="AZ8" s="23" t="s">
        <v>903</v>
      </c>
      <c r="BA8" s="24" t="s">
        <v>1182</v>
      </c>
      <c r="BB8" s="23" t="s">
        <v>903</v>
      </c>
      <c r="BC8" s="24" t="s">
        <v>1182</v>
      </c>
      <c r="BD8" s="23" t="s">
        <v>903</v>
      </c>
      <c r="BE8" s="24" t="s">
        <v>1182</v>
      </c>
      <c r="BF8" s="23" t="s">
        <v>903</v>
      </c>
      <c r="BG8" s="24" t="s">
        <v>1182</v>
      </c>
      <c r="BH8" s="23" t="s">
        <v>903</v>
      </c>
      <c r="BI8" s="24" t="s">
        <v>1182</v>
      </c>
      <c r="BJ8" s="23" t="s">
        <v>903</v>
      </c>
      <c r="BK8" s="24" t="s">
        <v>1182</v>
      </c>
      <c r="BL8" s="23" t="s">
        <v>903</v>
      </c>
      <c r="BM8" s="24" t="s">
        <v>1182</v>
      </c>
      <c r="BN8" s="23" t="s">
        <v>903</v>
      </c>
      <c r="BO8" s="24" t="s">
        <v>1182</v>
      </c>
      <c r="BP8" s="23" t="s">
        <v>903</v>
      </c>
      <c r="BQ8" s="24" t="s">
        <v>1182</v>
      </c>
      <c r="BR8" s="23" t="s">
        <v>903</v>
      </c>
      <c r="BS8" s="24" t="s">
        <v>1182</v>
      </c>
      <c r="BT8" s="23" t="s">
        <v>903</v>
      </c>
      <c r="BU8" s="24" t="s">
        <v>1182</v>
      </c>
      <c r="BV8" s="23" t="s">
        <v>903</v>
      </c>
      <c r="BW8" s="24" t="s">
        <v>1182</v>
      </c>
      <c r="BX8" s="23" t="s">
        <v>903</v>
      </c>
      <c r="BY8" s="24" t="s">
        <v>1182</v>
      </c>
      <c r="BZ8" s="23" t="s">
        <v>903</v>
      </c>
      <c r="CA8" s="24" t="s">
        <v>1182</v>
      </c>
      <c r="CB8" s="23" t="s">
        <v>903</v>
      </c>
      <c r="CC8" s="24" t="s">
        <v>1182</v>
      </c>
      <c r="CD8" s="23" t="s">
        <v>903</v>
      </c>
      <c r="CE8" s="24" t="s">
        <v>1182</v>
      </c>
      <c r="CF8" s="23" t="s">
        <v>903</v>
      </c>
      <c r="CG8" s="24" t="s">
        <v>1182</v>
      </c>
      <c r="CH8" s="23" t="s">
        <v>903</v>
      </c>
      <c r="CI8" s="24" t="s">
        <v>1182</v>
      </c>
      <c r="CJ8" s="23" t="s">
        <v>903</v>
      </c>
      <c r="CK8" s="24" t="s">
        <v>1182</v>
      </c>
      <c r="CL8" s="23" t="s">
        <v>903</v>
      </c>
      <c r="CM8" s="24" t="s">
        <v>1182</v>
      </c>
      <c r="CN8" s="23" t="s">
        <v>903</v>
      </c>
      <c r="CO8" s="24" t="s">
        <v>1182</v>
      </c>
      <c r="CP8" s="23" t="s">
        <v>903</v>
      </c>
      <c r="CQ8" s="24" t="s">
        <v>1182</v>
      </c>
      <c r="CR8" s="23" t="s">
        <v>903</v>
      </c>
      <c r="CS8" s="24" t="s">
        <v>1182</v>
      </c>
      <c r="CT8" s="23" t="s">
        <v>903</v>
      </c>
      <c r="CU8" s="24" t="s">
        <v>1182</v>
      </c>
      <c r="CV8" s="23" t="s">
        <v>903</v>
      </c>
      <c r="CW8" s="24" t="s">
        <v>1182</v>
      </c>
      <c r="CX8" s="23" t="s">
        <v>903</v>
      </c>
      <c r="CY8" s="24" t="s">
        <v>1182</v>
      </c>
      <c r="CZ8" s="23" t="s">
        <v>903</v>
      </c>
      <c r="DA8" s="24" t="s">
        <v>1182</v>
      </c>
      <c r="DB8" s="23" t="s">
        <v>903</v>
      </c>
      <c r="DC8" s="24" t="s">
        <v>1182</v>
      </c>
      <c r="DD8" s="23" t="s">
        <v>903</v>
      </c>
      <c r="DE8" s="24" t="s">
        <v>1182</v>
      </c>
      <c r="DF8" s="23" t="s">
        <v>903</v>
      </c>
      <c r="DG8" s="24" t="s">
        <v>1182</v>
      </c>
      <c r="DH8" s="23" t="s">
        <v>903</v>
      </c>
      <c r="DI8" s="24" t="s">
        <v>1182</v>
      </c>
      <c r="DJ8" s="23" t="s">
        <v>903</v>
      </c>
      <c r="DK8" s="24" t="s">
        <v>1182</v>
      </c>
      <c r="DL8" s="23" t="s">
        <v>903</v>
      </c>
      <c r="DM8" s="24" t="s">
        <v>1182</v>
      </c>
      <c r="DN8" s="23" t="s">
        <v>903</v>
      </c>
      <c r="DO8" s="24" t="s">
        <v>1182</v>
      </c>
      <c r="DP8" s="23" t="s">
        <v>903</v>
      </c>
      <c r="DQ8" s="24" t="s">
        <v>1182</v>
      </c>
      <c r="DR8" s="23" t="s">
        <v>903</v>
      </c>
      <c r="DS8" s="24" t="s">
        <v>1182</v>
      </c>
      <c r="DT8" s="23" t="s">
        <v>903</v>
      </c>
      <c r="DU8" s="24" t="s">
        <v>1182</v>
      </c>
      <c r="DV8" s="23" t="s">
        <v>903</v>
      </c>
      <c r="DW8" s="24" t="s">
        <v>1182</v>
      </c>
      <c r="DX8" s="23" t="s">
        <v>903</v>
      </c>
      <c r="DY8" s="24" t="s">
        <v>1182</v>
      </c>
      <c r="DZ8" s="23" t="s">
        <v>903</v>
      </c>
      <c r="EA8" s="24" t="s">
        <v>1182</v>
      </c>
      <c r="EB8" s="23" t="s">
        <v>903</v>
      </c>
      <c r="EC8" s="24" t="s">
        <v>1182</v>
      </c>
      <c r="ED8" s="23" t="s">
        <v>903</v>
      </c>
      <c r="EE8" s="24" t="s">
        <v>1182</v>
      </c>
      <c r="EF8" s="23" t="s">
        <v>903</v>
      </c>
      <c r="EG8" s="24" t="s">
        <v>1182</v>
      </c>
      <c r="EH8" s="23" t="s">
        <v>903</v>
      </c>
      <c r="EI8" s="24" t="s">
        <v>1182</v>
      </c>
      <c r="EJ8" s="23" t="s">
        <v>903</v>
      </c>
      <c r="EK8" s="24" t="s">
        <v>1182</v>
      </c>
      <c r="EL8" s="23" t="s">
        <v>903</v>
      </c>
      <c r="EM8" s="24" t="s">
        <v>1182</v>
      </c>
      <c r="EN8" s="23" t="s">
        <v>903</v>
      </c>
      <c r="EO8" s="24" t="s">
        <v>1182</v>
      </c>
      <c r="EP8" s="23" t="s">
        <v>903</v>
      </c>
      <c r="EQ8" s="24" t="s">
        <v>1182</v>
      </c>
      <c r="ER8" s="23" t="s">
        <v>903</v>
      </c>
      <c r="ES8" s="24" t="s">
        <v>1182</v>
      </c>
      <c r="ET8" s="23" t="s">
        <v>903</v>
      </c>
      <c r="EU8" s="24" t="s">
        <v>1182</v>
      </c>
      <c r="EV8" s="23" t="s">
        <v>903</v>
      </c>
      <c r="EW8" s="24" t="s">
        <v>1182</v>
      </c>
      <c r="EX8" s="23" t="s">
        <v>903</v>
      </c>
      <c r="EY8" s="24" t="s">
        <v>1182</v>
      </c>
      <c r="EZ8" s="23" t="s">
        <v>903</v>
      </c>
      <c r="FA8" s="24" t="s">
        <v>1182</v>
      </c>
      <c r="FB8" s="23" t="s">
        <v>903</v>
      </c>
      <c r="FC8" s="24" t="s">
        <v>1182</v>
      </c>
      <c r="FD8" s="23" t="s">
        <v>903</v>
      </c>
      <c r="FE8" s="24" t="s">
        <v>1182</v>
      </c>
      <c r="FF8" s="11" t="s">
        <v>1285</v>
      </c>
      <c r="FG8" s="102" t="s">
        <v>686</v>
      </c>
      <c r="FH8" s="11" t="s">
        <v>1285</v>
      </c>
      <c r="FI8" s="102" t="s">
        <v>686</v>
      </c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</row>
    <row r="9" spans="1:338" x14ac:dyDescent="0.2">
      <c r="A9" s="32" t="s">
        <v>677</v>
      </c>
      <c r="B9" s="31" t="s">
        <v>891</v>
      </c>
      <c r="C9" s="113"/>
      <c r="D9" s="23" t="s">
        <v>907</v>
      </c>
      <c r="E9" s="24">
        <v>1</v>
      </c>
      <c r="F9" s="23" t="s">
        <v>908</v>
      </c>
      <c r="G9" s="24">
        <v>1</v>
      </c>
      <c r="H9" s="23" t="s">
        <v>909</v>
      </c>
      <c r="I9" s="24">
        <v>1</v>
      </c>
      <c r="J9" s="23" t="s">
        <v>910</v>
      </c>
      <c r="K9" s="24">
        <v>1</v>
      </c>
      <c r="L9" s="23" t="s">
        <v>911</v>
      </c>
      <c r="M9" s="24">
        <v>1</v>
      </c>
      <c r="N9" s="23" t="s">
        <v>912</v>
      </c>
      <c r="O9" s="24">
        <v>1</v>
      </c>
      <c r="P9" s="23" t="s">
        <v>913</v>
      </c>
      <c r="Q9" s="24">
        <v>1</v>
      </c>
      <c r="R9" s="23" t="s">
        <v>914</v>
      </c>
      <c r="S9" s="24">
        <v>1</v>
      </c>
      <c r="T9" s="23" t="s">
        <v>915</v>
      </c>
      <c r="U9" s="24">
        <v>1</v>
      </c>
      <c r="V9" s="23" t="s">
        <v>916</v>
      </c>
      <c r="W9" s="24">
        <v>1</v>
      </c>
      <c r="X9" s="23" t="s">
        <v>917</v>
      </c>
      <c r="Y9" s="24">
        <v>1</v>
      </c>
      <c r="Z9" s="23" t="s">
        <v>918</v>
      </c>
      <c r="AA9" s="24">
        <v>1</v>
      </c>
      <c r="AB9" s="23" t="s">
        <v>919</v>
      </c>
      <c r="AC9" s="24">
        <v>1</v>
      </c>
      <c r="AD9" s="23" t="s">
        <v>920</v>
      </c>
      <c r="AE9" s="24">
        <v>1</v>
      </c>
      <c r="AF9" s="23" t="s">
        <v>921</v>
      </c>
      <c r="AG9" s="24">
        <v>1</v>
      </c>
      <c r="AH9" s="23" t="s">
        <v>768</v>
      </c>
      <c r="AI9" s="24">
        <v>1</v>
      </c>
      <c r="AJ9" s="23" t="s">
        <v>922</v>
      </c>
      <c r="AK9" s="24">
        <v>1</v>
      </c>
      <c r="AL9" s="23" t="s">
        <v>923</v>
      </c>
      <c r="AM9" s="24">
        <v>1</v>
      </c>
      <c r="AN9" s="23" t="s">
        <v>786</v>
      </c>
      <c r="AO9" s="24">
        <v>1</v>
      </c>
      <c r="AP9" s="23" t="s">
        <v>924</v>
      </c>
      <c r="AQ9" s="24">
        <v>1</v>
      </c>
      <c r="AR9" s="23" t="s">
        <v>1328</v>
      </c>
      <c r="AS9" s="24">
        <v>1</v>
      </c>
      <c r="AT9" s="23" t="s">
        <v>1329</v>
      </c>
      <c r="AU9" s="24">
        <v>1</v>
      </c>
      <c r="AV9" s="23" t="s">
        <v>925</v>
      </c>
      <c r="AW9" s="24">
        <v>1</v>
      </c>
      <c r="AX9" s="23" t="s">
        <v>926</v>
      </c>
      <c r="AY9" s="24">
        <v>1</v>
      </c>
      <c r="AZ9" s="23" t="s">
        <v>927</v>
      </c>
      <c r="BA9" s="24">
        <v>1</v>
      </c>
      <c r="BB9" s="23" t="s">
        <v>928</v>
      </c>
      <c r="BC9" s="24">
        <v>1</v>
      </c>
      <c r="BD9" s="23" t="s">
        <v>929</v>
      </c>
      <c r="BE9" s="24">
        <v>1</v>
      </c>
      <c r="BF9" s="23" t="s">
        <v>1330</v>
      </c>
      <c r="BG9" s="24">
        <v>1</v>
      </c>
      <c r="BH9" s="23" t="s">
        <v>930</v>
      </c>
      <c r="BI9" s="24">
        <v>1</v>
      </c>
      <c r="BJ9" s="23" t="s">
        <v>931</v>
      </c>
      <c r="BK9" s="24">
        <v>1</v>
      </c>
      <c r="BL9" s="23" t="s">
        <v>790</v>
      </c>
      <c r="BM9" s="24">
        <v>1</v>
      </c>
      <c r="BN9" s="23" t="s">
        <v>932</v>
      </c>
      <c r="BO9" s="24">
        <v>1</v>
      </c>
      <c r="BP9" s="23" t="s">
        <v>933</v>
      </c>
      <c r="BQ9" s="24">
        <v>1</v>
      </c>
      <c r="BR9" s="23" t="s">
        <v>934</v>
      </c>
      <c r="BS9" s="24">
        <v>1</v>
      </c>
      <c r="BT9" s="23" t="s">
        <v>935</v>
      </c>
      <c r="BU9" s="24">
        <v>1</v>
      </c>
      <c r="BV9" s="23" t="s">
        <v>936</v>
      </c>
      <c r="BW9" s="24">
        <v>1</v>
      </c>
      <c r="BX9" s="23" t="s">
        <v>937</v>
      </c>
      <c r="BY9" s="24">
        <v>1</v>
      </c>
      <c r="BZ9" s="23" t="s">
        <v>938</v>
      </c>
      <c r="CA9" s="24">
        <v>1</v>
      </c>
      <c r="CB9" s="23" t="s">
        <v>939</v>
      </c>
      <c r="CC9" s="24">
        <v>1</v>
      </c>
      <c r="CD9" s="23" t="s">
        <v>940</v>
      </c>
      <c r="CE9" s="24">
        <v>1</v>
      </c>
      <c r="CF9" s="23" t="s">
        <v>941</v>
      </c>
      <c r="CG9" s="24">
        <v>1</v>
      </c>
      <c r="CH9" s="23" t="s">
        <v>942</v>
      </c>
      <c r="CI9" s="24">
        <v>1</v>
      </c>
      <c r="CJ9" s="23" t="s">
        <v>943</v>
      </c>
      <c r="CK9" s="24">
        <v>1</v>
      </c>
      <c r="CL9" s="23" t="s">
        <v>944</v>
      </c>
      <c r="CM9" s="24">
        <v>1</v>
      </c>
      <c r="CN9" s="23" t="s">
        <v>945</v>
      </c>
      <c r="CO9" s="24">
        <v>1</v>
      </c>
      <c r="CP9" s="23" t="s">
        <v>946</v>
      </c>
      <c r="CQ9" s="24">
        <v>1</v>
      </c>
      <c r="CR9" s="23" t="s">
        <v>947</v>
      </c>
      <c r="CS9" s="24">
        <v>1</v>
      </c>
      <c r="CT9" s="23" t="s">
        <v>1331</v>
      </c>
      <c r="CU9" s="24">
        <v>1</v>
      </c>
      <c r="CV9" s="23" t="s">
        <v>948</v>
      </c>
      <c r="CW9" s="24">
        <v>1</v>
      </c>
      <c r="CX9" s="23" t="s">
        <v>949</v>
      </c>
      <c r="CY9" s="24">
        <v>1</v>
      </c>
      <c r="CZ9" s="23" t="s">
        <v>950</v>
      </c>
      <c r="DA9" s="24">
        <v>1</v>
      </c>
      <c r="DB9" s="23" t="s">
        <v>951</v>
      </c>
      <c r="DC9" s="24">
        <v>1</v>
      </c>
      <c r="DD9" s="23" t="s">
        <v>1180</v>
      </c>
      <c r="DE9" s="24">
        <v>1</v>
      </c>
      <c r="DF9" s="23" t="s">
        <v>952</v>
      </c>
      <c r="DG9" s="24">
        <v>1</v>
      </c>
      <c r="DH9" s="23" t="s">
        <v>953</v>
      </c>
      <c r="DI9" s="24">
        <v>1</v>
      </c>
      <c r="DJ9" s="23" t="s">
        <v>954</v>
      </c>
      <c r="DK9" s="24">
        <v>1</v>
      </c>
      <c r="DL9" s="23" t="s">
        <v>955</v>
      </c>
      <c r="DM9" s="24">
        <v>1</v>
      </c>
      <c r="DN9" s="23" t="s">
        <v>1703</v>
      </c>
      <c r="DO9" s="24">
        <v>1</v>
      </c>
      <c r="DP9" s="23" t="s">
        <v>965</v>
      </c>
      <c r="DQ9" s="24">
        <v>1</v>
      </c>
      <c r="DR9" s="23" t="s">
        <v>1842</v>
      </c>
      <c r="DS9" s="24">
        <v>1</v>
      </c>
      <c r="DT9" s="23" t="s">
        <v>956</v>
      </c>
      <c r="DU9" s="24">
        <v>1</v>
      </c>
      <c r="DV9" s="23" t="s">
        <v>762</v>
      </c>
      <c r="DW9" s="24">
        <v>1</v>
      </c>
      <c r="DX9" s="23" t="s">
        <v>957</v>
      </c>
      <c r="DY9" s="24">
        <v>1</v>
      </c>
      <c r="DZ9" s="23" t="s">
        <v>1332</v>
      </c>
      <c r="EA9" s="24">
        <v>1</v>
      </c>
      <c r="EB9" s="23" t="s">
        <v>1333</v>
      </c>
      <c r="EC9" s="24">
        <v>1</v>
      </c>
      <c r="ED9" s="23" t="s">
        <v>1334</v>
      </c>
      <c r="EE9" s="24">
        <v>1</v>
      </c>
      <c r="EF9" s="23" t="s">
        <v>958</v>
      </c>
      <c r="EG9" s="24">
        <v>1</v>
      </c>
      <c r="EH9" s="23" t="s">
        <v>761</v>
      </c>
      <c r="EI9" s="24">
        <v>1</v>
      </c>
      <c r="EJ9" s="23" t="s">
        <v>959</v>
      </c>
      <c r="EK9" s="24">
        <v>1</v>
      </c>
      <c r="EL9" s="23" t="s">
        <v>960</v>
      </c>
      <c r="EM9" s="24">
        <v>1</v>
      </c>
      <c r="EN9" s="23" t="s">
        <v>1336</v>
      </c>
      <c r="EO9" s="24">
        <v>1</v>
      </c>
      <c r="EP9" s="23" t="s">
        <v>1337</v>
      </c>
      <c r="EQ9" s="24">
        <v>1</v>
      </c>
      <c r="ER9" s="23" t="s">
        <v>1338</v>
      </c>
      <c r="ES9" s="24">
        <v>1</v>
      </c>
      <c r="ET9" s="23" t="s">
        <v>961</v>
      </c>
      <c r="EU9" s="24">
        <v>1</v>
      </c>
      <c r="EV9" s="23" t="s">
        <v>962</v>
      </c>
      <c r="EW9" s="24">
        <v>1</v>
      </c>
      <c r="EX9" s="23" t="s">
        <v>963</v>
      </c>
      <c r="EY9" s="24">
        <v>1</v>
      </c>
      <c r="EZ9" s="23" t="s">
        <v>964</v>
      </c>
      <c r="FA9" s="24">
        <v>1</v>
      </c>
      <c r="FB9" s="23" t="s">
        <v>967</v>
      </c>
      <c r="FC9" s="24">
        <v>1</v>
      </c>
      <c r="FD9" s="23" t="s">
        <v>968</v>
      </c>
      <c r="FE9" s="24">
        <v>1</v>
      </c>
      <c r="FF9" s="6" t="s">
        <v>1278</v>
      </c>
      <c r="FG9" s="102" t="s">
        <v>682</v>
      </c>
      <c r="FH9" s="6" t="s">
        <v>1701</v>
      </c>
      <c r="FI9" s="102" t="s">
        <v>1702</v>
      </c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</row>
    <row r="10" spans="1:338" x14ac:dyDescent="0.2">
      <c r="A10" s="32" t="s">
        <v>678</v>
      </c>
      <c r="B10" s="31" t="s">
        <v>892</v>
      </c>
      <c r="C10" s="113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</row>
    <row r="11" spans="1:338" x14ac:dyDescent="0.2">
      <c r="A11" s="32" t="s">
        <v>681</v>
      </c>
      <c r="B11" s="31" t="s">
        <v>893</v>
      </c>
      <c r="C11" s="113"/>
      <c r="D11" s="23" t="s">
        <v>903</v>
      </c>
      <c r="E11" s="24" t="s">
        <v>1182</v>
      </c>
      <c r="F11" s="23" t="s">
        <v>903</v>
      </c>
      <c r="G11" s="24" t="s">
        <v>1182</v>
      </c>
      <c r="H11" s="23" t="s">
        <v>903</v>
      </c>
      <c r="I11" s="24" t="s">
        <v>1182</v>
      </c>
      <c r="J11" s="23" t="s">
        <v>903</v>
      </c>
      <c r="K11" s="24" t="s">
        <v>1182</v>
      </c>
      <c r="L11" s="23" t="s">
        <v>903</v>
      </c>
      <c r="M11" s="24" t="s">
        <v>1182</v>
      </c>
      <c r="N11" s="11" t="s">
        <v>1285</v>
      </c>
      <c r="O11" s="102" t="s">
        <v>686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</row>
    <row r="12" spans="1:338" x14ac:dyDescent="0.2">
      <c r="A12" s="32" t="s">
        <v>684</v>
      </c>
      <c r="B12" s="31" t="s">
        <v>894</v>
      </c>
      <c r="C12" s="113"/>
      <c r="D12" s="23" t="s">
        <v>970</v>
      </c>
      <c r="E12" s="24">
        <v>1</v>
      </c>
      <c r="F12" s="23" t="s">
        <v>971</v>
      </c>
      <c r="G12" s="24">
        <v>1</v>
      </c>
      <c r="H12" s="23" t="s">
        <v>972</v>
      </c>
      <c r="I12" s="24">
        <v>1</v>
      </c>
      <c r="J12" s="23" t="s">
        <v>973</v>
      </c>
      <c r="K12" s="24">
        <v>1</v>
      </c>
      <c r="L12" s="23" t="s">
        <v>974</v>
      </c>
      <c r="M12" s="24">
        <v>1</v>
      </c>
      <c r="N12" s="6" t="s">
        <v>1279</v>
      </c>
      <c r="O12" s="102" t="s">
        <v>685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</row>
    <row r="13" spans="1:338" x14ac:dyDescent="0.2">
      <c r="A13" s="20"/>
      <c r="B13" s="20"/>
      <c r="C13" s="20"/>
      <c r="D13" s="33"/>
      <c r="E13" s="22"/>
      <c r="F13" s="22"/>
      <c r="G13" s="22"/>
      <c r="H13" s="33"/>
      <c r="I13" s="22"/>
      <c r="J13" s="34"/>
      <c r="K13" s="22"/>
      <c r="L13" s="34"/>
      <c r="M13" s="22"/>
      <c r="N13" s="33"/>
      <c r="O13" s="22"/>
      <c r="P13" s="33"/>
      <c r="Q13" s="22"/>
      <c r="R13" s="33"/>
      <c r="S13" s="22"/>
      <c r="T13" s="33"/>
      <c r="U13" s="22"/>
      <c r="V13" s="33"/>
      <c r="W13" s="22"/>
      <c r="X13" s="33"/>
      <c r="Y13" s="22"/>
      <c r="Z13" s="33"/>
      <c r="AA13" s="22"/>
      <c r="AB13" s="33"/>
      <c r="AC13" s="22"/>
      <c r="AD13" s="33"/>
      <c r="AE13" s="22"/>
      <c r="AF13" s="33"/>
      <c r="AG13" s="22"/>
      <c r="AH13" s="33"/>
      <c r="AI13" s="22"/>
      <c r="AJ13" s="33"/>
      <c r="AK13" s="22"/>
      <c r="AL13" s="33"/>
      <c r="AM13" s="22"/>
      <c r="AN13" s="33"/>
      <c r="AO13" s="22"/>
      <c r="AP13" s="33"/>
      <c r="AQ13" s="22"/>
      <c r="AR13" s="33"/>
      <c r="AS13" s="22"/>
      <c r="AT13" s="33"/>
      <c r="AU13" s="22"/>
      <c r="AV13" s="33"/>
      <c r="AW13" s="22"/>
      <c r="AX13" s="33"/>
      <c r="AY13" s="22"/>
      <c r="AZ13" s="33"/>
      <c r="BA13" s="22"/>
      <c r="BB13" s="33"/>
      <c r="BC13" s="22"/>
      <c r="BD13" s="33"/>
      <c r="BE13" s="22"/>
      <c r="BF13" s="33"/>
      <c r="BG13" s="22"/>
      <c r="BH13" s="33"/>
      <c r="BI13" s="22"/>
      <c r="BJ13" s="33"/>
      <c r="BK13" s="22"/>
      <c r="BL13" s="33"/>
      <c r="BM13" s="22"/>
      <c r="BN13" s="33"/>
      <c r="BO13" s="22"/>
      <c r="BP13" s="33"/>
      <c r="BQ13" s="22"/>
      <c r="BR13" s="33"/>
      <c r="BS13" s="22"/>
      <c r="BT13" s="33"/>
      <c r="BU13" s="22"/>
      <c r="BV13" s="33"/>
      <c r="BW13" s="22"/>
      <c r="BX13" s="33"/>
      <c r="BY13" s="22"/>
      <c r="BZ13" s="33"/>
      <c r="CA13" s="22"/>
      <c r="CB13" s="33"/>
      <c r="CC13" s="22"/>
      <c r="CD13" s="33"/>
      <c r="CE13" s="22"/>
      <c r="CF13" s="33"/>
      <c r="CG13" s="22"/>
      <c r="CH13" s="33"/>
      <c r="CI13" s="22"/>
      <c r="CJ13" s="33"/>
      <c r="CK13" s="22"/>
      <c r="CL13" s="33"/>
      <c r="CM13" s="22"/>
      <c r="CN13" s="33"/>
      <c r="CO13" s="22"/>
      <c r="CP13" s="33"/>
      <c r="CQ13" s="22"/>
      <c r="CR13" s="33"/>
      <c r="CS13" s="22"/>
      <c r="CT13" s="33"/>
      <c r="CU13" s="22"/>
      <c r="CV13" s="33"/>
      <c r="CW13" s="22"/>
      <c r="CX13" s="33"/>
      <c r="CY13" s="22"/>
      <c r="CZ13" s="33"/>
      <c r="DA13" s="22"/>
      <c r="DB13" s="33"/>
      <c r="DC13" s="22"/>
      <c r="DD13" s="33"/>
      <c r="DE13" s="22"/>
      <c r="DF13" s="33"/>
      <c r="DG13" s="22"/>
      <c r="DH13" s="33"/>
      <c r="DI13" s="22"/>
      <c r="DJ13" s="33"/>
      <c r="DK13" s="22"/>
      <c r="DL13" s="33"/>
      <c r="DM13" s="22"/>
      <c r="DN13" s="33"/>
      <c r="DO13" s="22"/>
      <c r="DP13" s="33"/>
      <c r="DQ13" s="22"/>
      <c r="DR13" s="33"/>
      <c r="DS13" s="22"/>
      <c r="DT13" s="33"/>
      <c r="DU13" s="22"/>
      <c r="DV13" s="33"/>
      <c r="DW13" s="22"/>
      <c r="DX13" s="33"/>
      <c r="DY13" s="22"/>
      <c r="DZ13" s="33"/>
      <c r="EA13" s="22"/>
      <c r="EB13" s="33"/>
      <c r="EC13" s="22"/>
      <c r="ED13" s="33"/>
      <c r="EE13" s="22"/>
      <c r="EF13" s="33"/>
      <c r="EG13" s="22"/>
      <c r="EH13" s="33"/>
      <c r="EI13" s="22"/>
      <c r="EJ13" s="33"/>
      <c r="EK13" s="22"/>
      <c r="EL13" s="33"/>
      <c r="EM13" s="22"/>
      <c r="EN13" s="33"/>
      <c r="EO13" s="22"/>
      <c r="EP13" s="33"/>
      <c r="EQ13" s="22"/>
      <c r="ER13" s="33"/>
      <c r="ES13" s="22"/>
      <c r="ET13" s="33"/>
      <c r="EU13" s="22"/>
      <c r="EV13" s="33"/>
      <c r="EW13" s="22"/>
      <c r="EX13" s="33"/>
      <c r="EY13" s="22"/>
      <c r="EZ13" s="33"/>
      <c r="FA13" s="22"/>
      <c r="FB13" s="33"/>
      <c r="FC13" s="22"/>
      <c r="FD13" s="33"/>
      <c r="FE13" s="22"/>
      <c r="FF13" s="33"/>
      <c r="FG13" s="22"/>
      <c r="FH13" s="22"/>
      <c r="FI13" s="22"/>
      <c r="FJ13" s="22"/>
      <c r="FK13" s="22"/>
      <c r="FL13" s="22"/>
      <c r="FM13" s="22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</row>
    <row r="14" spans="1:338" x14ac:dyDescent="0.2">
      <c r="A14" s="20"/>
      <c r="B14" s="20"/>
      <c r="C14" s="20"/>
      <c r="D14" s="23" t="s">
        <v>903</v>
      </c>
      <c r="E14" s="24" t="s">
        <v>1182</v>
      </c>
      <c r="F14" s="23" t="s">
        <v>903</v>
      </c>
      <c r="G14" s="24" t="s">
        <v>1182</v>
      </c>
      <c r="H14" s="23" t="s">
        <v>903</v>
      </c>
      <c r="I14" s="24" t="s">
        <v>1182</v>
      </c>
      <c r="J14" s="23" t="s">
        <v>903</v>
      </c>
      <c r="K14" s="24" t="s">
        <v>1182</v>
      </c>
      <c r="L14" s="23" t="s">
        <v>903</v>
      </c>
      <c r="M14" s="24" t="s">
        <v>1182</v>
      </c>
      <c r="N14" s="23" t="s">
        <v>903</v>
      </c>
      <c r="O14" s="24" t="s">
        <v>1182</v>
      </c>
      <c r="P14" s="23" t="s">
        <v>903</v>
      </c>
      <c r="Q14" s="24" t="s">
        <v>1182</v>
      </c>
      <c r="R14" s="23" t="s">
        <v>903</v>
      </c>
      <c r="S14" s="24" t="s">
        <v>1182</v>
      </c>
      <c r="T14" s="23" t="s">
        <v>903</v>
      </c>
      <c r="U14" s="24" t="s">
        <v>1182</v>
      </c>
      <c r="V14" s="23" t="s">
        <v>903</v>
      </c>
      <c r="W14" s="24" t="s">
        <v>1182</v>
      </c>
      <c r="X14" s="23" t="s">
        <v>903</v>
      </c>
      <c r="Y14" s="24" t="s">
        <v>1182</v>
      </c>
      <c r="Z14" s="23" t="s">
        <v>903</v>
      </c>
      <c r="AA14" s="24" t="s">
        <v>1182</v>
      </c>
      <c r="AB14" s="23" t="s">
        <v>903</v>
      </c>
      <c r="AC14" s="24" t="s">
        <v>1182</v>
      </c>
      <c r="AD14" s="23" t="s">
        <v>903</v>
      </c>
      <c r="AE14" s="24" t="s">
        <v>1182</v>
      </c>
      <c r="AF14" s="23" t="s">
        <v>903</v>
      </c>
      <c r="AG14" s="24" t="s">
        <v>1182</v>
      </c>
      <c r="AH14" s="23" t="s">
        <v>903</v>
      </c>
      <c r="AI14" s="24" t="s">
        <v>1182</v>
      </c>
      <c r="AJ14" s="23" t="s">
        <v>903</v>
      </c>
      <c r="AK14" s="24" t="s">
        <v>1182</v>
      </c>
      <c r="AL14" s="23" t="s">
        <v>903</v>
      </c>
      <c r="AM14" s="24" t="s">
        <v>1182</v>
      </c>
      <c r="AN14" s="23" t="s">
        <v>903</v>
      </c>
      <c r="AO14" s="24" t="s">
        <v>1182</v>
      </c>
      <c r="AP14" s="23" t="s">
        <v>903</v>
      </c>
      <c r="AQ14" s="24" t="s">
        <v>1182</v>
      </c>
      <c r="AR14" s="23" t="s">
        <v>903</v>
      </c>
      <c r="AS14" s="24" t="s">
        <v>1182</v>
      </c>
      <c r="AT14" s="23" t="s">
        <v>903</v>
      </c>
      <c r="AU14" s="24" t="s">
        <v>1182</v>
      </c>
      <c r="AV14" s="23" t="s">
        <v>903</v>
      </c>
      <c r="AW14" s="24" t="s">
        <v>1182</v>
      </c>
      <c r="AX14" s="23" t="s">
        <v>903</v>
      </c>
      <c r="AY14" s="24" t="s">
        <v>1182</v>
      </c>
      <c r="AZ14" s="23" t="s">
        <v>903</v>
      </c>
      <c r="BA14" s="24" t="s">
        <v>1182</v>
      </c>
      <c r="BB14" s="23" t="s">
        <v>903</v>
      </c>
      <c r="BC14" s="24" t="s">
        <v>1182</v>
      </c>
      <c r="BD14" s="23" t="s">
        <v>903</v>
      </c>
      <c r="BE14" s="24" t="s">
        <v>1182</v>
      </c>
      <c r="BF14" s="23" t="s">
        <v>903</v>
      </c>
      <c r="BG14" s="24" t="s">
        <v>1182</v>
      </c>
      <c r="BH14" s="23" t="s">
        <v>903</v>
      </c>
      <c r="BI14" s="24" t="s">
        <v>1182</v>
      </c>
      <c r="BJ14" s="23" t="s">
        <v>903</v>
      </c>
      <c r="BK14" s="24" t="s">
        <v>1182</v>
      </c>
      <c r="BL14" s="23" t="s">
        <v>903</v>
      </c>
      <c r="BM14" s="24" t="s">
        <v>1182</v>
      </c>
      <c r="BN14" s="23" t="s">
        <v>903</v>
      </c>
      <c r="BO14" s="24" t="s">
        <v>1182</v>
      </c>
      <c r="BP14" s="23" t="s">
        <v>903</v>
      </c>
      <c r="BQ14" s="24" t="s">
        <v>1182</v>
      </c>
      <c r="BR14" s="23" t="s">
        <v>903</v>
      </c>
      <c r="BS14" s="24" t="s">
        <v>1182</v>
      </c>
      <c r="BT14" s="23" t="s">
        <v>903</v>
      </c>
      <c r="BU14" s="24" t="s">
        <v>1182</v>
      </c>
      <c r="BV14" s="23" t="s">
        <v>903</v>
      </c>
      <c r="BW14" s="24" t="s">
        <v>1182</v>
      </c>
      <c r="BX14" s="23" t="s">
        <v>903</v>
      </c>
      <c r="BY14" s="24" t="s">
        <v>1182</v>
      </c>
      <c r="BZ14" s="23" t="s">
        <v>903</v>
      </c>
      <c r="CA14" s="24" t="s">
        <v>1182</v>
      </c>
      <c r="CB14" s="23" t="s">
        <v>903</v>
      </c>
      <c r="CC14" s="24" t="s">
        <v>1182</v>
      </c>
      <c r="CD14" s="23" t="s">
        <v>903</v>
      </c>
      <c r="CE14" s="24" t="s">
        <v>1182</v>
      </c>
      <c r="CF14" s="23" t="s">
        <v>903</v>
      </c>
      <c r="CG14" s="24" t="s">
        <v>1182</v>
      </c>
      <c r="CH14" s="23" t="s">
        <v>903</v>
      </c>
      <c r="CI14" s="24" t="s">
        <v>1182</v>
      </c>
      <c r="CJ14" s="23" t="s">
        <v>903</v>
      </c>
      <c r="CK14" s="24" t="s">
        <v>1182</v>
      </c>
      <c r="CL14" s="23" t="s">
        <v>903</v>
      </c>
      <c r="CM14" s="24" t="s">
        <v>1182</v>
      </c>
      <c r="CN14" s="23" t="s">
        <v>903</v>
      </c>
      <c r="CO14" s="24" t="s">
        <v>1182</v>
      </c>
      <c r="CP14" s="23" t="s">
        <v>903</v>
      </c>
      <c r="CQ14" s="24" t="s">
        <v>1182</v>
      </c>
      <c r="CR14" s="23" t="s">
        <v>903</v>
      </c>
      <c r="CS14" s="24" t="s">
        <v>1182</v>
      </c>
      <c r="CT14" s="23" t="s">
        <v>903</v>
      </c>
      <c r="CU14" s="24" t="s">
        <v>1182</v>
      </c>
      <c r="CV14" s="23" t="s">
        <v>903</v>
      </c>
      <c r="CW14" s="24" t="s">
        <v>1182</v>
      </c>
      <c r="CX14" s="23" t="s">
        <v>903</v>
      </c>
      <c r="CY14" s="24" t="s">
        <v>1182</v>
      </c>
      <c r="CZ14" s="23" t="s">
        <v>903</v>
      </c>
      <c r="DA14" s="24" t="s">
        <v>1182</v>
      </c>
      <c r="DB14" s="23" t="s">
        <v>903</v>
      </c>
      <c r="DC14" s="24" t="s">
        <v>1182</v>
      </c>
      <c r="DD14" s="23" t="s">
        <v>903</v>
      </c>
      <c r="DE14" s="24" t="s">
        <v>1182</v>
      </c>
      <c r="DF14" s="23" t="s">
        <v>903</v>
      </c>
      <c r="DG14" s="24" t="s">
        <v>1182</v>
      </c>
      <c r="DH14" s="23" t="s">
        <v>903</v>
      </c>
      <c r="DI14" s="24" t="s">
        <v>1182</v>
      </c>
      <c r="DJ14" s="23" t="s">
        <v>903</v>
      </c>
      <c r="DK14" s="24" t="s">
        <v>1182</v>
      </c>
      <c r="DL14" s="23" t="s">
        <v>903</v>
      </c>
      <c r="DM14" s="24" t="s">
        <v>1182</v>
      </c>
      <c r="DN14" s="23" t="s">
        <v>903</v>
      </c>
      <c r="DO14" s="24" t="s">
        <v>1182</v>
      </c>
      <c r="DP14" s="23" t="s">
        <v>903</v>
      </c>
      <c r="DQ14" s="24" t="s">
        <v>1182</v>
      </c>
      <c r="DR14" s="23" t="s">
        <v>903</v>
      </c>
      <c r="DS14" s="24" t="s">
        <v>1182</v>
      </c>
      <c r="DT14" s="23" t="s">
        <v>903</v>
      </c>
      <c r="DU14" s="24" t="s">
        <v>1182</v>
      </c>
      <c r="DV14" s="23" t="s">
        <v>903</v>
      </c>
      <c r="DW14" s="24" t="s">
        <v>1182</v>
      </c>
      <c r="DX14" s="23" t="s">
        <v>903</v>
      </c>
      <c r="DY14" s="24" t="s">
        <v>1182</v>
      </c>
      <c r="DZ14" s="23" t="s">
        <v>903</v>
      </c>
      <c r="EA14" s="24" t="s">
        <v>1182</v>
      </c>
      <c r="EB14" s="23" t="s">
        <v>903</v>
      </c>
      <c r="EC14" s="24" t="s">
        <v>1182</v>
      </c>
      <c r="ED14" s="23" t="s">
        <v>903</v>
      </c>
      <c r="EE14" s="24" t="s">
        <v>1182</v>
      </c>
      <c r="EF14" s="23" t="s">
        <v>903</v>
      </c>
      <c r="EG14" s="24" t="s">
        <v>1182</v>
      </c>
      <c r="EH14" s="23" t="s">
        <v>903</v>
      </c>
      <c r="EI14" s="24" t="s">
        <v>1182</v>
      </c>
      <c r="EJ14" s="23" t="s">
        <v>903</v>
      </c>
      <c r="EK14" s="24" t="s">
        <v>1182</v>
      </c>
      <c r="EL14" s="23" t="s">
        <v>903</v>
      </c>
      <c r="EM14" s="24" t="s">
        <v>1182</v>
      </c>
      <c r="EN14" s="23" t="s">
        <v>903</v>
      </c>
      <c r="EO14" s="24" t="s">
        <v>1182</v>
      </c>
      <c r="EP14" s="23" t="s">
        <v>903</v>
      </c>
      <c r="EQ14" s="24" t="s">
        <v>1182</v>
      </c>
      <c r="ER14" s="23" t="s">
        <v>903</v>
      </c>
      <c r="ES14" s="24" t="s">
        <v>1182</v>
      </c>
      <c r="ET14" s="23" t="s">
        <v>903</v>
      </c>
      <c r="EU14" s="24" t="s">
        <v>1182</v>
      </c>
      <c r="EV14" s="23" t="s">
        <v>903</v>
      </c>
      <c r="EW14" s="24" t="s">
        <v>1182</v>
      </c>
      <c r="EX14" s="23" t="s">
        <v>903</v>
      </c>
      <c r="EY14" s="24" t="s">
        <v>1182</v>
      </c>
      <c r="EZ14" s="23" t="s">
        <v>903</v>
      </c>
      <c r="FA14" s="24" t="s">
        <v>1182</v>
      </c>
      <c r="FB14" s="23" t="s">
        <v>903</v>
      </c>
      <c r="FC14" s="24" t="s">
        <v>1182</v>
      </c>
      <c r="FD14" s="23" t="s">
        <v>903</v>
      </c>
      <c r="FE14" s="24" t="s">
        <v>1182</v>
      </c>
      <c r="FF14" s="23" t="s">
        <v>903</v>
      </c>
      <c r="FG14" s="24" t="s">
        <v>1182</v>
      </c>
      <c r="FH14" s="23" t="s">
        <v>903</v>
      </c>
      <c r="FI14" s="24" t="s">
        <v>1182</v>
      </c>
      <c r="FJ14" s="23" t="s">
        <v>903</v>
      </c>
      <c r="FK14" s="24" t="s">
        <v>1182</v>
      </c>
      <c r="FL14" s="11" t="s">
        <v>1285</v>
      </c>
      <c r="FM14" s="102" t="s">
        <v>686</v>
      </c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</row>
    <row r="15" spans="1:338" x14ac:dyDescent="0.2">
      <c r="A15" s="20"/>
      <c r="B15" s="20"/>
      <c r="C15" s="20"/>
      <c r="D15" s="23" t="s">
        <v>975</v>
      </c>
      <c r="E15" s="24">
        <v>1</v>
      </c>
      <c r="F15" s="23" t="s">
        <v>975</v>
      </c>
      <c r="G15" s="24">
        <v>1</v>
      </c>
      <c r="H15" s="23" t="s">
        <v>976</v>
      </c>
      <c r="I15" s="24">
        <v>1</v>
      </c>
      <c r="J15" s="23" t="s">
        <v>1046</v>
      </c>
      <c r="K15" s="24">
        <v>1</v>
      </c>
      <c r="L15" s="23" t="s">
        <v>1047</v>
      </c>
      <c r="M15" s="24">
        <v>1</v>
      </c>
      <c r="N15" s="23" t="s">
        <v>977</v>
      </c>
      <c r="O15" s="24">
        <v>1</v>
      </c>
      <c r="P15" s="23" t="s">
        <v>978</v>
      </c>
      <c r="Q15" s="24">
        <v>1</v>
      </c>
      <c r="R15" s="23" t="s">
        <v>979</v>
      </c>
      <c r="S15" s="24">
        <v>1</v>
      </c>
      <c r="T15" s="23" t="s">
        <v>980</v>
      </c>
      <c r="U15" s="24">
        <v>1</v>
      </c>
      <c r="V15" s="23" t="s">
        <v>981</v>
      </c>
      <c r="W15" s="24">
        <v>1</v>
      </c>
      <c r="X15" s="23" t="s">
        <v>982</v>
      </c>
      <c r="Y15" s="24">
        <v>1</v>
      </c>
      <c r="Z15" s="23" t="s">
        <v>983</v>
      </c>
      <c r="AA15" s="24">
        <v>1</v>
      </c>
      <c r="AB15" s="23" t="s">
        <v>984</v>
      </c>
      <c r="AC15" s="24">
        <v>1</v>
      </c>
      <c r="AD15" s="23" t="s">
        <v>985</v>
      </c>
      <c r="AE15" s="24">
        <v>1</v>
      </c>
      <c r="AF15" s="23" t="s">
        <v>986</v>
      </c>
      <c r="AG15" s="24">
        <v>1</v>
      </c>
      <c r="AH15" s="23" t="s">
        <v>987</v>
      </c>
      <c r="AI15" s="24">
        <v>1</v>
      </c>
      <c r="AJ15" s="23" t="s">
        <v>988</v>
      </c>
      <c r="AK15" s="24">
        <v>1</v>
      </c>
      <c r="AL15" s="23" t="s">
        <v>989</v>
      </c>
      <c r="AM15" s="24">
        <v>1</v>
      </c>
      <c r="AN15" s="23" t="s">
        <v>990</v>
      </c>
      <c r="AO15" s="24">
        <v>1</v>
      </c>
      <c r="AP15" s="23" t="s">
        <v>991</v>
      </c>
      <c r="AQ15" s="24">
        <v>1</v>
      </c>
      <c r="AR15" s="23" t="s">
        <v>992</v>
      </c>
      <c r="AS15" s="24">
        <v>1</v>
      </c>
      <c r="AT15" s="23" t="s">
        <v>993</v>
      </c>
      <c r="AU15" s="24">
        <v>1</v>
      </c>
      <c r="AV15" s="23" t="s">
        <v>994</v>
      </c>
      <c r="AW15" s="24">
        <v>1</v>
      </c>
      <c r="AX15" s="23" t="s">
        <v>995</v>
      </c>
      <c r="AY15" s="24">
        <v>1</v>
      </c>
      <c r="AZ15" s="23" t="s">
        <v>996</v>
      </c>
      <c r="BA15" s="24">
        <v>1</v>
      </c>
      <c r="BB15" s="23" t="s">
        <v>997</v>
      </c>
      <c r="BC15" s="24">
        <v>1</v>
      </c>
      <c r="BD15" s="23" t="s">
        <v>998</v>
      </c>
      <c r="BE15" s="24">
        <v>1</v>
      </c>
      <c r="BF15" s="23" t="s">
        <v>999</v>
      </c>
      <c r="BG15" s="24">
        <v>1</v>
      </c>
      <c r="BH15" s="23" t="s">
        <v>1000</v>
      </c>
      <c r="BI15" s="24">
        <v>1</v>
      </c>
      <c r="BJ15" s="23" t="s">
        <v>1001</v>
      </c>
      <c r="BK15" s="24">
        <v>1</v>
      </c>
      <c r="BL15" s="23" t="s">
        <v>1002</v>
      </c>
      <c r="BM15" s="24">
        <v>1</v>
      </c>
      <c r="BN15" s="23" t="s">
        <v>1003</v>
      </c>
      <c r="BO15" s="24">
        <v>1</v>
      </c>
      <c r="BP15" s="23" t="s">
        <v>1004</v>
      </c>
      <c r="BQ15" s="24">
        <v>1</v>
      </c>
      <c r="BR15" s="23" t="s">
        <v>1005</v>
      </c>
      <c r="BS15" s="24">
        <v>1</v>
      </c>
      <c r="BT15" s="23" t="s">
        <v>1339</v>
      </c>
      <c r="BU15" s="24">
        <v>1</v>
      </c>
      <c r="BV15" s="23" t="s">
        <v>1006</v>
      </c>
      <c r="BW15" s="24">
        <v>1</v>
      </c>
      <c r="BX15" s="23" t="s">
        <v>1007</v>
      </c>
      <c r="BY15" s="24">
        <v>1</v>
      </c>
      <c r="BZ15" s="23" t="s">
        <v>1008</v>
      </c>
      <c r="CA15" s="24">
        <v>1</v>
      </c>
      <c r="CB15" s="23" t="s">
        <v>1009</v>
      </c>
      <c r="CC15" s="24">
        <v>1</v>
      </c>
      <c r="CD15" s="23" t="s">
        <v>1010</v>
      </c>
      <c r="CE15" s="24">
        <v>1</v>
      </c>
      <c r="CF15" s="23" t="s">
        <v>1011</v>
      </c>
      <c r="CG15" s="24">
        <v>1</v>
      </c>
      <c r="CH15" s="23" t="s">
        <v>1012</v>
      </c>
      <c r="CI15" s="24">
        <v>1</v>
      </c>
      <c r="CJ15" s="23" t="s">
        <v>1013</v>
      </c>
      <c r="CK15" s="24">
        <v>1</v>
      </c>
      <c r="CL15" s="23" t="s">
        <v>1014</v>
      </c>
      <c r="CM15" s="24">
        <v>1</v>
      </c>
      <c r="CN15" s="23" t="s">
        <v>1015</v>
      </c>
      <c r="CO15" s="24">
        <v>1</v>
      </c>
      <c r="CP15" s="23" t="s">
        <v>1016</v>
      </c>
      <c r="CQ15" s="24">
        <v>1</v>
      </c>
      <c r="CR15" s="23" t="s">
        <v>1017</v>
      </c>
      <c r="CS15" s="24">
        <v>1</v>
      </c>
      <c r="CT15" s="23" t="s">
        <v>1018</v>
      </c>
      <c r="CU15" s="24">
        <v>1</v>
      </c>
      <c r="CV15" s="23" t="s">
        <v>1019</v>
      </c>
      <c r="CW15" s="24">
        <v>1</v>
      </c>
      <c r="CX15" s="23" t="s">
        <v>763</v>
      </c>
      <c r="CY15" s="24">
        <v>1</v>
      </c>
      <c r="CZ15" s="23" t="s">
        <v>1020</v>
      </c>
      <c r="DA15" s="24">
        <v>1</v>
      </c>
      <c r="DB15" s="23" t="s">
        <v>1021</v>
      </c>
      <c r="DC15" s="24">
        <v>1</v>
      </c>
      <c r="DD15" s="23" t="s">
        <v>1340</v>
      </c>
      <c r="DE15" s="24">
        <v>1</v>
      </c>
      <c r="DF15" s="23" t="s">
        <v>1022</v>
      </c>
      <c r="DG15" s="24">
        <v>1</v>
      </c>
      <c r="DH15" s="23" t="s">
        <v>1023</v>
      </c>
      <c r="DI15" s="24">
        <v>1</v>
      </c>
      <c r="DJ15" s="23" t="s">
        <v>1024</v>
      </c>
      <c r="DK15" s="24">
        <v>1</v>
      </c>
      <c r="DL15" s="23" t="s">
        <v>1025</v>
      </c>
      <c r="DM15" s="24">
        <v>1</v>
      </c>
      <c r="DN15" s="23" t="s">
        <v>1026</v>
      </c>
      <c r="DO15" s="24">
        <v>1</v>
      </c>
      <c r="DP15" s="23" t="s">
        <v>1027</v>
      </c>
      <c r="DQ15" s="24">
        <v>1</v>
      </c>
      <c r="DR15" s="23" t="s">
        <v>1341</v>
      </c>
      <c r="DS15" s="24">
        <v>1</v>
      </c>
      <c r="DT15" s="23" t="s">
        <v>1028</v>
      </c>
      <c r="DU15" s="24">
        <v>1</v>
      </c>
      <c r="DV15" s="23" t="s">
        <v>1029</v>
      </c>
      <c r="DW15" s="24">
        <v>1</v>
      </c>
      <c r="DX15" s="23" t="s">
        <v>1030</v>
      </c>
      <c r="DY15" s="24">
        <v>1</v>
      </c>
      <c r="DZ15" s="23" t="s">
        <v>787</v>
      </c>
      <c r="EA15" s="24">
        <v>1</v>
      </c>
      <c r="EB15" s="23" t="s">
        <v>1031</v>
      </c>
      <c r="EC15" s="24">
        <v>1</v>
      </c>
      <c r="ED15" s="23" t="s">
        <v>770</v>
      </c>
      <c r="EE15" s="24">
        <v>1</v>
      </c>
      <c r="EF15" s="23" t="s">
        <v>1032</v>
      </c>
      <c r="EG15" s="24">
        <v>1</v>
      </c>
      <c r="EH15" s="23" t="s">
        <v>1033</v>
      </c>
      <c r="EI15" s="24">
        <v>1</v>
      </c>
      <c r="EJ15" s="23" t="s">
        <v>1034</v>
      </c>
      <c r="EK15" s="24">
        <v>1</v>
      </c>
      <c r="EL15" s="23" t="s">
        <v>1035</v>
      </c>
      <c r="EM15" s="24">
        <v>1</v>
      </c>
      <c r="EN15" s="23" t="s">
        <v>1036</v>
      </c>
      <c r="EO15" s="24">
        <v>1</v>
      </c>
      <c r="EP15" s="23" t="s">
        <v>1037</v>
      </c>
      <c r="EQ15" s="24">
        <v>1</v>
      </c>
      <c r="ER15" s="23" t="s">
        <v>1038</v>
      </c>
      <c r="ES15" s="24">
        <v>1</v>
      </c>
      <c r="ET15" s="23" t="s">
        <v>769</v>
      </c>
      <c r="EU15" s="24">
        <v>1</v>
      </c>
      <c r="EV15" s="23" t="s">
        <v>1039</v>
      </c>
      <c r="EW15" s="24">
        <v>1</v>
      </c>
      <c r="EX15" s="23" t="s">
        <v>1040</v>
      </c>
      <c r="EY15" s="24">
        <v>1</v>
      </c>
      <c r="EZ15" s="23" t="s">
        <v>1041</v>
      </c>
      <c r="FA15" s="24">
        <v>1</v>
      </c>
      <c r="FB15" s="23" t="s">
        <v>1042</v>
      </c>
      <c r="FC15" s="24">
        <v>1</v>
      </c>
      <c r="FD15" s="23" t="s">
        <v>765</v>
      </c>
      <c r="FE15" s="24">
        <v>1</v>
      </c>
      <c r="FF15" s="23" t="s">
        <v>1043</v>
      </c>
      <c r="FG15" s="24">
        <v>1</v>
      </c>
      <c r="FH15" s="23" t="s">
        <v>1044</v>
      </c>
      <c r="FI15" s="24">
        <v>1</v>
      </c>
      <c r="FJ15" s="23" t="s">
        <v>1045</v>
      </c>
      <c r="FK15" s="24">
        <v>1</v>
      </c>
      <c r="FL15" s="6" t="s">
        <v>1280</v>
      </c>
      <c r="FM15" s="102" t="s">
        <v>683</v>
      </c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</row>
    <row r="16" spans="1:338" x14ac:dyDescent="0.2">
      <c r="A16" s="20"/>
      <c r="B16" s="20"/>
      <c r="C16" s="20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</row>
    <row r="17" spans="1:240" x14ac:dyDescent="0.2">
      <c r="A17" s="20"/>
      <c r="B17" s="20"/>
      <c r="C17" s="20"/>
      <c r="D17" s="23" t="s">
        <v>903</v>
      </c>
      <c r="E17" s="24" t="s">
        <v>1182</v>
      </c>
      <c r="F17" s="23" t="s">
        <v>903</v>
      </c>
      <c r="G17" s="24" t="s">
        <v>1182</v>
      </c>
      <c r="H17" s="23" t="s">
        <v>903</v>
      </c>
      <c r="I17" s="24" t="s">
        <v>1182</v>
      </c>
      <c r="J17" s="23" t="s">
        <v>903</v>
      </c>
      <c r="K17" s="24" t="s">
        <v>1182</v>
      </c>
      <c r="L17" s="23" t="s">
        <v>903</v>
      </c>
      <c r="M17" s="24" t="s">
        <v>1182</v>
      </c>
      <c r="N17" s="23" t="s">
        <v>903</v>
      </c>
      <c r="O17" s="24" t="s">
        <v>1182</v>
      </c>
      <c r="P17" s="23" t="s">
        <v>903</v>
      </c>
      <c r="Q17" s="24" t="s">
        <v>1182</v>
      </c>
      <c r="R17" s="23" t="s">
        <v>903</v>
      </c>
      <c r="S17" s="24" t="s">
        <v>1182</v>
      </c>
      <c r="T17" s="23" t="s">
        <v>903</v>
      </c>
      <c r="U17" s="24" t="s">
        <v>1182</v>
      </c>
      <c r="V17" s="23" t="s">
        <v>903</v>
      </c>
      <c r="W17" s="24" t="s">
        <v>1182</v>
      </c>
      <c r="X17" s="11" t="s">
        <v>1285</v>
      </c>
      <c r="Y17" s="102" t="s">
        <v>686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</row>
    <row r="18" spans="1:240" x14ac:dyDescent="0.2">
      <c r="A18" s="20"/>
      <c r="B18" s="20"/>
      <c r="C18" s="20"/>
      <c r="D18" s="23" t="s">
        <v>1048</v>
      </c>
      <c r="E18" s="24">
        <v>1</v>
      </c>
      <c r="F18" s="23" t="s">
        <v>1049</v>
      </c>
      <c r="G18" s="24">
        <v>1</v>
      </c>
      <c r="H18" s="23" t="s">
        <v>1050</v>
      </c>
      <c r="I18" s="24">
        <v>1</v>
      </c>
      <c r="J18" s="23" t="s">
        <v>1051</v>
      </c>
      <c r="K18" s="24">
        <v>1</v>
      </c>
      <c r="L18" s="23" t="s">
        <v>1052</v>
      </c>
      <c r="M18" s="24">
        <v>1</v>
      </c>
      <c r="N18" s="23" t="s">
        <v>1342</v>
      </c>
      <c r="O18" s="24">
        <v>1</v>
      </c>
      <c r="P18" s="23" t="s">
        <v>1343</v>
      </c>
      <c r="Q18" s="24">
        <v>1</v>
      </c>
      <c r="R18" s="23" t="s">
        <v>1053</v>
      </c>
      <c r="S18" s="24">
        <v>1</v>
      </c>
      <c r="T18" s="23" t="s">
        <v>1054</v>
      </c>
      <c r="U18" s="24">
        <v>1</v>
      </c>
      <c r="V18" s="23" t="s">
        <v>1345</v>
      </c>
      <c r="W18" s="24">
        <v>1</v>
      </c>
      <c r="X18" s="6" t="s">
        <v>1281</v>
      </c>
      <c r="Y18" s="102" t="s">
        <v>677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</row>
    <row r="19" spans="1:240" x14ac:dyDescent="0.2">
      <c r="A19" s="20"/>
      <c r="B19" s="20"/>
      <c r="C19" s="20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</row>
    <row r="20" spans="1:240" x14ac:dyDescent="0.2">
      <c r="A20" s="20"/>
      <c r="B20" s="20"/>
      <c r="C20" s="20"/>
      <c r="D20" s="23" t="s">
        <v>903</v>
      </c>
      <c r="E20" s="24" t="s">
        <v>1182</v>
      </c>
      <c r="F20" s="23" t="s">
        <v>903</v>
      </c>
      <c r="G20" s="24" t="s">
        <v>1182</v>
      </c>
      <c r="H20" s="23" t="s">
        <v>903</v>
      </c>
      <c r="I20" s="24" t="s">
        <v>1182</v>
      </c>
      <c r="J20" s="23" t="s">
        <v>903</v>
      </c>
      <c r="K20" s="24" t="s">
        <v>1182</v>
      </c>
      <c r="L20" s="23" t="s">
        <v>903</v>
      </c>
      <c r="M20" s="24" t="s">
        <v>1182</v>
      </c>
      <c r="N20" s="23" t="s">
        <v>903</v>
      </c>
      <c r="O20" s="24" t="s">
        <v>1182</v>
      </c>
      <c r="P20" s="23" t="s">
        <v>903</v>
      </c>
      <c r="Q20" s="24" t="s">
        <v>1182</v>
      </c>
      <c r="R20" s="23" t="s">
        <v>903</v>
      </c>
      <c r="S20" s="24" t="s">
        <v>1182</v>
      </c>
      <c r="T20" s="23" t="s">
        <v>903</v>
      </c>
      <c r="U20" s="24" t="s">
        <v>1182</v>
      </c>
      <c r="V20" s="23" t="s">
        <v>903</v>
      </c>
      <c r="W20" s="24" t="s">
        <v>1182</v>
      </c>
      <c r="X20" s="23" t="s">
        <v>903</v>
      </c>
      <c r="Y20" s="24" t="s">
        <v>1182</v>
      </c>
      <c r="Z20" s="23" t="s">
        <v>903</v>
      </c>
      <c r="AA20" s="24" t="s">
        <v>1182</v>
      </c>
      <c r="AB20" s="23" t="s">
        <v>903</v>
      </c>
      <c r="AC20" s="24" t="s">
        <v>1182</v>
      </c>
      <c r="AD20" s="23" t="s">
        <v>903</v>
      </c>
      <c r="AE20" s="24" t="s">
        <v>1182</v>
      </c>
      <c r="AF20" s="23" t="s">
        <v>903</v>
      </c>
      <c r="AG20" s="24" t="s">
        <v>1182</v>
      </c>
      <c r="AH20" s="11" t="s">
        <v>1285</v>
      </c>
      <c r="AI20" s="102" t="s">
        <v>686</v>
      </c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</row>
    <row r="21" spans="1:240" x14ac:dyDescent="0.2">
      <c r="A21" s="20"/>
      <c r="B21" s="20"/>
      <c r="C21" s="20"/>
      <c r="D21" s="23" t="s">
        <v>1055</v>
      </c>
      <c r="E21" s="24">
        <v>1</v>
      </c>
      <c r="F21" s="23" t="s">
        <v>1056</v>
      </c>
      <c r="G21" s="24">
        <v>1</v>
      </c>
      <c r="H21" s="23" t="s">
        <v>1057</v>
      </c>
      <c r="I21" s="24">
        <v>1</v>
      </c>
      <c r="J21" s="23" t="s">
        <v>776</v>
      </c>
      <c r="K21" s="24">
        <v>1</v>
      </c>
      <c r="L21" s="23" t="s">
        <v>1058</v>
      </c>
      <c r="M21" s="24">
        <v>1</v>
      </c>
      <c r="N21" s="23" t="s">
        <v>1059</v>
      </c>
      <c r="O21" s="24">
        <v>1</v>
      </c>
      <c r="P21" s="23" t="s">
        <v>1181</v>
      </c>
      <c r="Q21" s="24">
        <v>1</v>
      </c>
      <c r="R21" s="23" t="s">
        <v>1060</v>
      </c>
      <c r="S21" s="24">
        <v>1</v>
      </c>
      <c r="T21" s="23" t="s">
        <v>1061</v>
      </c>
      <c r="U21" s="24">
        <v>1</v>
      </c>
      <c r="V21" s="23" t="s">
        <v>1062</v>
      </c>
      <c r="W21" s="24">
        <v>1</v>
      </c>
      <c r="X21" s="23" t="s">
        <v>1063</v>
      </c>
      <c r="Y21" s="24">
        <v>1</v>
      </c>
      <c r="Z21" s="23" t="s">
        <v>1064</v>
      </c>
      <c r="AA21" s="24">
        <v>1</v>
      </c>
      <c r="AB21" s="23" t="s">
        <v>1065</v>
      </c>
      <c r="AC21" s="24">
        <v>1</v>
      </c>
      <c r="AD21" s="23" t="s">
        <v>782</v>
      </c>
      <c r="AE21" s="24">
        <v>1</v>
      </c>
      <c r="AF21" s="23" t="s">
        <v>1066</v>
      </c>
      <c r="AG21" s="24">
        <v>1</v>
      </c>
      <c r="AH21" s="6" t="s">
        <v>1282</v>
      </c>
      <c r="AI21" s="102" t="s">
        <v>678</v>
      </c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</row>
    <row r="22" spans="1:240" x14ac:dyDescent="0.2">
      <c r="A22" s="20"/>
      <c r="B22" s="20"/>
      <c r="C22" s="20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</row>
    <row r="23" spans="1:240" x14ac:dyDescent="0.2">
      <c r="A23" s="20"/>
      <c r="B23" s="20"/>
      <c r="C23" s="20"/>
      <c r="D23" s="23" t="s">
        <v>903</v>
      </c>
      <c r="E23" s="24" t="s">
        <v>1182</v>
      </c>
      <c r="F23" s="23" t="s">
        <v>903</v>
      </c>
      <c r="G23" s="24" t="s">
        <v>1182</v>
      </c>
      <c r="H23" s="23" t="s">
        <v>903</v>
      </c>
      <c r="I23" s="24" t="s">
        <v>1182</v>
      </c>
      <c r="J23" s="23" t="s">
        <v>903</v>
      </c>
      <c r="K23" s="24" t="s">
        <v>1182</v>
      </c>
      <c r="L23" s="23" t="s">
        <v>903</v>
      </c>
      <c r="M23" s="24" t="s">
        <v>1182</v>
      </c>
      <c r="N23" s="23" t="s">
        <v>903</v>
      </c>
      <c r="O23" s="24" t="s">
        <v>1182</v>
      </c>
      <c r="P23" s="23" t="s">
        <v>903</v>
      </c>
      <c r="Q23" s="24" t="s">
        <v>1182</v>
      </c>
      <c r="R23" s="23" t="s">
        <v>903</v>
      </c>
      <c r="S23" s="24" t="s">
        <v>1182</v>
      </c>
      <c r="T23" s="23" t="s">
        <v>903</v>
      </c>
      <c r="U23" s="24" t="s">
        <v>1182</v>
      </c>
      <c r="V23" s="23" t="s">
        <v>903</v>
      </c>
      <c r="W23" s="24" t="s">
        <v>1182</v>
      </c>
      <c r="X23" s="23" t="s">
        <v>903</v>
      </c>
      <c r="Y23" s="24" t="s">
        <v>1182</v>
      </c>
      <c r="Z23" s="23" t="s">
        <v>903</v>
      </c>
      <c r="AA23" s="24" t="s">
        <v>1182</v>
      </c>
      <c r="AB23" s="23" t="s">
        <v>903</v>
      </c>
      <c r="AC23" s="24" t="s">
        <v>1182</v>
      </c>
      <c r="AD23" s="23" t="s">
        <v>903</v>
      </c>
      <c r="AE23" s="24" t="s">
        <v>1182</v>
      </c>
      <c r="AF23" s="23" t="s">
        <v>903</v>
      </c>
      <c r="AG23" s="24" t="s">
        <v>1182</v>
      </c>
      <c r="AH23" s="23" t="s">
        <v>903</v>
      </c>
      <c r="AI23" s="24" t="s">
        <v>1182</v>
      </c>
      <c r="AJ23" s="23" t="s">
        <v>903</v>
      </c>
      <c r="AK23" s="24" t="s">
        <v>1182</v>
      </c>
      <c r="AL23" s="23" t="s">
        <v>903</v>
      </c>
      <c r="AM23" s="24" t="s">
        <v>1182</v>
      </c>
      <c r="AN23" s="23" t="s">
        <v>903</v>
      </c>
      <c r="AO23" s="24" t="s">
        <v>1182</v>
      </c>
      <c r="AP23" s="23" t="s">
        <v>903</v>
      </c>
      <c r="AQ23" s="24" t="s">
        <v>1182</v>
      </c>
      <c r="AR23" s="23" t="s">
        <v>903</v>
      </c>
      <c r="AS23" s="24" t="s">
        <v>1182</v>
      </c>
      <c r="AT23" s="23" t="s">
        <v>903</v>
      </c>
      <c r="AU23" s="24" t="s">
        <v>1182</v>
      </c>
      <c r="AV23" s="23" t="s">
        <v>903</v>
      </c>
      <c r="AW23" s="24" t="s">
        <v>1182</v>
      </c>
      <c r="AX23" s="23" t="s">
        <v>903</v>
      </c>
      <c r="AY23" s="24" t="s">
        <v>1182</v>
      </c>
      <c r="AZ23" s="23" t="s">
        <v>903</v>
      </c>
      <c r="BA23" s="24" t="s">
        <v>1182</v>
      </c>
      <c r="BB23" s="23" t="s">
        <v>903</v>
      </c>
      <c r="BC23" s="24" t="s">
        <v>1182</v>
      </c>
      <c r="BD23" s="23" t="s">
        <v>903</v>
      </c>
      <c r="BE23" s="24" t="s">
        <v>1182</v>
      </c>
      <c r="BF23" s="23" t="s">
        <v>903</v>
      </c>
      <c r="BG23" s="24" t="s">
        <v>1182</v>
      </c>
      <c r="BH23" s="23" t="s">
        <v>903</v>
      </c>
      <c r="BI23" s="24" t="s">
        <v>1182</v>
      </c>
      <c r="BJ23" s="23" t="s">
        <v>903</v>
      </c>
      <c r="BK23" s="24" t="s">
        <v>1182</v>
      </c>
      <c r="BL23" s="23" t="s">
        <v>903</v>
      </c>
      <c r="BM23" s="24" t="s">
        <v>1182</v>
      </c>
      <c r="BN23" s="23" t="s">
        <v>903</v>
      </c>
      <c r="BO23" s="24" t="s">
        <v>1182</v>
      </c>
      <c r="BP23" s="23" t="s">
        <v>903</v>
      </c>
      <c r="BQ23" s="24" t="s">
        <v>1182</v>
      </c>
      <c r="BR23" s="23" t="s">
        <v>903</v>
      </c>
      <c r="BS23" s="24" t="s">
        <v>1182</v>
      </c>
      <c r="BT23" s="23" t="s">
        <v>903</v>
      </c>
      <c r="BU23" s="24" t="s">
        <v>1182</v>
      </c>
      <c r="BV23" s="23" t="s">
        <v>903</v>
      </c>
      <c r="BW23" s="24" t="s">
        <v>1182</v>
      </c>
      <c r="BX23" s="23" t="s">
        <v>903</v>
      </c>
      <c r="BY23" s="24" t="s">
        <v>1182</v>
      </c>
      <c r="BZ23" s="23" t="s">
        <v>903</v>
      </c>
      <c r="CA23" s="24" t="s">
        <v>1182</v>
      </c>
      <c r="CB23" s="23" t="s">
        <v>903</v>
      </c>
      <c r="CC23" s="24" t="s">
        <v>1182</v>
      </c>
      <c r="CD23" s="23" t="s">
        <v>903</v>
      </c>
      <c r="CE23" s="24" t="s">
        <v>1182</v>
      </c>
      <c r="CF23" s="23" t="s">
        <v>903</v>
      </c>
      <c r="CG23" s="24" t="s">
        <v>1182</v>
      </c>
      <c r="CH23" s="23" t="s">
        <v>903</v>
      </c>
      <c r="CI23" s="24" t="s">
        <v>1182</v>
      </c>
      <c r="CJ23" s="23" t="s">
        <v>903</v>
      </c>
      <c r="CK23" s="24" t="s">
        <v>1182</v>
      </c>
      <c r="CL23" s="23" t="s">
        <v>903</v>
      </c>
      <c r="CM23" s="24" t="s">
        <v>1182</v>
      </c>
      <c r="CN23" s="23" t="s">
        <v>903</v>
      </c>
      <c r="CO23" s="24" t="s">
        <v>1182</v>
      </c>
      <c r="CP23" s="23" t="s">
        <v>903</v>
      </c>
      <c r="CQ23" s="24" t="s">
        <v>1182</v>
      </c>
      <c r="CR23" s="23" t="s">
        <v>903</v>
      </c>
      <c r="CS23" s="24" t="s">
        <v>1182</v>
      </c>
      <c r="CT23" s="23" t="s">
        <v>903</v>
      </c>
      <c r="CU23" s="24" t="s">
        <v>1182</v>
      </c>
      <c r="CV23" s="23" t="s">
        <v>903</v>
      </c>
      <c r="CW23" s="24" t="s">
        <v>1182</v>
      </c>
      <c r="CX23" s="23" t="s">
        <v>903</v>
      </c>
      <c r="CY23" s="24" t="s">
        <v>1182</v>
      </c>
      <c r="CZ23" s="23" t="s">
        <v>903</v>
      </c>
      <c r="DA23" s="24" t="s">
        <v>1182</v>
      </c>
      <c r="DB23" s="23" t="s">
        <v>903</v>
      </c>
      <c r="DC23" s="24" t="s">
        <v>1182</v>
      </c>
      <c r="DD23" s="23" t="s">
        <v>903</v>
      </c>
      <c r="DE23" s="24" t="s">
        <v>1182</v>
      </c>
      <c r="DF23" s="23" t="s">
        <v>903</v>
      </c>
      <c r="DG23" s="24" t="s">
        <v>1182</v>
      </c>
      <c r="DH23" s="23" t="s">
        <v>903</v>
      </c>
      <c r="DI23" s="24" t="s">
        <v>1182</v>
      </c>
      <c r="DJ23" s="23" t="s">
        <v>903</v>
      </c>
      <c r="DK23" s="24" t="s">
        <v>1182</v>
      </c>
      <c r="DL23" s="23" t="s">
        <v>903</v>
      </c>
      <c r="DM23" s="24" t="s">
        <v>1182</v>
      </c>
      <c r="DN23" s="23" t="s">
        <v>903</v>
      </c>
      <c r="DO23" s="24" t="s">
        <v>1182</v>
      </c>
      <c r="DP23" s="23" t="s">
        <v>903</v>
      </c>
      <c r="DQ23" s="24" t="s">
        <v>1182</v>
      </c>
      <c r="DR23" s="23" t="s">
        <v>903</v>
      </c>
      <c r="DS23" s="24" t="s">
        <v>1182</v>
      </c>
      <c r="DT23" s="23" t="s">
        <v>903</v>
      </c>
      <c r="DU23" s="24" t="s">
        <v>1182</v>
      </c>
      <c r="DV23" s="23" t="s">
        <v>903</v>
      </c>
      <c r="DW23" s="24" t="s">
        <v>1182</v>
      </c>
      <c r="DX23" s="23" t="s">
        <v>903</v>
      </c>
      <c r="DY23" s="24" t="s">
        <v>1182</v>
      </c>
      <c r="DZ23" s="23" t="s">
        <v>903</v>
      </c>
      <c r="EA23" s="24" t="s">
        <v>1182</v>
      </c>
      <c r="EB23" s="23" t="s">
        <v>903</v>
      </c>
      <c r="EC23" s="24" t="s">
        <v>1182</v>
      </c>
      <c r="ED23" s="23" t="s">
        <v>903</v>
      </c>
      <c r="EE23" s="24" t="s">
        <v>1182</v>
      </c>
      <c r="EF23" s="23" t="s">
        <v>903</v>
      </c>
      <c r="EG23" s="24" t="s">
        <v>1182</v>
      </c>
      <c r="EH23" s="23" t="s">
        <v>903</v>
      </c>
      <c r="EI23" s="24" t="s">
        <v>1182</v>
      </c>
      <c r="EJ23" s="23" t="s">
        <v>903</v>
      </c>
      <c r="EK23" s="24" t="s">
        <v>1182</v>
      </c>
      <c r="EL23" s="23" t="s">
        <v>903</v>
      </c>
      <c r="EM23" s="24" t="s">
        <v>1182</v>
      </c>
      <c r="EN23" s="23" t="s">
        <v>903</v>
      </c>
      <c r="EO23" s="24" t="s">
        <v>1182</v>
      </c>
      <c r="EP23" s="23" t="s">
        <v>903</v>
      </c>
      <c r="EQ23" s="24" t="s">
        <v>1182</v>
      </c>
      <c r="ER23" s="23" t="s">
        <v>903</v>
      </c>
      <c r="ES23" s="24" t="s">
        <v>1182</v>
      </c>
      <c r="ET23" s="23" t="s">
        <v>903</v>
      </c>
      <c r="EU23" s="24" t="s">
        <v>1182</v>
      </c>
      <c r="EV23" s="23" t="s">
        <v>903</v>
      </c>
      <c r="EW23" s="24" t="s">
        <v>1182</v>
      </c>
      <c r="EX23" s="23" t="s">
        <v>903</v>
      </c>
      <c r="EY23" s="24" t="s">
        <v>1182</v>
      </c>
      <c r="EZ23" s="23" t="s">
        <v>903</v>
      </c>
      <c r="FA23" s="24" t="s">
        <v>1182</v>
      </c>
      <c r="FB23" s="23" t="s">
        <v>903</v>
      </c>
      <c r="FC23" s="24" t="s">
        <v>1182</v>
      </c>
      <c r="FD23" s="23" t="s">
        <v>903</v>
      </c>
      <c r="FE23" s="24" t="s">
        <v>1182</v>
      </c>
      <c r="FF23" s="23" t="s">
        <v>903</v>
      </c>
      <c r="FG23" s="24" t="s">
        <v>1182</v>
      </c>
      <c r="FH23" s="23" t="s">
        <v>903</v>
      </c>
      <c r="FI23" s="24" t="s">
        <v>1182</v>
      </c>
      <c r="FJ23" s="23" t="s">
        <v>903</v>
      </c>
      <c r="FK23" s="24" t="s">
        <v>1182</v>
      </c>
      <c r="FL23" s="23" t="s">
        <v>903</v>
      </c>
      <c r="FM23" s="24" t="s">
        <v>1182</v>
      </c>
      <c r="FN23" s="23" t="s">
        <v>903</v>
      </c>
      <c r="FO23" s="24" t="s">
        <v>1182</v>
      </c>
      <c r="FP23" s="23" t="s">
        <v>903</v>
      </c>
      <c r="FQ23" s="24" t="s">
        <v>1182</v>
      </c>
      <c r="FR23" s="23" t="s">
        <v>903</v>
      </c>
      <c r="FS23" s="24" t="s">
        <v>1182</v>
      </c>
      <c r="FT23" s="23" t="s">
        <v>903</v>
      </c>
      <c r="FU23" s="24" t="s">
        <v>1182</v>
      </c>
      <c r="FV23" s="23" t="s">
        <v>903</v>
      </c>
      <c r="FW23" s="24" t="s">
        <v>1182</v>
      </c>
      <c r="FX23" s="23" t="s">
        <v>903</v>
      </c>
      <c r="FY23" s="24" t="s">
        <v>1182</v>
      </c>
      <c r="FZ23" s="23" t="s">
        <v>903</v>
      </c>
      <c r="GA23" s="24" t="s">
        <v>1182</v>
      </c>
      <c r="GB23" s="23" t="s">
        <v>903</v>
      </c>
      <c r="GC23" s="24" t="s">
        <v>1182</v>
      </c>
      <c r="GD23" s="23" t="s">
        <v>903</v>
      </c>
      <c r="GE23" s="24" t="s">
        <v>1182</v>
      </c>
      <c r="GF23" s="23" t="s">
        <v>903</v>
      </c>
      <c r="GG23" s="24" t="s">
        <v>1182</v>
      </c>
      <c r="GH23" s="23" t="s">
        <v>903</v>
      </c>
      <c r="GI23" s="24" t="s">
        <v>1182</v>
      </c>
      <c r="GJ23" s="23" t="s">
        <v>903</v>
      </c>
      <c r="GK23" s="24" t="s">
        <v>1182</v>
      </c>
      <c r="GL23" s="23" t="s">
        <v>903</v>
      </c>
      <c r="GM23" s="24" t="s">
        <v>1182</v>
      </c>
      <c r="GN23" s="23" t="s">
        <v>903</v>
      </c>
      <c r="GO23" s="24" t="s">
        <v>1182</v>
      </c>
      <c r="GP23" s="23" t="s">
        <v>903</v>
      </c>
      <c r="GQ23" s="24" t="s">
        <v>1182</v>
      </c>
      <c r="GR23" s="23" t="s">
        <v>903</v>
      </c>
      <c r="GS23" s="24" t="s">
        <v>1182</v>
      </c>
      <c r="GT23" s="23" t="s">
        <v>903</v>
      </c>
      <c r="GU23" s="24" t="s">
        <v>1182</v>
      </c>
      <c r="GV23" s="23" t="s">
        <v>903</v>
      </c>
      <c r="GW23" s="24" t="s">
        <v>1182</v>
      </c>
      <c r="GX23" s="11" t="s">
        <v>1285</v>
      </c>
      <c r="GY23" s="102" t="s">
        <v>686</v>
      </c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</row>
    <row r="24" spans="1:240" x14ac:dyDescent="0.2">
      <c r="A24" s="20"/>
      <c r="B24" s="20"/>
      <c r="C24" s="20"/>
      <c r="D24" s="23" t="s">
        <v>1067</v>
      </c>
      <c r="E24" s="24">
        <v>1</v>
      </c>
      <c r="F24" s="23" t="s">
        <v>1068</v>
      </c>
      <c r="G24" s="24">
        <v>1</v>
      </c>
      <c r="H24" s="23" t="s">
        <v>1069</v>
      </c>
      <c r="I24" s="24">
        <v>1</v>
      </c>
      <c r="J24" s="23" t="s">
        <v>1070</v>
      </c>
      <c r="K24" s="24">
        <v>1</v>
      </c>
      <c r="L24" s="23" t="s">
        <v>1071</v>
      </c>
      <c r="M24" s="24">
        <v>1</v>
      </c>
      <c r="N24" s="23" t="s">
        <v>1346</v>
      </c>
      <c r="O24" s="24">
        <v>1</v>
      </c>
      <c r="P24" s="23" t="s">
        <v>1072</v>
      </c>
      <c r="Q24" s="24">
        <v>1</v>
      </c>
      <c r="R24" s="23" t="s">
        <v>1073</v>
      </c>
      <c r="S24" s="24">
        <v>1</v>
      </c>
      <c r="T24" s="23" t="s">
        <v>1074</v>
      </c>
      <c r="U24" s="24">
        <v>1</v>
      </c>
      <c r="V24" s="23" t="s">
        <v>1075</v>
      </c>
      <c r="W24" s="24">
        <v>1</v>
      </c>
      <c r="X24" s="23" t="s">
        <v>1076</v>
      </c>
      <c r="Y24" s="24">
        <v>1</v>
      </c>
      <c r="Z24" s="23" t="s">
        <v>1077</v>
      </c>
      <c r="AA24" s="24">
        <v>1</v>
      </c>
      <c r="AB24" s="23" t="s">
        <v>1078</v>
      </c>
      <c r="AC24" s="24">
        <v>1</v>
      </c>
      <c r="AD24" s="23" t="s">
        <v>1079</v>
      </c>
      <c r="AE24" s="24">
        <v>1</v>
      </c>
      <c r="AF24" s="23" t="s">
        <v>1080</v>
      </c>
      <c r="AG24" s="24">
        <v>1</v>
      </c>
      <c r="AH24" s="23" t="s">
        <v>1081</v>
      </c>
      <c r="AI24" s="24">
        <v>1</v>
      </c>
      <c r="AJ24" s="23" t="s">
        <v>1082</v>
      </c>
      <c r="AK24" s="24">
        <v>1</v>
      </c>
      <c r="AL24" s="23" t="s">
        <v>1083</v>
      </c>
      <c r="AM24" s="24">
        <v>1</v>
      </c>
      <c r="AN24" s="23" t="s">
        <v>1084</v>
      </c>
      <c r="AO24" s="24">
        <v>1</v>
      </c>
      <c r="AP24" s="23" t="s">
        <v>779</v>
      </c>
      <c r="AQ24" s="24">
        <v>1</v>
      </c>
      <c r="AR24" s="23" t="s">
        <v>1085</v>
      </c>
      <c r="AS24" s="24">
        <v>1</v>
      </c>
      <c r="AT24" s="23" t="s">
        <v>1086</v>
      </c>
      <c r="AU24" s="24">
        <v>1</v>
      </c>
      <c r="AV24" s="23" t="s">
        <v>1087</v>
      </c>
      <c r="AW24" s="24">
        <v>1</v>
      </c>
      <c r="AX24" s="23" t="s">
        <v>1088</v>
      </c>
      <c r="AY24" s="24">
        <v>1</v>
      </c>
      <c r="AZ24" s="23" t="s">
        <v>1089</v>
      </c>
      <c r="BA24" s="24">
        <v>1</v>
      </c>
      <c r="BB24" s="23" t="s">
        <v>1090</v>
      </c>
      <c r="BC24" s="24">
        <v>1</v>
      </c>
      <c r="BD24" s="23" t="s">
        <v>1091</v>
      </c>
      <c r="BE24" s="24">
        <v>1</v>
      </c>
      <c r="BF24" s="23" t="s">
        <v>1092</v>
      </c>
      <c r="BG24" s="24">
        <v>1</v>
      </c>
      <c r="BH24" s="23" t="s">
        <v>1347</v>
      </c>
      <c r="BI24" s="24">
        <v>1</v>
      </c>
      <c r="BJ24" s="23" t="s">
        <v>1093</v>
      </c>
      <c r="BK24" s="24">
        <v>1</v>
      </c>
      <c r="BL24" s="23" t="s">
        <v>774</v>
      </c>
      <c r="BM24" s="24">
        <v>1</v>
      </c>
      <c r="BN24" s="23" t="s">
        <v>1094</v>
      </c>
      <c r="BO24" s="24">
        <v>1</v>
      </c>
      <c r="BP24" s="23" t="s">
        <v>777</v>
      </c>
      <c r="BQ24" s="24">
        <v>1</v>
      </c>
      <c r="BR24" s="23" t="s">
        <v>1095</v>
      </c>
      <c r="BS24" s="24">
        <v>1</v>
      </c>
      <c r="BT24" s="23" t="s">
        <v>1096</v>
      </c>
      <c r="BU24" s="24">
        <v>1</v>
      </c>
      <c r="BV24" s="23" t="s">
        <v>1097</v>
      </c>
      <c r="BW24" s="24">
        <v>1</v>
      </c>
      <c r="BX24" s="23" t="s">
        <v>1098</v>
      </c>
      <c r="BY24" s="24">
        <v>1</v>
      </c>
      <c r="BZ24" s="23" t="s">
        <v>1099</v>
      </c>
      <c r="CA24" s="24">
        <v>1</v>
      </c>
      <c r="CB24" s="23" t="s">
        <v>1100</v>
      </c>
      <c r="CC24" s="24">
        <v>1</v>
      </c>
      <c r="CD24" s="23" t="s">
        <v>1101</v>
      </c>
      <c r="CE24" s="24">
        <v>1</v>
      </c>
      <c r="CF24" s="23" t="s">
        <v>1102</v>
      </c>
      <c r="CG24" s="24">
        <v>1</v>
      </c>
      <c r="CH24" s="23" t="s">
        <v>1348</v>
      </c>
      <c r="CI24" s="24">
        <v>1</v>
      </c>
      <c r="CJ24" s="23" t="s">
        <v>1349</v>
      </c>
      <c r="CK24" s="24">
        <v>1</v>
      </c>
      <c r="CL24" s="23" t="s">
        <v>1103</v>
      </c>
      <c r="CM24" s="24">
        <v>1</v>
      </c>
      <c r="CN24" s="23" t="s">
        <v>1104</v>
      </c>
      <c r="CO24" s="24">
        <v>1</v>
      </c>
      <c r="CP24" s="23" t="s">
        <v>1105</v>
      </c>
      <c r="CQ24" s="24">
        <v>1</v>
      </c>
      <c r="CR24" s="23" t="s">
        <v>1106</v>
      </c>
      <c r="CS24" s="24">
        <v>1</v>
      </c>
      <c r="CT24" s="23" t="s">
        <v>1107</v>
      </c>
      <c r="CU24" s="24">
        <v>1</v>
      </c>
      <c r="CV24" s="23" t="s">
        <v>1108</v>
      </c>
      <c r="CW24" s="24">
        <v>1</v>
      </c>
      <c r="CX24" s="23" t="s">
        <v>1109</v>
      </c>
      <c r="CY24" s="24">
        <v>1</v>
      </c>
      <c r="CZ24" s="23" t="s">
        <v>1110</v>
      </c>
      <c r="DA24" s="24">
        <v>1</v>
      </c>
      <c r="DB24" s="23" t="s">
        <v>1111</v>
      </c>
      <c r="DC24" s="24">
        <v>1</v>
      </c>
      <c r="DD24" s="23" t="s">
        <v>1351</v>
      </c>
      <c r="DE24" s="24">
        <v>1</v>
      </c>
      <c r="DF24" s="23" t="s">
        <v>1112</v>
      </c>
      <c r="DG24" s="24">
        <v>1</v>
      </c>
      <c r="DH24" s="23" t="s">
        <v>1113</v>
      </c>
      <c r="DI24" s="24">
        <v>1</v>
      </c>
      <c r="DJ24" s="23" t="s">
        <v>1114</v>
      </c>
      <c r="DK24" s="24">
        <v>1</v>
      </c>
      <c r="DL24" s="23" t="s">
        <v>1115</v>
      </c>
      <c r="DM24" s="24">
        <v>1</v>
      </c>
      <c r="DN24" s="23" t="s">
        <v>1116</v>
      </c>
      <c r="DO24" s="24">
        <v>1</v>
      </c>
      <c r="DP24" s="23" t="s">
        <v>1117</v>
      </c>
      <c r="DQ24" s="24">
        <v>1</v>
      </c>
      <c r="DR24" s="23" t="s">
        <v>1118</v>
      </c>
      <c r="DS24" s="24">
        <v>1</v>
      </c>
      <c r="DT24" s="23" t="s">
        <v>1119</v>
      </c>
      <c r="DU24" s="24">
        <v>1</v>
      </c>
      <c r="DV24" s="23" t="s">
        <v>1120</v>
      </c>
      <c r="DW24" s="24">
        <v>1</v>
      </c>
      <c r="DX24" s="23" t="s">
        <v>1121</v>
      </c>
      <c r="DY24" s="24">
        <v>1</v>
      </c>
      <c r="DZ24" s="23" t="s">
        <v>1122</v>
      </c>
      <c r="EA24" s="24">
        <v>1</v>
      </c>
      <c r="EB24" s="23" t="s">
        <v>1123</v>
      </c>
      <c r="EC24" s="24">
        <v>1</v>
      </c>
      <c r="ED24" s="23" t="s">
        <v>1124</v>
      </c>
      <c r="EE24" s="24">
        <v>1</v>
      </c>
      <c r="EF24" s="23" t="s">
        <v>1125</v>
      </c>
      <c r="EG24" s="24">
        <v>1</v>
      </c>
      <c r="EH24" s="23" t="s">
        <v>1352</v>
      </c>
      <c r="EI24" s="24">
        <v>1</v>
      </c>
      <c r="EJ24" s="23" t="s">
        <v>1126</v>
      </c>
      <c r="EK24" s="24">
        <v>1</v>
      </c>
      <c r="EL24" s="23" t="s">
        <v>1127</v>
      </c>
      <c r="EM24" s="24">
        <v>1</v>
      </c>
      <c r="EN24" s="23" t="s">
        <v>1128</v>
      </c>
      <c r="EO24" s="24">
        <v>1</v>
      </c>
      <c r="EP24" s="23" t="s">
        <v>780</v>
      </c>
      <c r="EQ24" s="24">
        <v>1</v>
      </c>
      <c r="ER24" s="23" t="s">
        <v>1129</v>
      </c>
      <c r="ES24" s="24">
        <v>1</v>
      </c>
      <c r="ET24" s="23" t="s">
        <v>1130</v>
      </c>
      <c r="EU24" s="24">
        <v>1</v>
      </c>
      <c r="EV24" s="23" t="s">
        <v>1131</v>
      </c>
      <c r="EW24" s="24">
        <v>1</v>
      </c>
      <c r="EX24" s="23" t="s">
        <v>771</v>
      </c>
      <c r="EY24" s="24">
        <v>1</v>
      </c>
      <c r="EZ24" s="23" t="s">
        <v>778</v>
      </c>
      <c r="FA24" s="24">
        <v>1</v>
      </c>
      <c r="FB24" s="23" t="s">
        <v>1132</v>
      </c>
      <c r="FC24" s="24">
        <v>1</v>
      </c>
      <c r="FD24" s="23" t="s">
        <v>1353</v>
      </c>
      <c r="FE24" s="24">
        <v>1</v>
      </c>
      <c r="FF24" s="23" t="s">
        <v>1133</v>
      </c>
      <c r="FG24" s="24">
        <v>1</v>
      </c>
      <c r="FH24" s="23" t="s">
        <v>1134</v>
      </c>
      <c r="FI24" s="24">
        <v>1</v>
      </c>
      <c r="FJ24" s="23" t="s">
        <v>1135</v>
      </c>
      <c r="FK24" s="24">
        <v>1</v>
      </c>
      <c r="FL24" s="23" t="s">
        <v>1136</v>
      </c>
      <c r="FM24" s="24">
        <v>1</v>
      </c>
      <c r="FN24" s="23" t="s">
        <v>1137</v>
      </c>
      <c r="FO24" s="24">
        <v>1</v>
      </c>
      <c r="FP24" s="23" t="s">
        <v>1138</v>
      </c>
      <c r="FQ24" s="24">
        <v>1</v>
      </c>
      <c r="FR24" s="23" t="s">
        <v>1139</v>
      </c>
      <c r="FS24" s="24">
        <v>1</v>
      </c>
      <c r="FT24" s="23" t="s">
        <v>1140</v>
      </c>
      <c r="FU24" s="24">
        <v>1</v>
      </c>
      <c r="FV24" s="23" t="s">
        <v>773</v>
      </c>
      <c r="FW24" s="24">
        <v>1</v>
      </c>
      <c r="FX24" s="23" t="s">
        <v>1354</v>
      </c>
      <c r="FY24" s="24">
        <v>1</v>
      </c>
      <c r="FZ24" s="23" t="s">
        <v>1141</v>
      </c>
      <c r="GA24" s="24">
        <v>1</v>
      </c>
      <c r="GB24" s="23" t="s">
        <v>1142</v>
      </c>
      <c r="GC24" s="24">
        <v>1</v>
      </c>
      <c r="GD24" s="23" t="s">
        <v>1143</v>
      </c>
      <c r="GE24" s="24">
        <v>1</v>
      </c>
      <c r="GF24" s="23" t="s">
        <v>1144</v>
      </c>
      <c r="GG24" s="24">
        <v>1</v>
      </c>
      <c r="GH24" s="23" t="s">
        <v>1145</v>
      </c>
      <c r="GI24" s="24">
        <v>1</v>
      </c>
      <c r="GJ24" s="23" t="s">
        <v>1146</v>
      </c>
      <c r="GK24" s="24">
        <v>1</v>
      </c>
      <c r="GL24" s="23" t="s">
        <v>1147</v>
      </c>
      <c r="GM24" s="24">
        <v>1</v>
      </c>
      <c r="GN24" s="23" t="s">
        <v>781</v>
      </c>
      <c r="GO24" s="24">
        <v>1</v>
      </c>
      <c r="GP24" s="23" t="s">
        <v>1148</v>
      </c>
      <c r="GQ24" s="24">
        <v>1</v>
      </c>
      <c r="GR24" s="23" t="s">
        <v>1355</v>
      </c>
      <c r="GS24" s="24">
        <v>1</v>
      </c>
      <c r="GT24" s="23" t="s">
        <v>1149</v>
      </c>
      <c r="GU24" s="24">
        <v>1</v>
      </c>
      <c r="GV24" s="23" t="s">
        <v>1356</v>
      </c>
      <c r="GW24" s="24">
        <v>1</v>
      </c>
      <c r="GX24" s="6" t="s">
        <v>1283</v>
      </c>
      <c r="GY24" s="102" t="s">
        <v>681</v>
      </c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</row>
    <row r="25" spans="1:240" x14ac:dyDescent="0.2">
      <c r="A25" s="20"/>
      <c r="B25" s="20"/>
      <c r="C25" s="20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</row>
    <row r="26" spans="1:240" x14ac:dyDescent="0.2">
      <c r="A26" s="20"/>
      <c r="B26" s="20"/>
      <c r="C26" s="20"/>
      <c r="D26" s="23" t="s">
        <v>903</v>
      </c>
      <c r="E26" s="24" t="s">
        <v>1182</v>
      </c>
      <c r="F26" s="23" t="s">
        <v>903</v>
      </c>
      <c r="G26" s="24" t="s">
        <v>1182</v>
      </c>
      <c r="H26" s="23" t="s">
        <v>903</v>
      </c>
      <c r="I26" s="24" t="s">
        <v>1182</v>
      </c>
      <c r="J26" s="23" t="s">
        <v>903</v>
      </c>
      <c r="K26" s="24" t="s">
        <v>1182</v>
      </c>
      <c r="L26" s="23" t="s">
        <v>903</v>
      </c>
      <c r="M26" s="24" t="s">
        <v>1182</v>
      </c>
      <c r="N26" s="23" t="s">
        <v>903</v>
      </c>
      <c r="O26" s="24" t="s">
        <v>1182</v>
      </c>
      <c r="P26" s="23" t="s">
        <v>903</v>
      </c>
      <c r="Q26" s="24" t="s">
        <v>1182</v>
      </c>
      <c r="R26" s="23" t="s">
        <v>903</v>
      </c>
      <c r="S26" s="24" t="s">
        <v>1182</v>
      </c>
      <c r="T26" s="23" t="s">
        <v>903</v>
      </c>
      <c r="U26" s="24" t="s">
        <v>1182</v>
      </c>
      <c r="V26" s="23" t="s">
        <v>903</v>
      </c>
      <c r="W26" s="24" t="s">
        <v>1182</v>
      </c>
      <c r="X26" s="23" t="s">
        <v>903</v>
      </c>
      <c r="Y26" s="24" t="s">
        <v>1182</v>
      </c>
      <c r="Z26" s="23" t="s">
        <v>903</v>
      </c>
      <c r="AA26" s="24" t="s">
        <v>1182</v>
      </c>
      <c r="AB26" s="23" t="s">
        <v>903</v>
      </c>
      <c r="AC26" s="24" t="s">
        <v>1182</v>
      </c>
      <c r="AD26" s="23" t="s">
        <v>903</v>
      </c>
      <c r="AE26" s="24" t="s">
        <v>1182</v>
      </c>
      <c r="AF26" s="23" t="s">
        <v>903</v>
      </c>
      <c r="AG26" s="24" t="s">
        <v>1182</v>
      </c>
      <c r="AH26" s="23" t="s">
        <v>903</v>
      </c>
      <c r="AI26" s="24" t="s">
        <v>1182</v>
      </c>
      <c r="AJ26" s="23" t="s">
        <v>903</v>
      </c>
      <c r="AK26" s="24" t="s">
        <v>1182</v>
      </c>
      <c r="AL26" s="23" t="s">
        <v>903</v>
      </c>
      <c r="AM26" s="24" t="s">
        <v>1182</v>
      </c>
      <c r="AN26" s="23" t="s">
        <v>903</v>
      </c>
      <c r="AO26" s="24" t="s">
        <v>1182</v>
      </c>
      <c r="AP26" s="23" t="s">
        <v>903</v>
      </c>
      <c r="AQ26" s="24" t="s">
        <v>1182</v>
      </c>
      <c r="AR26" s="23" t="s">
        <v>903</v>
      </c>
      <c r="AS26" s="24" t="s">
        <v>1182</v>
      </c>
      <c r="AT26" s="23" t="s">
        <v>903</v>
      </c>
      <c r="AU26" s="24" t="s">
        <v>1182</v>
      </c>
      <c r="AV26" s="23" t="s">
        <v>903</v>
      </c>
      <c r="AW26" s="24" t="s">
        <v>1182</v>
      </c>
      <c r="AX26" s="23" t="s">
        <v>903</v>
      </c>
      <c r="AY26" s="24" t="s">
        <v>1182</v>
      </c>
      <c r="AZ26" s="23" t="s">
        <v>903</v>
      </c>
      <c r="BA26" s="24" t="s">
        <v>1182</v>
      </c>
      <c r="BB26" s="23" t="s">
        <v>903</v>
      </c>
      <c r="BC26" s="24" t="s">
        <v>1182</v>
      </c>
      <c r="BD26" s="23" t="s">
        <v>903</v>
      </c>
      <c r="BE26" s="24" t="s">
        <v>1182</v>
      </c>
      <c r="BF26" s="23" t="s">
        <v>903</v>
      </c>
      <c r="BG26" s="24" t="s">
        <v>1182</v>
      </c>
      <c r="BH26" s="23" t="s">
        <v>903</v>
      </c>
      <c r="BI26" s="24" t="s">
        <v>1182</v>
      </c>
      <c r="BJ26" s="23" t="s">
        <v>903</v>
      </c>
      <c r="BK26" s="24" t="s">
        <v>1182</v>
      </c>
      <c r="BL26" s="23" t="s">
        <v>903</v>
      </c>
      <c r="BM26" s="24" t="s">
        <v>1182</v>
      </c>
      <c r="BN26" s="23" t="s">
        <v>903</v>
      </c>
      <c r="BO26" s="24" t="s">
        <v>1182</v>
      </c>
      <c r="BP26" s="23" t="s">
        <v>903</v>
      </c>
      <c r="BQ26" s="24" t="s">
        <v>1182</v>
      </c>
      <c r="BR26" s="11" t="s">
        <v>1285</v>
      </c>
      <c r="BS26" s="102" t="s">
        <v>686</v>
      </c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</row>
    <row r="27" spans="1:240" x14ac:dyDescent="0.2">
      <c r="A27" s="20"/>
      <c r="B27" s="20"/>
      <c r="C27" s="20"/>
      <c r="D27" s="23" t="s">
        <v>1150</v>
      </c>
      <c r="E27" s="24">
        <v>1</v>
      </c>
      <c r="F27" s="23" t="s">
        <v>1151</v>
      </c>
      <c r="G27" s="24">
        <v>1</v>
      </c>
      <c r="H27" s="23" t="s">
        <v>1152</v>
      </c>
      <c r="I27" s="24">
        <v>1</v>
      </c>
      <c r="J27" s="23" t="s">
        <v>1153</v>
      </c>
      <c r="K27" s="24">
        <v>1</v>
      </c>
      <c r="L27" s="23" t="s">
        <v>1154</v>
      </c>
      <c r="M27" s="24">
        <v>1</v>
      </c>
      <c r="N27" s="23" t="s">
        <v>1155</v>
      </c>
      <c r="O27" s="24">
        <v>1</v>
      </c>
      <c r="P27" s="23" t="s">
        <v>784</v>
      </c>
      <c r="Q27" s="24">
        <v>1</v>
      </c>
      <c r="R27" s="23" t="s">
        <v>1156</v>
      </c>
      <c r="S27" s="24">
        <v>1</v>
      </c>
      <c r="T27" s="23" t="s">
        <v>1157</v>
      </c>
      <c r="U27" s="24">
        <v>1</v>
      </c>
      <c r="V27" s="23" t="s">
        <v>1158</v>
      </c>
      <c r="W27" s="24">
        <v>1</v>
      </c>
      <c r="X27" s="23" t="s">
        <v>1159</v>
      </c>
      <c r="Y27" s="24">
        <v>1</v>
      </c>
      <c r="Z27" s="23" t="s">
        <v>1160</v>
      </c>
      <c r="AA27" s="24">
        <v>1</v>
      </c>
      <c r="AB27" s="23" t="s">
        <v>1161</v>
      </c>
      <c r="AC27" s="24">
        <v>1</v>
      </c>
      <c r="AD27" s="23" t="s">
        <v>767</v>
      </c>
      <c r="AE27" s="24">
        <v>1</v>
      </c>
      <c r="AF27" s="23" t="s">
        <v>1162</v>
      </c>
      <c r="AG27" s="24">
        <v>1</v>
      </c>
      <c r="AH27" s="23" t="s">
        <v>1163</v>
      </c>
      <c r="AI27" s="24">
        <v>1</v>
      </c>
      <c r="AJ27" s="23" t="s">
        <v>1164</v>
      </c>
      <c r="AK27" s="24">
        <v>1</v>
      </c>
      <c r="AL27" s="23" t="s">
        <v>1165</v>
      </c>
      <c r="AM27" s="24">
        <v>1</v>
      </c>
      <c r="AN27" s="23" t="s">
        <v>1166</v>
      </c>
      <c r="AO27" s="24">
        <v>1</v>
      </c>
      <c r="AP27" s="23" t="s">
        <v>1357</v>
      </c>
      <c r="AQ27" s="24">
        <v>1</v>
      </c>
      <c r="AR27" s="23" t="s">
        <v>1167</v>
      </c>
      <c r="AS27" s="24">
        <v>1</v>
      </c>
      <c r="AT27" s="23" t="s">
        <v>1168</v>
      </c>
      <c r="AU27" s="24">
        <v>1</v>
      </c>
      <c r="AV27" s="23" t="s">
        <v>1169</v>
      </c>
      <c r="AW27" s="24">
        <v>1</v>
      </c>
      <c r="AX27" s="23" t="s">
        <v>1170</v>
      </c>
      <c r="AY27" s="24">
        <v>1</v>
      </c>
      <c r="AZ27" s="23" t="s">
        <v>1171</v>
      </c>
      <c r="BA27" s="24">
        <v>1</v>
      </c>
      <c r="BB27" s="23" t="s">
        <v>1172</v>
      </c>
      <c r="BC27" s="24">
        <v>1</v>
      </c>
      <c r="BD27" s="23" t="s">
        <v>1173</v>
      </c>
      <c r="BE27" s="24">
        <v>1</v>
      </c>
      <c r="BF27" s="23" t="s">
        <v>1174</v>
      </c>
      <c r="BG27" s="24">
        <v>1</v>
      </c>
      <c r="BH27" s="23" t="s">
        <v>1175</v>
      </c>
      <c r="BI27" s="24">
        <v>1</v>
      </c>
      <c r="BJ27" s="23" t="s">
        <v>1176</v>
      </c>
      <c r="BK27" s="24">
        <v>1</v>
      </c>
      <c r="BL27" s="23" t="s">
        <v>1177</v>
      </c>
      <c r="BM27" s="24">
        <v>1</v>
      </c>
      <c r="BN27" s="23" t="s">
        <v>1178</v>
      </c>
      <c r="BO27" s="24">
        <v>1</v>
      </c>
      <c r="BP27" s="23" t="s">
        <v>1179</v>
      </c>
      <c r="BQ27" s="24">
        <v>1</v>
      </c>
      <c r="BR27" s="6" t="s">
        <v>1284</v>
      </c>
      <c r="BS27" s="102" t="s">
        <v>684</v>
      </c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</row>
    <row r="28" spans="1:240" x14ac:dyDescent="0.2">
      <c r="A28" s="20"/>
      <c r="B28" s="20"/>
      <c r="C28" s="20"/>
    </row>
    <row r="29" spans="1:240" x14ac:dyDescent="0.2">
      <c r="A29" s="20"/>
      <c r="B29" s="20"/>
      <c r="C29" s="20"/>
    </row>
    <row r="30" spans="1:240" x14ac:dyDescent="0.2">
      <c r="A30" s="20"/>
      <c r="B30" s="20"/>
      <c r="C30" s="20"/>
      <c r="D30" s="21" t="s">
        <v>1310</v>
      </c>
      <c r="E30" s="20"/>
      <c r="F30" s="20"/>
      <c r="G30" s="20"/>
      <c r="H30" s="20"/>
      <c r="I30" s="20"/>
      <c r="J30" s="20"/>
      <c r="K30" s="20"/>
    </row>
    <row r="31" spans="1:240" x14ac:dyDescent="0.2">
      <c r="D31" s="25" t="s">
        <v>1182</v>
      </c>
      <c r="E31" s="25" t="s">
        <v>1182</v>
      </c>
      <c r="F31" s="25" t="s">
        <v>1182</v>
      </c>
      <c r="G31" s="25" t="s">
        <v>1182</v>
      </c>
      <c r="H31" s="25" t="s">
        <v>1182</v>
      </c>
      <c r="I31" s="25" t="s">
        <v>1182</v>
      </c>
      <c r="J31" s="25" t="s">
        <v>1182</v>
      </c>
      <c r="K31" s="25" t="s">
        <v>1182</v>
      </c>
    </row>
    <row r="32" spans="1:240" x14ac:dyDescent="0.2">
      <c r="D32" s="29">
        <v>1</v>
      </c>
      <c r="E32" s="29">
        <v>2</v>
      </c>
      <c r="F32" s="29">
        <v>3</v>
      </c>
      <c r="G32" s="29">
        <v>4</v>
      </c>
      <c r="H32" s="29">
        <v>5</v>
      </c>
      <c r="I32" s="29">
        <v>6</v>
      </c>
      <c r="J32" s="29">
        <v>7</v>
      </c>
      <c r="K32" s="29"/>
    </row>
    <row r="33" spans="1:25" x14ac:dyDescent="0.2">
      <c r="A33" s="26">
        <v>1</v>
      </c>
      <c r="B33" s="27" t="s">
        <v>901</v>
      </c>
      <c r="C33" s="113"/>
    </row>
    <row r="34" spans="1:25" x14ac:dyDescent="0.2">
      <c r="A34" s="30">
        <v>2</v>
      </c>
      <c r="B34" s="31" t="s">
        <v>895</v>
      </c>
      <c r="C34" s="113"/>
    </row>
    <row r="35" spans="1:25" x14ac:dyDescent="0.2">
      <c r="A35" s="30">
        <v>3</v>
      </c>
      <c r="B35" s="31" t="s">
        <v>896</v>
      </c>
      <c r="C35" s="113"/>
    </row>
    <row r="36" spans="1:25" x14ac:dyDescent="0.2">
      <c r="A36" s="30">
        <v>4</v>
      </c>
      <c r="B36" s="31" t="s">
        <v>897</v>
      </c>
      <c r="C36" s="113"/>
    </row>
    <row r="37" spans="1:25" x14ac:dyDescent="0.2">
      <c r="A37" s="30">
        <v>5</v>
      </c>
      <c r="B37" s="31" t="s">
        <v>898</v>
      </c>
      <c r="C37" s="113"/>
    </row>
    <row r="38" spans="1:25" x14ac:dyDescent="0.2">
      <c r="A38" s="30">
        <v>6</v>
      </c>
      <c r="B38" s="31" t="s">
        <v>899</v>
      </c>
      <c r="C38" s="113"/>
    </row>
    <row r="39" spans="1:25" x14ac:dyDescent="0.2">
      <c r="A39" s="30">
        <v>7</v>
      </c>
      <c r="B39" s="31" t="s">
        <v>900</v>
      </c>
      <c r="C39" s="113"/>
      <c r="D39" s="10" t="s">
        <v>1312</v>
      </c>
    </row>
    <row r="40" spans="1:25" x14ac:dyDescent="0.2">
      <c r="A40" s="115"/>
      <c r="B40" s="116" t="s">
        <v>1311</v>
      </c>
      <c r="D40" s="11" t="s">
        <v>1285</v>
      </c>
      <c r="E40" s="11" t="s">
        <v>1187</v>
      </c>
      <c r="F40" s="11" t="s">
        <v>1285</v>
      </c>
      <c r="G40" s="11" t="s">
        <v>1187</v>
      </c>
      <c r="H40" s="11" t="s">
        <v>1285</v>
      </c>
      <c r="I40" s="11" t="s">
        <v>1187</v>
      </c>
      <c r="J40" s="11" t="s">
        <v>1285</v>
      </c>
      <c r="K40" s="11" t="s">
        <v>1187</v>
      </c>
      <c r="L40" s="11" t="s">
        <v>1285</v>
      </c>
      <c r="M40" s="11" t="s">
        <v>1187</v>
      </c>
      <c r="N40" s="11" t="s">
        <v>1285</v>
      </c>
      <c r="O40" s="11" t="s">
        <v>1187</v>
      </c>
      <c r="P40" s="11" t="s">
        <v>1285</v>
      </c>
      <c r="Q40" s="11" t="s">
        <v>1187</v>
      </c>
      <c r="R40" s="11" t="s">
        <v>1285</v>
      </c>
      <c r="S40" s="11" t="s">
        <v>1187</v>
      </c>
      <c r="T40" s="11" t="s">
        <v>1285</v>
      </c>
      <c r="U40" s="11" t="s">
        <v>1187</v>
      </c>
      <c r="V40" s="11" t="s">
        <v>1285</v>
      </c>
      <c r="W40" s="11" t="s">
        <v>1187</v>
      </c>
      <c r="X40" s="11" t="s">
        <v>1285</v>
      </c>
      <c r="Y40" s="11" t="s">
        <v>1187</v>
      </c>
    </row>
    <row r="41" spans="1:25" x14ac:dyDescent="0.2">
      <c r="A41" s="117"/>
      <c r="B41" s="114"/>
      <c r="D41" s="75" t="s">
        <v>1276</v>
      </c>
      <c r="E41" s="74"/>
      <c r="F41" s="6" t="s">
        <v>886</v>
      </c>
      <c r="G41" s="74"/>
      <c r="H41" s="6" t="s">
        <v>1277</v>
      </c>
      <c r="I41" s="74"/>
      <c r="J41" s="6" t="s">
        <v>1278</v>
      </c>
      <c r="K41" s="74"/>
      <c r="L41" s="6" t="s">
        <v>1279</v>
      </c>
      <c r="M41" s="74"/>
      <c r="N41" s="6" t="s">
        <v>1280</v>
      </c>
      <c r="O41" s="74"/>
      <c r="P41" s="6" t="s">
        <v>1281</v>
      </c>
      <c r="Q41" s="74"/>
      <c r="R41" s="6" t="s">
        <v>1282</v>
      </c>
      <c r="S41" s="74"/>
      <c r="T41" s="6" t="s">
        <v>1283</v>
      </c>
      <c r="U41" s="74"/>
      <c r="V41" s="6" t="s">
        <v>1284</v>
      </c>
      <c r="W41" s="74"/>
      <c r="X41" s="6" t="s">
        <v>1701</v>
      </c>
      <c r="Y41" s="74"/>
    </row>
    <row r="42" spans="1:25" x14ac:dyDescent="0.2">
      <c r="D42" s="118"/>
      <c r="E42" s="119"/>
      <c r="F42" s="118"/>
      <c r="G42" s="119"/>
      <c r="H42" s="118"/>
      <c r="I42" s="119"/>
      <c r="J42" s="118"/>
      <c r="K42" s="119"/>
      <c r="L42" s="118"/>
      <c r="M42" s="119"/>
      <c r="N42" s="118"/>
      <c r="O42" s="119"/>
      <c r="P42" s="118"/>
      <c r="Q42" s="119"/>
      <c r="R42" s="118"/>
      <c r="S42" s="119"/>
      <c r="T42" s="118"/>
      <c r="U42" s="119"/>
      <c r="V42" s="118"/>
      <c r="W42" s="119"/>
    </row>
    <row r="43" spans="1:25" x14ac:dyDescent="0.2">
      <c r="D43" s="10" t="s">
        <v>1313</v>
      </c>
    </row>
    <row r="44" spans="1:25" x14ac:dyDescent="0.2">
      <c r="D44" s="11" t="s">
        <v>1285</v>
      </c>
      <c r="E44" s="11" t="s">
        <v>1187</v>
      </c>
      <c r="F44" s="11" t="s">
        <v>1285</v>
      </c>
      <c r="G44" s="11" t="s">
        <v>1187</v>
      </c>
      <c r="H44" s="11" t="s">
        <v>1285</v>
      </c>
      <c r="I44" s="11" t="s">
        <v>1187</v>
      </c>
      <c r="J44" s="11" t="s">
        <v>1285</v>
      </c>
      <c r="K44" s="11" t="s">
        <v>1187</v>
      </c>
      <c r="L44" s="11" t="s">
        <v>1285</v>
      </c>
      <c r="M44" s="11" t="s">
        <v>1187</v>
      </c>
      <c r="N44" s="11" t="s">
        <v>1285</v>
      </c>
      <c r="O44" s="11" t="s">
        <v>1187</v>
      </c>
      <c r="P44" s="11" t="s">
        <v>1285</v>
      </c>
      <c r="Q44" s="11" t="s">
        <v>1187</v>
      </c>
      <c r="R44" s="11" t="s">
        <v>1285</v>
      </c>
      <c r="S44" s="11" t="s">
        <v>1187</v>
      </c>
      <c r="T44" s="11" t="s">
        <v>1285</v>
      </c>
      <c r="U44" s="11" t="s">
        <v>1187</v>
      </c>
      <c r="V44" s="11" t="s">
        <v>1285</v>
      </c>
      <c r="W44" s="11" t="s">
        <v>1187</v>
      </c>
      <c r="X44" s="11" t="s">
        <v>1285</v>
      </c>
      <c r="Y44" s="11" t="s">
        <v>1187</v>
      </c>
    </row>
    <row r="45" spans="1:25" x14ac:dyDescent="0.2">
      <c r="D45" s="75" t="s">
        <v>1276</v>
      </c>
      <c r="E45" s="74" t="s">
        <v>1286</v>
      </c>
      <c r="F45" s="6" t="s">
        <v>886</v>
      </c>
      <c r="G45" s="74" t="s">
        <v>1286</v>
      </c>
      <c r="H45" s="6" t="s">
        <v>1277</v>
      </c>
      <c r="I45" s="74" t="s">
        <v>1286</v>
      </c>
      <c r="J45" s="6" t="s">
        <v>1278</v>
      </c>
      <c r="K45" s="74" t="s">
        <v>1286</v>
      </c>
      <c r="L45" s="6" t="s">
        <v>1279</v>
      </c>
      <c r="M45" s="74" t="s">
        <v>1286</v>
      </c>
      <c r="N45" s="6" t="s">
        <v>1280</v>
      </c>
      <c r="O45" s="74" t="s">
        <v>1286</v>
      </c>
      <c r="P45" s="6" t="s">
        <v>1281</v>
      </c>
      <c r="Q45" s="74" t="s">
        <v>1286</v>
      </c>
      <c r="R45" s="6" t="s">
        <v>1282</v>
      </c>
      <c r="S45" s="74" t="s">
        <v>1286</v>
      </c>
      <c r="T45" s="6" t="s">
        <v>1283</v>
      </c>
      <c r="U45" s="74" t="s">
        <v>1286</v>
      </c>
      <c r="V45" s="6" t="s">
        <v>1284</v>
      </c>
      <c r="W45" s="74" t="s">
        <v>1286</v>
      </c>
      <c r="X45" s="6" t="s">
        <v>1701</v>
      </c>
      <c r="Y45" s="74" t="s">
        <v>1286</v>
      </c>
    </row>
    <row r="48" spans="1:25" x14ac:dyDescent="0.2">
      <c r="D48" s="10" t="s">
        <v>1682</v>
      </c>
    </row>
    <row r="49" spans="2:25" x14ac:dyDescent="0.2">
      <c r="D49" s="126" t="s">
        <v>903</v>
      </c>
      <c r="E49" s="126" t="s">
        <v>903</v>
      </c>
      <c r="F49" s="126" t="s">
        <v>903</v>
      </c>
      <c r="G49" s="126" t="s">
        <v>903</v>
      </c>
      <c r="H49" s="126" t="s">
        <v>903</v>
      </c>
      <c r="I49" s="126" t="s">
        <v>903</v>
      </c>
      <c r="J49" s="126" t="s">
        <v>903</v>
      </c>
    </row>
    <row r="50" spans="2:25" x14ac:dyDescent="0.2">
      <c r="D50" s="264" t="s">
        <v>1703</v>
      </c>
      <c r="E50" s="264" t="s">
        <v>808</v>
      </c>
      <c r="F50" s="264" t="s">
        <v>916</v>
      </c>
      <c r="G50" s="264" t="s">
        <v>1094</v>
      </c>
      <c r="H50" s="264" t="s">
        <v>1123</v>
      </c>
      <c r="I50" s="264" t="s">
        <v>1016</v>
      </c>
      <c r="J50" s="264" t="s">
        <v>801</v>
      </c>
    </row>
    <row r="51" spans="2:25" x14ac:dyDescent="0.2">
      <c r="B51" s="185" t="s">
        <v>1719</v>
      </c>
      <c r="D51" s="265">
        <v>10000</v>
      </c>
      <c r="E51" s="265">
        <v>300.29000000000002</v>
      </c>
      <c r="F51" s="265">
        <v>150.15</v>
      </c>
      <c r="G51" s="265">
        <v>300.45999999999998</v>
      </c>
      <c r="H51" s="265">
        <v>300.10000000000002</v>
      </c>
      <c r="I51" s="265">
        <v>300.58</v>
      </c>
      <c r="J51" s="265">
        <v>300.18</v>
      </c>
    </row>
    <row r="55" spans="2:25" x14ac:dyDescent="0.2">
      <c r="B55" s="355" t="s">
        <v>1813</v>
      </c>
      <c r="D55" s="76" t="s">
        <v>1780</v>
      </c>
    </row>
    <row r="56" spans="2:25" x14ac:dyDescent="0.2">
      <c r="D56" s="290" t="s">
        <v>1793</v>
      </c>
    </row>
    <row r="57" spans="2:25" ht="3.95" customHeight="1" x14ac:dyDescent="0.2">
      <c r="D57" s="356"/>
      <c r="U57" s="148"/>
      <c r="V57" s="148"/>
      <c r="W57" s="148"/>
      <c r="X57" s="148"/>
      <c r="Y57" s="148"/>
    </row>
    <row r="58" spans="2:25" x14ac:dyDescent="0.2">
      <c r="D58" s="76" t="s">
        <v>1780</v>
      </c>
    </row>
    <row r="59" spans="2:25" x14ac:dyDescent="0.2">
      <c r="D59" s="290" t="s">
        <v>1788</v>
      </c>
    </row>
    <row r="60" spans="2:25" ht="3.95" customHeight="1" x14ac:dyDescent="0.2">
      <c r="D60" s="356"/>
    </row>
    <row r="61" spans="2:25" x14ac:dyDescent="0.2">
      <c r="D61" s="76" t="s">
        <v>1780</v>
      </c>
    </row>
    <row r="62" spans="2:25" x14ac:dyDescent="0.2">
      <c r="D62" s="290" t="s">
        <v>1792</v>
      </c>
    </row>
    <row r="63" spans="2:25" ht="3.95" customHeight="1" x14ac:dyDescent="0.2">
      <c r="D63" s="356"/>
    </row>
    <row r="64" spans="2:25" x14ac:dyDescent="0.2">
      <c r="D64" s="76" t="s">
        <v>1780</v>
      </c>
    </row>
    <row r="65" spans="4:4" x14ac:dyDescent="0.2">
      <c r="D65" s="290" t="s">
        <v>1908</v>
      </c>
    </row>
    <row r="66" spans="4:4" ht="3.95" customHeight="1" x14ac:dyDescent="0.2">
      <c r="D66" s="356"/>
    </row>
    <row r="67" spans="4:4" x14ac:dyDescent="0.2">
      <c r="D67" s="76" t="s">
        <v>1780</v>
      </c>
    </row>
    <row r="68" spans="4:4" x14ac:dyDescent="0.2">
      <c r="D68" s="290" t="s">
        <v>1906</v>
      </c>
    </row>
    <row r="69" spans="4:4" ht="3.95" customHeight="1" x14ac:dyDescent="0.2">
      <c r="D69" s="356"/>
    </row>
    <row r="70" spans="4:4" x14ac:dyDescent="0.2">
      <c r="D70" s="76" t="s">
        <v>1780</v>
      </c>
    </row>
    <row r="71" spans="4:4" x14ac:dyDescent="0.2">
      <c r="D71" s="290" t="s">
        <v>1787</v>
      </c>
    </row>
    <row r="72" spans="4:4" ht="3.95" customHeight="1" x14ac:dyDescent="0.2">
      <c r="D72" s="356"/>
    </row>
    <row r="73" spans="4:4" x14ac:dyDescent="0.2">
      <c r="D73" s="76" t="s">
        <v>1780</v>
      </c>
    </row>
    <row r="74" spans="4:4" x14ac:dyDescent="0.2">
      <c r="D74" s="290" t="s">
        <v>1795</v>
      </c>
    </row>
    <row r="75" spans="4:4" ht="3.95" customHeight="1" x14ac:dyDescent="0.2">
      <c r="D75" s="356"/>
    </row>
    <row r="76" spans="4:4" x14ac:dyDescent="0.2">
      <c r="D76" s="76" t="s">
        <v>1780</v>
      </c>
    </row>
    <row r="77" spans="4:4" x14ac:dyDescent="0.2">
      <c r="D77" s="290" t="s">
        <v>1911</v>
      </c>
    </row>
    <row r="78" spans="4:4" ht="3.95" customHeight="1" x14ac:dyDescent="0.2">
      <c r="D78" s="356"/>
    </row>
    <row r="79" spans="4:4" x14ac:dyDescent="0.2">
      <c r="D79" s="76" t="s">
        <v>1780</v>
      </c>
    </row>
    <row r="80" spans="4:4" x14ac:dyDescent="0.2">
      <c r="D80" s="290" t="s">
        <v>2019</v>
      </c>
    </row>
    <row r="81" spans="4:4" ht="3.95" customHeight="1" x14ac:dyDescent="0.2">
      <c r="D81" s="356"/>
    </row>
    <row r="82" spans="4:4" x14ac:dyDescent="0.2">
      <c r="D82" s="76" t="s">
        <v>1780</v>
      </c>
    </row>
    <row r="83" spans="4:4" x14ac:dyDescent="0.2">
      <c r="D83" s="290" t="s">
        <v>1910</v>
      </c>
    </row>
    <row r="84" spans="4:4" ht="3.95" customHeight="1" x14ac:dyDescent="0.2">
      <c r="D84" s="356"/>
    </row>
    <row r="85" spans="4:4" x14ac:dyDescent="0.2">
      <c r="D85" s="76" t="s">
        <v>1780</v>
      </c>
    </row>
    <row r="86" spans="4:4" x14ac:dyDescent="0.2">
      <c r="D86" s="290" t="s">
        <v>1958</v>
      </c>
    </row>
    <row r="87" spans="4:4" ht="3.95" customHeight="1" x14ac:dyDescent="0.2">
      <c r="D87" s="356"/>
    </row>
    <row r="88" spans="4:4" x14ac:dyDescent="0.2">
      <c r="D88" s="76" t="s">
        <v>1780</v>
      </c>
    </row>
    <row r="89" spans="4:4" x14ac:dyDescent="0.2">
      <c r="D89" s="290" t="s">
        <v>1791</v>
      </c>
    </row>
    <row r="90" spans="4:4" ht="3.95" customHeight="1" x14ac:dyDescent="0.2">
      <c r="D90" s="356"/>
    </row>
    <row r="91" spans="4:4" x14ac:dyDescent="0.2">
      <c r="D91" s="76" t="s">
        <v>1780</v>
      </c>
    </row>
    <row r="92" spans="4:4" x14ac:dyDescent="0.2">
      <c r="D92" s="290" t="s">
        <v>1902</v>
      </c>
    </row>
    <row r="93" spans="4:4" ht="3.95" customHeight="1" x14ac:dyDescent="0.2">
      <c r="D93" s="356"/>
    </row>
    <row r="94" spans="4:4" x14ac:dyDescent="0.2">
      <c r="D94" s="76" t="s">
        <v>1780</v>
      </c>
    </row>
    <row r="95" spans="4:4" x14ac:dyDescent="0.2">
      <c r="D95" s="290" t="s">
        <v>1957</v>
      </c>
    </row>
    <row r="96" spans="4:4" ht="3.95" customHeight="1" x14ac:dyDescent="0.2">
      <c r="D96" s="356"/>
    </row>
    <row r="97" spans="4:4" x14ac:dyDescent="0.2">
      <c r="D97" s="76" t="s">
        <v>1780</v>
      </c>
    </row>
    <row r="98" spans="4:4" x14ac:dyDescent="0.2">
      <c r="D98" s="290" t="s">
        <v>1794</v>
      </c>
    </row>
    <row r="99" spans="4:4" ht="3.95" customHeight="1" x14ac:dyDescent="0.2">
      <c r="D99" s="356"/>
    </row>
    <row r="100" spans="4:4" x14ac:dyDescent="0.2">
      <c r="D100" s="76" t="s">
        <v>1780</v>
      </c>
    </row>
    <row r="101" spans="4:4" x14ac:dyDescent="0.2">
      <c r="D101" s="290" t="s">
        <v>2021</v>
      </c>
    </row>
    <row r="102" spans="4:4" ht="3.95" customHeight="1" x14ac:dyDescent="0.2">
      <c r="D102" s="356"/>
    </row>
    <row r="103" spans="4:4" x14ac:dyDescent="0.2">
      <c r="D103" s="76" t="s">
        <v>1780</v>
      </c>
    </row>
    <row r="104" spans="4:4" x14ac:dyDescent="0.2">
      <c r="D104" s="290" t="s">
        <v>1789</v>
      </c>
    </row>
    <row r="105" spans="4:4" ht="3.95" customHeight="1" x14ac:dyDescent="0.2">
      <c r="D105" s="356"/>
    </row>
    <row r="106" spans="4:4" x14ac:dyDescent="0.2">
      <c r="D106" s="76" t="s">
        <v>1780</v>
      </c>
    </row>
    <row r="107" spans="4:4" x14ac:dyDescent="0.2">
      <c r="D107" s="290" t="s">
        <v>1786</v>
      </c>
    </row>
    <row r="108" spans="4:4" ht="3.95" customHeight="1" x14ac:dyDescent="0.2">
      <c r="D108" s="356"/>
    </row>
    <row r="109" spans="4:4" x14ac:dyDescent="0.2">
      <c r="D109" s="76" t="s">
        <v>1780</v>
      </c>
    </row>
    <row r="110" spans="4:4" x14ac:dyDescent="0.2">
      <c r="D110" s="290" t="s">
        <v>1904</v>
      </c>
    </row>
    <row r="111" spans="4:4" ht="3.95" customHeight="1" x14ac:dyDescent="0.2">
      <c r="D111" s="356"/>
    </row>
    <row r="112" spans="4:4" x14ac:dyDescent="0.2">
      <c r="D112" s="76" t="s">
        <v>1780</v>
      </c>
    </row>
    <row r="113" spans="4:4" x14ac:dyDescent="0.2">
      <c r="D113" s="290" t="s">
        <v>1962</v>
      </c>
    </row>
    <row r="114" spans="4:4" ht="3.95" customHeight="1" x14ac:dyDescent="0.2">
      <c r="D114" s="356"/>
    </row>
    <row r="115" spans="4:4" x14ac:dyDescent="0.2">
      <c r="D115" s="76" t="s">
        <v>1780</v>
      </c>
    </row>
    <row r="116" spans="4:4" x14ac:dyDescent="0.2">
      <c r="D116" s="290" t="s">
        <v>1963</v>
      </c>
    </row>
    <row r="117" spans="4:4" ht="3.95" customHeight="1" x14ac:dyDescent="0.2">
      <c r="D117" s="356"/>
    </row>
    <row r="118" spans="4:4" x14ac:dyDescent="0.2">
      <c r="D118" s="76" t="s">
        <v>1780</v>
      </c>
    </row>
    <row r="119" spans="4:4" x14ac:dyDescent="0.2">
      <c r="D119" s="290" t="s">
        <v>1965</v>
      </c>
    </row>
    <row r="120" spans="4:4" ht="3.95" customHeight="1" x14ac:dyDescent="0.2">
      <c r="D120" s="356"/>
    </row>
    <row r="121" spans="4:4" x14ac:dyDescent="0.2">
      <c r="D121" s="76" t="s">
        <v>1780</v>
      </c>
    </row>
    <row r="122" spans="4:4" x14ac:dyDescent="0.2">
      <c r="D122" s="290" t="s">
        <v>2057</v>
      </c>
    </row>
    <row r="123" spans="4:4" ht="3.95" customHeight="1" x14ac:dyDescent="0.2">
      <c r="D123" s="356"/>
    </row>
    <row r="124" spans="4:4" x14ac:dyDescent="0.2">
      <c r="D124" s="76" t="s">
        <v>1780</v>
      </c>
    </row>
    <row r="125" spans="4:4" x14ac:dyDescent="0.2">
      <c r="D125" s="290" t="s">
        <v>1790</v>
      </c>
    </row>
    <row r="126" spans="4:4" x14ac:dyDescent="0.2">
      <c r="D126" s="356"/>
    </row>
    <row r="127" spans="4:4" x14ac:dyDescent="0.2">
      <c r="D127" s="76" t="s">
        <v>1780</v>
      </c>
    </row>
    <row r="128" spans="4:4" x14ac:dyDescent="0.2">
      <c r="D128" s="290" t="s">
        <v>1796</v>
      </c>
    </row>
    <row r="129" spans="4:5" ht="3.95" customHeight="1" x14ac:dyDescent="0.2">
      <c r="D129" s="356"/>
    </row>
    <row r="130" spans="4:5" x14ac:dyDescent="0.2">
      <c r="D130" s="126" t="s">
        <v>903</v>
      </c>
    </row>
    <row r="131" spans="4:5" x14ac:dyDescent="0.2">
      <c r="D131" s="290" t="s">
        <v>1978</v>
      </c>
    </row>
    <row r="132" spans="4:5" x14ac:dyDescent="0.2">
      <c r="D132" s="356"/>
    </row>
    <row r="133" spans="4:5" x14ac:dyDescent="0.2">
      <c r="D133" s="76" t="s">
        <v>1780</v>
      </c>
    </row>
    <row r="134" spans="4:5" x14ac:dyDescent="0.2">
      <c r="D134" s="290"/>
    </row>
    <row r="135" spans="4:5" x14ac:dyDescent="0.2">
      <c r="D135" s="356"/>
      <c r="E135" s="126" t="s">
        <v>1182</v>
      </c>
    </row>
    <row r="136" spans="4:5" x14ac:dyDescent="0.2">
      <c r="D136" s="126" t="s">
        <v>903</v>
      </c>
      <c r="E136" s="205">
        <v>1</v>
      </c>
    </row>
    <row r="137" spans="4:5" x14ac:dyDescent="0.2">
      <c r="D137" s="300" t="s">
        <v>1812</v>
      </c>
    </row>
    <row r="138" spans="4:5" x14ac:dyDescent="0.2">
      <c r="D138" s="356"/>
      <c r="E138" s="126" t="s">
        <v>1182</v>
      </c>
    </row>
    <row r="139" spans="4:5" x14ac:dyDescent="0.2">
      <c r="D139" s="126" t="s">
        <v>903</v>
      </c>
      <c r="E139" s="205">
        <v>1</v>
      </c>
    </row>
    <row r="140" spans="4:5" x14ac:dyDescent="0.2">
      <c r="D140" s="290" t="s">
        <v>1979</v>
      </c>
    </row>
    <row r="141" spans="4:5" x14ac:dyDescent="0.2">
      <c r="E141" s="126" t="s">
        <v>1182</v>
      </c>
    </row>
    <row r="142" spans="4:5" x14ac:dyDescent="0.2">
      <c r="E142" s="205">
        <v>1</v>
      </c>
    </row>
    <row r="144" spans="4:5" x14ac:dyDescent="0.2">
      <c r="D144" s="126" t="s">
        <v>686</v>
      </c>
      <c r="E144" s="126" t="s">
        <v>1182</v>
      </c>
    </row>
    <row r="145" spans="4:5" x14ac:dyDescent="0.2">
      <c r="D145" s="27" t="s">
        <v>886</v>
      </c>
      <c r="E145" s="205">
        <v>1</v>
      </c>
    </row>
    <row r="147" spans="4:5" x14ac:dyDescent="0.2">
      <c r="D147" s="126" t="s">
        <v>686</v>
      </c>
      <c r="E147" s="126" t="s">
        <v>1182</v>
      </c>
    </row>
    <row r="148" spans="4:5" x14ac:dyDescent="0.2">
      <c r="D148" s="31" t="s">
        <v>889</v>
      </c>
      <c r="E148" s="205">
        <v>1</v>
      </c>
    </row>
    <row r="150" spans="4:5" x14ac:dyDescent="0.2">
      <c r="D150" s="126" t="s">
        <v>686</v>
      </c>
      <c r="E150" s="126" t="s">
        <v>1182</v>
      </c>
    </row>
    <row r="151" spans="4:5" x14ac:dyDescent="0.2">
      <c r="D151" s="31" t="s">
        <v>888</v>
      </c>
      <c r="E151" s="205">
        <v>1</v>
      </c>
    </row>
    <row r="153" spans="4:5" x14ac:dyDescent="0.2">
      <c r="D153" s="126" t="s">
        <v>686</v>
      </c>
      <c r="E153" s="126" t="s">
        <v>1182</v>
      </c>
    </row>
    <row r="154" spans="4:5" x14ac:dyDescent="0.2">
      <c r="D154" s="31" t="s">
        <v>887</v>
      </c>
      <c r="E154" s="205">
        <v>1</v>
      </c>
    </row>
    <row r="156" spans="4:5" x14ac:dyDescent="0.2">
      <c r="D156" s="126" t="s">
        <v>686</v>
      </c>
      <c r="E156" s="126" t="s">
        <v>1182</v>
      </c>
    </row>
    <row r="157" spans="4:5" x14ac:dyDescent="0.2">
      <c r="D157" s="31" t="s">
        <v>884</v>
      </c>
      <c r="E157" s="205">
        <v>1</v>
      </c>
    </row>
    <row r="159" spans="4:5" x14ac:dyDescent="0.2">
      <c r="D159" s="126" t="s">
        <v>686</v>
      </c>
      <c r="E159" s="126" t="s">
        <v>1182</v>
      </c>
    </row>
    <row r="160" spans="4:5" x14ac:dyDescent="0.2">
      <c r="D160" s="31" t="s">
        <v>890</v>
      </c>
      <c r="E160" s="205">
        <v>1</v>
      </c>
    </row>
    <row r="162" spans="4:5" x14ac:dyDescent="0.2">
      <c r="D162" s="126" t="s">
        <v>686</v>
      </c>
      <c r="E162" s="126" t="s">
        <v>1182</v>
      </c>
    </row>
    <row r="163" spans="4:5" x14ac:dyDescent="0.2">
      <c r="D163" s="31" t="s">
        <v>892</v>
      </c>
      <c r="E163" s="205">
        <v>1</v>
      </c>
    </row>
    <row r="165" spans="4:5" x14ac:dyDescent="0.2">
      <c r="D165" s="126" t="s">
        <v>686</v>
      </c>
    </row>
    <row r="166" spans="4:5" x14ac:dyDescent="0.2">
      <c r="D166" s="31" t="s">
        <v>891</v>
      </c>
    </row>
    <row r="168" spans="4:5" x14ac:dyDescent="0.2">
      <c r="D168" s="126" t="s">
        <v>686</v>
      </c>
    </row>
    <row r="169" spans="4:5" x14ac:dyDescent="0.2">
      <c r="D169" s="31" t="s">
        <v>893</v>
      </c>
    </row>
    <row r="171" spans="4:5" x14ac:dyDescent="0.2">
      <c r="D171" s="126" t="s">
        <v>686</v>
      </c>
    </row>
    <row r="172" spans="4:5" x14ac:dyDescent="0.2">
      <c r="D172" s="31" t="s">
        <v>894</v>
      </c>
    </row>
  </sheetData>
  <sortState ref="D129:D138">
    <sortCondition ref="D129:D138"/>
  </sortState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>
    <pageSetUpPr fitToPage="1"/>
  </sheetPr>
  <dimension ref="A1:V448"/>
  <sheetViews>
    <sheetView showGridLines="0" showZeros="0" zoomScale="80" zoomScaleNormal="80" workbookViewId="0">
      <selection activeCell="L25" sqref="L25"/>
    </sheetView>
  </sheetViews>
  <sheetFormatPr baseColWidth="10" defaultRowHeight="12.75" x14ac:dyDescent="0.2"/>
  <cols>
    <col min="1" max="1" width="3.7109375" customWidth="1"/>
    <col min="2" max="2" width="16.7109375" customWidth="1"/>
    <col min="3" max="3" width="29.140625" customWidth="1"/>
    <col min="4" max="4" width="30.140625" customWidth="1"/>
    <col min="5" max="8" width="11.7109375" customWidth="1"/>
    <col min="9" max="9" width="6.85546875" customWidth="1"/>
    <col min="10" max="10" width="14.28515625" customWidth="1"/>
    <col min="11" max="11" width="11.7109375" bestFit="1" customWidth="1"/>
    <col min="12" max="12" width="10.5703125" bestFit="1" customWidth="1"/>
    <col min="13" max="13" width="11.28515625" bestFit="1" customWidth="1"/>
    <col min="14" max="14" width="10.85546875" bestFit="1" customWidth="1"/>
    <col min="15" max="15" width="11.42578125" bestFit="1" customWidth="1"/>
    <col min="16" max="16" width="10.7109375" bestFit="1" customWidth="1"/>
    <col min="17" max="17" width="10.28515625" bestFit="1" customWidth="1"/>
    <col min="18" max="18" width="11.42578125" bestFit="1" customWidth="1"/>
    <col min="19" max="19" width="10.7109375" bestFit="1" customWidth="1"/>
    <col min="20" max="20" width="11.28515625" bestFit="1" customWidth="1"/>
    <col min="21" max="22" width="9.7109375" customWidth="1"/>
  </cols>
  <sheetData>
    <row r="1" spans="2:22" x14ac:dyDescent="0.2">
      <c r="B1" s="269">
        <v>1</v>
      </c>
      <c r="C1" s="269">
        <v>2</v>
      </c>
      <c r="D1" s="269">
        <v>3</v>
      </c>
      <c r="E1" s="269">
        <v>4</v>
      </c>
      <c r="F1" s="269">
        <v>5</v>
      </c>
      <c r="G1" s="269">
        <v>6</v>
      </c>
      <c r="H1" s="269">
        <v>7</v>
      </c>
      <c r="I1" s="269">
        <v>8</v>
      </c>
      <c r="J1" s="269">
        <v>9</v>
      </c>
      <c r="K1" s="269">
        <v>10</v>
      </c>
      <c r="L1" s="269">
        <v>11</v>
      </c>
      <c r="M1" s="269">
        <v>12</v>
      </c>
      <c r="N1" s="269">
        <v>13</v>
      </c>
      <c r="O1" s="269">
        <v>14</v>
      </c>
      <c r="P1" s="269">
        <v>15</v>
      </c>
      <c r="Q1" s="269">
        <v>16</v>
      </c>
      <c r="R1" s="269">
        <v>17</v>
      </c>
      <c r="S1" s="269">
        <v>18</v>
      </c>
      <c r="T1" s="269">
        <v>19</v>
      </c>
      <c r="U1" s="269">
        <v>20</v>
      </c>
      <c r="V1" s="269">
        <v>21</v>
      </c>
    </row>
    <row r="2" spans="2:22" ht="20.25" x14ac:dyDescent="0.3">
      <c r="C2" s="160" t="s">
        <v>1234</v>
      </c>
      <c r="G2" s="3"/>
      <c r="H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 ht="14.25" x14ac:dyDescent="0.2">
      <c r="C3" s="161" t="s">
        <v>1185</v>
      </c>
    </row>
    <row r="4" spans="2:22" x14ac:dyDescent="0.2">
      <c r="C4" s="59" t="s">
        <v>2055</v>
      </c>
      <c r="E4" s="3"/>
      <c r="F4" s="3"/>
      <c r="G4" s="3"/>
      <c r="H4" s="3"/>
    </row>
    <row r="5" spans="2:22" x14ac:dyDescent="0.2">
      <c r="F5" s="3">
        <f>SUM(F8:F448)</f>
        <v>102125</v>
      </c>
      <c r="G5" s="3">
        <f>SUM(G8:G448)</f>
        <v>763495</v>
      </c>
      <c r="H5" s="3">
        <f>SUM(H8:H448)</f>
        <v>865620</v>
      </c>
      <c r="K5" s="3">
        <f t="shared" ref="K5:V5" si="0">SUM(K8:K448)</f>
        <v>92475</v>
      </c>
      <c r="L5" s="3">
        <f t="shared" si="0"/>
        <v>93125.28</v>
      </c>
      <c r="M5" s="3">
        <f t="shared" si="0"/>
        <v>87725</v>
      </c>
      <c r="N5" s="3">
        <f t="shared" si="0"/>
        <v>75225</v>
      </c>
      <c r="O5" s="3">
        <f t="shared" si="0"/>
        <v>95645</v>
      </c>
      <c r="P5" s="3">
        <f t="shared" si="0"/>
        <v>83475</v>
      </c>
      <c r="Q5" s="3">
        <f t="shared" si="0"/>
        <v>79425</v>
      </c>
      <c r="R5" s="3">
        <f t="shared" si="0"/>
        <v>76875</v>
      </c>
      <c r="S5" s="3">
        <f t="shared" si="0"/>
        <v>50975</v>
      </c>
      <c r="T5" s="3">
        <f t="shared" si="0"/>
        <v>18450</v>
      </c>
      <c r="U5" s="3">
        <f t="shared" si="0"/>
        <v>10050</v>
      </c>
      <c r="V5" s="3">
        <f t="shared" si="0"/>
        <v>3350</v>
      </c>
    </row>
    <row r="6" spans="2:22" ht="24.95" customHeight="1" x14ac:dyDescent="0.2">
      <c r="B6" s="5" t="s">
        <v>903</v>
      </c>
      <c r="C6" s="277" t="s">
        <v>0</v>
      </c>
      <c r="D6" s="277" t="s">
        <v>1186</v>
      </c>
      <c r="E6" s="278" t="s">
        <v>1669</v>
      </c>
      <c r="F6" s="108">
        <v>2012</v>
      </c>
      <c r="G6" s="278">
        <v>2013</v>
      </c>
      <c r="H6" s="108" t="s">
        <v>760</v>
      </c>
      <c r="I6" s="278" t="s">
        <v>1187</v>
      </c>
      <c r="J6" s="11" t="s">
        <v>1285</v>
      </c>
      <c r="K6" s="279" t="s">
        <v>690</v>
      </c>
      <c r="L6" s="279" t="s">
        <v>691</v>
      </c>
      <c r="M6" s="279" t="s">
        <v>692</v>
      </c>
      <c r="N6" s="279" t="s">
        <v>693</v>
      </c>
      <c r="O6" s="279" t="s">
        <v>694</v>
      </c>
      <c r="P6" s="279" t="s">
        <v>695</v>
      </c>
      <c r="Q6" s="279" t="s">
        <v>696</v>
      </c>
      <c r="R6" s="279" t="s">
        <v>697</v>
      </c>
      <c r="S6" s="279" t="s">
        <v>698</v>
      </c>
      <c r="T6" s="279" t="s">
        <v>699</v>
      </c>
      <c r="U6" s="279" t="s">
        <v>700</v>
      </c>
      <c r="V6" s="279" t="s">
        <v>701</v>
      </c>
    </row>
    <row r="7" spans="2:22" ht="6" customHeight="1" x14ac:dyDescent="0.2"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</row>
    <row r="8" spans="2:22" ht="15.95" customHeight="1" x14ac:dyDescent="0.2">
      <c r="B8" s="87" t="s">
        <v>791</v>
      </c>
      <c r="C8" s="139" t="str">
        <f t="shared" ref="C8:C71" si="1">VLOOKUP(B8,BASE_A,6,FALSE)</f>
        <v>Rancho La Cuchilla No. 7, 101</v>
      </c>
      <c r="D8" s="139" t="str">
        <f t="shared" ref="D8:D71" si="2">VLOOKUP(B8,BASE_A,8,FALSE)</f>
        <v>Olivares</v>
      </c>
      <c r="E8" s="140">
        <f t="shared" ref="E8:E71" si="3">VLOOKUP(B8,BASE_A,9,FALSE)</f>
        <v>100</v>
      </c>
      <c r="F8" s="330">
        <f>DSUM(SEP_2013_A,AA,CL_7_101)</f>
        <v>100</v>
      </c>
      <c r="G8" s="140">
        <f t="shared" ref="G8:G71" si="4">H8-F8</f>
        <v>900</v>
      </c>
      <c r="H8" s="140">
        <f>DSUM(SEP_2013_A,importe,CL_7_101)</f>
        <v>1000</v>
      </c>
      <c r="I8" s="141">
        <f t="shared" ref="I8:I20" si="5">IF(VLOOKUP(B8,BASE_A,9,FALSE)=0,0,G8/VLOOKUP(B8,BASE_A,9,FALSE))</f>
        <v>9</v>
      </c>
      <c r="J8" s="8" t="s">
        <v>1276</v>
      </c>
      <c r="K8" s="136">
        <f>DSUM(SEP_2013_A,23,CL_7_101)</f>
        <v>100</v>
      </c>
      <c r="L8" s="136">
        <f>DSUM(SEP_2013_A,24,CL_7_101)</f>
        <v>100</v>
      </c>
      <c r="M8" s="136">
        <f>DSUM(SEP_2013_A,25,CL_7_101)</f>
        <v>100</v>
      </c>
      <c r="N8" s="136">
        <f>DSUM(SEP_2013_A,26,CL_7_101)</f>
        <v>100</v>
      </c>
      <c r="O8" s="136">
        <f>DSUM(SEP_2013_A,27,CL_7_101)</f>
        <v>100</v>
      </c>
      <c r="P8" s="136">
        <f>DSUM(SEP_2013_A,28,CL_7_101)</f>
        <v>100</v>
      </c>
      <c r="Q8" s="136">
        <f>DSUM(SEP_2013_A,29,CL_7_101)</f>
        <v>100</v>
      </c>
      <c r="R8" s="136">
        <f>DSUM(SEP_2013_A,30,CL_7_101)</f>
        <v>100</v>
      </c>
      <c r="S8" s="136">
        <f>DSUM(SEP_2013_A,31,CL_7_101)</f>
        <v>100</v>
      </c>
      <c r="T8" s="136">
        <f>DSUM(SEP_2013_A,32,CL_7_101)</f>
        <v>0</v>
      </c>
      <c r="U8" s="136">
        <f>DSUM(SEP_2013_A,33,CL_7_101)</f>
        <v>0</v>
      </c>
      <c r="V8" s="136">
        <f>DSUM(SEP_2013_A,34,CL_7_101)</f>
        <v>0</v>
      </c>
    </row>
    <row r="9" spans="2:22" ht="15.95" customHeight="1" x14ac:dyDescent="0.2">
      <c r="B9" s="1" t="s">
        <v>792</v>
      </c>
      <c r="C9" s="129" t="str">
        <f t="shared" si="1"/>
        <v>Rancho La Cuchilla No. 7, 102</v>
      </c>
      <c r="D9" s="129" t="str">
        <f t="shared" si="2"/>
        <v>García Moreno</v>
      </c>
      <c r="E9" s="90">
        <f t="shared" si="3"/>
        <v>100</v>
      </c>
      <c r="F9" s="91">
        <f>DSUM(SEP_2013_A,AA,CL_7_102)</f>
        <v>300</v>
      </c>
      <c r="G9" s="90">
        <f t="shared" si="4"/>
        <v>900</v>
      </c>
      <c r="H9" s="90">
        <f>DSUM(SEP_2013_A,importe,CL_7_102)</f>
        <v>1200</v>
      </c>
      <c r="I9" s="17">
        <f t="shared" si="5"/>
        <v>9</v>
      </c>
      <c r="J9" s="6" t="s">
        <v>1276</v>
      </c>
      <c r="K9" s="137">
        <f>DSUM(SEP_2013_A,23,CL_7_102)</f>
        <v>100</v>
      </c>
      <c r="L9" s="137">
        <f>DSUM(SEP_2013_A,24,CL_7_102)</f>
        <v>100</v>
      </c>
      <c r="M9" s="137">
        <f>DSUM(SEP_2013_A,25,CL_7_102)</f>
        <v>100</v>
      </c>
      <c r="N9" s="137">
        <f>DSUM(SEP_2013_A,26,CL_7_102)</f>
        <v>100</v>
      </c>
      <c r="O9" s="137">
        <f>DSUM(SEP_2013_A,27,CL_7_102)</f>
        <v>100</v>
      </c>
      <c r="P9" s="137">
        <f>DSUM(SEP_2013_A,28,CL_7_102)</f>
        <v>100</v>
      </c>
      <c r="Q9" s="137">
        <f>DSUM(SEP_2013_A,29,CL_7_102)</f>
        <v>100</v>
      </c>
      <c r="R9" s="137">
        <f>DSUM(SEP_2013_A,30,CL_7_102)</f>
        <v>100</v>
      </c>
      <c r="S9" s="137">
        <f>DSUM(SEP_2013_A,31,CL_7_102)</f>
        <v>100</v>
      </c>
      <c r="T9" s="137">
        <f>DSUM(SEP_2013_A,32,CL_7_102)</f>
        <v>0</v>
      </c>
      <c r="U9" s="137">
        <f>DSUM(SEP_2013_A,33,CL_7_102)</f>
        <v>0</v>
      </c>
      <c r="V9" s="137">
        <f>DSUM(SEP_2013_A,34,CL_7_102)</f>
        <v>0</v>
      </c>
    </row>
    <row r="10" spans="2:22" ht="15.95" customHeight="1" x14ac:dyDescent="0.2">
      <c r="B10" s="1" t="s">
        <v>793</v>
      </c>
      <c r="C10" s="129" t="str">
        <f t="shared" si="1"/>
        <v>Rancho La Cuchilla No. 7, 201</v>
      </c>
      <c r="D10" s="129" t="str">
        <f t="shared" si="2"/>
        <v>Solís Susana</v>
      </c>
      <c r="E10" s="90">
        <f t="shared" si="3"/>
        <v>100</v>
      </c>
      <c r="F10" s="91">
        <f>DSUM(SEP_2013_A,AA,CL_7_201)</f>
        <v>0</v>
      </c>
      <c r="G10" s="90">
        <f t="shared" si="4"/>
        <v>0</v>
      </c>
      <c r="H10" s="90">
        <f>DSUM(SEP_2013_A,importe,CL_7_201)</f>
        <v>0</v>
      </c>
      <c r="I10" s="17">
        <f t="shared" si="5"/>
        <v>0</v>
      </c>
      <c r="J10" s="6" t="s">
        <v>1276</v>
      </c>
      <c r="K10" s="137">
        <f>DSUM(SEP_2013_A,23,CL_7_201)</f>
        <v>0</v>
      </c>
      <c r="L10" s="137">
        <f>DSUM(SEP_2013_A,24,CL_7_201)</f>
        <v>0</v>
      </c>
      <c r="M10" s="137">
        <f>DSUM(SEP_2013_A,25,CL_7_201)</f>
        <v>0</v>
      </c>
      <c r="N10" s="137">
        <f>DSUM(SEP_2013_A,26,CL_7_201)</f>
        <v>0</v>
      </c>
      <c r="O10" s="137">
        <f>DSUM(SEP_2013_A,27,CL_7_201)</f>
        <v>0</v>
      </c>
      <c r="P10" s="137">
        <f>DSUM(SEP_2013_A,28,CL_7_201)</f>
        <v>0</v>
      </c>
      <c r="Q10" s="137">
        <f>DSUM(SEP_2013_A,29,CL_7_201)</f>
        <v>0</v>
      </c>
      <c r="R10" s="137">
        <f>DSUM(SEP_2013_A,30,CL_7_201)</f>
        <v>0</v>
      </c>
      <c r="S10" s="137">
        <f>DSUM(SEP_2013_A,31,CL_7_201)</f>
        <v>0</v>
      </c>
      <c r="T10" s="137">
        <f>DSUM(SEP_2013_A,32,CL_7_201)</f>
        <v>0</v>
      </c>
      <c r="U10" s="137">
        <f>DSUM(SEP_2013_A,33,CL_7_201)</f>
        <v>0</v>
      </c>
      <c r="V10" s="137">
        <f>DSUM(SEP_2013_A,34,CL_7_201)</f>
        <v>0</v>
      </c>
    </row>
    <row r="11" spans="2:22" ht="15.95" customHeight="1" x14ac:dyDescent="0.2">
      <c r="B11" s="1" t="s">
        <v>794</v>
      </c>
      <c r="C11" s="129" t="str">
        <f t="shared" si="1"/>
        <v>Rancho La Cuchilla No. 7, 202</v>
      </c>
      <c r="D11" s="129" t="str">
        <f t="shared" si="2"/>
        <v>Carbajal Zayas</v>
      </c>
      <c r="E11" s="90">
        <f t="shared" si="3"/>
        <v>100</v>
      </c>
      <c r="F11" s="91">
        <f>DSUM(SEP_2013_A,AA,CL_7_202)</f>
        <v>400</v>
      </c>
      <c r="G11" s="90">
        <f t="shared" si="4"/>
        <v>800</v>
      </c>
      <c r="H11" s="90">
        <f>DSUM(SEP_2013_A,importe,CL_7_202)</f>
        <v>1200</v>
      </c>
      <c r="I11" s="17">
        <f t="shared" si="5"/>
        <v>8</v>
      </c>
      <c r="J11" s="6" t="s">
        <v>1276</v>
      </c>
      <c r="K11" s="137">
        <f>DSUM(SEP_2013_A,23,CL_7_202)</f>
        <v>100</v>
      </c>
      <c r="L11" s="137">
        <f>DSUM(SEP_2013_A,24,CL_7_202)</f>
        <v>100</v>
      </c>
      <c r="M11" s="137">
        <f>DSUM(SEP_2013_A,25,CL_7_202)</f>
        <v>100</v>
      </c>
      <c r="N11" s="137">
        <f>DSUM(SEP_2013_A,26,CL_7_202)</f>
        <v>100</v>
      </c>
      <c r="O11" s="137">
        <f>DSUM(SEP_2013_A,27,CL_7_202)</f>
        <v>100</v>
      </c>
      <c r="P11" s="137">
        <f>DSUM(SEP_2013_A,28,CL_7_202)</f>
        <v>100</v>
      </c>
      <c r="Q11" s="137">
        <f>DSUM(SEP_2013_A,29,CL_7_202)</f>
        <v>100</v>
      </c>
      <c r="R11" s="137">
        <f>DSUM(SEP_2013_A,30,CL_7_202)</f>
        <v>100</v>
      </c>
      <c r="S11" s="137">
        <f>DSUM(SEP_2013_A,31,CL_7_202)</f>
        <v>0</v>
      </c>
      <c r="T11" s="137">
        <f>DSUM(SEP_2013_A,32,CL_7_202)</f>
        <v>0</v>
      </c>
      <c r="U11" s="137">
        <f>DSUM(SEP_2013_A,33,CL_7_202)</f>
        <v>0</v>
      </c>
      <c r="V11" s="137">
        <f>DSUM(SEP_2013_A,34,CL_7_202)</f>
        <v>0</v>
      </c>
    </row>
    <row r="12" spans="2:22" ht="15.95" customHeight="1" x14ac:dyDescent="0.2">
      <c r="B12" s="1" t="s">
        <v>795</v>
      </c>
      <c r="C12" s="129" t="str">
        <f t="shared" si="1"/>
        <v>Rancho La Cuchilla No. 9</v>
      </c>
      <c r="D12" s="129" t="str">
        <f t="shared" si="2"/>
        <v>Martín del Campo</v>
      </c>
      <c r="E12" s="90">
        <f t="shared" si="3"/>
        <v>300</v>
      </c>
      <c r="F12" s="91">
        <f>DSUM(SEP_2013_A,AA,CL_9_)</f>
        <v>600</v>
      </c>
      <c r="G12" s="90">
        <f t="shared" si="4"/>
        <v>300</v>
      </c>
      <c r="H12" s="90">
        <f>DSUM(SEP_2013_A,importe,CL_9_)</f>
        <v>900</v>
      </c>
      <c r="I12" s="17">
        <f t="shared" si="5"/>
        <v>1</v>
      </c>
      <c r="J12" s="6" t="s">
        <v>1276</v>
      </c>
      <c r="K12" s="137">
        <f>DSUM(SEP_2013_A,23,CL_9_)</f>
        <v>300</v>
      </c>
      <c r="L12" s="137">
        <f>DSUM(SEP_2013_A,24,CL_9_)</f>
        <v>0</v>
      </c>
      <c r="M12" s="137">
        <f>DSUM(SEP_2013_A,25,CL_9_)</f>
        <v>0</v>
      </c>
      <c r="N12" s="137">
        <f>DSUM(SEP_2013_A,26,CL_9_)</f>
        <v>0</v>
      </c>
      <c r="O12" s="137">
        <f>DSUM(SEP_2013_A,27,CL_9_)</f>
        <v>0</v>
      </c>
      <c r="P12" s="137">
        <f>DSUM(SEP_2013_A,28,CL_9_)</f>
        <v>0</v>
      </c>
      <c r="Q12" s="137">
        <f>DSUM(SEP_2013_A,29,CL_9_)</f>
        <v>0</v>
      </c>
      <c r="R12" s="137">
        <f>DSUM(SEP_2013_A,30,CL_9_)</f>
        <v>0</v>
      </c>
      <c r="S12" s="137">
        <f>DSUM(SEP_2013_A,31,CL_9_)</f>
        <v>0</v>
      </c>
      <c r="T12" s="137">
        <f>DSUM(SEP_2013_A,32,CL_9_)</f>
        <v>0</v>
      </c>
      <c r="U12" s="137">
        <f>DSUM(SEP_2013_A,33,CL_9_)</f>
        <v>0</v>
      </c>
      <c r="V12" s="137">
        <f>DSUM(SEP_2013_A,34,CL_9_)</f>
        <v>0</v>
      </c>
    </row>
    <row r="13" spans="2:22" ht="15.95" customHeight="1" x14ac:dyDescent="0.2">
      <c r="B13" s="1" t="s">
        <v>796</v>
      </c>
      <c r="C13" s="129" t="str">
        <f t="shared" si="1"/>
        <v>Rancho La Cuchilla No. 11</v>
      </c>
      <c r="D13" s="129" t="str">
        <f t="shared" si="2"/>
        <v>Santiago</v>
      </c>
      <c r="E13" s="90">
        <f t="shared" si="3"/>
        <v>300</v>
      </c>
      <c r="F13" s="91">
        <f>DSUM(SEP_2013_A,AA,CL_11_)</f>
        <v>0</v>
      </c>
      <c r="G13" s="90">
        <f t="shared" si="4"/>
        <v>0</v>
      </c>
      <c r="H13" s="90">
        <f>DSUM(SEP_2013_A,importe,CL_11_)</f>
        <v>0</v>
      </c>
      <c r="I13" s="17">
        <f t="shared" si="5"/>
        <v>0</v>
      </c>
      <c r="J13" s="6" t="s">
        <v>1276</v>
      </c>
      <c r="K13" s="137">
        <f>DSUM(SEP_2013_A,23,CL_11_)</f>
        <v>0</v>
      </c>
      <c r="L13" s="137">
        <f>DSUM(SEP_2013_A,24,CL_11_)</f>
        <v>0</v>
      </c>
      <c r="M13" s="137">
        <f>DSUM(SEP_2013_A,25,CL_11_)</f>
        <v>0</v>
      </c>
      <c r="N13" s="137">
        <f>DSUM(SEP_2013_A,26,CL_11_)</f>
        <v>0</v>
      </c>
      <c r="O13" s="137">
        <f>DSUM(SEP_2013_A,27,CL_11_)</f>
        <v>0</v>
      </c>
      <c r="P13" s="137">
        <f>DSUM(SEP_2013_A,28,CL_11_)</f>
        <v>0</v>
      </c>
      <c r="Q13" s="137">
        <f>DSUM(SEP_2013_A,29,CL_11_)</f>
        <v>0</v>
      </c>
      <c r="R13" s="137">
        <f>DSUM(SEP_2013_A,30,CL_11_)</f>
        <v>0</v>
      </c>
      <c r="S13" s="137">
        <f>DSUM(SEP_2013_A,31,CL_11_)</f>
        <v>0</v>
      </c>
      <c r="T13" s="137">
        <f>DSUM(SEP_2013_A,32,CL_11_)</f>
        <v>0</v>
      </c>
      <c r="U13" s="137">
        <f>DSUM(SEP_2013_A,33,CL_11_)</f>
        <v>0</v>
      </c>
      <c r="V13" s="137">
        <f>DSUM(SEP_2013_A,34,CL_11_)</f>
        <v>0</v>
      </c>
    </row>
    <row r="14" spans="2:22" ht="15.95" customHeight="1" x14ac:dyDescent="0.2">
      <c r="B14" s="1" t="s">
        <v>797</v>
      </c>
      <c r="C14" s="129" t="str">
        <f t="shared" si="1"/>
        <v>Rancho La Cuchilla No. 12</v>
      </c>
      <c r="D14" s="129" t="str">
        <f t="shared" si="2"/>
        <v>Rivera Flores</v>
      </c>
      <c r="E14" s="90">
        <f t="shared" si="3"/>
        <v>300</v>
      </c>
      <c r="F14" s="91">
        <f>DSUM(SEP_2013_A,AA,CL_12_)</f>
        <v>250</v>
      </c>
      <c r="G14" s="90">
        <f t="shared" si="4"/>
        <v>2700</v>
      </c>
      <c r="H14" s="90">
        <f>DSUM(SEP_2013_A,importe,CL_12_)</f>
        <v>2950</v>
      </c>
      <c r="I14" s="17">
        <f t="shared" si="5"/>
        <v>9</v>
      </c>
      <c r="J14" s="6" t="s">
        <v>1276</v>
      </c>
      <c r="K14" s="137">
        <f>DSUM(SEP_2013_A,23,CL_12_)</f>
        <v>300</v>
      </c>
      <c r="L14" s="137">
        <f>DSUM(SEP_2013_A,24,CL_12_)</f>
        <v>300</v>
      </c>
      <c r="M14" s="137">
        <f>DSUM(SEP_2013_A,25,CL_12_)</f>
        <v>300</v>
      </c>
      <c r="N14" s="137">
        <f>DSUM(SEP_2013_A,26,CL_12_)</f>
        <v>300</v>
      </c>
      <c r="O14" s="137">
        <f>DSUM(SEP_2013_A,27,CL_12_)</f>
        <v>300</v>
      </c>
      <c r="P14" s="137">
        <f>DSUM(SEP_2013_A,28,CL_12_)</f>
        <v>300</v>
      </c>
      <c r="Q14" s="137">
        <f>DSUM(SEP_2013_A,29,CL_12_)</f>
        <v>300</v>
      </c>
      <c r="R14" s="137">
        <f>DSUM(SEP_2013_A,30,CL_12_)</f>
        <v>300</v>
      </c>
      <c r="S14" s="137">
        <f>DSUM(SEP_2013_A,31,CL_12_)</f>
        <v>300</v>
      </c>
      <c r="T14" s="137">
        <f>DSUM(SEP_2013_A,32,CL_12_)</f>
        <v>0</v>
      </c>
      <c r="U14" s="137">
        <f>DSUM(SEP_2013_A,33,CL_12_)</f>
        <v>0</v>
      </c>
      <c r="V14" s="137">
        <f>DSUM(SEP_2013_A,34,CL_12_)</f>
        <v>0</v>
      </c>
    </row>
    <row r="15" spans="2:22" ht="15.95" customHeight="1" x14ac:dyDescent="0.2">
      <c r="B15" s="1" t="s">
        <v>798</v>
      </c>
      <c r="C15" s="129" t="str">
        <f t="shared" si="1"/>
        <v>Rancho La Cuchilla No. 13</v>
      </c>
      <c r="D15" s="129" t="str">
        <f t="shared" si="2"/>
        <v>Torres</v>
      </c>
      <c r="E15" s="90">
        <f t="shared" si="3"/>
        <v>300</v>
      </c>
      <c r="F15" s="91">
        <f>DSUM(SEP_2013_A,AA,CL_13_)</f>
        <v>0</v>
      </c>
      <c r="G15" s="90">
        <f t="shared" si="4"/>
        <v>0</v>
      </c>
      <c r="H15" s="90">
        <f>DSUM(SEP_2013_A,importe,CL_13_)</f>
        <v>0</v>
      </c>
      <c r="I15" s="17">
        <f t="shared" si="5"/>
        <v>0</v>
      </c>
      <c r="J15" s="6" t="s">
        <v>1276</v>
      </c>
      <c r="K15" s="137">
        <f>DSUM(SEP_2013_A,23,CL_13_)</f>
        <v>0</v>
      </c>
      <c r="L15" s="137">
        <f>DSUM(SEP_2013_A,24,CL_13_)</f>
        <v>0</v>
      </c>
      <c r="M15" s="137">
        <f>DSUM(SEP_2013_A,25,CL_13_)</f>
        <v>0</v>
      </c>
      <c r="N15" s="137">
        <f>DSUM(SEP_2013_A,26,CL_13_)</f>
        <v>0</v>
      </c>
      <c r="O15" s="137">
        <f>DSUM(SEP_2013_A,27,CL_13_)</f>
        <v>0</v>
      </c>
      <c r="P15" s="137">
        <f>DSUM(SEP_2013_A,28,CL_13_)</f>
        <v>0</v>
      </c>
      <c r="Q15" s="137">
        <f>DSUM(SEP_2013_A,29,CL_13_)</f>
        <v>0</v>
      </c>
      <c r="R15" s="137">
        <f>DSUM(SEP_2013_A,30,CL_13_)</f>
        <v>0</v>
      </c>
      <c r="S15" s="137">
        <f>DSUM(SEP_2013_A,31,CL_13_)</f>
        <v>0</v>
      </c>
      <c r="T15" s="137">
        <f>DSUM(SEP_2013_A,32,CL_13_)</f>
        <v>0</v>
      </c>
      <c r="U15" s="137">
        <f>DSUM(SEP_2013_A,33,CL_13_)</f>
        <v>0</v>
      </c>
      <c r="V15" s="137">
        <f>DSUM(SEP_2013_A,34,CL_13_)</f>
        <v>0</v>
      </c>
    </row>
    <row r="16" spans="2:22" ht="15.95" customHeight="1" x14ac:dyDescent="0.2">
      <c r="B16" s="1" t="s">
        <v>799</v>
      </c>
      <c r="C16" s="129" t="str">
        <f t="shared" si="1"/>
        <v>Rancho La Cuchilla No. 14</v>
      </c>
      <c r="D16" s="129" t="str">
        <f t="shared" si="2"/>
        <v>Chávez Lara</v>
      </c>
      <c r="E16" s="90">
        <f t="shared" si="3"/>
        <v>300</v>
      </c>
      <c r="F16" s="91">
        <f>DSUM(SEP_2013_A,AA,CL_14_)</f>
        <v>0</v>
      </c>
      <c r="G16" s="90">
        <f t="shared" si="4"/>
        <v>1200</v>
      </c>
      <c r="H16" s="90">
        <f>DSUM(SEP_2013_A,importe,CL_14_)</f>
        <v>1200</v>
      </c>
      <c r="I16" s="17">
        <f t="shared" si="5"/>
        <v>4</v>
      </c>
      <c r="J16" s="6" t="s">
        <v>1276</v>
      </c>
      <c r="K16" s="137">
        <f>DSUM(SEP_2013_A,23,CL_14_)</f>
        <v>0</v>
      </c>
      <c r="L16" s="137">
        <f>DSUM(SEP_2013_A,24,CL_14_)</f>
        <v>0</v>
      </c>
      <c r="M16" s="137">
        <f>DSUM(SEP_2013_A,25,CL_14_)</f>
        <v>0</v>
      </c>
      <c r="N16" s="137">
        <f>DSUM(SEP_2013_A,26,CL_14_)</f>
        <v>0</v>
      </c>
      <c r="O16" s="137">
        <f>DSUM(SEP_2013_A,27,CL_14_)</f>
        <v>300</v>
      </c>
      <c r="P16" s="137">
        <f>DSUM(SEP_2013_A,28,CL_14_)</f>
        <v>300</v>
      </c>
      <c r="Q16" s="137">
        <f>DSUM(SEP_2013_A,29,CL_14_)</f>
        <v>300</v>
      </c>
      <c r="R16" s="137">
        <f>DSUM(SEP_2013_A,30,CL_14_)</f>
        <v>300</v>
      </c>
      <c r="S16" s="137">
        <f>DSUM(SEP_2013_A,31,CL_14_)</f>
        <v>0</v>
      </c>
      <c r="T16" s="137">
        <f>DSUM(SEP_2013_A,32,CL_14_)</f>
        <v>0</v>
      </c>
      <c r="U16" s="137">
        <f>DSUM(SEP_2013_A,33,CL_14_)</f>
        <v>0</v>
      </c>
      <c r="V16" s="137">
        <f>DSUM(SEP_2013_A,34,CL_14_)</f>
        <v>0</v>
      </c>
    </row>
    <row r="17" spans="1:22" ht="15.95" customHeight="1" x14ac:dyDescent="0.2">
      <c r="B17" s="1" t="s">
        <v>800</v>
      </c>
      <c r="C17" s="129" t="str">
        <f t="shared" si="1"/>
        <v>Rancho La Cuchilla No. 15</v>
      </c>
      <c r="D17" s="129" t="str">
        <f t="shared" si="2"/>
        <v>Guerrero Ponce</v>
      </c>
      <c r="E17" s="90">
        <f t="shared" si="3"/>
        <v>300</v>
      </c>
      <c r="F17" s="91">
        <f>DSUM(SEP_2013_A,AA,CL_15_)</f>
        <v>900</v>
      </c>
      <c r="G17" s="90">
        <f t="shared" si="4"/>
        <v>2400</v>
      </c>
      <c r="H17" s="90">
        <f>DSUM(SEP_2013_A,importe,CL_15_)</f>
        <v>3300</v>
      </c>
      <c r="I17" s="17">
        <f t="shared" si="5"/>
        <v>8</v>
      </c>
      <c r="J17" s="6" t="s">
        <v>1276</v>
      </c>
      <c r="K17" s="137">
        <f>DSUM(SEP_2013_A,23,CL_15_)</f>
        <v>300</v>
      </c>
      <c r="L17" s="137">
        <f>DSUM(SEP_2013_A,24,CL_15_)</f>
        <v>300</v>
      </c>
      <c r="M17" s="137">
        <f>DSUM(SEP_2013_A,25,CL_15_)</f>
        <v>300</v>
      </c>
      <c r="N17" s="137">
        <f>DSUM(SEP_2013_A,26,CL_15_)</f>
        <v>300</v>
      </c>
      <c r="O17" s="137">
        <f>DSUM(SEP_2013_A,27,CL_15_)</f>
        <v>300</v>
      </c>
      <c r="P17" s="137">
        <f>DSUM(SEP_2013_A,28,CL_15_)</f>
        <v>300</v>
      </c>
      <c r="Q17" s="137">
        <f>DSUM(SEP_2013_A,29,CL_15_)</f>
        <v>300</v>
      </c>
      <c r="R17" s="137">
        <f>DSUM(SEP_2013_A,30,CL_15_)</f>
        <v>300</v>
      </c>
      <c r="S17" s="137">
        <f>DSUM(SEP_2013_A,31,CL_15_)</f>
        <v>0</v>
      </c>
      <c r="T17" s="137">
        <f>DSUM(SEP_2013_A,32,CL_15_)</f>
        <v>0</v>
      </c>
      <c r="U17" s="137">
        <f>DSUM(SEP_2013_A,33,CL_15_)</f>
        <v>0</v>
      </c>
      <c r="V17" s="137">
        <f>DSUM(SEP_2013_A,34,CL_15_)</f>
        <v>0</v>
      </c>
    </row>
    <row r="18" spans="1:22" ht="15.95" customHeight="1" x14ac:dyDescent="0.2">
      <c r="B18" s="1" t="s">
        <v>801</v>
      </c>
      <c r="C18" s="129" t="str">
        <f t="shared" si="1"/>
        <v>Rancho La Cuchilla No. 18</v>
      </c>
      <c r="D18" s="129" t="str">
        <f t="shared" si="2"/>
        <v>Aldana Sánchez</v>
      </c>
      <c r="E18" s="90">
        <f t="shared" si="3"/>
        <v>300</v>
      </c>
      <c r="F18" s="91">
        <f>DSUM(SEP_2013_A,AA,CL_18_)</f>
        <v>300</v>
      </c>
      <c r="G18" s="90">
        <f t="shared" si="4"/>
        <v>2700</v>
      </c>
      <c r="H18" s="90">
        <f>DSUM(SEP_2013_A,importe,CL_18_)</f>
        <v>3000</v>
      </c>
      <c r="I18" s="17">
        <f t="shared" si="5"/>
        <v>9</v>
      </c>
      <c r="J18" s="6" t="s">
        <v>1276</v>
      </c>
      <c r="K18" s="137">
        <f>DSUM(SEP_2013_A,23,CL_18_)</f>
        <v>300</v>
      </c>
      <c r="L18" s="137">
        <f>DSUM(SEP_2013_A,24,CL_18_)</f>
        <v>300</v>
      </c>
      <c r="M18" s="137">
        <f>DSUM(SEP_2013_A,25,CL_18_)</f>
        <v>300</v>
      </c>
      <c r="N18" s="137">
        <f>DSUM(SEP_2013_A,26,CL_18_)</f>
        <v>300</v>
      </c>
      <c r="O18" s="137">
        <f>DSUM(SEP_2013_A,27,CL_18_)</f>
        <v>300</v>
      </c>
      <c r="P18" s="137">
        <f>DSUM(SEP_2013_A,28,CL_18_)</f>
        <v>300</v>
      </c>
      <c r="Q18" s="137">
        <f>DSUM(SEP_2013_A,29,CL_18_)</f>
        <v>300</v>
      </c>
      <c r="R18" s="137">
        <f>DSUM(SEP_2013_A,30,CL_18_)</f>
        <v>300</v>
      </c>
      <c r="S18" s="137">
        <f>DSUM(SEP_2013_A,31,CL_18_)</f>
        <v>300</v>
      </c>
      <c r="T18" s="137">
        <f>DSUM(SEP_2013_A,32,CL_18_)</f>
        <v>0</v>
      </c>
      <c r="U18" s="137">
        <f>DSUM(SEP_2013_A,33,CL_18_)</f>
        <v>0</v>
      </c>
      <c r="V18" s="137">
        <f>DSUM(SEP_2013_A,34,CL_18_)</f>
        <v>0</v>
      </c>
    </row>
    <row r="19" spans="1:22" ht="15.95" customHeight="1" x14ac:dyDescent="0.2">
      <c r="B19" s="1" t="s">
        <v>802</v>
      </c>
      <c r="C19" s="129" t="str">
        <f t="shared" si="1"/>
        <v>Rancho La Cuchilla No. 19</v>
      </c>
      <c r="D19" s="129" t="str">
        <f t="shared" si="2"/>
        <v>Tapia Vázquez</v>
      </c>
      <c r="E19" s="90">
        <f t="shared" si="3"/>
        <v>300</v>
      </c>
      <c r="F19" s="91">
        <f>DSUM(SEP_2013_A,AA,CL_19_)</f>
        <v>300</v>
      </c>
      <c r="G19" s="90">
        <f t="shared" si="4"/>
        <v>2700</v>
      </c>
      <c r="H19" s="90">
        <f>DSUM(SEP_2013_A,importe,CL_19_)</f>
        <v>3000</v>
      </c>
      <c r="I19" s="17">
        <f t="shared" si="5"/>
        <v>9</v>
      </c>
      <c r="J19" s="6" t="s">
        <v>1276</v>
      </c>
      <c r="K19" s="137">
        <f>DSUM(SEP_2013_A,23,CL_19_)</f>
        <v>300</v>
      </c>
      <c r="L19" s="137">
        <f>DSUM(SEP_2013_A,24,CL_19_)</f>
        <v>300</v>
      </c>
      <c r="M19" s="137">
        <f>DSUM(SEP_2013_A,25,CL_19_)</f>
        <v>300</v>
      </c>
      <c r="N19" s="137">
        <f>DSUM(SEP_2013_A,26,CL_19_)</f>
        <v>300</v>
      </c>
      <c r="O19" s="137">
        <f>DSUM(SEP_2013_A,27,CL_19_)</f>
        <v>300</v>
      </c>
      <c r="P19" s="137">
        <f>DSUM(SEP_2013_A,28,CL_19_)</f>
        <v>300</v>
      </c>
      <c r="Q19" s="137">
        <f>DSUM(SEP_2013_A,29,CL_19_)</f>
        <v>300</v>
      </c>
      <c r="R19" s="137">
        <f>DSUM(SEP_2013_A,30,CL_19_)</f>
        <v>300</v>
      </c>
      <c r="S19" s="137">
        <f>DSUM(SEP_2013_A,31,CL_19_)</f>
        <v>300</v>
      </c>
      <c r="T19" s="137">
        <f>DSUM(SEP_2013_A,32,CL_19_)</f>
        <v>0</v>
      </c>
      <c r="U19" s="137">
        <f>DSUM(SEP_2013_A,33,CL_19_)</f>
        <v>0</v>
      </c>
      <c r="V19" s="137">
        <f>DSUM(SEP_2013_A,34,CL_19_)</f>
        <v>0</v>
      </c>
    </row>
    <row r="20" spans="1:22" ht="15.95" customHeight="1" x14ac:dyDescent="0.2">
      <c r="B20" s="1" t="s">
        <v>803</v>
      </c>
      <c r="C20" s="129" t="str">
        <f t="shared" si="1"/>
        <v>Rancho La Cuchilla No. 20</v>
      </c>
      <c r="D20" s="129" t="str">
        <f t="shared" si="2"/>
        <v>Sánchez López</v>
      </c>
      <c r="E20" s="90">
        <f t="shared" si="3"/>
        <v>300</v>
      </c>
      <c r="F20" s="91">
        <f>DSUM(SEP_2013_A,AA,CL_20_)</f>
        <v>300</v>
      </c>
      <c r="G20" s="90">
        <f t="shared" si="4"/>
        <v>2700</v>
      </c>
      <c r="H20" s="90">
        <f>DSUM(SEP_2013_A,importe,CL_20_)</f>
        <v>3000</v>
      </c>
      <c r="I20" s="17">
        <f t="shared" si="5"/>
        <v>9</v>
      </c>
      <c r="J20" s="6" t="s">
        <v>1276</v>
      </c>
      <c r="K20" s="137">
        <f>DSUM(SEP_2013_A,23,CL_20_)</f>
        <v>300</v>
      </c>
      <c r="L20" s="137">
        <f>DSUM(SEP_2013_A,24,CL_20_)</f>
        <v>300</v>
      </c>
      <c r="M20" s="137">
        <f>DSUM(SEP_2013_A,25,CL_20_)</f>
        <v>300</v>
      </c>
      <c r="N20" s="137">
        <f>DSUM(SEP_2013_A,26,CL_20_)</f>
        <v>300</v>
      </c>
      <c r="O20" s="137">
        <f>DSUM(SEP_2013_A,27,CL_20_)</f>
        <v>300</v>
      </c>
      <c r="P20" s="137">
        <f>DSUM(SEP_2013_A,28,CL_20_)</f>
        <v>300</v>
      </c>
      <c r="Q20" s="137">
        <f>DSUM(SEP_2013_A,29,CL_20_)</f>
        <v>300</v>
      </c>
      <c r="R20" s="137">
        <f>DSUM(SEP_2013_A,30,CL_20_)</f>
        <v>300</v>
      </c>
      <c r="S20" s="137">
        <f>DSUM(SEP_2013_A,31,CL_20_)</f>
        <v>300</v>
      </c>
      <c r="T20" s="137">
        <f>DSUM(SEP_2013_A,32,CL_20_)</f>
        <v>0</v>
      </c>
      <c r="U20" s="137">
        <f>DSUM(SEP_2013_A,33,CL_20_)</f>
        <v>0</v>
      </c>
      <c r="V20" s="137">
        <f>DSUM(SEP_2013_A,34,CL_20_)</f>
        <v>0</v>
      </c>
    </row>
    <row r="21" spans="1:22" ht="15.95" customHeight="1" x14ac:dyDescent="0.2">
      <c r="B21" s="1" t="s">
        <v>804</v>
      </c>
      <c r="C21" s="129" t="str">
        <f t="shared" si="1"/>
        <v>Rancho La Cuchilla No. 21</v>
      </c>
      <c r="D21" s="129" t="str">
        <f t="shared" si="2"/>
        <v>Solórzano Calderón</v>
      </c>
      <c r="E21" s="90">
        <f t="shared" si="3"/>
        <v>300</v>
      </c>
      <c r="F21" s="91">
        <f>DSUM(SEP_2013_A,AA,CL_21_)</f>
        <v>0</v>
      </c>
      <c r="G21" s="90">
        <f t="shared" si="4"/>
        <v>3300</v>
      </c>
      <c r="H21" s="90">
        <f>DSUM(SEP_2013_A,importe,CL_21_)</f>
        <v>3300</v>
      </c>
      <c r="I21" s="17">
        <f>IF(VLOOKUP(B21,BASE_A,9,FALSE)=0,0,(G21/VLOOKUP(B21,BASE_A,9,FALSE)))+1</f>
        <v>12</v>
      </c>
      <c r="J21" s="6" t="s">
        <v>1276</v>
      </c>
      <c r="K21" s="137">
        <f>DSUM(SEP_2013_A,23,CL_21_)</f>
        <v>300</v>
      </c>
      <c r="L21" s="137">
        <f>DSUM(SEP_2013_A,24,CL_21_)</f>
        <v>300</v>
      </c>
      <c r="M21" s="137">
        <f>DSUM(SEP_2013_A,25,CL_21_)</f>
        <v>300</v>
      </c>
      <c r="N21" s="137">
        <f>DSUM(SEP_2013_A,26,CL_21_)</f>
        <v>300</v>
      </c>
      <c r="O21" s="137">
        <f>DSUM(SEP_2013_A,27,CL_21_)</f>
        <v>300</v>
      </c>
      <c r="P21" s="137">
        <f>DSUM(SEP_2013_A,28,CL_21_)</f>
        <v>300</v>
      </c>
      <c r="Q21" s="137">
        <f>DSUM(SEP_2013_A,29,CL_21_)</f>
        <v>300</v>
      </c>
      <c r="R21" s="137">
        <f>DSUM(SEP_2013_A,30,CL_21_)</f>
        <v>300</v>
      </c>
      <c r="S21" s="137">
        <f>DSUM(SEP_2013_A,31,CL_21_)</f>
        <v>300</v>
      </c>
      <c r="T21" s="137">
        <f>DSUM(SEP_2013_A,32,CL_21_)</f>
        <v>300</v>
      </c>
      <c r="U21" s="137">
        <f>DSUM(SEP_2013_A,33,CL_21_)</f>
        <v>300</v>
      </c>
      <c r="V21" s="137">
        <f>DSUM(SEP_2013_A,34,CL_21_)</f>
        <v>0</v>
      </c>
    </row>
    <row r="22" spans="1:22" ht="15.95" customHeight="1" x14ac:dyDescent="0.2">
      <c r="B22" s="1" t="s">
        <v>805</v>
      </c>
      <c r="C22" s="129" t="str">
        <f t="shared" si="1"/>
        <v>Rancho La Cuchilla No. 23</v>
      </c>
      <c r="D22" s="129" t="str">
        <f t="shared" si="2"/>
        <v>Ocampo</v>
      </c>
      <c r="E22" s="90">
        <f t="shared" si="3"/>
        <v>200</v>
      </c>
      <c r="F22" s="91">
        <f>DSUM(SEP_2013_A,AA,CL_23_)</f>
        <v>200</v>
      </c>
      <c r="G22" s="90">
        <f t="shared" si="4"/>
        <v>600</v>
      </c>
      <c r="H22" s="90">
        <f>DSUM(SEP_2013_A,importe,CL_23_)</f>
        <v>800</v>
      </c>
      <c r="I22" s="17">
        <f t="shared" ref="I22:I69" si="6">IF(VLOOKUP(B22,BASE_A,9,FALSE)=0,0,G22/VLOOKUP(B22,BASE_A,9,FALSE))</f>
        <v>3</v>
      </c>
      <c r="J22" s="6" t="s">
        <v>1276</v>
      </c>
      <c r="K22" s="137">
        <f>DSUM(SEP_2013_A,23,CL_23_)</f>
        <v>200</v>
      </c>
      <c r="L22" s="137">
        <f>DSUM(SEP_2013_A,24,CL_23_)</f>
        <v>200</v>
      </c>
      <c r="M22" s="137">
        <f>DSUM(SEP_2013_A,25,CL_23_)</f>
        <v>200</v>
      </c>
      <c r="N22" s="137">
        <f>DSUM(SEP_2013_A,26,CL_23_)</f>
        <v>0</v>
      </c>
      <c r="O22" s="137">
        <f>DSUM(SEP_2013_A,27,CL_23_)</f>
        <v>0</v>
      </c>
      <c r="P22" s="137">
        <f>DSUM(SEP_2013_A,28,CL_23_)</f>
        <v>0</v>
      </c>
      <c r="Q22" s="137">
        <f>DSUM(SEP_2013_A,29,CL_23_)</f>
        <v>0</v>
      </c>
      <c r="R22" s="137">
        <f>DSUM(SEP_2013_A,30,CL_23_)</f>
        <v>0</v>
      </c>
      <c r="S22" s="137">
        <f>DSUM(SEP_2013_A,31,CL_23_)</f>
        <v>0</v>
      </c>
      <c r="T22" s="137">
        <f>DSUM(SEP_2013_A,32,CL_23_)</f>
        <v>0</v>
      </c>
      <c r="U22" s="137">
        <f>DSUM(SEP_2013_A,33,CL_23_)</f>
        <v>0</v>
      </c>
      <c r="V22" s="137">
        <f>DSUM(SEP_2013_A,34,CL_23_)</f>
        <v>0</v>
      </c>
    </row>
    <row r="23" spans="1:22" ht="15.95" customHeight="1" x14ac:dyDescent="0.2">
      <c r="B23" s="1" t="s">
        <v>806</v>
      </c>
      <c r="C23" s="129" t="str">
        <f t="shared" si="1"/>
        <v>Rancho La Cuchilla No. 25</v>
      </c>
      <c r="D23" s="129" t="str">
        <f t="shared" si="2"/>
        <v>García de León</v>
      </c>
      <c r="E23" s="90">
        <f t="shared" si="3"/>
        <v>300</v>
      </c>
      <c r="F23" s="91">
        <f>DSUM(SEP_2013_A,AA,CL_25_)</f>
        <v>0</v>
      </c>
      <c r="G23" s="90">
        <f t="shared" si="4"/>
        <v>0</v>
      </c>
      <c r="H23" s="90">
        <f>DSUM(SEP_2013_A,importe,CL_25_)</f>
        <v>0</v>
      </c>
      <c r="I23" s="17">
        <f t="shared" si="6"/>
        <v>0</v>
      </c>
      <c r="J23" s="6" t="s">
        <v>1276</v>
      </c>
      <c r="K23" s="137">
        <f>DSUM(SEP_2013_A,23,CL_25_)</f>
        <v>0</v>
      </c>
      <c r="L23" s="137">
        <f>DSUM(SEP_2013_A,24,CL_25_)</f>
        <v>0</v>
      </c>
      <c r="M23" s="137">
        <f>DSUM(SEP_2013_A,25,CL_25_)</f>
        <v>0</v>
      </c>
      <c r="N23" s="137">
        <f>DSUM(SEP_2013_A,26,CL_25_)</f>
        <v>0</v>
      </c>
      <c r="O23" s="137">
        <f>DSUM(SEP_2013_A,27,CL_25_)</f>
        <v>0</v>
      </c>
      <c r="P23" s="137">
        <f>DSUM(SEP_2013_A,28,CL_25_)</f>
        <v>0</v>
      </c>
      <c r="Q23" s="137">
        <f>DSUM(SEP_2013_A,29,CL_25_)</f>
        <v>0</v>
      </c>
      <c r="R23" s="137">
        <f>DSUM(SEP_2013_A,30,CL_25_)</f>
        <v>0</v>
      </c>
      <c r="S23" s="137">
        <f>DSUM(SEP_2013_A,31,CL_25_)</f>
        <v>0</v>
      </c>
      <c r="T23" s="137">
        <f>DSUM(SEP_2013_A,32,CL_25_)</f>
        <v>0</v>
      </c>
      <c r="U23" s="137">
        <f>DSUM(SEP_2013_A,33,CL_25_)</f>
        <v>0</v>
      </c>
      <c r="V23" s="137">
        <f>DSUM(SEP_2013_A,34,CL_25_)</f>
        <v>0</v>
      </c>
    </row>
    <row r="24" spans="1:22" ht="15.95" customHeight="1" x14ac:dyDescent="0.2">
      <c r="B24" s="1" t="s">
        <v>807</v>
      </c>
      <c r="C24" s="129" t="str">
        <f t="shared" si="1"/>
        <v>Rancho La Cuchilla No. 27</v>
      </c>
      <c r="D24" s="129" t="str">
        <f t="shared" si="2"/>
        <v>Montoya</v>
      </c>
      <c r="E24" s="90">
        <f t="shared" si="3"/>
        <v>300</v>
      </c>
      <c r="F24" s="91">
        <f>DSUM(SEP_2013_A,AA,CL_27_)</f>
        <v>0</v>
      </c>
      <c r="G24" s="90">
        <f t="shared" si="4"/>
        <v>0</v>
      </c>
      <c r="H24" s="90">
        <f>DSUM(SEP_2013_A,importe,CL_27_)</f>
        <v>0</v>
      </c>
      <c r="I24" s="17">
        <f t="shared" si="6"/>
        <v>0</v>
      </c>
      <c r="J24" s="6" t="s">
        <v>1276</v>
      </c>
      <c r="K24" s="137">
        <f>DSUM(SEP_2013_A,23,CL_27_)</f>
        <v>0</v>
      </c>
      <c r="L24" s="137">
        <f>DSUM(SEP_2013_A,24,CL_27_)</f>
        <v>0</v>
      </c>
      <c r="M24" s="137">
        <f>DSUM(SEP_2013_A,25,CL_27_)</f>
        <v>0</v>
      </c>
      <c r="N24" s="137">
        <f>DSUM(SEP_2013_A,26,CL_27_)</f>
        <v>0</v>
      </c>
      <c r="O24" s="137">
        <f>DSUM(SEP_2013_A,27,CL_27_)</f>
        <v>0</v>
      </c>
      <c r="P24" s="137">
        <f>DSUM(SEP_2013_A,28,CL_27_)</f>
        <v>0</v>
      </c>
      <c r="Q24" s="137">
        <f>DSUM(SEP_2013_A,29,CL_27_)</f>
        <v>0</v>
      </c>
      <c r="R24" s="137">
        <f>DSUM(SEP_2013_A,30,CL_27_)</f>
        <v>0</v>
      </c>
      <c r="S24" s="137">
        <f>DSUM(SEP_2013_A,31,CL_27_)</f>
        <v>0</v>
      </c>
      <c r="T24" s="137">
        <f>DSUM(SEP_2013_A,32,CL_27_)</f>
        <v>0</v>
      </c>
      <c r="U24" s="137">
        <f>DSUM(SEP_2013_A,33,CL_27_)</f>
        <v>0</v>
      </c>
      <c r="V24" s="137">
        <f>DSUM(SEP_2013_A,34,CL_27_)</f>
        <v>0</v>
      </c>
    </row>
    <row r="25" spans="1:22" ht="15.95" customHeight="1" x14ac:dyDescent="0.2">
      <c r="B25" s="1" t="s">
        <v>1314</v>
      </c>
      <c r="C25" s="129" t="str">
        <f t="shared" si="1"/>
        <v>Rancho La Cuchilla No. 28</v>
      </c>
      <c r="D25" s="129" t="str">
        <f t="shared" si="2"/>
        <v>Prado de los S.</v>
      </c>
      <c r="E25" s="90">
        <f t="shared" si="3"/>
        <v>300</v>
      </c>
      <c r="F25" s="91">
        <f>DSUM(SEP_2013_A,AA,CL_28_)</f>
        <v>0</v>
      </c>
      <c r="G25" s="90">
        <f t="shared" si="4"/>
        <v>0</v>
      </c>
      <c r="H25" s="90">
        <f>DSUM(SEP_2013_A,importe,CL_28_)</f>
        <v>0</v>
      </c>
      <c r="I25" s="17">
        <f t="shared" si="6"/>
        <v>0</v>
      </c>
      <c r="J25" s="6" t="s">
        <v>1276</v>
      </c>
      <c r="K25" s="137">
        <f>DSUM(BCO_ENE13,7,CL_28_)</f>
        <v>0</v>
      </c>
      <c r="L25" s="137">
        <f>DSUM(BCO_FEB13,7,CL_28_)</f>
        <v>3300.28</v>
      </c>
      <c r="M25" s="137">
        <f>DSUM(BCO_MAR13,7,CL_28_)</f>
        <v>0</v>
      </c>
      <c r="N25" s="137">
        <f>DSUM(BCO_ABR13,7,CL_28_)</f>
        <v>0</v>
      </c>
      <c r="O25" s="137">
        <f>DSUM(BCO_MAY13,7,CL_28_)</f>
        <v>0</v>
      </c>
      <c r="P25" s="137">
        <f>DSUM(BCO_JUN13,7,CL_28_)</f>
        <v>0</v>
      </c>
      <c r="Q25" s="137">
        <f>DSUM(BCO_JUL13,7,CL_28_)</f>
        <v>0</v>
      </c>
      <c r="R25" s="137">
        <f>DSUM(BCO_AGO13,7,CL_28_)</f>
        <v>0</v>
      </c>
      <c r="S25" s="137">
        <f>DSUM(BCO_SEP13,7,CL_28_)</f>
        <v>0</v>
      </c>
      <c r="T25" s="137"/>
      <c r="U25" s="137"/>
      <c r="V25" s="137"/>
    </row>
    <row r="26" spans="1:22" ht="15.95" customHeight="1" x14ac:dyDescent="0.2">
      <c r="A26" s="158"/>
      <c r="B26" s="111" t="s">
        <v>808</v>
      </c>
      <c r="C26" s="130" t="str">
        <f t="shared" si="1"/>
        <v>Rancho La Cuchilla No. 29</v>
      </c>
      <c r="D26" s="130" t="str">
        <f t="shared" si="2"/>
        <v>Vega Sánchez C.</v>
      </c>
      <c r="E26" s="91">
        <f t="shared" si="3"/>
        <v>300</v>
      </c>
      <c r="F26" s="91">
        <f>DSUM(SEP_2013_A,AA,CL_29_)</f>
        <v>0</v>
      </c>
      <c r="G26" s="91">
        <f t="shared" si="4"/>
        <v>2100</v>
      </c>
      <c r="H26" s="91">
        <f>DSUM(BCO_SEP13_A,7,CL_29_)</f>
        <v>2100</v>
      </c>
      <c r="I26" s="159">
        <f t="shared" si="6"/>
        <v>7</v>
      </c>
      <c r="J26" s="6" t="s">
        <v>1276</v>
      </c>
      <c r="K26" s="137">
        <f>DSUM(BCO_ENE13,7,CL_29_)</f>
        <v>300</v>
      </c>
      <c r="L26" s="137">
        <f>DSUM(BCO_FEB13,7,CL_29_)</f>
        <v>300</v>
      </c>
      <c r="M26" s="137">
        <f>DSUM(BCO_MAR13,7,CL_29_)</f>
        <v>300</v>
      </c>
      <c r="N26" s="137">
        <f>DSUM(BCO_ABR13,7,CL_29_)</f>
        <v>300</v>
      </c>
      <c r="O26" s="137">
        <f>DSUM(BCO_MAY13,7,CL_29_)</f>
        <v>300</v>
      </c>
      <c r="P26" s="137">
        <f>DSUM(BCO_JUN13,7,CL_29_)</f>
        <v>300</v>
      </c>
      <c r="Q26" s="137">
        <f>DSUM(BCO_JUL13,7,CL_29_)</f>
        <v>0</v>
      </c>
      <c r="R26" s="137">
        <f>DSUM(BCO_AGO13,7,CL_29_)</f>
        <v>300</v>
      </c>
      <c r="S26" s="137">
        <f>DSUM(BCO_SEP13,7,CL_29_)</f>
        <v>0</v>
      </c>
      <c r="T26" s="137"/>
      <c r="U26" s="137"/>
      <c r="V26" s="137"/>
    </row>
    <row r="27" spans="1:22" ht="15.95" customHeight="1" x14ac:dyDescent="0.2">
      <c r="B27" s="1" t="s">
        <v>809</v>
      </c>
      <c r="C27" s="129" t="str">
        <f t="shared" si="1"/>
        <v>Rancho La Cuchilla No. 30</v>
      </c>
      <c r="D27" s="129" t="str">
        <f t="shared" si="2"/>
        <v>Ruiz Navarrete</v>
      </c>
      <c r="E27" s="90">
        <f t="shared" si="3"/>
        <v>300</v>
      </c>
      <c r="F27" s="91">
        <f>DSUM(SEP_2013_A,AA,CL_30_)</f>
        <v>0</v>
      </c>
      <c r="G27" s="90">
        <f t="shared" si="4"/>
        <v>0</v>
      </c>
      <c r="H27" s="90">
        <f>DSUM(SEP_2013_A,importe,CL_30_)</f>
        <v>0</v>
      </c>
      <c r="I27" s="17">
        <f t="shared" si="6"/>
        <v>0</v>
      </c>
      <c r="J27" s="6" t="s">
        <v>1276</v>
      </c>
      <c r="K27" s="137">
        <f>DSUM(SEP_2013_A,23,CL_30_)</f>
        <v>0</v>
      </c>
      <c r="L27" s="137">
        <f>DSUM(SEP_2013_A,24,CL_30_)</f>
        <v>0</v>
      </c>
      <c r="M27" s="137">
        <f>DSUM(SEP_2013_A,25,CL_30_)</f>
        <v>0</v>
      </c>
      <c r="N27" s="137">
        <f>DSUM(SEP_2013_A,26,CL_30_)</f>
        <v>0</v>
      </c>
      <c r="O27" s="137">
        <f>DSUM(SEP_2013_A,27,CL_30_)</f>
        <v>0</v>
      </c>
      <c r="P27" s="137">
        <f>DSUM(SEP_2013_A,28,CL_30_)</f>
        <v>0</v>
      </c>
      <c r="Q27" s="137">
        <f>DSUM(SEP_2013_A,29,CL_30_)</f>
        <v>0</v>
      </c>
      <c r="R27" s="137">
        <f>DSUM(SEP_2013_A,30,CL_30_)</f>
        <v>0</v>
      </c>
      <c r="S27" s="137">
        <f>DSUM(SEP_2013_A,31,CL_30_)</f>
        <v>0</v>
      </c>
      <c r="T27" s="137">
        <f>DSUM(SEP_2013_A,32,CL_30_)</f>
        <v>0</v>
      </c>
      <c r="U27" s="137">
        <f>DSUM(SEP_2013_A,33,CL_30_)</f>
        <v>0</v>
      </c>
      <c r="V27" s="137">
        <f>DSUM(SEP_2013_A,34,CL_30_)</f>
        <v>0</v>
      </c>
    </row>
    <row r="28" spans="1:22" ht="15.95" customHeight="1" x14ac:dyDescent="0.2">
      <c r="B28" s="1" t="s">
        <v>810</v>
      </c>
      <c r="C28" s="129" t="str">
        <f t="shared" si="1"/>
        <v>Rancho La Cuchilla No. 31</v>
      </c>
      <c r="D28" s="129" t="str">
        <f t="shared" si="2"/>
        <v>Espinoza Serrano</v>
      </c>
      <c r="E28" s="90">
        <f t="shared" si="3"/>
        <v>300</v>
      </c>
      <c r="F28" s="91">
        <f>DSUM(SEP_2013_A,AA,CL_31_)</f>
        <v>0</v>
      </c>
      <c r="G28" s="90">
        <f t="shared" si="4"/>
        <v>1000</v>
      </c>
      <c r="H28" s="90">
        <f>DSUM(SEP_2013_A,importe,CL_31_)</f>
        <v>1000</v>
      </c>
      <c r="I28" s="17">
        <f t="shared" si="6"/>
        <v>3.3333333333333335</v>
      </c>
      <c r="J28" s="6" t="s">
        <v>1276</v>
      </c>
      <c r="K28" s="137">
        <f>DSUM(SEP_2013_A,23,CL_31_)</f>
        <v>300</v>
      </c>
      <c r="L28" s="137">
        <f>DSUM(SEP_2013_A,24,CL_31_)</f>
        <v>300</v>
      </c>
      <c r="M28" s="137">
        <f>DSUM(SEP_2013_A,25,CL_31_)</f>
        <v>300</v>
      </c>
      <c r="N28" s="137">
        <f>DSUM(SEP_2013_A,26,CL_31_)</f>
        <v>100</v>
      </c>
      <c r="O28" s="137">
        <f>DSUM(SEP_2013_A,27,CL_31_)</f>
        <v>0</v>
      </c>
      <c r="P28" s="137">
        <f>DSUM(SEP_2013_A,28,CL_31_)</f>
        <v>0</v>
      </c>
      <c r="Q28" s="137">
        <f>DSUM(SEP_2013_A,29,CL_31_)</f>
        <v>0</v>
      </c>
      <c r="R28" s="137">
        <f>DSUM(SEP_2013_A,30,CL_31_)</f>
        <v>0</v>
      </c>
      <c r="S28" s="137">
        <f>DSUM(SEP_2013_A,31,CL_31_)</f>
        <v>0</v>
      </c>
      <c r="T28" s="137">
        <f>DSUM(SEP_2013_A,32,CL_31_)</f>
        <v>0</v>
      </c>
      <c r="U28" s="137">
        <f>DSUM(SEP_2013_A,33,CL_31_)</f>
        <v>0</v>
      </c>
      <c r="V28" s="137">
        <f>DSUM(SEP_2013_A,34,CL_31_)</f>
        <v>0</v>
      </c>
    </row>
    <row r="29" spans="1:22" ht="15.95" customHeight="1" x14ac:dyDescent="0.2">
      <c r="B29" s="1" t="s">
        <v>811</v>
      </c>
      <c r="C29" s="129" t="str">
        <f t="shared" si="1"/>
        <v>Rancho La Cuchilla No. 32</v>
      </c>
      <c r="D29" s="129" t="str">
        <f t="shared" si="2"/>
        <v>Hernández</v>
      </c>
      <c r="E29" s="90">
        <f t="shared" si="3"/>
        <v>300</v>
      </c>
      <c r="F29" s="91">
        <f>DSUM(SEP_2013_A,AA,CL_32_)</f>
        <v>1200</v>
      </c>
      <c r="G29" s="90">
        <f t="shared" si="4"/>
        <v>2400</v>
      </c>
      <c r="H29" s="90">
        <f>DSUM(SEP_2013_A,importe,CL_32_)</f>
        <v>3600</v>
      </c>
      <c r="I29" s="17">
        <f t="shared" si="6"/>
        <v>8</v>
      </c>
      <c r="J29" s="6" t="s">
        <v>1276</v>
      </c>
      <c r="K29" s="137">
        <f>DSUM(SEP_2013_A,23,CL_32_)</f>
        <v>300</v>
      </c>
      <c r="L29" s="137">
        <f>DSUM(SEP_2013_A,24,CL_32_)</f>
        <v>300</v>
      </c>
      <c r="M29" s="137">
        <f>DSUM(SEP_2013_A,25,CL_32_)</f>
        <v>300</v>
      </c>
      <c r="N29" s="137">
        <f>DSUM(SEP_2013_A,26,CL_32_)</f>
        <v>300</v>
      </c>
      <c r="O29" s="137">
        <f>DSUM(SEP_2013_A,27,CL_32_)</f>
        <v>300</v>
      </c>
      <c r="P29" s="137">
        <f>DSUM(SEP_2013_A,28,CL_32_)</f>
        <v>300</v>
      </c>
      <c r="Q29" s="137">
        <f>DSUM(SEP_2013_A,29,CL_32_)</f>
        <v>300</v>
      </c>
      <c r="R29" s="137">
        <f>DSUM(SEP_2013_A,30,CL_32_)</f>
        <v>300</v>
      </c>
      <c r="S29" s="137">
        <f>DSUM(SEP_2013_A,31,CL_32_)</f>
        <v>0</v>
      </c>
      <c r="T29" s="137">
        <f>DSUM(SEP_2013_A,32,CL_32_)</f>
        <v>0</v>
      </c>
      <c r="U29" s="137">
        <f>DSUM(SEP_2013_A,33,CL_32_)</f>
        <v>0</v>
      </c>
      <c r="V29" s="137">
        <f>DSUM(SEP_2013_A,34,CL_32_)</f>
        <v>0</v>
      </c>
    </row>
    <row r="30" spans="1:22" ht="15.95" customHeight="1" x14ac:dyDescent="0.2">
      <c r="B30" s="73" t="s">
        <v>812</v>
      </c>
      <c r="C30" s="129" t="str">
        <f t="shared" si="1"/>
        <v>Rancho La Cuchilla No. 33</v>
      </c>
      <c r="D30" s="129" t="str">
        <f t="shared" si="2"/>
        <v>Tanús</v>
      </c>
      <c r="E30" s="90">
        <f t="shared" si="3"/>
        <v>300</v>
      </c>
      <c r="F30" s="91">
        <f>DSUM(SEP_2013_A,AA,CL_33_)</f>
        <v>300</v>
      </c>
      <c r="G30" s="90">
        <f t="shared" si="4"/>
        <v>2700</v>
      </c>
      <c r="H30" s="90">
        <f>DSUM(SEP_2013_A,importe,CL_33_)</f>
        <v>3000</v>
      </c>
      <c r="I30" s="17">
        <f t="shared" si="6"/>
        <v>9</v>
      </c>
      <c r="J30" s="6" t="s">
        <v>1276</v>
      </c>
      <c r="K30" s="137">
        <f>DSUM(SEP_2013_A,23,CL_33_)</f>
        <v>300</v>
      </c>
      <c r="L30" s="137">
        <f>DSUM(SEP_2013_A,24,CL_33_)</f>
        <v>300</v>
      </c>
      <c r="M30" s="137">
        <f>DSUM(SEP_2013_A,25,CL_33_)</f>
        <v>300</v>
      </c>
      <c r="N30" s="137">
        <f>DSUM(SEP_2013_A,26,CL_33_)</f>
        <v>300</v>
      </c>
      <c r="O30" s="137">
        <f>DSUM(SEP_2013_A,27,CL_33_)</f>
        <v>300</v>
      </c>
      <c r="P30" s="137">
        <f>DSUM(SEP_2013_A,28,CL_33_)</f>
        <v>300</v>
      </c>
      <c r="Q30" s="137">
        <f>DSUM(SEP_2013_A,29,CL_33_)</f>
        <v>300</v>
      </c>
      <c r="R30" s="137">
        <f>DSUM(SEP_2013_A,30,CL_33_)</f>
        <v>300</v>
      </c>
      <c r="S30" s="137">
        <f>DSUM(SEP_2013_A,31,CL_33_)</f>
        <v>300</v>
      </c>
      <c r="T30" s="137">
        <f>DSUM(SEP_2013_A,32,CL_33_)</f>
        <v>0</v>
      </c>
      <c r="U30" s="137">
        <f>DSUM(SEP_2013_A,33,CL_33_)</f>
        <v>0</v>
      </c>
      <c r="V30" s="137">
        <f>DSUM(SEP_2013_A,34,CL_33_)</f>
        <v>0</v>
      </c>
    </row>
    <row r="31" spans="1:22" ht="15.95" customHeight="1" x14ac:dyDescent="0.2">
      <c r="B31" s="1" t="s">
        <v>813</v>
      </c>
      <c r="C31" s="129" t="str">
        <f t="shared" si="1"/>
        <v>Rancho La Cuchilla No. 35</v>
      </c>
      <c r="D31" s="129" t="str">
        <f t="shared" si="2"/>
        <v>Mendoza</v>
      </c>
      <c r="E31" s="90">
        <f t="shared" si="3"/>
        <v>150</v>
      </c>
      <c r="F31" s="91">
        <f>DSUM(SEP_2013_A,AA,CL_35_)</f>
        <v>150</v>
      </c>
      <c r="G31" s="90">
        <f t="shared" si="4"/>
        <v>450</v>
      </c>
      <c r="H31" s="90">
        <f>DSUM(SEP_2013_A,importe,CL_35_)</f>
        <v>600</v>
      </c>
      <c r="I31" s="17">
        <f t="shared" si="6"/>
        <v>3</v>
      </c>
      <c r="J31" s="6" t="s">
        <v>1276</v>
      </c>
      <c r="K31" s="137">
        <f>DSUM(SEP_2013_A,23,CL_35_)</f>
        <v>150</v>
      </c>
      <c r="L31" s="137">
        <f>DSUM(SEP_2013_A,24,CL_35_)</f>
        <v>150</v>
      </c>
      <c r="M31" s="137">
        <f>DSUM(SEP_2013_A,25,CL_35_)</f>
        <v>150</v>
      </c>
      <c r="N31" s="137">
        <f>DSUM(SEP_2013_A,26,CL_35_)</f>
        <v>0</v>
      </c>
      <c r="O31" s="137">
        <f>DSUM(SEP_2013_A,27,CL_35_)</f>
        <v>0</v>
      </c>
      <c r="P31" s="137">
        <f>DSUM(SEP_2013_A,28,CL_35_)</f>
        <v>0</v>
      </c>
      <c r="Q31" s="137">
        <f>DSUM(SEP_2013_A,29,CL_35_)</f>
        <v>0</v>
      </c>
      <c r="R31" s="137">
        <f>DSUM(SEP_2013_A,30,CL_35_)</f>
        <v>0</v>
      </c>
      <c r="S31" s="137">
        <f>DSUM(SEP_2013_A,31,CL_35_)</f>
        <v>0</v>
      </c>
      <c r="T31" s="137">
        <f>DSUM(SEP_2013_A,32,CL_35_)</f>
        <v>0</v>
      </c>
      <c r="U31" s="137">
        <f>DSUM(SEP_2013_A,33,CL_35_)</f>
        <v>0</v>
      </c>
      <c r="V31" s="137">
        <f>DSUM(SEP_2013_A,34,CL_35_)</f>
        <v>0</v>
      </c>
    </row>
    <row r="32" spans="1:22" ht="15.95" customHeight="1" x14ac:dyDescent="0.2">
      <c r="B32" s="1" t="s">
        <v>814</v>
      </c>
      <c r="C32" s="129" t="str">
        <f t="shared" si="1"/>
        <v>Rancho La Cuchilla No. 36</v>
      </c>
      <c r="D32" s="129" t="str">
        <f t="shared" si="2"/>
        <v>Castillo</v>
      </c>
      <c r="E32" s="90">
        <f t="shared" si="3"/>
        <v>300</v>
      </c>
      <c r="F32" s="91">
        <f>DSUM(SEP_2013_A,AA,CL_36_)</f>
        <v>300</v>
      </c>
      <c r="G32" s="90">
        <f t="shared" si="4"/>
        <v>2400</v>
      </c>
      <c r="H32" s="90">
        <f>DSUM(SEP_2013_A,importe,CL_36_)</f>
        <v>2700</v>
      </c>
      <c r="I32" s="17">
        <f t="shared" si="6"/>
        <v>8</v>
      </c>
      <c r="J32" s="6" t="s">
        <v>1276</v>
      </c>
      <c r="K32" s="137">
        <f>DSUM(SEP_2013_A,23,CL_36_)</f>
        <v>300</v>
      </c>
      <c r="L32" s="137">
        <f>DSUM(SEP_2013_A,24,CL_36_)</f>
        <v>300</v>
      </c>
      <c r="M32" s="137">
        <f>DSUM(SEP_2013_A,25,CL_36_)</f>
        <v>300</v>
      </c>
      <c r="N32" s="137">
        <f>DSUM(SEP_2013_A,26,CL_36_)</f>
        <v>300</v>
      </c>
      <c r="O32" s="137">
        <f>DSUM(SEP_2013_A,27,CL_36_)</f>
        <v>300</v>
      </c>
      <c r="P32" s="137">
        <f>DSUM(SEP_2013_A,28,CL_36_)</f>
        <v>300</v>
      </c>
      <c r="Q32" s="137">
        <f>DSUM(SEP_2013_A,29,CL_36_)</f>
        <v>300</v>
      </c>
      <c r="R32" s="137">
        <f>DSUM(SEP_2013_A,30,CL_36_)</f>
        <v>300</v>
      </c>
      <c r="S32" s="137">
        <f>DSUM(SEP_2013_A,31,CL_36_)</f>
        <v>0</v>
      </c>
      <c r="T32" s="137">
        <f>DSUM(SEP_2013_A,32,CL_36_)</f>
        <v>0</v>
      </c>
      <c r="U32" s="137">
        <f>DSUM(SEP_2013_A,33,CL_36_)</f>
        <v>0</v>
      </c>
      <c r="V32" s="137">
        <f>DSUM(SEP_2013_A,34,CL_36_)</f>
        <v>0</v>
      </c>
    </row>
    <row r="33" spans="2:22" ht="15.95" customHeight="1" x14ac:dyDescent="0.2">
      <c r="B33" s="1" t="s">
        <v>815</v>
      </c>
      <c r="C33" s="129" t="str">
        <f t="shared" si="1"/>
        <v>Rancho La Cuchilla No. 38</v>
      </c>
      <c r="D33" s="129" t="str">
        <f t="shared" si="2"/>
        <v>Cerecedo</v>
      </c>
      <c r="E33" s="90">
        <f t="shared" si="3"/>
        <v>300</v>
      </c>
      <c r="F33" s="91">
        <f>DSUM(SEP_2013_A,AA,CL_38_)</f>
        <v>600</v>
      </c>
      <c r="G33" s="90">
        <f t="shared" si="4"/>
        <v>0</v>
      </c>
      <c r="H33" s="90">
        <f>DSUM(SEP_2013_A,importe,CL_38_)</f>
        <v>600</v>
      </c>
      <c r="I33" s="17">
        <f t="shared" si="6"/>
        <v>0</v>
      </c>
      <c r="J33" s="6" t="s">
        <v>1276</v>
      </c>
      <c r="K33" s="137">
        <f>DSUM(SEP_2013_A,23,CL_38_)</f>
        <v>0</v>
      </c>
      <c r="L33" s="137">
        <f>DSUM(SEP_2013_A,24,CL_38_)</f>
        <v>0</v>
      </c>
      <c r="M33" s="137">
        <f>DSUM(SEP_2013_A,25,CL_38_)</f>
        <v>0</v>
      </c>
      <c r="N33" s="137">
        <f>DSUM(SEP_2013_A,26,CL_38_)</f>
        <v>0</v>
      </c>
      <c r="O33" s="137">
        <f>DSUM(SEP_2013_A,27,CL_38_)</f>
        <v>0</v>
      </c>
      <c r="P33" s="137">
        <f>DSUM(SEP_2013_A,28,CL_38_)</f>
        <v>0</v>
      </c>
      <c r="Q33" s="137">
        <f>DSUM(SEP_2013_A,29,CL_38_)</f>
        <v>0</v>
      </c>
      <c r="R33" s="137">
        <f>DSUM(SEP_2013_A,30,CL_38_)</f>
        <v>0</v>
      </c>
      <c r="S33" s="137">
        <f>DSUM(SEP_2013_A,31,CL_38_)</f>
        <v>0</v>
      </c>
      <c r="T33" s="137">
        <f>DSUM(SEP_2013_A,32,CL_38_)</f>
        <v>0</v>
      </c>
      <c r="U33" s="137">
        <f>DSUM(SEP_2013_A,33,CL_38_)</f>
        <v>0</v>
      </c>
      <c r="V33" s="137">
        <f>DSUM(SEP_2013_A,34,CL_38_)</f>
        <v>0</v>
      </c>
    </row>
    <row r="34" spans="2:22" ht="15.95" customHeight="1" x14ac:dyDescent="0.2">
      <c r="B34" s="1" t="s">
        <v>816</v>
      </c>
      <c r="C34" s="129" t="str">
        <f t="shared" si="1"/>
        <v>Rancho La Cuchilla No. 39</v>
      </c>
      <c r="D34" s="129" t="str">
        <f t="shared" si="2"/>
        <v>Arenas</v>
      </c>
      <c r="E34" s="90">
        <f t="shared" si="3"/>
        <v>300</v>
      </c>
      <c r="F34" s="91">
        <f>DSUM(SEP_2013_A,AA,CL_39_)</f>
        <v>0</v>
      </c>
      <c r="G34" s="90">
        <f t="shared" si="4"/>
        <v>0</v>
      </c>
      <c r="H34" s="90">
        <f>DSUM(SEP_2013_A,importe,CL_39_)</f>
        <v>0</v>
      </c>
      <c r="I34" s="17">
        <f t="shared" si="6"/>
        <v>0</v>
      </c>
      <c r="J34" s="6" t="s">
        <v>1276</v>
      </c>
      <c r="K34" s="137">
        <f>DSUM(SEP_2013_A,23,CL_39_)</f>
        <v>0</v>
      </c>
      <c r="L34" s="137">
        <f>DSUM(SEP_2013_A,24,CL_39_)</f>
        <v>0</v>
      </c>
      <c r="M34" s="137">
        <f>DSUM(SEP_2013_A,25,CL_39_)</f>
        <v>0</v>
      </c>
      <c r="N34" s="137">
        <f>DSUM(SEP_2013_A,26,CL_39_)</f>
        <v>0</v>
      </c>
      <c r="O34" s="137">
        <f>DSUM(SEP_2013_A,27,CL_39_)</f>
        <v>0</v>
      </c>
      <c r="P34" s="137">
        <f>DSUM(SEP_2013_A,28,CL_39_)</f>
        <v>0</v>
      </c>
      <c r="Q34" s="137">
        <f>DSUM(SEP_2013_A,29,CL_39_)</f>
        <v>0</v>
      </c>
      <c r="R34" s="137">
        <f>DSUM(SEP_2013_A,30,CL_39_)</f>
        <v>0</v>
      </c>
      <c r="S34" s="137">
        <f>DSUM(SEP_2013_A,31,CL_39_)</f>
        <v>0</v>
      </c>
      <c r="T34" s="137">
        <f>DSUM(SEP_2013_A,32,CL_39_)</f>
        <v>0</v>
      </c>
      <c r="U34" s="137">
        <f>DSUM(SEP_2013_A,33,CL_39_)</f>
        <v>0</v>
      </c>
      <c r="V34" s="137">
        <f>DSUM(SEP_2013_A,34,CL_39_)</f>
        <v>0</v>
      </c>
    </row>
    <row r="35" spans="2:22" ht="15.95" customHeight="1" x14ac:dyDescent="0.2">
      <c r="B35" s="1" t="s">
        <v>817</v>
      </c>
      <c r="C35" s="129" t="str">
        <f t="shared" si="1"/>
        <v>Rancho La Cuchilla No. 40</v>
      </c>
      <c r="D35" s="129" t="str">
        <f t="shared" si="2"/>
        <v>López Pico</v>
      </c>
      <c r="E35" s="90">
        <f t="shared" si="3"/>
        <v>300</v>
      </c>
      <c r="F35" s="91">
        <f>DSUM(SEP_2013_A,AA,CL_40_)</f>
        <v>300</v>
      </c>
      <c r="G35" s="90">
        <f t="shared" si="4"/>
        <v>2700</v>
      </c>
      <c r="H35" s="90">
        <f>DSUM(SEP_2013_A,importe,CL_40_)</f>
        <v>3000</v>
      </c>
      <c r="I35" s="17">
        <f t="shared" si="6"/>
        <v>9</v>
      </c>
      <c r="J35" s="6" t="s">
        <v>1276</v>
      </c>
      <c r="K35" s="137">
        <f>DSUM(SEP_2013_A,23,CL_40_)</f>
        <v>300</v>
      </c>
      <c r="L35" s="137">
        <f>DSUM(SEP_2013_A,24,CL_40_)</f>
        <v>300</v>
      </c>
      <c r="M35" s="137">
        <f>DSUM(SEP_2013_A,25,CL_40_)</f>
        <v>300</v>
      </c>
      <c r="N35" s="137">
        <f>DSUM(SEP_2013_A,26,CL_40_)</f>
        <v>300</v>
      </c>
      <c r="O35" s="137">
        <f>DSUM(SEP_2013_A,27,CL_40_)</f>
        <v>300</v>
      </c>
      <c r="P35" s="137">
        <f>DSUM(SEP_2013_A,28,CL_40_)</f>
        <v>300</v>
      </c>
      <c r="Q35" s="137">
        <f>DSUM(SEP_2013_A,29,CL_40_)</f>
        <v>300</v>
      </c>
      <c r="R35" s="137">
        <f>DSUM(SEP_2013_A,30,CL_40_)</f>
        <v>300</v>
      </c>
      <c r="S35" s="137">
        <f>DSUM(SEP_2013_A,31,CL_40_)</f>
        <v>300</v>
      </c>
      <c r="T35" s="137">
        <f>DSUM(SEP_2013_A,32,CL_40_)</f>
        <v>0</v>
      </c>
      <c r="U35" s="137">
        <f>DSUM(SEP_2013_A,33,CL_40_)</f>
        <v>0</v>
      </c>
      <c r="V35" s="137">
        <f>DSUM(SEP_2013_A,34,CL_40_)</f>
        <v>0</v>
      </c>
    </row>
    <row r="36" spans="2:22" ht="15.95" customHeight="1" x14ac:dyDescent="0.2">
      <c r="B36" s="1" t="s">
        <v>818</v>
      </c>
      <c r="C36" s="129" t="str">
        <f t="shared" si="1"/>
        <v>Rancho La Cuchilla No. 41</v>
      </c>
      <c r="D36" s="129" t="str">
        <f t="shared" si="2"/>
        <v>Arriaga Lemus</v>
      </c>
      <c r="E36" s="90">
        <f t="shared" si="3"/>
        <v>250</v>
      </c>
      <c r="F36" s="91">
        <f>DSUM(SEP_2013_A,AA,CL_41_)</f>
        <v>250</v>
      </c>
      <c r="G36" s="90">
        <f t="shared" si="4"/>
        <v>2100</v>
      </c>
      <c r="H36" s="90">
        <f>DSUM(SEP_2013_A,importe,CL_41_)</f>
        <v>2350</v>
      </c>
      <c r="I36" s="17">
        <f t="shared" si="6"/>
        <v>8.4</v>
      </c>
      <c r="J36" s="6" t="s">
        <v>1276</v>
      </c>
      <c r="K36" s="137">
        <f>DSUM(SEP_2013_A,23,CL_41_)</f>
        <v>250</v>
      </c>
      <c r="L36" s="137">
        <f>DSUM(SEP_2013_A,24,CL_41_)</f>
        <v>250</v>
      </c>
      <c r="M36" s="137">
        <f>DSUM(SEP_2013_A,25,CL_41_)</f>
        <v>250</v>
      </c>
      <c r="N36" s="137">
        <f>DSUM(SEP_2013_A,26,CL_41_)</f>
        <v>250</v>
      </c>
      <c r="O36" s="137">
        <f>DSUM(SEP_2013_A,27,CL_41_)</f>
        <v>250</v>
      </c>
      <c r="P36" s="137">
        <f>DSUM(SEP_2013_A,28,CL_41_)</f>
        <v>250</v>
      </c>
      <c r="Q36" s="137">
        <f>DSUM(SEP_2013_A,29,CL_41_)</f>
        <v>300</v>
      </c>
      <c r="R36" s="137">
        <f>DSUM(SEP_2013_A,30,CL_41_)</f>
        <v>300</v>
      </c>
      <c r="S36" s="137">
        <f>DSUM(SEP_2013_A,31,CL_41_)</f>
        <v>0</v>
      </c>
      <c r="T36" s="137">
        <f>DSUM(SEP_2013_A,32,CL_41_)</f>
        <v>0</v>
      </c>
      <c r="U36" s="137">
        <f>DSUM(SEP_2013_A,33,CL_41_)</f>
        <v>0</v>
      </c>
      <c r="V36" s="137">
        <f>DSUM(SEP_2013_A,34,CL_41_)</f>
        <v>0</v>
      </c>
    </row>
    <row r="37" spans="2:22" ht="15.95" customHeight="1" x14ac:dyDescent="0.2">
      <c r="B37" s="1" t="s">
        <v>783</v>
      </c>
      <c r="C37" s="129" t="str">
        <f t="shared" si="1"/>
        <v>Rancho La Cuchilla No. 42</v>
      </c>
      <c r="D37" s="129" t="str">
        <f t="shared" si="2"/>
        <v>Mac Kinney</v>
      </c>
      <c r="E37" s="90">
        <f t="shared" si="3"/>
        <v>300</v>
      </c>
      <c r="F37" s="91">
        <f>DSUM(SEP_2013_A,AA,CL_42_)</f>
        <v>300</v>
      </c>
      <c r="G37" s="90">
        <f t="shared" si="4"/>
        <v>2700</v>
      </c>
      <c r="H37" s="90">
        <f>DSUM(SEP_2013_A,importe,CL_42_)</f>
        <v>3000</v>
      </c>
      <c r="I37" s="17">
        <f t="shared" si="6"/>
        <v>9</v>
      </c>
      <c r="J37" s="6" t="s">
        <v>1276</v>
      </c>
      <c r="K37" s="137">
        <f>DSUM(SEP_2013_A,23,CL_42_)</f>
        <v>300</v>
      </c>
      <c r="L37" s="137">
        <f>DSUM(SEP_2013_A,24,CL_42_)</f>
        <v>300</v>
      </c>
      <c r="M37" s="137">
        <f>DSUM(SEP_2013_A,25,CL_42_)</f>
        <v>300</v>
      </c>
      <c r="N37" s="137">
        <f>DSUM(SEP_2013_A,26,CL_42_)</f>
        <v>300</v>
      </c>
      <c r="O37" s="137">
        <f>DSUM(SEP_2013_A,27,CL_42_)</f>
        <v>300</v>
      </c>
      <c r="P37" s="137">
        <f>DSUM(SEP_2013_A,28,CL_42_)</f>
        <v>300</v>
      </c>
      <c r="Q37" s="137">
        <f>DSUM(SEP_2013_A,29,CL_42_)</f>
        <v>300</v>
      </c>
      <c r="R37" s="137">
        <f>DSUM(SEP_2013_A,30,CL_42_)</f>
        <v>300</v>
      </c>
      <c r="S37" s="137">
        <f>DSUM(SEP_2013_A,31,CL_42_)</f>
        <v>300</v>
      </c>
      <c r="T37" s="137">
        <f>DSUM(SEP_2013_A,32,CL_42_)</f>
        <v>0</v>
      </c>
      <c r="U37" s="137">
        <f>DSUM(SEP_2013_A,33,CL_42_)</f>
        <v>0</v>
      </c>
      <c r="V37" s="137">
        <f>DSUM(SEP_2013_A,34,CL_42_)</f>
        <v>0</v>
      </c>
    </row>
    <row r="38" spans="2:22" ht="15.95" customHeight="1" x14ac:dyDescent="0.2">
      <c r="B38" s="1" t="s">
        <v>819</v>
      </c>
      <c r="C38" s="129" t="str">
        <f t="shared" si="1"/>
        <v>Rancho La Cuchilla No. 43, A</v>
      </c>
      <c r="D38" s="129" t="str">
        <f t="shared" si="2"/>
        <v>De la Rosa</v>
      </c>
      <c r="E38" s="90">
        <f t="shared" si="3"/>
        <v>200</v>
      </c>
      <c r="F38" s="91">
        <f>DSUM(SEP_2013_A,AA,CL_43_A)</f>
        <v>200</v>
      </c>
      <c r="G38" s="90">
        <f t="shared" si="4"/>
        <v>1800</v>
      </c>
      <c r="H38" s="90">
        <f>DSUM(SEP_2013_A,importe,CL_43_A)</f>
        <v>2000</v>
      </c>
      <c r="I38" s="17">
        <f t="shared" si="6"/>
        <v>9</v>
      </c>
      <c r="J38" s="6" t="s">
        <v>1276</v>
      </c>
      <c r="K38" s="137">
        <f>DSUM(SEP_2013_A,23,CL_43_A)</f>
        <v>200</v>
      </c>
      <c r="L38" s="137">
        <f>DSUM(SEP_2013_A,24,CL_43_A)</f>
        <v>200</v>
      </c>
      <c r="M38" s="137">
        <f>DSUM(SEP_2013_A,25,CL_43_A)</f>
        <v>200</v>
      </c>
      <c r="N38" s="137">
        <f>DSUM(SEP_2013_A,26,CL_43_A)</f>
        <v>200</v>
      </c>
      <c r="O38" s="137">
        <f>DSUM(SEP_2013_A,27,CL_43_A)</f>
        <v>200</v>
      </c>
      <c r="P38" s="137">
        <f>DSUM(SEP_2013_A,28,CL_43_A)</f>
        <v>200</v>
      </c>
      <c r="Q38" s="137">
        <f>DSUM(SEP_2013_A,29,CL_43_A)</f>
        <v>200</v>
      </c>
      <c r="R38" s="137">
        <f>DSUM(SEP_2013_A,30,CL_43_A)</f>
        <v>400</v>
      </c>
      <c r="S38" s="137">
        <f>DSUM(SEP_2013_A,31,CL_43_A)</f>
        <v>0</v>
      </c>
      <c r="T38" s="137">
        <f>DSUM(SEP_2013_A,32,CL_43_A)</f>
        <v>0</v>
      </c>
      <c r="U38" s="137">
        <f>DSUM(SEP_2013_A,33,CL_43_A)</f>
        <v>0</v>
      </c>
      <c r="V38" s="137">
        <f>DSUM(SEP_2013_A,34,CL_43_A)</f>
        <v>0</v>
      </c>
    </row>
    <row r="39" spans="2:22" ht="15.95" customHeight="1" x14ac:dyDescent="0.2">
      <c r="B39" s="1" t="s">
        <v>772</v>
      </c>
      <c r="C39" s="129" t="str">
        <f t="shared" si="1"/>
        <v>Rancho La Cuchilla No. 43, B</v>
      </c>
      <c r="D39" s="129" t="str">
        <f t="shared" si="2"/>
        <v>Luna Albertano</v>
      </c>
      <c r="E39" s="90">
        <f t="shared" si="3"/>
        <v>125</v>
      </c>
      <c r="F39" s="91">
        <f>DSUM(SEP_2013_A,AA,CL_43_B)</f>
        <v>125</v>
      </c>
      <c r="G39" s="90">
        <f t="shared" si="4"/>
        <v>1125</v>
      </c>
      <c r="H39" s="90">
        <f>DSUM(SEP_2013_A,importe,CL_43_B)</f>
        <v>1250</v>
      </c>
      <c r="I39" s="17">
        <f t="shared" si="6"/>
        <v>9</v>
      </c>
      <c r="J39" s="6" t="s">
        <v>1276</v>
      </c>
      <c r="K39" s="137">
        <f>DSUM(SEP_2013_A,23,CL_43_B)</f>
        <v>125</v>
      </c>
      <c r="L39" s="137">
        <f>DSUM(SEP_2013_A,24,CL_43_B)</f>
        <v>125</v>
      </c>
      <c r="M39" s="137">
        <f>DSUM(SEP_2013_A,25,CL_43_B)</f>
        <v>125</v>
      </c>
      <c r="N39" s="137">
        <f>DSUM(SEP_2013_A,26,CL_43_B)</f>
        <v>125</v>
      </c>
      <c r="O39" s="137">
        <f>DSUM(SEP_2013_A,27,CL_43_B)</f>
        <v>125</v>
      </c>
      <c r="P39" s="137">
        <f>DSUM(SEP_2013_A,28,CL_43_B)</f>
        <v>125</v>
      </c>
      <c r="Q39" s="137">
        <f>DSUM(SEP_2013_A,29,CL_43_B)</f>
        <v>125</v>
      </c>
      <c r="R39" s="137">
        <f>DSUM(SEP_2013_A,30,CL_43_B)</f>
        <v>125</v>
      </c>
      <c r="S39" s="137">
        <f>DSUM(SEP_2013_A,31,CL_43_B)</f>
        <v>125</v>
      </c>
      <c r="T39" s="137">
        <f>DSUM(SEP_2013_A,32,CL_43_B)</f>
        <v>0</v>
      </c>
      <c r="U39" s="137">
        <f>DSUM(SEP_2013_A,33,CL_43_B)</f>
        <v>0</v>
      </c>
      <c r="V39" s="137">
        <f>DSUM(SEP_2013_A,34,CL_43_B)</f>
        <v>0</v>
      </c>
    </row>
    <row r="40" spans="2:22" ht="15.95" customHeight="1" x14ac:dyDescent="0.2">
      <c r="B40" s="1" t="s">
        <v>820</v>
      </c>
      <c r="C40" s="129" t="str">
        <f t="shared" si="1"/>
        <v>Rancho La Cuchilla No. 44</v>
      </c>
      <c r="D40" s="129" t="str">
        <f t="shared" si="2"/>
        <v>Garduño</v>
      </c>
      <c r="E40" s="90">
        <f t="shared" si="3"/>
        <v>300</v>
      </c>
      <c r="F40" s="91">
        <f>DSUM(SEP_2013_A,AA,CL_44_)</f>
        <v>0</v>
      </c>
      <c r="G40" s="90">
        <f t="shared" si="4"/>
        <v>0</v>
      </c>
      <c r="H40" s="90">
        <f>DSUM(SEP_2013_A,importe,CL_44_)</f>
        <v>0</v>
      </c>
      <c r="I40" s="17">
        <f t="shared" si="6"/>
        <v>0</v>
      </c>
      <c r="J40" s="6" t="s">
        <v>1276</v>
      </c>
      <c r="K40" s="137">
        <f>DSUM(SEP_2013_A,23,CL_44_)</f>
        <v>0</v>
      </c>
      <c r="L40" s="137">
        <f>DSUM(SEP_2013_A,24,CL_44_)</f>
        <v>0</v>
      </c>
      <c r="M40" s="137">
        <f>DSUM(SEP_2013_A,25,CL_44_)</f>
        <v>0</v>
      </c>
      <c r="N40" s="137">
        <f>DSUM(SEP_2013_A,26,CL_44_)</f>
        <v>0</v>
      </c>
      <c r="O40" s="137">
        <f>DSUM(SEP_2013_A,27,CL_44_)</f>
        <v>0</v>
      </c>
      <c r="P40" s="137">
        <f>DSUM(SEP_2013_A,28,CL_44_)</f>
        <v>0</v>
      </c>
      <c r="Q40" s="137">
        <f>DSUM(SEP_2013_A,29,CL_44_)</f>
        <v>0</v>
      </c>
      <c r="R40" s="137">
        <f>DSUM(SEP_2013_A,30,CL_44_)</f>
        <v>0</v>
      </c>
      <c r="S40" s="137">
        <f>DSUM(SEP_2013_A,31,CL_44_)</f>
        <v>0</v>
      </c>
      <c r="T40" s="137">
        <f>DSUM(SEP_2013_A,32,CL_44_)</f>
        <v>0</v>
      </c>
      <c r="U40" s="137">
        <f>DSUM(SEP_2013_A,33,CL_44_)</f>
        <v>0</v>
      </c>
      <c r="V40" s="137">
        <f>DSUM(SEP_2013_A,34,CL_44_)</f>
        <v>0</v>
      </c>
    </row>
    <row r="41" spans="2:22" ht="15.95" customHeight="1" x14ac:dyDescent="0.2">
      <c r="B41" s="1" t="s">
        <v>788</v>
      </c>
      <c r="C41" s="129" t="str">
        <f t="shared" si="1"/>
        <v>Rancho La Cuchilla No. 45</v>
      </c>
      <c r="D41" s="129" t="str">
        <f t="shared" si="2"/>
        <v>Estévez Hernández</v>
      </c>
      <c r="E41" s="90">
        <f t="shared" si="3"/>
        <v>300</v>
      </c>
      <c r="F41" s="91">
        <f>DSUM(SEP_2013_A,AA,CL_45_)</f>
        <v>600</v>
      </c>
      <c r="G41" s="90">
        <f t="shared" si="4"/>
        <v>2700</v>
      </c>
      <c r="H41" s="90">
        <f>DSUM(SEP_2013_A,importe,CL_45_)</f>
        <v>3300</v>
      </c>
      <c r="I41" s="17">
        <f t="shared" si="6"/>
        <v>9</v>
      </c>
      <c r="J41" s="6" t="s">
        <v>1276</v>
      </c>
      <c r="K41" s="137">
        <f>DSUM(SEP_2013_A,23,CL_45_)</f>
        <v>300</v>
      </c>
      <c r="L41" s="137">
        <f>DSUM(SEP_2013_A,24,CL_45_)</f>
        <v>300</v>
      </c>
      <c r="M41" s="137">
        <f>DSUM(SEP_2013_A,25,CL_45_)</f>
        <v>300</v>
      </c>
      <c r="N41" s="137">
        <f>DSUM(SEP_2013_A,26,CL_45_)</f>
        <v>300</v>
      </c>
      <c r="O41" s="137">
        <f>DSUM(SEP_2013_A,27,CL_45_)</f>
        <v>300</v>
      </c>
      <c r="P41" s="137">
        <f>DSUM(SEP_2013_A,28,CL_45_)</f>
        <v>300</v>
      </c>
      <c r="Q41" s="137">
        <f>DSUM(SEP_2013_A,29,CL_45_)</f>
        <v>300</v>
      </c>
      <c r="R41" s="137">
        <f>DSUM(SEP_2013_A,30,CL_45_)</f>
        <v>300</v>
      </c>
      <c r="S41" s="137">
        <f>DSUM(SEP_2013_A,31,CL_45_)</f>
        <v>300</v>
      </c>
      <c r="T41" s="137">
        <f>DSUM(SEP_2013_A,32,CL_45_)</f>
        <v>0</v>
      </c>
      <c r="U41" s="137">
        <f>DSUM(SEP_2013_A,33,CL_45_)</f>
        <v>0</v>
      </c>
      <c r="V41" s="137">
        <f>DSUM(SEP_2013_A,34,CL_45_)</f>
        <v>0</v>
      </c>
    </row>
    <row r="42" spans="2:22" ht="15.95" customHeight="1" x14ac:dyDescent="0.2">
      <c r="B42" s="1" t="s">
        <v>821</v>
      </c>
      <c r="C42" s="129" t="str">
        <f t="shared" si="1"/>
        <v>Rancho La Cuchilla No. 46</v>
      </c>
      <c r="D42" s="129" t="str">
        <f t="shared" si="2"/>
        <v>Cruz López</v>
      </c>
      <c r="E42" s="90">
        <f t="shared" si="3"/>
        <v>300</v>
      </c>
      <c r="F42" s="91">
        <f>DSUM(SEP_2013_A,AA,CL_46_)</f>
        <v>600</v>
      </c>
      <c r="G42" s="90">
        <f t="shared" si="4"/>
        <v>3000</v>
      </c>
      <c r="H42" s="90">
        <f>DSUM(SEP_2013_A,importe,CL_46_)</f>
        <v>3600</v>
      </c>
      <c r="I42" s="17">
        <f t="shared" si="6"/>
        <v>10</v>
      </c>
      <c r="J42" s="6" t="s">
        <v>1276</v>
      </c>
      <c r="K42" s="137">
        <f>DSUM(SEP_2013_A,23,CL_46_)</f>
        <v>300</v>
      </c>
      <c r="L42" s="137">
        <f>DSUM(SEP_2013_A,24,CL_46_)</f>
        <v>300</v>
      </c>
      <c r="M42" s="137">
        <f>DSUM(SEP_2013_A,25,CL_46_)</f>
        <v>300</v>
      </c>
      <c r="N42" s="137">
        <f>DSUM(SEP_2013_A,26,CL_46_)</f>
        <v>300</v>
      </c>
      <c r="O42" s="137">
        <f>DSUM(SEP_2013_A,27,CL_46_)</f>
        <v>300</v>
      </c>
      <c r="P42" s="137">
        <f>DSUM(SEP_2013_A,28,CL_46_)</f>
        <v>300</v>
      </c>
      <c r="Q42" s="137">
        <f>DSUM(SEP_2013_A,29,CL_46_)</f>
        <v>300</v>
      </c>
      <c r="R42" s="137">
        <f>DSUM(SEP_2013_A,30,CL_46_)</f>
        <v>300</v>
      </c>
      <c r="S42" s="137">
        <f>DSUM(SEP_2013_A,31,CL_46_)</f>
        <v>300</v>
      </c>
      <c r="T42" s="137">
        <f>DSUM(SEP_2013_A,32,CL_46_)</f>
        <v>300</v>
      </c>
      <c r="U42" s="137">
        <f>DSUM(SEP_2013_A,33,CL_46_)</f>
        <v>0</v>
      </c>
      <c r="V42" s="137">
        <f>DSUM(SEP_2013_A,34,CL_46_)</f>
        <v>0</v>
      </c>
    </row>
    <row r="43" spans="2:22" ht="15.95" customHeight="1" x14ac:dyDescent="0.2">
      <c r="B43" s="1" t="s">
        <v>785</v>
      </c>
      <c r="C43" s="129" t="str">
        <f t="shared" si="1"/>
        <v>Rancho La Cuchilla No. 47</v>
      </c>
      <c r="D43" s="129" t="str">
        <f t="shared" si="2"/>
        <v>López</v>
      </c>
      <c r="E43" s="90">
        <f t="shared" si="3"/>
        <v>300</v>
      </c>
      <c r="F43" s="91">
        <f>DSUM(SEP_2013_A,AA,CL_47_)</f>
        <v>600</v>
      </c>
      <c r="G43" s="90">
        <f t="shared" si="4"/>
        <v>1500</v>
      </c>
      <c r="H43" s="90">
        <f>DSUM(SEP_2013_A,importe,CL_47_)</f>
        <v>2100</v>
      </c>
      <c r="I43" s="17">
        <f t="shared" si="6"/>
        <v>5</v>
      </c>
      <c r="J43" s="6" t="s">
        <v>1276</v>
      </c>
      <c r="K43" s="137">
        <f>DSUM(SEP_2013_A,23,CL_47_)</f>
        <v>300</v>
      </c>
      <c r="L43" s="137">
        <f>DSUM(SEP_2013_A,24,CL_47_)</f>
        <v>300</v>
      </c>
      <c r="M43" s="137">
        <f>DSUM(SEP_2013_A,25,CL_47_)</f>
        <v>300</v>
      </c>
      <c r="N43" s="137">
        <f>DSUM(SEP_2013_A,26,CL_47_)</f>
        <v>300</v>
      </c>
      <c r="O43" s="137">
        <f>DSUM(SEP_2013_A,27,CL_47_)</f>
        <v>300</v>
      </c>
      <c r="P43" s="137">
        <f>DSUM(SEP_2013_A,28,CL_47_)</f>
        <v>0</v>
      </c>
      <c r="Q43" s="137">
        <f>DSUM(SEP_2013_A,29,CL_47_)</f>
        <v>0</v>
      </c>
      <c r="R43" s="137">
        <f>DSUM(SEP_2013_A,30,CL_47_)</f>
        <v>0</v>
      </c>
      <c r="S43" s="137">
        <f>DSUM(SEP_2013_A,31,CL_47_)</f>
        <v>0</v>
      </c>
      <c r="T43" s="137">
        <f>DSUM(SEP_2013_A,32,CL_47_)</f>
        <v>0</v>
      </c>
      <c r="U43" s="137">
        <f>DSUM(SEP_2013_A,33,CL_47_)</f>
        <v>0</v>
      </c>
      <c r="V43" s="137">
        <f>DSUM(SEP_2013_A,34,CL_47_)</f>
        <v>0</v>
      </c>
    </row>
    <row r="44" spans="2:22" ht="15.95" customHeight="1" x14ac:dyDescent="0.2">
      <c r="B44" s="1" t="s">
        <v>822</v>
      </c>
      <c r="C44" s="129" t="str">
        <f t="shared" si="1"/>
        <v>Rancho La Cuchilla No. 49</v>
      </c>
      <c r="D44" s="129" t="str">
        <f t="shared" si="2"/>
        <v>Orozco Castelazo</v>
      </c>
      <c r="E44" s="90">
        <f t="shared" si="3"/>
        <v>300</v>
      </c>
      <c r="F44" s="91">
        <f>DSUM(SEP_2013_A,AA,CL_49_)</f>
        <v>0</v>
      </c>
      <c r="G44" s="90">
        <f t="shared" si="4"/>
        <v>0</v>
      </c>
      <c r="H44" s="90">
        <f>DSUM(SEP_2013_A,importe,CL_49_)</f>
        <v>0</v>
      </c>
      <c r="I44" s="17">
        <f t="shared" si="6"/>
        <v>0</v>
      </c>
      <c r="J44" s="6" t="s">
        <v>1276</v>
      </c>
      <c r="K44" s="137">
        <f>DSUM(SEP_2013_A,23,CL_49_)</f>
        <v>0</v>
      </c>
      <c r="L44" s="137">
        <f>DSUM(SEP_2013_A,24,CL_49_)</f>
        <v>0</v>
      </c>
      <c r="M44" s="137">
        <f>DSUM(SEP_2013_A,25,CL_49_)</f>
        <v>0</v>
      </c>
      <c r="N44" s="137">
        <f>DSUM(SEP_2013_A,26,CL_49_)</f>
        <v>0</v>
      </c>
      <c r="O44" s="137">
        <f>DSUM(SEP_2013_A,27,CL_49_)</f>
        <v>0</v>
      </c>
      <c r="P44" s="137">
        <f>DSUM(SEP_2013_A,28,CL_49_)</f>
        <v>0</v>
      </c>
      <c r="Q44" s="137">
        <f>DSUM(SEP_2013_A,29,CL_49_)</f>
        <v>0</v>
      </c>
      <c r="R44" s="137">
        <f>DSUM(SEP_2013_A,30,CL_49_)</f>
        <v>0</v>
      </c>
      <c r="S44" s="137">
        <f>DSUM(SEP_2013_A,31,CL_49_)</f>
        <v>0</v>
      </c>
      <c r="T44" s="137">
        <f>DSUM(SEP_2013_A,32,CL_49_)</f>
        <v>0</v>
      </c>
      <c r="U44" s="137">
        <f>DSUM(SEP_2013_A,33,CL_49_)</f>
        <v>0</v>
      </c>
      <c r="V44" s="137">
        <f>DSUM(SEP_2013_A,34,CL_49_)</f>
        <v>0</v>
      </c>
    </row>
    <row r="45" spans="2:22" ht="15.95" customHeight="1" x14ac:dyDescent="0.2">
      <c r="B45" s="1" t="s">
        <v>823</v>
      </c>
      <c r="C45" s="129" t="str">
        <f t="shared" si="1"/>
        <v>Rancho La Cuchilla No. 52</v>
      </c>
      <c r="D45" s="129" t="str">
        <f t="shared" si="2"/>
        <v>Velázquez</v>
      </c>
      <c r="E45" s="90">
        <f t="shared" si="3"/>
        <v>300</v>
      </c>
      <c r="F45" s="91">
        <f>DSUM(SEP_2013_A,AA,CL_52_)</f>
        <v>0</v>
      </c>
      <c r="G45" s="90">
        <f t="shared" si="4"/>
        <v>0</v>
      </c>
      <c r="H45" s="90">
        <f>DSUM(SEP_2013_A,importe,CL_52_)</f>
        <v>0</v>
      </c>
      <c r="I45" s="17">
        <f t="shared" si="6"/>
        <v>0</v>
      </c>
      <c r="J45" s="6" t="s">
        <v>1276</v>
      </c>
      <c r="K45" s="137">
        <f>DSUM(SEP_2013_A,23,CL_52_)</f>
        <v>0</v>
      </c>
      <c r="L45" s="137">
        <f>DSUM(SEP_2013_A,24,CL_52_)</f>
        <v>0</v>
      </c>
      <c r="M45" s="137">
        <f>DSUM(SEP_2013_A,25,CL_52_)</f>
        <v>0</v>
      </c>
      <c r="N45" s="137">
        <f>DSUM(SEP_2013_A,26,CL_52_)</f>
        <v>0</v>
      </c>
      <c r="O45" s="137">
        <f>DSUM(SEP_2013_A,27,CL_52_)</f>
        <v>0</v>
      </c>
      <c r="P45" s="137">
        <f>DSUM(SEP_2013_A,28,CL_52_)</f>
        <v>0</v>
      </c>
      <c r="Q45" s="137">
        <f>DSUM(SEP_2013_A,29,CL_52_)</f>
        <v>0</v>
      </c>
      <c r="R45" s="137">
        <f>DSUM(SEP_2013_A,30,CL_52_)</f>
        <v>0</v>
      </c>
      <c r="S45" s="137">
        <f>DSUM(SEP_2013_A,31,CL_52_)</f>
        <v>0</v>
      </c>
      <c r="T45" s="137">
        <f>DSUM(SEP_2013_A,32,CL_52_)</f>
        <v>0</v>
      </c>
      <c r="U45" s="137">
        <f>DSUM(SEP_2013_A,33,CL_52_)</f>
        <v>0</v>
      </c>
      <c r="V45" s="137">
        <f>DSUM(SEP_2013_A,34,CL_52_)</f>
        <v>0</v>
      </c>
    </row>
    <row r="46" spans="2:22" ht="15.95" customHeight="1" x14ac:dyDescent="0.2">
      <c r="B46" s="1" t="s">
        <v>824</v>
      </c>
      <c r="C46" s="129" t="str">
        <f t="shared" si="1"/>
        <v>Rancho La Cuchilla No. 53</v>
      </c>
      <c r="D46" s="129" t="str">
        <f t="shared" si="2"/>
        <v>Loyo Ochoa</v>
      </c>
      <c r="E46" s="90">
        <f t="shared" si="3"/>
        <v>300</v>
      </c>
      <c r="F46" s="91">
        <f>DSUM(SEP_2013_A,AA,CL_53_)</f>
        <v>900</v>
      </c>
      <c r="G46" s="90">
        <f t="shared" si="4"/>
        <v>3600</v>
      </c>
      <c r="H46" s="90">
        <f>DSUM(SEP_2013_A,importe,CL_53_)</f>
        <v>4500</v>
      </c>
      <c r="I46" s="17">
        <f t="shared" si="6"/>
        <v>12</v>
      </c>
      <c r="J46" s="6" t="s">
        <v>1276</v>
      </c>
      <c r="K46" s="137">
        <f>DSUM(SEP_2013_A,23,CL_53_)</f>
        <v>300</v>
      </c>
      <c r="L46" s="137">
        <f>DSUM(SEP_2013_A,24,CL_53_)</f>
        <v>300</v>
      </c>
      <c r="M46" s="137">
        <f>DSUM(SEP_2013_A,25,CL_53_)</f>
        <v>300</v>
      </c>
      <c r="N46" s="137">
        <f>DSUM(SEP_2013_A,26,CL_53_)</f>
        <v>300</v>
      </c>
      <c r="O46" s="137">
        <f>DSUM(SEP_2013_A,27,CL_53_)</f>
        <v>300</v>
      </c>
      <c r="P46" s="137">
        <f>DSUM(SEP_2013_A,28,CL_53_)</f>
        <v>300</v>
      </c>
      <c r="Q46" s="137">
        <f>DSUM(SEP_2013_A,29,CL_53_)</f>
        <v>300</v>
      </c>
      <c r="R46" s="137">
        <f>DSUM(SEP_2013_A,30,CL_53_)</f>
        <v>300</v>
      </c>
      <c r="S46" s="137">
        <f>DSUM(SEP_2013_A,31,CL_53_)</f>
        <v>300</v>
      </c>
      <c r="T46" s="137">
        <f>DSUM(SEP_2013_A,32,CL_53_)</f>
        <v>300</v>
      </c>
      <c r="U46" s="137">
        <f>DSUM(SEP_2013_A,33,CL_53_)</f>
        <v>300</v>
      </c>
      <c r="V46" s="137">
        <f>DSUM(SEP_2013_A,34,CL_53_)</f>
        <v>300</v>
      </c>
    </row>
    <row r="47" spans="2:22" ht="15.95" customHeight="1" x14ac:dyDescent="0.2">
      <c r="B47" s="1" t="s">
        <v>1727</v>
      </c>
      <c r="C47" s="129" t="str">
        <f t="shared" si="1"/>
        <v>Rancho La Cuchilla No. 54</v>
      </c>
      <c r="D47" s="129" t="str">
        <f t="shared" si="2"/>
        <v>Mendoza León</v>
      </c>
      <c r="E47" s="90">
        <f t="shared" si="3"/>
        <v>300</v>
      </c>
      <c r="F47" s="91">
        <f>DSUM(SEP_2013_A,AA,CL_54_)</f>
        <v>0</v>
      </c>
      <c r="G47" s="90">
        <f t="shared" si="4"/>
        <v>600</v>
      </c>
      <c r="H47" s="90">
        <f>DSUM(SEP_2013_A,importe,CL_54_)</f>
        <v>600</v>
      </c>
      <c r="I47" s="17">
        <f t="shared" si="6"/>
        <v>2</v>
      </c>
      <c r="J47" s="6" t="s">
        <v>1276</v>
      </c>
      <c r="K47" s="137">
        <f>DSUM(SEP_2013_A,23,CL_54_)</f>
        <v>0</v>
      </c>
      <c r="L47" s="137">
        <f>DSUM(SEP_2013_A,24,CL_54_)</f>
        <v>0</v>
      </c>
      <c r="M47" s="137">
        <f>DSUM(SEP_2013_A,25,CL_54_)</f>
        <v>0</v>
      </c>
      <c r="N47" s="137">
        <f>DSUM(SEP_2013_A,26,CL_54_)</f>
        <v>0</v>
      </c>
      <c r="O47" s="137">
        <f>DSUM(SEP_2013_A,27,CL_54_)</f>
        <v>0</v>
      </c>
      <c r="P47" s="137">
        <f>DSUM(SEP_2013_A,28,CL_54_)</f>
        <v>0</v>
      </c>
      <c r="Q47" s="137">
        <f>DSUM(SEP_2013_A,29,CL_54_)</f>
        <v>300</v>
      </c>
      <c r="R47" s="137">
        <f>DSUM(SEP_2013_A,30,CL_54_)</f>
        <v>300</v>
      </c>
      <c r="S47" s="137">
        <f>DSUM(SEP_2013_A,31,CL_54_)</f>
        <v>0</v>
      </c>
      <c r="T47" s="137">
        <f>DSUM(SEP_2013_A,32,CL_54_)</f>
        <v>0</v>
      </c>
      <c r="U47" s="137">
        <f>DSUM(SEP_2013_A,33,CL_54_)</f>
        <v>0</v>
      </c>
      <c r="V47" s="137">
        <f>DSUM(SEP_2013_A,34,CL_54_)</f>
        <v>0</v>
      </c>
    </row>
    <row r="48" spans="2:22" ht="15.95" customHeight="1" x14ac:dyDescent="0.2">
      <c r="B48" s="1" t="s">
        <v>825</v>
      </c>
      <c r="C48" s="129" t="str">
        <f t="shared" si="1"/>
        <v>Rancho La Cuchilla No. 55</v>
      </c>
      <c r="D48" s="129" t="str">
        <f t="shared" si="2"/>
        <v>López Velázquez</v>
      </c>
      <c r="E48" s="90">
        <f t="shared" si="3"/>
        <v>300</v>
      </c>
      <c r="F48" s="91">
        <f>DSUM(SEP_2013_A,AA,CL_55_)</f>
        <v>300</v>
      </c>
      <c r="G48" s="90">
        <f t="shared" si="4"/>
        <v>2400</v>
      </c>
      <c r="H48" s="90">
        <f>DSUM(SEP_2013_A,importe,CL_55_)</f>
        <v>2700</v>
      </c>
      <c r="I48" s="17">
        <f t="shared" si="6"/>
        <v>8</v>
      </c>
      <c r="J48" s="6" t="s">
        <v>1276</v>
      </c>
      <c r="K48" s="137">
        <f>DSUM(SEP_2013_A,23,CL_55_)</f>
        <v>300</v>
      </c>
      <c r="L48" s="137">
        <f>DSUM(SEP_2013_A,24,CL_55_)</f>
        <v>300</v>
      </c>
      <c r="M48" s="137">
        <f>DSUM(SEP_2013_A,25,CL_55_)</f>
        <v>300</v>
      </c>
      <c r="N48" s="137">
        <f>DSUM(SEP_2013_A,26,CL_55_)</f>
        <v>300</v>
      </c>
      <c r="O48" s="137">
        <f>DSUM(SEP_2013_A,27,CL_55_)</f>
        <v>300</v>
      </c>
      <c r="P48" s="137">
        <f>DSUM(SEP_2013_A,28,CL_55_)</f>
        <v>300</v>
      </c>
      <c r="Q48" s="137">
        <f>DSUM(SEP_2013_A,29,CL_55_)</f>
        <v>300</v>
      </c>
      <c r="R48" s="137">
        <f>DSUM(SEP_2013_A,30,CL_55_)</f>
        <v>300</v>
      </c>
      <c r="S48" s="137">
        <f>DSUM(SEP_2013_A,31,CL_55_)</f>
        <v>0</v>
      </c>
      <c r="T48" s="137">
        <f>DSUM(SEP_2013_A,32,CL_55_)</f>
        <v>0</v>
      </c>
      <c r="U48" s="137">
        <f>DSUM(SEP_2013_A,33,CL_55_)</f>
        <v>0</v>
      </c>
      <c r="V48" s="137">
        <f>DSUM(SEP_2013_A,34,CL_55_)</f>
        <v>0</v>
      </c>
    </row>
    <row r="49" spans="2:22" ht="15.95" customHeight="1" x14ac:dyDescent="0.2">
      <c r="B49" s="1" t="s">
        <v>1317</v>
      </c>
      <c r="C49" s="129" t="str">
        <f t="shared" si="1"/>
        <v>Rancho La Cuchilla No. 57</v>
      </c>
      <c r="D49" s="129">
        <f t="shared" si="2"/>
        <v>0</v>
      </c>
      <c r="E49" s="90">
        <f t="shared" si="3"/>
        <v>300</v>
      </c>
      <c r="F49" s="91">
        <f>DSUM(SEP_2013_A,AA,CL_57_)</f>
        <v>0</v>
      </c>
      <c r="G49" s="90">
        <f t="shared" si="4"/>
        <v>0</v>
      </c>
      <c r="H49" s="90">
        <f>DSUM(SEP_2013_A,importe,CL_57_)</f>
        <v>0</v>
      </c>
      <c r="I49" s="17">
        <f t="shared" si="6"/>
        <v>0</v>
      </c>
      <c r="J49" s="6" t="s">
        <v>1276</v>
      </c>
      <c r="K49" s="137">
        <f>DSUM(SEP_2013_A,23,CL_57_)</f>
        <v>0</v>
      </c>
      <c r="L49" s="137">
        <f>DSUM(SEP_2013_A,24,CL_57_)</f>
        <v>0</v>
      </c>
      <c r="M49" s="137">
        <f>DSUM(SEP_2013_A,25,CL_57_)</f>
        <v>0</v>
      </c>
      <c r="N49" s="137">
        <f>DSUM(SEP_2013_A,26,CL_57_)</f>
        <v>0</v>
      </c>
      <c r="O49" s="137">
        <f>DSUM(SEP_2013_A,27,CL_57_)</f>
        <v>0</v>
      </c>
      <c r="P49" s="137">
        <f>DSUM(SEP_2013_A,28,CL_57_)</f>
        <v>0</v>
      </c>
      <c r="Q49" s="137">
        <f>DSUM(SEP_2013_A,29,CL_57_)</f>
        <v>0</v>
      </c>
      <c r="R49" s="137">
        <f>DSUM(SEP_2013_A,30,CL_57_)</f>
        <v>0</v>
      </c>
      <c r="S49" s="137">
        <f>DSUM(SEP_2013_A,31,CL_57_)</f>
        <v>0</v>
      </c>
      <c r="T49" s="137">
        <f>DSUM(SEP_2013_A,32,CL_57_)</f>
        <v>0</v>
      </c>
      <c r="U49" s="137">
        <f>DSUM(SEP_2013_A,33,CL_57_)</f>
        <v>0</v>
      </c>
      <c r="V49" s="137">
        <f>DSUM(SEP_2013_A,34,CL_57_)</f>
        <v>0</v>
      </c>
    </row>
    <row r="50" spans="2:22" ht="15.95" customHeight="1" x14ac:dyDescent="0.2">
      <c r="B50" s="1" t="s">
        <v>826</v>
      </c>
      <c r="C50" s="129" t="str">
        <f t="shared" si="1"/>
        <v>Rancho La Cuchilla No. 58</v>
      </c>
      <c r="D50" s="129" t="str">
        <f t="shared" si="2"/>
        <v>Serdán</v>
      </c>
      <c r="E50" s="90">
        <f t="shared" si="3"/>
        <v>300</v>
      </c>
      <c r="F50" s="91">
        <f>DSUM(SEP_2013_A,AA,CL_58_)</f>
        <v>0</v>
      </c>
      <c r="G50" s="90">
        <f t="shared" si="4"/>
        <v>0</v>
      </c>
      <c r="H50" s="90">
        <f>DSUM(SEP_2013_A,importe,CL_58_)</f>
        <v>0</v>
      </c>
      <c r="I50" s="17">
        <f t="shared" si="6"/>
        <v>0</v>
      </c>
      <c r="J50" s="6" t="s">
        <v>1276</v>
      </c>
      <c r="K50" s="137">
        <f>DSUM(SEP_2013_A,23,CL_58_)</f>
        <v>0</v>
      </c>
      <c r="L50" s="137">
        <f>DSUM(SEP_2013_A,24,CL_58_)</f>
        <v>0</v>
      </c>
      <c r="M50" s="137">
        <f>DSUM(SEP_2013_A,25,CL_58_)</f>
        <v>0</v>
      </c>
      <c r="N50" s="137">
        <f>DSUM(SEP_2013_A,26,CL_58_)</f>
        <v>0</v>
      </c>
      <c r="O50" s="137">
        <f>DSUM(SEP_2013_A,27,CL_58_)</f>
        <v>0</v>
      </c>
      <c r="P50" s="137">
        <f>DSUM(SEP_2013_A,28,CL_58_)</f>
        <v>0</v>
      </c>
      <c r="Q50" s="137">
        <f>DSUM(SEP_2013_A,29,CL_58_)</f>
        <v>0</v>
      </c>
      <c r="R50" s="137">
        <f>DSUM(SEP_2013_A,30,CL_58_)</f>
        <v>0</v>
      </c>
      <c r="S50" s="137">
        <f>DSUM(SEP_2013_A,31,CL_58_)</f>
        <v>0</v>
      </c>
      <c r="T50" s="137">
        <f>DSUM(SEP_2013_A,32,CL_58_)</f>
        <v>0</v>
      </c>
      <c r="U50" s="137">
        <f>DSUM(SEP_2013_A,33,CL_58_)</f>
        <v>0</v>
      </c>
      <c r="V50" s="137">
        <f>DSUM(SEP_2013_A,34,CL_58_)</f>
        <v>0</v>
      </c>
    </row>
    <row r="51" spans="2:22" ht="15.95" customHeight="1" x14ac:dyDescent="0.2">
      <c r="B51" s="1" t="s">
        <v>827</v>
      </c>
      <c r="C51" s="129" t="str">
        <f t="shared" si="1"/>
        <v>Rancho La Cuchilla No. 59</v>
      </c>
      <c r="D51" s="129" t="str">
        <f t="shared" si="2"/>
        <v>Ortega Vega</v>
      </c>
      <c r="E51" s="90">
        <f t="shared" si="3"/>
        <v>300</v>
      </c>
      <c r="F51" s="91">
        <f>DSUM(SEP_2013_A,AA,CL_59_)</f>
        <v>300</v>
      </c>
      <c r="G51" s="90">
        <f t="shared" si="4"/>
        <v>2700</v>
      </c>
      <c r="H51" s="90">
        <f>DSUM(SEP_2013_A,importe,CL_59_)</f>
        <v>3000</v>
      </c>
      <c r="I51" s="17">
        <f t="shared" si="6"/>
        <v>9</v>
      </c>
      <c r="J51" s="6" t="s">
        <v>1276</v>
      </c>
      <c r="K51" s="137">
        <f>DSUM(SEP_2013_A,23,CL_59_)</f>
        <v>300</v>
      </c>
      <c r="L51" s="137">
        <f>DSUM(SEP_2013_A,24,CL_59_)</f>
        <v>300</v>
      </c>
      <c r="M51" s="137">
        <f>DSUM(SEP_2013_A,25,CL_59_)</f>
        <v>300</v>
      </c>
      <c r="N51" s="137">
        <f>DSUM(SEP_2013_A,26,CL_59_)</f>
        <v>300</v>
      </c>
      <c r="O51" s="137">
        <f>DSUM(SEP_2013_A,27,CL_59_)</f>
        <v>300</v>
      </c>
      <c r="P51" s="137">
        <f>DSUM(SEP_2013_A,28,CL_59_)</f>
        <v>300</v>
      </c>
      <c r="Q51" s="137">
        <f>DSUM(SEP_2013_A,29,CL_59_)</f>
        <v>300</v>
      </c>
      <c r="R51" s="137">
        <f>DSUM(SEP_2013_A,30,CL_59_)</f>
        <v>300</v>
      </c>
      <c r="S51" s="137">
        <f>DSUM(SEP_2013_A,31,CL_59_)</f>
        <v>300</v>
      </c>
      <c r="T51" s="137">
        <f>DSUM(SEP_2013_A,32,CL_59_)</f>
        <v>0</v>
      </c>
      <c r="U51" s="137">
        <f>DSUM(SEP_2013_A,33,CL_59_)</f>
        <v>0</v>
      </c>
      <c r="V51" s="137">
        <f>DSUM(SEP_2013_A,34,CL_59_)</f>
        <v>0</v>
      </c>
    </row>
    <row r="52" spans="2:22" ht="15.95" customHeight="1" x14ac:dyDescent="0.2">
      <c r="B52" s="1" t="s">
        <v>1318</v>
      </c>
      <c r="C52" s="129" t="str">
        <f t="shared" si="1"/>
        <v>Rancho La Cuchilla No. 60</v>
      </c>
      <c r="D52" s="129">
        <f t="shared" si="2"/>
        <v>0</v>
      </c>
      <c r="E52" s="90">
        <f t="shared" si="3"/>
        <v>300</v>
      </c>
      <c r="F52" s="91">
        <f>DSUM(SEP_2013_A,AA,CL_60_)</f>
        <v>0</v>
      </c>
      <c r="G52" s="90">
        <f t="shared" si="4"/>
        <v>0</v>
      </c>
      <c r="H52" s="90">
        <f>DSUM(SEP_2013_A,importe,CL_60_)</f>
        <v>0</v>
      </c>
      <c r="I52" s="17">
        <f t="shared" si="6"/>
        <v>0</v>
      </c>
      <c r="J52" s="6" t="s">
        <v>1276</v>
      </c>
      <c r="K52" s="137">
        <f>DSUM(SEP_2013_A,23,CL_60_)</f>
        <v>0</v>
      </c>
      <c r="L52" s="137">
        <f>DSUM(SEP_2013_A,24,CL_60_)</f>
        <v>0</v>
      </c>
      <c r="M52" s="137">
        <f>DSUM(SEP_2013_A,25,CL_60_)</f>
        <v>0</v>
      </c>
      <c r="N52" s="137">
        <f>DSUM(SEP_2013_A,26,CL_60_)</f>
        <v>0</v>
      </c>
      <c r="O52" s="137">
        <f>DSUM(SEP_2013_A,27,CL_60_)</f>
        <v>0</v>
      </c>
      <c r="P52" s="137">
        <f>DSUM(SEP_2013_A,28,CL_60_)</f>
        <v>0</v>
      </c>
      <c r="Q52" s="137">
        <f>DSUM(SEP_2013_A,29,CL_60_)</f>
        <v>0</v>
      </c>
      <c r="R52" s="137">
        <f>DSUM(SEP_2013_A,30,CL_60_)</f>
        <v>0</v>
      </c>
      <c r="S52" s="137">
        <f>DSUM(SEP_2013_A,31,CL_60_)</f>
        <v>0</v>
      </c>
      <c r="T52" s="137">
        <f>DSUM(SEP_2013_A,32,CL_60_)</f>
        <v>0</v>
      </c>
      <c r="U52" s="137">
        <f>DSUM(SEP_2013_A,33,CL_60_)</f>
        <v>0</v>
      </c>
      <c r="V52" s="137">
        <f>DSUM(SEP_2013_A,34,CL_60_)</f>
        <v>0</v>
      </c>
    </row>
    <row r="53" spans="2:22" ht="15.95" customHeight="1" x14ac:dyDescent="0.2">
      <c r="B53" s="1" t="s">
        <v>828</v>
      </c>
      <c r="C53" s="129" t="str">
        <f t="shared" si="1"/>
        <v>Rancho La Cuchilla No. 61</v>
      </c>
      <c r="D53" s="129" t="str">
        <f t="shared" si="2"/>
        <v>Rivera</v>
      </c>
      <c r="E53" s="90">
        <f t="shared" si="3"/>
        <v>300</v>
      </c>
      <c r="F53" s="91">
        <f>DSUM(SEP_2013_A,AA,CL_61_)</f>
        <v>0</v>
      </c>
      <c r="G53" s="90">
        <f t="shared" si="4"/>
        <v>2100</v>
      </c>
      <c r="H53" s="90">
        <f>DSUM(SEP_2013_A,importe,CL_61_)</f>
        <v>2100</v>
      </c>
      <c r="I53" s="17">
        <f t="shared" si="6"/>
        <v>7</v>
      </c>
      <c r="J53" s="6" t="s">
        <v>1276</v>
      </c>
      <c r="K53" s="137">
        <f>DSUM(SEP_2013_A,23,CL_61_)</f>
        <v>300</v>
      </c>
      <c r="L53" s="137">
        <f>DSUM(SEP_2013_A,24,CL_61_)</f>
        <v>300</v>
      </c>
      <c r="M53" s="137">
        <f>DSUM(SEP_2013_A,25,CL_61_)</f>
        <v>300</v>
      </c>
      <c r="N53" s="137">
        <f>DSUM(SEP_2013_A,26,CL_61_)</f>
        <v>300</v>
      </c>
      <c r="O53" s="137">
        <f>DSUM(SEP_2013_A,27,CL_61_)</f>
        <v>300</v>
      </c>
      <c r="P53" s="137">
        <f>DSUM(SEP_2013_A,28,CL_61_)</f>
        <v>300</v>
      </c>
      <c r="Q53" s="137">
        <f>DSUM(SEP_2013_A,29,CL_61_)</f>
        <v>300</v>
      </c>
      <c r="R53" s="137">
        <f>DSUM(SEP_2013_A,30,CL_61_)</f>
        <v>0</v>
      </c>
      <c r="S53" s="137">
        <f>DSUM(SEP_2013_A,31,CL_61_)</f>
        <v>0</v>
      </c>
      <c r="T53" s="137">
        <f>DSUM(SEP_2013_A,32,CL_61_)</f>
        <v>0</v>
      </c>
      <c r="U53" s="137">
        <f>DSUM(SEP_2013_A,33,CL_61_)</f>
        <v>0</v>
      </c>
      <c r="V53" s="137">
        <f>DSUM(SEP_2013_A,34,CL_61_)</f>
        <v>0</v>
      </c>
    </row>
    <row r="54" spans="2:22" ht="15.95" customHeight="1" x14ac:dyDescent="0.2">
      <c r="B54" s="1" t="s">
        <v>829</v>
      </c>
      <c r="C54" s="129" t="str">
        <f t="shared" si="1"/>
        <v>Rancho La Cuchilla No. 62</v>
      </c>
      <c r="D54" s="129" t="str">
        <f t="shared" si="2"/>
        <v>Frías</v>
      </c>
      <c r="E54" s="90">
        <f t="shared" si="3"/>
        <v>200</v>
      </c>
      <c r="F54" s="91">
        <f>DSUM(SEP_2013_A,AA,CL_62_)</f>
        <v>200</v>
      </c>
      <c r="G54" s="90">
        <f t="shared" si="4"/>
        <v>1800</v>
      </c>
      <c r="H54" s="90">
        <f>DSUM(SEP_2013_A,importe,CL_62_)</f>
        <v>2000</v>
      </c>
      <c r="I54" s="17">
        <f t="shared" si="6"/>
        <v>9</v>
      </c>
      <c r="J54" s="6" t="s">
        <v>1276</v>
      </c>
      <c r="K54" s="137">
        <f>DSUM(SEP_2013_A,23,CL_62_)</f>
        <v>200</v>
      </c>
      <c r="L54" s="137">
        <f>DSUM(SEP_2013_A,24,CL_62_)</f>
        <v>200</v>
      </c>
      <c r="M54" s="137">
        <f>DSUM(SEP_2013_A,25,CL_62_)</f>
        <v>200</v>
      </c>
      <c r="N54" s="137">
        <f>DSUM(SEP_2013_A,26,CL_62_)</f>
        <v>200</v>
      </c>
      <c r="O54" s="137">
        <f>DSUM(SEP_2013_A,27,CL_62_)</f>
        <v>200</v>
      </c>
      <c r="P54" s="137">
        <f>DSUM(SEP_2013_A,28,CL_62_)</f>
        <v>200</v>
      </c>
      <c r="Q54" s="137">
        <f>DSUM(SEP_2013_A,29,CL_62_)</f>
        <v>200</v>
      </c>
      <c r="R54" s="137">
        <f>DSUM(SEP_2013_A,30,CL_62_)</f>
        <v>200</v>
      </c>
      <c r="S54" s="137">
        <f>DSUM(SEP_2013_A,31,CL_62_)</f>
        <v>200</v>
      </c>
      <c r="T54" s="137">
        <f>DSUM(SEP_2013_A,32,CL_62_)</f>
        <v>0</v>
      </c>
      <c r="U54" s="137">
        <f>DSUM(SEP_2013_A,33,CL_62_)</f>
        <v>0</v>
      </c>
      <c r="V54" s="137">
        <f>DSUM(SEP_2013_A,34,CL_62_)</f>
        <v>0</v>
      </c>
    </row>
    <row r="55" spans="2:22" ht="15.95" customHeight="1" x14ac:dyDescent="0.2">
      <c r="B55" s="1" t="s">
        <v>830</v>
      </c>
      <c r="C55" s="129" t="str">
        <f t="shared" si="1"/>
        <v>Rancho La Cuchilla No. 63</v>
      </c>
      <c r="D55" s="129" t="str">
        <f t="shared" si="2"/>
        <v>Díaz de la Rosa</v>
      </c>
      <c r="E55" s="90">
        <f t="shared" si="3"/>
        <v>300</v>
      </c>
      <c r="F55" s="91">
        <f>DSUM(SEP_2013_A,AA,CL_63_)</f>
        <v>0</v>
      </c>
      <c r="G55" s="90">
        <f t="shared" si="4"/>
        <v>0</v>
      </c>
      <c r="H55" s="90">
        <f>DSUM(SEP_2013_A,importe,CL_63_)</f>
        <v>0</v>
      </c>
      <c r="I55" s="17">
        <f t="shared" si="6"/>
        <v>0</v>
      </c>
      <c r="J55" s="6" t="s">
        <v>1276</v>
      </c>
      <c r="K55" s="137">
        <f>DSUM(SEP_2013_A,23,CL_63_)</f>
        <v>0</v>
      </c>
      <c r="L55" s="137">
        <f>DSUM(SEP_2013_A,24,CL_63_)</f>
        <v>0</v>
      </c>
      <c r="M55" s="137">
        <f>DSUM(SEP_2013_A,25,CL_63_)</f>
        <v>0</v>
      </c>
      <c r="N55" s="137">
        <f>DSUM(SEP_2013_A,26,CL_63_)</f>
        <v>0</v>
      </c>
      <c r="O55" s="137">
        <f>DSUM(SEP_2013_A,27,CL_63_)</f>
        <v>0</v>
      </c>
      <c r="P55" s="137">
        <f>DSUM(SEP_2013_A,28,CL_63_)</f>
        <v>0</v>
      </c>
      <c r="Q55" s="137">
        <f>DSUM(SEP_2013_A,29,CL_63_)</f>
        <v>0</v>
      </c>
      <c r="R55" s="137">
        <f>DSUM(SEP_2013_A,30,CL_63_)</f>
        <v>0</v>
      </c>
      <c r="S55" s="137">
        <f>DSUM(SEP_2013_A,31,CL_63_)</f>
        <v>0</v>
      </c>
      <c r="T55" s="137">
        <f>DSUM(SEP_2013_A,32,CL_63_)</f>
        <v>0</v>
      </c>
      <c r="U55" s="137">
        <f>DSUM(SEP_2013_A,33,CL_63_)</f>
        <v>0</v>
      </c>
      <c r="V55" s="137">
        <f>DSUM(SEP_2013_A,34,CL_63_)</f>
        <v>0</v>
      </c>
    </row>
    <row r="56" spans="2:22" ht="15.95" customHeight="1" x14ac:dyDescent="0.2">
      <c r="B56" s="1" t="s">
        <v>1319</v>
      </c>
      <c r="C56" s="129" t="str">
        <f t="shared" si="1"/>
        <v>Rancho La Cuchilla No. 65</v>
      </c>
      <c r="D56" s="129" t="str">
        <f t="shared" si="2"/>
        <v>Garduño</v>
      </c>
      <c r="E56" s="90">
        <f t="shared" si="3"/>
        <v>300</v>
      </c>
      <c r="F56" s="91">
        <f>DSUM(SEP_2013_A,AA,CL_65_)</f>
        <v>0</v>
      </c>
      <c r="G56" s="90">
        <f t="shared" si="4"/>
        <v>0</v>
      </c>
      <c r="H56" s="90">
        <f>DSUM(SEP_2013_A,importe,CL_65_)</f>
        <v>0</v>
      </c>
      <c r="I56" s="17">
        <f t="shared" si="6"/>
        <v>0</v>
      </c>
      <c r="J56" s="6" t="s">
        <v>1276</v>
      </c>
      <c r="K56" s="137">
        <f>DSUM(SEP_2013_A,23,CL_65_)</f>
        <v>0</v>
      </c>
      <c r="L56" s="137">
        <f>DSUM(SEP_2013_A,24,CL_65_)</f>
        <v>0</v>
      </c>
      <c r="M56" s="137">
        <f>DSUM(SEP_2013_A,25,CL_65_)</f>
        <v>0</v>
      </c>
      <c r="N56" s="137">
        <f>DSUM(SEP_2013_A,26,CL_65_)</f>
        <v>0</v>
      </c>
      <c r="O56" s="137">
        <f>DSUM(SEP_2013_A,27,CL_65_)</f>
        <v>0</v>
      </c>
      <c r="P56" s="137">
        <f>DSUM(SEP_2013_A,28,CL_65_)</f>
        <v>0</v>
      </c>
      <c r="Q56" s="137">
        <f>DSUM(SEP_2013_A,29,CL_65_)</f>
        <v>0</v>
      </c>
      <c r="R56" s="137">
        <f>DSUM(SEP_2013_A,30,CL_65_)</f>
        <v>0</v>
      </c>
      <c r="S56" s="137">
        <f>DSUM(SEP_2013_A,31,CL_65_)</f>
        <v>0</v>
      </c>
      <c r="T56" s="137">
        <f>DSUM(SEP_2013_A,32,CL_65_)</f>
        <v>0</v>
      </c>
      <c r="U56" s="137">
        <f>DSUM(SEP_2013_A,33,CL_65_)</f>
        <v>0</v>
      </c>
      <c r="V56" s="137">
        <f>DSUM(SEP_2013_A,34,CL_65_)</f>
        <v>0</v>
      </c>
    </row>
    <row r="57" spans="2:22" ht="15.95" customHeight="1" x14ac:dyDescent="0.2">
      <c r="B57" s="1" t="s">
        <v>831</v>
      </c>
      <c r="C57" s="129" t="str">
        <f t="shared" si="1"/>
        <v>Rancho La Cuchilla No. 66</v>
      </c>
      <c r="D57" s="129" t="str">
        <f t="shared" si="2"/>
        <v>Prieto</v>
      </c>
      <c r="E57" s="90">
        <f t="shared" si="3"/>
        <v>300</v>
      </c>
      <c r="F57" s="91">
        <f>DSUM(SEP_2013_A,AA,CL_66_)</f>
        <v>900</v>
      </c>
      <c r="G57" s="90">
        <f t="shared" si="4"/>
        <v>2700</v>
      </c>
      <c r="H57" s="90">
        <f>DSUM(SEP_2013_A,importe,CL_66_)</f>
        <v>3600</v>
      </c>
      <c r="I57" s="17">
        <f t="shared" si="6"/>
        <v>9</v>
      </c>
      <c r="J57" s="6" t="s">
        <v>1276</v>
      </c>
      <c r="K57" s="137">
        <f>DSUM(SEP_2013_A,23,CL_66_)</f>
        <v>300</v>
      </c>
      <c r="L57" s="137">
        <f>DSUM(SEP_2013_A,24,CL_66_)</f>
        <v>300</v>
      </c>
      <c r="M57" s="137">
        <f>DSUM(SEP_2013_A,25,CL_66_)</f>
        <v>300</v>
      </c>
      <c r="N57" s="137">
        <f>DSUM(SEP_2013_A,26,CL_66_)</f>
        <v>300</v>
      </c>
      <c r="O57" s="137">
        <f>DSUM(SEP_2013_A,27,CL_66_)</f>
        <v>300</v>
      </c>
      <c r="P57" s="137">
        <f>DSUM(SEP_2013_A,28,CL_66_)</f>
        <v>300</v>
      </c>
      <c r="Q57" s="137">
        <f>DSUM(SEP_2013_A,29,CL_66_)</f>
        <v>300</v>
      </c>
      <c r="R57" s="137">
        <f>DSUM(SEP_2013_A,30,CL_66_)</f>
        <v>300</v>
      </c>
      <c r="S57" s="137">
        <f>DSUM(SEP_2013_A,31,CL_66_)</f>
        <v>300</v>
      </c>
      <c r="T57" s="137">
        <f>DSUM(SEP_2013_A,32,CL_66_)</f>
        <v>0</v>
      </c>
      <c r="U57" s="137">
        <f>DSUM(SEP_2013_A,33,CL_66_)</f>
        <v>0</v>
      </c>
      <c r="V57" s="137">
        <f>DSUM(SEP_2013_A,34,CL_66_)</f>
        <v>0</v>
      </c>
    </row>
    <row r="58" spans="2:22" ht="15.95" customHeight="1" x14ac:dyDescent="0.2">
      <c r="B58" s="1" t="s">
        <v>832</v>
      </c>
      <c r="C58" s="129" t="str">
        <f t="shared" si="1"/>
        <v>Rancho La Cuchilla No. 67</v>
      </c>
      <c r="D58" s="129" t="str">
        <f t="shared" si="2"/>
        <v>Quezada Viruega</v>
      </c>
      <c r="E58" s="90">
        <f t="shared" si="3"/>
        <v>300</v>
      </c>
      <c r="F58" s="91">
        <f>DSUM(SEP_2013_A,AA,CL_67_)</f>
        <v>0</v>
      </c>
      <c r="G58" s="90">
        <f t="shared" si="4"/>
        <v>600</v>
      </c>
      <c r="H58" s="90">
        <f>DSUM(SEP_2013_A,importe,CL_67_)</f>
        <v>600</v>
      </c>
      <c r="I58" s="17">
        <f t="shared" si="6"/>
        <v>2</v>
      </c>
      <c r="J58" s="6" t="s">
        <v>1276</v>
      </c>
      <c r="K58" s="137">
        <f>DSUM(SEP_2013_A,23,CL_67_)</f>
        <v>300</v>
      </c>
      <c r="L58" s="137">
        <f>DSUM(SEP_2013_A,24,CL_67_)</f>
        <v>300</v>
      </c>
      <c r="M58" s="137">
        <f>DSUM(SEP_2013_A,25,CL_67_)</f>
        <v>0</v>
      </c>
      <c r="N58" s="137">
        <f>DSUM(SEP_2013_A,26,CL_67_)</f>
        <v>0</v>
      </c>
      <c r="O58" s="137">
        <f>DSUM(SEP_2013_A,27,CL_67_)</f>
        <v>0</v>
      </c>
      <c r="P58" s="137">
        <f>DSUM(SEP_2013_A,28,CL_67_)</f>
        <v>0</v>
      </c>
      <c r="Q58" s="137">
        <f>DSUM(SEP_2013_A,29,CL_67_)</f>
        <v>0</v>
      </c>
      <c r="R58" s="137">
        <f>DSUM(SEP_2013_A,30,CL_67_)</f>
        <v>0</v>
      </c>
      <c r="S58" s="137">
        <f>DSUM(SEP_2013_A,31,CL_67_)</f>
        <v>0</v>
      </c>
      <c r="T58" s="137">
        <f>DSUM(SEP_2013_A,32,CL_67_)</f>
        <v>0</v>
      </c>
      <c r="U58" s="137">
        <f>DSUM(SEP_2013_A,33,CL_67_)</f>
        <v>0</v>
      </c>
      <c r="V58" s="137">
        <f>DSUM(SEP_2013_A,34,CL_67_)</f>
        <v>0</v>
      </c>
    </row>
    <row r="59" spans="2:22" ht="15.95" customHeight="1" x14ac:dyDescent="0.2">
      <c r="B59" s="1" t="s">
        <v>833</v>
      </c>
      <c r="C59" s="129" t="str">
        <f t="shared" si="1"/>
        <v>Rancho La Cuchilla No. 68</v>
      </c>
      <c r="D59" s="129" t="str">
        <f t="shared" si="2"/>
        <v>Montesinos</v>
      </c>
      <c r="E59" s="90">
        <f t="shared" si="3"/>
        <v>300</v>
      </c>
      <c r="F59" s="91">
        <f>DSUM(SEP_2013_A,AA,CL_68_)</f>
        <v>600</v>
      </c>
      <c r="G59" s="90">
        <f t="shared" si="4"/>
        <v>600</v>
      </c>
      <c r="H59" s="90">
        <f>DSUM(SEP_2013_A,importe,CL_68_)</f>
        <v>1200</v>
      </c>
      <c r="I59" s="17">
        <f t="shared" si="6"/>
        <v>2</v>
      </c>
      <c r="J59" s="6" t="s">
        <v>1276</v>
      </c>
      <c r="K59" s="137">
        <f>DSUM(SEP_2013_A,23,CL_68_)</f>
        <v>300</v>
      </c>
      <c r="L59" s="137">
        <f>DSUM(SEP_2013_A,24,CL_68_)</f>
        <v>300</v>
      </c>
      <c r="M59" s="137">
        <f>DSUM(SEP_2013_A,25,CL_68_)</f>
        <v>0</v>
      </c>
      <c r="N59" s="137">
        <f>DSUM(SEP_2013_A,26,CL_68_)</f>
        <v>0</v>
      </c>
      <c r="O59" s="137">
        <f>DSUM(SEP_2013_A,27,CL_68_)</f>
        <v>0</v>
      </c>
      <c r="P59" s="137">
        <f>DSUM(SEP_2013_A,28,CL_68_)</f>
        <v>0</v>
      </c>
      <c r="Q59" s="137">
        <f>DSUM(SEP_2013_A,29,CL_68_)</f>
        <v>0</v>
      </c>
      <c r="R59" s="137">
        <f>DSUM(SEP_2013_A,30,CL_68_)</f>
        <v>0</v>
      </c>
      <c r="S59" s="137">
        <f>DSUM(SEP_2013_A,31,CL_68_)</f>
        <v>0</v>
      </c>
      <c r="T59" s="137">
        <f>DSUM(SEP_2013_A,32,CL_68_)</f>
        <v>0</v>
      </c>
      <c r="U59" s="137">
        <f>DSUM(SEP_2013_A,33,CL_68_)</f>
        <v>0</v>
      </c>
      <c r="V59" s="137">
        <f>DSUM(SEP_2013_A,34,CL_68_)</f>
        <v>0</v>
      </c>
    </row>
    <row r="60" spans="2:22" ht="15.95" customHeight="1" x14ac:dyDescent="0.2">
      <c r="B60" s="1" t="s">
        <v>834</v>
      </c>
      <c r="C60" s="129" t="str">
        <f t="shared" si="1"/>
        <v>Rancho La Cuchilla No. 69</v>
      </c>
      <c r="D60" s="129" t="str">
        <f t="shared" si="2"/>
        <v>Romero</v>
      </c>
      <c r="E60" s="90">
        <f t="shared" si="3"/>
        <v>300</v>
      </c>
      <c r="F60" s="91">
        <f>DSUM(SEP_2013_A,AA,CL_69_)</f>
        <v>0</v>
      </c>
      <c r="G60" s="90">
        <f t="shared" si="4"/>
        <v>0</v>
      </c>
      <c r="H60" s="90">
        <f>DSUM(SEP_2013_A,importe,CL_69_)</f>
        <v>0</v>
      </c>
      <c r="I60" s="17">
        <f t="shared" si="6"/>
        <v>0</v>
      </c>
      <c r="J60" s="6" t="s">
        <v>1276</v>
      </c>
      <c r="K60" s="137">
        <f>DSUM(SEP_2013_A,23,CL_69_)</f>
        <v>0</v>
      </c>
      <c r="L60" s="137">
        <f>DSUM(SEP_2013_A,24,CL_69_)</f>
        <v>0</v>
      </c>
      <c r="M60" s="137">
        <f>DSUM(SEP_2013_A,25,CL_69_)</f>
        <v>0</v>
      </c>
      <c r="N60" s="137">
        <f>DSUM(SEP_2013_A,26,CL_69_)</f>
        <v>0</v>
      </c>
      <c r="O60" s="137">
        <f>DSUM(SEP_2013_A,27,CL_69_)</f>
        <v>0</v>
      </c>
      <c r="P60" s="137">
        <f>DSUM(SEP_2013_A,28,CL_69_)</f>
        <v>0</v>
      </c>
      <c r="Q60" s="137">
        <f>DSUM(SEP_2013_A,29,CL_69_)</f>
        <v>0</v>
      </c>
      <c r="R60" s="137">
        <f>DSUM(SEP_2013_A,30,CL_69_)</f>
        <v>0</v>
      </c>
      <c r="S60" s="137">
        <f>DSUM(SEP_2013_A,31,CL_69_)</f>
        <v>0</v>
      </c>
      <c r="T60" s="137">
        <f>DSUM(SEP_2013_A,32,CL_69_)</f>
        <v>0</v>
      </c>
      <c r="U60" s="137">
        <f>DSUM(SEP_2013_A,33,CL_69_)</f>
        <v>0</v>
      </c>
      <c r="V60" s="137">
        <f>DSUM(SEP_2013_A,34,CL_69_)</f>
        <v>0</v>
      </c>
    </row>
    <row r="61" spans="2:22" ht="15.95" customHeight="1" x14ac:dyDescent="0.2">
      <c r="B61" s="1" t="s">
        <v>1320</v>
      </c>
      <c r="C61" s="129" t="str">
        <f t="shared" si="1"/>
        <v>Rancho La Cuchilla No. 70</v>
      </c>
      <c r="D61" s="129">
        <f t="shared" si="2"/>
        <v>0</v>
      </c>
      <c r="E61" s="90">
        <f t="shared" si="3"/>
        <v>300</v>
      </c>
      <c r="F61" s="91">
        <f>DSUM(SEP_2013_A,AA,CL_70_)</f>
        <v>0</v>
      </c>
      <c r="G61" s="90">
        <f t="shared" si="4"/>
        <v>0</v>
      </c>
      <c r="H61" s="90">
        <f>DSUM(SEP_2013_A,importe,CL_70_)</f>
        <v>0</v>
      </c>
      <c r="I61" s="17">
        <f t="shared" si="6"/>
        <v>0</v>
      </c>
      <c r="J61" s="6" t="s">
        <v>1276</v>
      </c>
      <c r="K61" s="137">
        <f>DSUM(SEP_2013_A,23,CL_70_)</f>
        <v>0</v>
      </c>
      <c r="L61" s="137">
        <f>DSUM(SEP_2013_A,24,CL_70_)</f>
        <v>0</v>
      </c>
      <c r="M61" s="137">
        <f>DSUM(SEP_2013_A,25,CL_70_)</f>
        <v>0</v>
      </c>
      <c r="N61" s="137">
        <f>DSUM(SEP_2013_A,26,CL_70_)</f>
        <v>0</v>
      </c>
      <c r="O61" s="137">
        <f>DSUM(SEP_2013_A,27,CL_70_)</f>
        <v>0</v>
      </c>
      <c r="P61" s="137">
        <f>DSUM(SEP_2013_A,28,CL_70_)</f>
        <v>0</v>
      </c>
      <c r="Q61" s="137">
        <f>DSUM(SEP_2013_A,29,CL_70_)</f>
        <v>0</v>
      </c>
      <c r="R61" s="137">
        <f>DSUM(SEP_2013_A,30,CL_70_)</f>
        <v>0</v>
      </c>
      <c r="S61" s="137">
        <f>DSUM(SEP_2013_A,31,CL_70_)</f>
        <v>0</v>
      </c>
      <c r="T61" s="137">
        <f>DSUM(SEP_2013_A,32,CL_70_)</f>
        <v>0</v>
      </c>
      <c r="U61" s="137">
        <f>DSUM(SEP_2013_A,33,CL_70_)</f>
        <v>0</v>
      </c>
      <c r="V61" s="137">
        <f>DSUM(SEP_2013_A,34,CL_70_)</f>
        <v>0</v>
      </c>
    </row>
    <row r="62" spans="2:22" ht="15.95" customHeight="1" x14ac:dyDescent="0.2">
      <c r="B62" s="1" t="s">
        <v>835</v>
      </c>
      <c r="C62" s="129" t="str">
        <f t="shared" si="1"/>
        <v>Rancho La Cuchilla No. 71</v>
      </c>
      <c r="D62" s="129" t="str">
        <f t="shared" si="2"/>
        <v>Pulido</v>
      </c>
      <c r="E62" s="90">
        <f t="shared" si="3"/>
        <v>300</v>
      </c>
      <c r="F62" s="91">
        <f>DSUM(SEP_2013_A,AA,CL_71_)</f>
        <v>300</v>
      </c>
      <c r="G62" s="90">
        <f t="shared" si="4"/>
        <v>2700</v>
      </c>
      <c r="H62" s="90">
        <f>DSUM(SEP_2013_A,importe,CL_71_)</f>
        <v>3000</v>
      </c>
      <c r="I62" s="17">
        <f t="shared" si="6"/>
        <v>9</v>
      </c>
      <c r="J62" s="6" t="s">
        <v>1276</v>
      </c>
      <c r="K62" s="137">
        <f>DSUM(SEP_2013_A,23,CL_71_)</f>
        <v>300</v>
      </c>
      <c r="L62" s="137">
        <f>DSUM(SEP_2013_A,24,CL_71_)</f>
        <v>300</v>
      </c>
      <c r="M62" s="137">
        <f>DSUM(SEP_2013_A,25,CL_71_)</f>
        <v>300</v>
      </c>
      <c r="N62" s="137">
        <f>DSUM(SEP_2013_A,26,CL_71_)</f>
        <v>300</v>
      </c>
      <c r="O62" s="137">
        <f>DSUM(SEP_2013_A,27,CL_71_)</f>
        <v>300</v>
      </c>
      <c r="P62" s="137">
        <f>DSUM(SEP_2013_A,28,CL_71_)</f>
        <v>300</v>
      </c>
      <c r="Q62" s="137">
        <f>DSUM(SEP_2013_A,29,CL_71_)</f>
        <v>300</v>
      </c>
      <c r="R62" s="137">
        <f>DSUM(SEP_2013_A,30,CL_71_)</f>
        <v>300</v>
      </c>
      <c r="S62" s="137">
        <f>DSUM(SEP_2013_A,31,CL_71_)</f>
        <v>300</v>
      </c>
      <c r="T62" s="137">
        <f>DSUM(SEP_2013_A,32,CL_71_)</f>
        <v>0</v>
      </c>
      <c r="U62" s="137">
        <f>DSUM(SEP_2013_A,33,CL_71_)</f>
        <v>0</v>
      </c>
      <c r="V62" s="137">
        <f>DSUM(SEP_2013_A,34,CL_71_)</f>
        <v>0</v>
      </c>
    </row>
    <row r="63" spans="2:22" ht="15.95" customHeight="1" x14ac:dyDescent="0.2">
      <c r="B63" s="1" t="s">
        <v>836</v>
      </c>
      <c r="C63" s="129" t="str">
        <f t="shared" si="1"/>
        <v>Rancho La Cuchilla No. 72</v>
      </c>
      <c r="D63" s="129" t="str">
        <f t="shared" si="2"/>
        <v>Ortiz González</v>
      </c>
      <c r="E63" s="90">
        <f t="shared" si="3"/>
        <v>300</v>
      </c>
      <c r="F63" s="91">
        <f>DSUM(SEP_2013_A,AA,CL_72_)</f>
        <v>300</v>
      </c>
      <c r="G63" s="90">
        <f t="shared" si="4"/>
        <v>2400</v>
      </c>
      <c r="H63" s="90">
        <f>DSUM(SEP_2013_A,importe,CL_72_)</f>
        <v>2700</v>
      </c>
      <c r="I63" s="17">
        <f t="shared" si="6"/>
        <v>8</v>
      </c>
      <c r="J63" s="6" t="s">
        <v>1276</v>
      </c>
      <c r="K63" s="137">
        <f>DSUM(SEP_2013_A,23,CL_72_)</f>
        <v>300</v>
      </c>
      <c r="L63" s="137">
        <f>DSUM(SEP_2013_A,24,CL_72_)</f>
        <v>300</v>
      </c>
      <c r="M63" s="137">
        <f>DSUM(SEP_2013_A,25,CL_72_)</f>
        <v>300</v>
      </c>
      <c r="N63" s="137">
        <f>DSUM(SEP_2013_A,26,CL_72_)</f>
        <v>300</v>
      </c>
      <c r="O63" s="137">
        <f>DSUM(SEP_2013_A,27,CL_72_)</f>
        <v>300</v>
      </c>
      <c r="P63" s="137">
        <f>DSUM(SEP_2013_A,28,CL_72_)</f>
        <v>0</v>
      </c>
      <c r="Q63" s="137">
        <f>DSUM(SEP_2013_A,29,CL_72_)</f>
        <v>300</v>
      </c>
      <c r="R63" s="137">
        <f>DSUM(SEP_2013_A,30,CL_72_)</f>
        <v>300</v>
      </c>
      <c r="S63" s="137">
        <f>DSUM(SEP_2013_A,31,CL_72_)</f>
        <v>300</v>
      </c>
      <c r="T63" s="137">
        <f>DSUM(SEP_2013_A,32,CL_72_)</f>
        <v>0</v>
      </c>
      <c r="U63" s="137">
        <f>DSUM(SEP_2013_A,33,CL_72_)</f>
        <v>0</v>
      </c>
      <c r="V63" s="137">
        <f>DSUM(SEP_2013_A,34,CL_72_)</f>
        <v>0</v>
      </c>
    </row>
    <row r="64" spans="2:22" ht="15.95" customHeight="1" x14ac:dyDescent="0.2">
      <c r="B64" s="1" t="s">
        <v>837</v>
      </c>
      <c r="C64" s="129" t="str">
        <f t="shared" si="1"/>
        <v>Rancho La Cuchilla No. 73</v>
      </c>
      <c r="D64" s="129" t="str">
        <f t="shared" si="2"/>
        <v>Cooper</v>
      </c>
      <c r="E64" s="90">
        <f t="shared" si="3"/>
        <v>300</v>
      </c>
      <c r="F64" s="91">
        <f>DSUM(SEP_2013_A,AA,CL_73_)</f>
        <v>0</v>
      </c>
      <c r="G64" s="90">
        <f t="shared" si="4"/>
        <v>2100</v>
      </c>
      <c r="H64" s="90">
        <f>DSUM(SEP_2013_A,importe,CL_73_)</f>
        <v>2100</v>
      </c>
      <c r="I64" s="17">
        <f t="shared" si="6"/>
        <v>7</v>
      </c>
      <c r="J64" s="6" t="s">
        <v>1276</v>
      </c>
      <c r="K64" s="137">
        <f>DSUM(SEP_2013_A,23,CL_73_)</f>
        <v>300</v>
      </c>
      <c r="L64" s="137">
        <f>DSUM(SEP_2013_A,24,CL_73_)</f>
        <v>300</v>
      </c>
      <c r="M64" s="137">
        <f>DSUM(SEP_2013_A,25,CL_73_)</f>
        <v>0</v>
      </c>
      <c r="N64" s="137">
        <f>DSUM(SEP_2013_A,26,CL_73_)</f>
        <v>300</v>
      </c>
      <c r="O64" s="137">
        <f>DSUM(SEP_2013_A,27,CL_73_)</f>
        <v>300</v>
      </c>
      <c r="P64" s="137">
        <f>DSUM(SEP_2013_A,28,CL_73_)</f>
        <v>300</v>
      </c>
      <c r="Q64" s="137">
        <f>DSUM(SEP_2013_A,29,CL_73_)</f>
        <v>300</v>
      </c>
      <c r="R64" s="137">
        <f>DSUM(SEP_2013_A,30,CL_73_)</f>
        <v>300</v>
      </c>
      <c r="S64" s="137">
        <f>DSUM(SEP_2013_A,31,CL_73_)</f>
        <v>0</v>
      </c>
      <c r="T64" s="137">
        <f>DSUM(SEP_2013_A,32,CL_73_)</f>
        <v>0</v>
      </c>
      <c r="U64" s="137">
        <f>DSUM(SEP_2013_A,33,CL_73_)</f>
        <v>0</v>
      </c>
      <c r="V64" s="137">
        <f>DSUM(SEP_2013_A,34,CL_73_)</f>
        <v>0</v>
      </c>
    </row>
    <row r="65" spans="2:22" ht="15.95" customHeight="1" x14ac:dyDescent="0.2">
      <c r="B65" s="1" t="s">
        <v>838</v>
      </c>
      <c r="C65" s="129" t="str">
        <f t="shared" si="1"/>
        <v>Rancho La Cuchilla No. 74</v>
      </c>
      <c r="D65" s="129" t="str">
        <f t="shared" si="2"/>
        <v>Gil</v>
      </c>
      <c r="E65" s="90">
        <f t="shared" si="3"/>
        <v>300</v>
      </c>
      <c r="F65" s="91">
        <f>DSUM(SEP_2013_A,AA,CL_74_)</f>
        <v>0</v>
      </c>
      <c r="G65" s="90">
        <f t="shared" si="4"/>
        <v>1800</v>
      </c>
      <c r="H65" s="90">
        <f>DSUM(SEP_2013_A,importe,CL_74_)</f>
        <v>1800</v>
      </c>
      <c r="I65" s="17">
        <f t="shared" si="6"/>
        <v>6</v>
      </c>
      <c r="J65" s="6" t="s">
        <v>1276</v>
      </c>
      <c r="K65" s="137">
        <f>DSUM(SEP_2013_A,23,CL_74_)</f>
        <v>600</v>
      </c>
      <c r="L65" s="137">
        <f>DSUM(SEP_2013_A,24,CL_74_)</f>
        <v>300</v>
      </c>
      <c r="M65" s="137">
        <f>DSUM(SEP_2013_A,25,CL_74_)</f>
        <v>300</v>
      </c>
      <c r="N65" s="137">
        <f>DSUM(SEP_2013_A,26,CL_74_)</f>
        <v>300</v>
      </c>
      <c r="O65" s="137">
        <f>DSUM(SEP_2013_A,27,CL_74_)</f>
        <v>300</v>
      </c>
      <c r="P65" s="137">
        <f>DSUM(SEP_2013_A,28,CL_74_)</f>
        <v>0</v>
      </c>
      <c r="Q65" s="137">
        <f>DSUM(SEP_2013_A,29,CL_74_)</f>
        <v>0</v>
      </c>
      <c r="R65" s="137">
        <f>DSUM(SEP_2013_A,30,CL_74_)</f>
        <v>0</v>
      </c>
      <c r="S65" s="137">
        <f>DSUM(SEP_2013_A,31,CL_74_)</f>
        <v>0</v>
      </c>
      <c r="T65" s="137">
        <f>DSUM(SEP_2013_A,32,CL_74_)</f>
        <v>0</v>
      </c>
      <c r="U65" s="137">
        <f>DSUM(SEP_2013_A,33,CL_74_)</f>
        <v>0</v>
      </c>
      <c r="V65" s="137">
        <f>DSUM(SEP_2013_A,34,CL_74_)</f>
        <v>0</v>
      </c>
    </row>
    <row r="66" spans="2:22" ht="15.95" customHeight="1" x14ac:dyDescent="0.2">
      <c r="B66" s="1" t="s">
        <v>839</v>
      </c>
      <c r="C66" s="129" t="str">
        <f t="shared" si="1"/>
        <v>Rancho La Cuchilla No. 75</v>
      </c>
      <c r="D66" s="129" t="str">
        <f t="shared" si="2"/>
        <v>Sosa Lucio</v>
      </c>
      <c r="E66" s="90">
        <f t="shared" si="3"/>
        <v>300</v>
      </c>
      <c r="F66" s="91">
        <f>DSUM(SEP_2013_A,AA,CL_75_)</f>
        <v>600</v>
      </c>
      <c r="G66" s="90">
        <f t="shared" si="4"/>
        <v>2400</v>
      </c>
      <c r="H66" s="90">
        <f>DSUM(SEP_2013_A,importe,CL_75_)</f>
        <v>3000</v>
      </c>
      <c r="I66" s="17">
        <f t="shared" si="6"/>
        <v>8</v>
      </c>
      <c r="J66" s="6" t="s">
        <v>1276</v>
      </c>
      <c r="K66" s="137">
        <f>DSUM(SEP_2013_A,23,CL_75_)</f>
        <v>300</v>
      </c>
      <c r="L66" s="137">
        <f>DSUM(SEP_2013_A,24,CL_75_)</f>
        <v>300</v>
      </c>
      <c r="M66" s="137">
        <f>DSUM(SEP_2013_A,25,CL_75_)</f>
        <v>300</v>
      </c>
      <c r="N66" s="137">
        <f>DSUM(SEP_2013_A,26,CL_75_)</f>
        <v>300</v>
      </c>
      <c r="O66" s="137">
        <f>DSUM(SEP_2013_A,27,CL_75_)</f>
        <v>300</v>
      </c>
      <c r="P66" s="137">
        <f>DSUM(SEP_2013_A,28,CL_75_)</f>
        <v>300</v>
      </c>
      <c r="Q66" s="137">
        <f>DSUM(SEP_2013_A,29,CL_75_)</f>
        <v>300</v>
      </c>
      <c r="R66" s="137">
        <f>DSUM(SEP_2013_A,30,CL_75_)</f>
        <v>300</v>
      </c>
      <c r="S66" s="137">
        <f>DSUM(SEP_2013_A,31,CL_75_)</f>
        <v>0</v>
      </c>
      <c r="T66" s="137">
        <f>DSUM(SEP_2013_A,32,CL_75_)</f>
        <v>0</v>
      </c>
      <c r="U66" s="137">
        <f>DSUM(SEP_2013_A,33,CL_75_)</f>
        <v>0</v>
      </c>
      <c r="V66" s="137">
        <f>DSUM(SEP_2013_A,34,CL_75_)</f>
        <v>0</v>
      </c>
    </row>
    <row r="67" spans="2:22" ht="15.95" customHeight="1" x14ac:dyDescent="0.2">
      <c r="B67" s="1" t="s">
        <v>1321</v>
      </c>
      <c r="C67" s="129" t="str">
        <f t="shared" si="1"/>
        <v>Rancho La Cuchilla No. 76</v>
      </c>
      <c r="D67" s="129">
        <f t="shared" si="2"/>
        <v>0</v>
      </c>
      <c r="E67" s="90">
        <f t="shared" si="3"/>
        <v>300</v>
      </c>
      <c r="F67" s="91">
        <f>DSUM(SEP_2013_A,AA,CL_76_)</f>
        <v>0</v>
      </c>
      <c r="G67" s="90">
        <f t="shared" si="4"/>
        <v>0</v>
      </c>
      <c r="H67" s="90">
        <f>DSUM(SEP_2013_A,importe,CL_76_)</f>
        <v>0</v>
      </c>
      <c r="I67" s="17">
        <f t="shared" si="6"/>
        <v>0</v>
      </c>
      <c r="J67" s="6" t="s">
        <v>1276</v>
      </c>
      <c r="K67" s="137">
        <f>DSUM(SEP_2013_A,23,CL_76_)</f>
        <v>0</v>
      </c>
      <c r="L67" s="137">
        <f>DSUM(SEP_2013_A,24,CL_76_)</f>
        <v>0</v>
      </c>
      <c r="M67" s="137">
        <f>DSUM(SEP_2013_A,25,CL_76_)</f>
        <v>0</v>
      </c>
      <c r="N67" s="137">
        <f>DSUM(SEP_2013_A,26,CL_76_)</f>
        <v>0</v>
      </c>
      <c r="O67" s="137">
        <f>DSUM(SEP_2013_A,27,CL_76_)</f>
        <v>0</v>
      </c>
      <c r="P67" s="137">
        <f>DSUM(SEP_2013_A,28,CL_76_)</f>
        <v>0</v>
      </c>
      <c r="Q67" s="137">
        <f>DSUM(SEP_2013_A,29,CL_76_)</f>
        <v>0</v>
      </c>
      <c r="R67" s="137">
        <f>DSUM(SEP_2013_A,30,CL_76_)</f>
        <v>0</v>
      </c>
      <c r="S67" s="137">
        <f>DSUM(SEP_2013_A,31,CL_76_)</f>
        <v>0</v>
      </c>
      <c r="T67" s="137">
        <f>DSUM(SEP_2013_A,32,CL_76_)</f>
        <v>0</v>
      </c>
      <c r="U67" s="137">
        <f>DSUM(SEP_2013_A,33,CL_76_)</f>
        <v>0</v>
      </c>
      <c r="V67" s="137">
        <f>DSUM(SEP_2013_A,34,CL_76_)</f>
        <v>0</v>
      </c>
    </row>
    <row r="68" spans="2:22" ht="15.95" customHeight="1" x14ac:dyDescent="0.2">
      <c r="B68" s="1" t="s">
        <v>840</v>
      </c>
      <c r="C68" s="129" t="str">
        <f t="shared" si="1"/>
        <v>Rancho La Cuchilla No. 77</v>
      </c>
      <c r="D68" s="129" t="str">
        <f t="shared" si="2"/>
        <v>Loperena</v>
      </c>
      <c r="E68" s="90">
        <f t="shared" si="3"/>
        <v>300</v>
      </c>
      <c r="F68" s="91">
        <f>DSUM(SEP_2013_A,AA,CL_77_)</f>
        <v>600</v>
      </c>
      <c r="G68" s="90">
        <f t="shared" si="4"/>
        <v>2400</v>
      </c>
      <c r="H68" s="90">
        <f>DSUM(SEP_2013_A,importe,CL_77_)</f>
        <v>3000</v>
      </c>
      <c r="I68" s="17">
        <f t="shared" si="6"/>
        <v>8</v>
      </c>
      <c r="J68" s="6" t="s">
        <v>1276</v>
      </c>
      <c r="K68" s="137">
        <f>DSUM(SEP_2013_A,23,CL_77_)</f>
        <v>300</v>
      </c>
      <c r="L68" s="137">
        <f>DSUM(SEP_2013_A,24,CL_77_)</f>
        <v>300</v>
      </c>
      <c r="M68" s="137">
        <f>DSUM(SEP_2013_A,25,CL_77_)</f>
        <v>300</v>
      </c>
      <c r="N68" s="137">
        <f>DSUM(SEP_2013_A,26,CL_77_)</f>
        <v>300</v>
      </c>
      <c r="O68" s="137">
        <f>DSUM(SEP_2013_A,27,CL_77_)</f>
        <v>300</v>
      </c>
      <c r="P68" s="137">
        <f>DSUM(SEP_2013_A,28,CL_77_)</f>
        <v>300</v>
      </c>
      <c r="Q68" s="137">
        <f>DSUM(SEP_2013_A,29,CL_77_)</f>
        <v>300</v>
      </c>
      <c r="R68" s="137">
        <f>DSUM(SEP_2013_A,30,CL_77_)</f>
        <v>300</v>
      </c>
      <c r="S68" s="137">
        <f>DSUM(SEP_2013_A,31,CL_77_)</f>
        <v>0</v>
      </c>
      <c r="T68" s="137">
        <f>DSUM(SEP_2013_A,32,CL_77_)</f>
        <v>0</v>
      </c>
      <c r="U68" s="137">
        <f>DSUM(SEP_2013_A,33,CL_77_)</f>
        <v>0</v>
      </c>
      <c r="V68" s="137">
        <f>DSUM(SEP_2013_A,34,CL_77_)</f>
        <v>0</v>
      </c>
    </row>
    <row r="69" spans="2:22" ht="15.95" customHeight="1" x14ac:dyDescent="0.2">
      <c r="B69" s="1" t="s">
        <v>841</v>
      </c>
      <c r="C69" s="129" t="str">
        <f t="shared" si="1"/>
        <v>Rancho La Cuchilla No. 79</v>
      </c>
      <c r="D69" s="129" t="str">
        <f t="shared" si="2"/>
        <v>Hernández Laurel</v>
      </c>
      <c r="E69" s="90">
        <f t="shared" si="3"/>
        <v>300</v>
      </c>
      <c r="F69" s="91">
        <f>DSUM(SEP_2013_A,AA,CL_79_)</f>
        <v>0</v>
      </c>
      <c r="G69" s="90">
        <f t="shared" si="4"/>
        <v>0</v>
      </c>
      <c r="H69" s="90">
        <f>DSUM(SEP_2013_A,importe,CL_79_)</f>
        <v>0</v>
      </c>
      <c r="I69" s="17">
        <f t="shared" si="6"/>
        <v>0</v>
      </c>
      <c r="J69" s="6" t="s">
        <v>1276</v>
      </c>
      <c r="K69" s="137">
        <f>DSUM(SEP_2013_A,23,CL_79_)</f>
        <v>0</v>
      </c>
      <c r="L69" s="137">
        <f>DSUM(SEP_2013_A,24,CL_79_)</f>
        <v>0</v>
      </c>
      <c r="M69" s="137">
        <f>DSUM(SEP_2013_A,25,CL_79_)</f>
        <v>0</v>
      </c>
      <c r="N69" s="137">
        <f>DSUM(SEP_2013_A,26,CL_79_)</f>
        <v>0</v>
      </c>
      <c r="O69" s="137">
        <f>DSUM(SEP_2013_A,27,CL_79_)</f>
        <v>0</v>
      </c>
      <c r="P69" s="137">
        <f>DSUM(SEP_2013_A,28,CL_79_)</f>
        <v>0</v>
      </c>
      <c r="Q69" s="137">
        <f>DSUM(SEP_2013_A,29,CL_79_)</f>
        <v>0</v>
      </c>
      <c r="R69" s="137">
        <f>DSUM(SEP_2013_A,30,CL_79_)</f>
        <v>0</v>
      </c>
      <c r="S69" s="137">
        <f>DSUM(SEP_2013_A,31,CL_79_)</f>
        <v>0</v>
      </c>
      <c r="T69" s="137">
        <f>DSUM(SEP_2013_A,32,CL_79_)</f>
        <v>0</v>
      </c>
      <c r="U69" s="137">
        <f>DSUM(SEP_2013_A,33,CL_79_)</f>
        <v>0</v>
      </c>
      <c r="V69" s="137">
        <f>DSUM(SEP_2013_A,34,CL_79_)</f>
        <v>0</v>
      </c>
    </row>
    <row r="70" spans="2:22" ht="15.95" customHeight="1" x14ac:dyDescent="0.2">
      <c r="B70" s="1" t="s">
        <v>842</v>
      </c>
      <c r="C70" s="129" t="str">
        <f t="shared" si="1"/>
        <v>Rancho La Cuchilla No. 80</v>
      </c>
      <c r="D70" s="129" t="str">
        <f t="shared" si="2"/>
        <v>Aparicio</v>
      </c>
      <c r="E70" s="90">
        <f t="shared" si="3"/>
        <v>300</v>
      </c>
      <c r="F70" s="91">
        <f>DSUM(SEP_2013_A,AA,CL_80_)</f>
        <v>0</v>
      </c>
      <c r="G70" s="90">
        <f t="shared" si="4"/>
        <v>3300</v>
      </c>
      <c r="H70" s="90">
        <f>DSUM(SEP_2013_A,importe,CL_80_)</f>
        <v>3300</v>
      </c>
      <c r="I70" s="17">
        <f>IF(VLOOKUP(B70,BASE_A,9,FALSE)=0,0,(G70/VLOOKUP(B70,BASE_A,9,FALSE)))+1</f>
        <v>12</v>
      </c>
      <c r="J70" s="6" t="s">
        <v>1276</v>
      </c>
      <c r="K70" s="137">
        <f>DSUM(SEP_2013_A,23,CL_80_)</f>
        <v>300</v>
      </c>
      <c r="L70" s="137">
        <f>DSUM(SEP_2013_A,24,CL_80_)</f>
        <v>300</v>
      </c>
      <c r="M70" s="137">
        <f>DSUM(SEP_2013_A,25,CL_80_)</f>
        <v>300</v>
      </c>
      <c r="N70" s="137">
        <f>DSUM(SEP_2013_A,26,CL_80_)</f>
        <v>300</v>
      </c>
      <c r="O70" s="137">
        <f>DSUM(SEP_2013_A,27,CL_80_)</f>
        <v>300</v>
      </c>
      <c r="P70" s="137">
        <f>DSUM(SEP_2013_A,28,CL_80_)</f>
        <v>300</v>
      </c>
      <c r="Q70" s="137">
        <f>DSUM(SEP_2013_A,29,CL_80_)</f>
        <v>300</v>
      </c>
      <c r="R70" s="137">
        <f>DSUM(SEP_2013_A,30,CL_80_)</f>
        <v>300</v>
      </c>
      <c r="S70" s="137">
        <f>DSUM(SEP_2013_A,31,CL_80_)</f>
        <v>300</v>
      </c>
      <c r="T70" s="137">
        <f>DSUM(SEP_2013_A,32,CL_80_)</f>
        <v>300</v>
      </c>
      <c r="U70" s="137">
        <f>DSUM(SEP_2013_A,33,CL_80_)</f>
        <v>300</v>
      </c>
      <c r="V70" s="137">
        <f>DSUM(SEP_2013_A,34,CL_80_)</f>
        <v>0</v>
      </c>
    </row>
    <row r="71" spans="2:22" ht="15.95" customHeight="1" x14ac:dyDescent="0.2">
      <c r="B71" s="1" t="s">
        <v>843</v>
      </c>
      <c r="C71" s="129" t="str">
        <f t="shared" si="1"/>
        <v>Rancho La Cuchilla No. 81, A</v>
      </c>
      <c r="D71" s="129" t="str">
        <f t="shared" si="2"/>
        <v>Barrientos López</v>
      </c>
      <c r="E71" s="90">
        <f t="shared" si="3"/>
        <v>300</v>
      </c>
      <c r="F71" s="91">
        <f>DSUM(SEP_2013_A,AA,CL_81_A)</f>
        <v>300</v>
      </c>
      <c r="G71" s="90">
        <f t="shared" si="4"/>
        <v>2700</v>
      </c>
      <c r="H71" s="90">
        <f>DSUM(SEP_2013_A,importe,CL_81_A)</f>
        <v>3000</v>
      </c>
      <c r="I71" s="17">
        <f>IF(VLOOKUP(B71,BASE_A,9,FALSE)=0,0,G71/VLOOKUP(B71,BASE_A,9,FALSE))</f>
        <v>9</v>
      </c>
      <c r="J71" s="6" t="s">
        <v>1276</v>
      </c>
      <c r="K71" s="137">
        <f>DSUM(SEP_2013_A,23,CL_81_A)</f>
        <v>300</v>
      </c>
      <c r="L71" s="137">
        <f>DSUM(SEP_2013_A,24,CL_81_A)</f>
        <v>300</v>
      </c>
      <c r="M71" s="137">
        <f>DSUM(SEP_2013_A,25,CL_81_A)</f>
        <v>300</v>
      </c>
      <c r="N71" s="137">
        <f>DSUM(SEP_2013_A,26,CL_81_A)</f>
        <v>300</v>
      </c>
      <c r="O71" s="137">
        <f>DSUM(SEP_2013_A,27,CL_81_A)</f>
        <v>300</v>
      </c>
      <c r="P71" s="137">
        <f>DSUM(SEP_2013_A,28,CL_81_A)</f>
        <v>300</v>
      </c>
      <c r="Q71" s="137">
        <f>DSUM(SEP_2013_A,29,CL_81_A)</f>
        <v>300</v>
      </c>
      <c r="R71" s="137">
        <f>DSUM(SEP_2013_A,30,CL_81_A)</f>
        <v>300</v>
      </c>
      <c r="S71" s="137">
        <f>DSUM(SEP_2013_A,31,CL_81_A)</f>
        <v>300</v>
      </c>
      <c r="T71" s="137">
        <f>DSUM(SEP_2013_A,32,CL_81_A)</f>
        <v>0</v>
      </c>
      <c r="U71" s="137">
        <f>DSUM(SEP_2013_A,33,CL_81_A)</f>
        <v>0</v>
      </c>
      <c r="V71" s="137">
        <f>DSUM(SEP_2013_A,34,CL_81_A)</f>
        <v>0</v>
      </c>
    </row>
    <row r="72" spans="2:22" ht="15.95" customHeight="1" x14ac:dyDescent="0.2">
      <c r="B72" s="1" t="s">
        <v>844</v>
      </c>
      <c r="C72" s="129" t="str">
        <f t="shared" ref="C72:C135" si="7">VLOOKUP(B72,BASE_A,6,FALSE)</f>
        <v>Rancho La Cuchilla No. 81, B</v>
      </c>
      <c r="D72" s="129" t="str">
        <f t="shared" ref="D72:D135" si="8">VLOOKUP(B72,BASE_A,8,FALSE)</f>
        <v>Suárez</v>
      </c>
      <c r="E72" s="90">
        <f t="shared" ref="E72:E135" si="9">VLOOKUP(B72,BASE_A,9,FALSE)</f>
        <v>300</v>
      </c>
      <c r="F72" s="91">
        <f>DSUM(SEP_2013_A,AA,CL_81_B)</f>
        <v>0</v>
      </c>
      <c r="G72" s="90">
        <f t="shared" ref="G72:G135" si="10">H72-F72</f>
        <v>3300</v>
      </c>
      <c r="H72" s="90">
        <f>DSUM(SEP_2013_A,importe,CL_81_B)</f>
        <v>3300</v>
      </c>
      <c r="I72" s="17">
        <f>IF(VLOOKUP(B72,BASE_A,9,FALSE)=0,0,(G72/VLOOKUP(B72,BASE_A,9,FALSE)))+1</f>
        <v>12</v>
      </c>
      <c r="J72" s="6" t="s">
        <v>1276</v>
      </c>
      <c r="K72" s="137">
        <f>DSUM(SEP_2013_A,23,CL_81_B)</f>
        <v>300</v>
      </c>
      <c r="L72" s="137">
        <f>DSUM(SEP_2013_A,24,CL_81_B)</f>
        <v>300</v>
      </c>
      <c r="M72" s="137">
        <f>DSUM(SEP_2013_A,25,CL_81_B)</f>
        <v>300</v>
      </c>
      <c r="N72" s="137">
        <f>DSUM(SEP_2013_A,26,CL_81_B)</f>
        <v>300</v>
      </c>
      <c r="O72" s="137">
        <f>DSUM(SEP_2013_A,27,CL_81_B)</f>
        <v>300</v>
      </c>
      <c r="P72" s="137">
        <f>DSUM(SEP_2013_A,28,CL_81_B)</f>
        <v>300</v>
      </c>
      <c r="Q72" s="137">
        <f>DSUM(SEP_2013_A,29,CL_81_B)</f>
        <v>300</v>
      </c>
      <c r="R72" s="137">
        <f>DSUM(SEP_2013_A,30,CL_81_B)</f>
        <v>300</v>
      </c>
      <c r="S72" s="137">
        <f>DSUM(SEP_2013_A,31,CL_81_B)</f>
        <v>300</v>
      </c>
      <c r="T72" s="137">
        <f>DSUM(SEP_2013_A,32,CL_81_B)</f>
        <v>300</v>
      </c>
      <c r="U72" s="137">
        <f>DSUM(SEP_2013_A,33,CL_81_B)</f>
        <v>300</v>
      </c>
      <c r="V72" s="137">
        <f>DSUM(SEP_2013_A,34,CL_81_B)</f>
        <v>0</v>
      </c>
    </row>
    <row r="73" spans="2:22" ht="15.95" customHeight="1" x14ac:dyDescent="0.2">
      <c r="B73" s="1" t="s">
        <v>845</v>
      </c>
      <c r="C73" s="129" t="str">
        <f t="shared" si="7"/>
        <v>Rancho La Cuchilla No. 82</v>
      </c>
      <c r="D73" s="129" t="str">
        <f t="shared" si="8"/>
        <v>Cruz</v>
      </c>
      <c r="E73" s="90">
        <f t="shared" si="9"/>
        <v>300</v>
      </c>
      <c r="F73" s="91">
        <f>DSUM(SEP_2013_A,AA,CL_82_)</f>
        <v>600</v>
      </c>
      <c r="G73" s="90">
        <f t="shared" si="10"/>
        <v>2700</v>
      </c>
      <c r="H73" s="90">
        <f>DSUM(SEP_2013_A,importe,CL_82_)</f>
        <v>3300</v>
      </c>
      <c r="I73" s="17">
        <f t="shared" ref="I73:I79" si="11">IF(VLOOKUP(B73,BASE_A,9,FALSE)=0,0,G73/VLOOKUP(B73,BASE_A,9,FALSE))</f>
        <v>9</v>
      </c>
      <c r="J73" s="6" t="s">
        <v>1276</v>
      </c>
      <c r="K73" s="137">
        <f>DSUM(SEP_2013_A,23,CL_82_)</f>
        <v>300</v>
      </c>
      <c r="L73" s="137">
        <f>DSUM(SEP_2013_A,24,CL_82_)</f>
        <v>300</v>
      </c>
      <c r="M73" s="137">
        <f>DSUM(SEP_2013_A,25,CL_82_)</f>
        <v>300</v>
      </c>
      <c r="N73" s="137">
        <f>DSUM(SEP_2013_A,26,CL_82_)</f>
        <v>300</v>
      </c>
      <c r="O73" s="137">
        <f>DSUM(SEP_2013_A,27,CL_82_)</f>
        <v>300</v>
      </c>
      <c r="P73" s="137">
        <f>DSUM(SEP_2013_A,28,CL_82_)</f>
        <v>300</v>
      </c>
      <c r="Q73" s="137">
        <f>DSUM(SEP_2013_A,29,CL_82_)</f>
        <v>300</v>
      </c>
      <c r="R73" s="137">
        <f>DSUM(SEP_2013_A,30,CL_82_)</f>
        <v>300</v>
      </c>
      <c r="S73" s="137">
        <f>DSUM(SEP_2013_A,31,CL_82_)</f>
        <v>300</v>
      </c>
      <c r="T73" s="137">
        <f>DSUM(SEP_2013_A,32,CL_82_)</f>
        <v>0</v>
      </c>
      <c r="U73" s="137">
        <f>DSUM(SEP_2013_A,33,CL_82_)</f>
        <v>0</v>
      </c>
      <c r="V73" s="137">
        <f>DSUM(SEP_2013_A,34,CL_82_)</f>
        <v>0</v>
      </c>
    </row>
    <row r="74" spans="2:22" ht="15.95" customHeight="1" x14ac:dyDescent="0.2">
      <c r="B74" s="1" t="s">
        <v>846</v>
      </c>
      <c r="C74" s="129" t="str">
        <f t="shared" si="7"/>
        <v>Rancho La Cuchilla No. 83</v>
      </c>
      <c r="D74" s="129" t="str">
        <f t="shared" si="8"/>
        <v>Barradas</v>
      </c>
      <c r="E74" s="90">
        <f t="shared" si="9"/>
        <v>300</v>
      </c>
      <c r="F74" s="91">
        <f>DSUM(SEP_2013_A,AA,CL_83_)</f>
        <v>0</v>
      </c>
      <c r="G74" s="90">
        <f t="shared" si="10"/>
        <v>0</v>
      </c>
      <c r="H74" s="90">
        <f>DSUM(SEP_2013_A,importe,CL_83_)</f>
        <v>0</v>
      </c>
      <c r="I74" s="17">
        <f t="shared" si="11"/>
        <v>0</v>
      </c>
      <c r="J74" s="6" t="s">
        <v>1276</v>
      </c>
      <c r="K74" s="137">
        <f>DSUM(SEP_2013_A,23,CL_83_)</f>
        <v>0</v>
      </c>
      <c r="L74" s="137">
        <f>DSUM(SEP_2013_A,24,CL_83_)</f>
        <v>0</v>
      </c>
      <c r="M74" s="137">
        <f>DSUM(SEP_2013_A,25,CL_83_)</f>
        <v>0</v>
      </c>
      <c r="N74" s="137">
        <f>DSUM(SEP_2013_A,26,CL_83_)</f>
        <v>0</v>
      </c>
      <c r="O74" s="137">
        <f>DSUM(SEP_2013_A,27,CL_83_)</f>
        <v>0</v>
      </c>
      <c r="P74" s="137">
        <f>DSUM(SEP_2013_A,28,CL_83_)</f>
        <v>0</v>
      </c>
      <c r="Q74" s="137">
        <f>DSUM(SEP_2013_A,29,CL_83_)</f>
        <v>0</v>
      </c>
      <c r="R74" s="137">
        <f>DSUM(SEP_2013_A,30,CL_83_)</f>
        <v>0</v>
      </c>
      <c r="S74" s="137">
        <f>DSUM(SEP_2013_A,31,CL_83_)</f>
        <v>0</v>
      </c>
      <c r="T74" s="137">
        <f>DSUM(SEP_2013_A,32,CL_83_)</f>
        <v>0</v>
      </c>
      <c r="U74" s="137">
        <f>DSUM(SEP_2013_A,33,CL_83_)</f>
        <v>0</v>
      </c>
      <c r="V74" s="137">
        <f>DSUM(SEP_2013_A,34,CL_83_)</f>
        <v>0</v>
      </c>
    </row>
    <row r="75" spans="2:22" ht="15.95" customHeight="1" x14ac:dyDescent="0.2">
      <c r="B75" s="1" t="s">
        <v>847</v>
      </c>
      <c r="C75" s="129" t="str">
        <f t="shared" si="7"/>
        <v>Rancho La Cuchilla No. 86</v>
      </c>
      <c r="D75" s="129" t="str">
        <f t="shared" si="8"/>
        <v>Del Villar</v>
      </c>
      <c r="E75" s="90">
        <f t="shared" si="9"/>
        <v>300</v>
      </c>
      <c r="F75" s="91">
        <f>DSUM(SEP_2013_A,AA,CL_86_)</f>
        <v>0</v>
      </c>
      <c r="G75" s="90">
        <f t="shared" si="10"/>
        <v>2700</v>
      </c>
      <c r="H75" s="90">
        <f>DSUM(SEP_2013_A,importe,CL_86_)</f>
        <v>2700</v>
      </c>
      <c r="I75" s="17">
        <f t="shared" si="11"/>
        <v>9</v>
      </c>
      <c r="J75" s="6" t="s">
        <v>1276</v>
      </c>
      <c r="K75" s="137">
        <f>DSUM(SEP_2013_A,23,CL_86_)</f>
        <v>300</v>
      </c>
      <c r="L75" s="137">
        <f>DSUM(SEP_2013_A,24,CL_86_)</f>
        <v>300</v>
      </c>
      <c r="M75" s="137">
        <f>DSUM(SEP_2013_A,25,CL_86_)</f>
        <v>300</v>
      </c>
      <c r="N75" s="137">
        <f>DSUM(SEP_2013_A,26,CL_86_)</f>
        <v>300</v>
      </c>
      <c r="O75" s="137">
        <f>DSUM(SEP_2013_A,27,CL_86_)</f>
        <v>300</v>
      </c>
      <c r="P75" s="137">
        <f>DSUM(SEP_2013_A,28,CL_86_)</f>
        <v>300</v>
      </c>
      <c r="Q75" s="137">
        <f>DSUM(SEP_2013_A,29,CL_86_)</f>
        <v>300</v>
      </c>
      <c r="R75" s="137">
        <f>DSUM(SEP_2013_A,30,CL_86_)</f>
        <v>300</v>
      </c>
      <c r="S75" s="137">
        <f>DSUM(SEP_2013_A,31,CL_86_)</f>
        <v>300</v>
      </c>
      <c r="T75" s="137">
        <f>DSUM(SEP_2013_A,32,CL_86_)</f>
        <v>0</v>
      </c>
      <c r="U75" s="137">
        <f>DSUM(SEP_2013_A,33,CL_86_)</f>
        <v>0</v>
      </c>
      <c r="V75" s="137">
        <f>DSUM(SEP_2013_A,34,CL_86_)</f>
        <v>0</v>
      </c>
    </row>
    <row r="76" spans="2:22" ht="15.95" customHeight="1" x14ac:dyDescent="0.2">
      <c r="B76" s="1" t="s">
        <v>848</v>
      </c>
      <c r="C76" s="129" t="str">
        <f t="shared" si="7"/>
        <v>Rancho La Cuchilla No. 87</v>
      </c>
      <c r="D76" s="129" t="str">
        <f t="shared" si="8"/>
        <v>Villanueva S.</v>
      </c>
      <c r="E76" s="90">
        <f t="shared" si="9"/>
        <v>300</v>
      </c>
      <c r="F76" s="91">
        <f>DSUM(SEP_2013_A,AA,CL_87_)</f>
        <v>600</v>
      </c>
      <c r="G76" s="90">
        <f t="shared" si="10"/>
        <v>2700</v>
      </c>
      <c r="H76" s="90">
        <f>DSUM(SEP_2013_A,importe,CL_87_)</f>
        <v>3300</v>
      </c>
      <c r="I76" s="17">
        <f t="shared" si="11"/>
        <v>9</v>
      </c>
      <c r="J76" s="6" t="s">
        <v>1276</v>
      </c>
      <c r="K76" s="137">
        <f>DSUM(SEP_2013_A,23,CL_87_)</f>
        <v>300</v>
      </c>
      <c r="L76" s="137">
        <f>DSUM(SEP_2013_A,24,CL_87_)</f>
        <v>300</v>
      </c>
      <c r="M76" s="137">
        <f>DSUM(SEP_2013_A,25,CL_87_)</f>
        <v>300</v>
      </c>
      <c r="N76" s="137">
        <f>DSUM(SEP_2013_A,26,CL_87_)</f>
        <v>300</v>
      </c>
      <c r="O76" s="137">
        <f>DSUM(SEP_2013_A,27,CL_87_)</f>
        <v>300</v>
      </c>
      <c r="P76" s="137">
        <f>DSUM(SEP_2013_A,28,CL_87_)</f>
        <v>300</v>
      </c>
      <c r="Q76" s="137">
        <f>DSUM(SEP_2013_A,29,CL_87_)</f>
        <v>300</v>
      </c>
      <c r="R76" s="137">
        <f>DSUM(SEP_2013_A,30,CL_87_)</f>
        <v>300</v>
      </c>
      <c r="S76" s="137">
        <f>DSUM(SEP_2013_A,31,CL_87_)</f>
        <v>300</v>
      </c>
      <c r="T76" s="137">
        <f>DSUM(SEP_2013_A,32,CL_87_)</f>
        <v>0</v>
      </c>
      <c r="U76" s="137">
        <f>DSUM(SEP_2013_A,33,CL_87_)</f>
        <v>0</v>
      </c>
      <c r="V76" s="137">
        <f>DSUM(SEP_2013_A,34,CL_87_)</f>
        <v>0</v>
      </c>
    </row>
    <row r="77" spans="2:22" ht="15.95" customHeight="1" x14ac:dyDescent="0.2">
      <c r="B77" s="1" t="s">
        <v>1322</v>
      </c>
      <c r="C77" s="129" t="str">
        <f t="shared" si="7"/>
        <v>Rancho La Cuchilla No. 88</v>
      </c>
      <c r="D77" s="129">
        <f t="shared" si="8"/>
        <v>0</v>
      </c>
      <c r="E77" s="90">
        <f t="shared" si="9"/>
        <v>300</v>
      </c>
      <c r="F77" s="91">
        <f>DSUM(SEP_2013_A,AA,CL_88_)</f>
        <v>0</v>
      </c>
      <c r="G77" s="90">
        <f t="shared" si="10"/>
        <v>0</v>
      </c>
      <c r="H77" s="90">
        <f>DSUM(SEP_2013_A,importe,CL_88_)</f>
        <v>0</v>
      </c>
      <c r="I77" s="17">
        <f t="shared" si="11"/>
        <v>0</v>
      </c>
      <c r="J77" s="6" t="s">
        <v>1276</v>
      </c>
      <c r="K77" s="137">
        <f>DSUM(SEP_2013_A,23,CL_88_)</f>
        <v>0</v>
      </c>
      <c r="L77" s="137">
        <f>DSUM(SEP_2013_A,24,CL_88_)</f>
        <v>0</v>
      </c>
      <c r="M77" s="137">
        <f>DSUM(SEP_2013_A,25,CL_88_)</f>
        <v>0</v>
      </c>
      <c r="N77" s="137">
        <f>DSUM(SEP_2013_A,26,CL_88_)</f>
        <v>0</v>
      </c>
      <c r="O77" s="137">
        <f>DSUM(SEP_2013_A,27,CL_88_)</f>
        <v>0</v>
      </c>
      <c r="P77" s="137">
        <f>DSUM(SEP_2013_A,28,CL_88_)</f>
        <v>0</v>
      </c>
      <c r="Q77" s="137">
        <f>DSUM(SEP_2013_A,29,CL_88_)</f>
        <v>0</v>
      </c>
      <c r="R77" s="137">
        <f>DSUM(SEP_2013_A,30,CL_88_)</f>
        <v>0</v>
      </c>
      <c r="S77" s="137">
        <f>DSUM(SEP_2013_A,31,CL_88_)</f>
        <v>0</v>
      </c>
      <c r="T77" s="137">
        <f>DSUM(SEP_2013_A,32,CL_88_)</f>
        <v>0</v>
      </c>
      <c r="U77" s="137">
        <f>DSUM(SEP_2013_A,33,CL_88_)</f>
        <v>0</v>
      </c>
      <c r="V77" s="137">
        <f>DSUM(SEP_2013_A,34,CL_88_)</f>
        <v>0</v>
      </c>
    </row>
    <row r="78" spans="2:22" ht="15.95" customHeight="1" x14ac:dyDescent="0.2">
      <c r="B78" s="1" t="s">
        <v>775</v>
      </c>
      <c r="C78" s="129" t="str">
        <f t="shared" si="7"/>
        <v>Rancho La Cuchilla No. 89</v>
      </c>
      <c r="D78" s="129" t="str">
        <f t="shared" si="8"/>
        <v>Gálvez</v>
      </c>
      <c r="E78" s="90">
        <f t="shared" si="9"/>
        <v>300</v>
      </c>
      <c r="F78" s="91">
        <f>DSUM(SEP_2013_A,AA,CL_89_)</f>
        <v>300</v>
      </c>
      <c r="G78" s="90">
        <f t="shared" si="10"/>
        <v>2700</v>
      </c>
      <c r="H78" s="90">
        <f>DSUM(SEP_2013_A,importe,CL_89_)</f>
        <v>3000</v>
      </c>
      <c r="I78" s="17">
        <f t="shared" si="11"/>
        <v>9</v>
      </c>
      <c r="J78" s="6" t="s">
        <v>1276</v>
      </c>
      <c r="K78" s="137">
        <f>DSUM(SEP_2013_A,23,CL_89_)</f>
        <v>300</v>
      </c>
      <c r="L78" s="137">
        <f>DSUM(SEP_2013_A,24,CL_89_)</f>
        <v>300</v>
      </c>
      <c r="M78" s="137">
        <f>DSUM(SEP_2013_A,25,CL_89_)</f>
        <v>300</v>
      </c>
      <c r="N78" s="137">
        <f>DSUM(SEP_2013_A,26,CL_89_)</f>
        <v>300</v>
      </c>
      <c r="O78" s="137">
        <f>DSUM(SEP_2013_A,27,CL_89_)</f>
        <v>300</v>
      </c>
      <c r="P78" s="137">
        <f>DSUM(SEP_2013_A,28,CL_89_)</f>
        <v>300</v>
      </c>
      <c r="Q78" s="137">
        <f>DSUM(SEP_2013_A,29,CL_89_)</f>
        <v>300</v>
      </c>
      <c r="R78" s="137">
        <f>DSUM(SEP_2013_A,30,CL_89_)</f>
        <v>300</v>
      </c>
      <c r="S78" s="137">
        <f>DSUM(SEP_2013_A,31,CL_89_)</f>
        <v>300</v>
      </c>
      <c r="T78" s="137">
        <f>DSUM(SEP_2013_A,32,CL_89_)</f>
        <v>0</v>
      </c>
      <c r="U78" s="137">
        <f>DSUM(SEP_2013_A,33,CL_89_)</f>
        <v>0</v>
      </c>
      <c r="V78" s="137">
        <f>DSUM(SEP_2013_A,34,CL_89_)</f>
        <v>0</v>
      </c>
    </row>
    <row r="79" spans="2:22" ht="15.95" customHeight="1" x14ac:dyDescent="0.2">
      <c r="B79" s="1" t="s">
        <v>849</v>
      </c>
      <c r="C79" s="129" t="str">
        <f t="shared" si="7"/>
        <v>Rancho La Cuchilla No. 90</v>
      </c>
      <c r="D79" s="129" t="str">
        <f t="shared" si="8"/>
        <v>Porras Fuentes</v>
      </c>
      <c r="E79" s="90">
        <f t="shared" si="9"/>
        <v>150</v>
      </c>
      <c r="F79" s="91">
        <f>DSUM(SEP_2013_A,AA,CL_90_)</f>
        <v>300</v>
      </c>
      <c r="G79" s="90">
        <f t="shared" si="10"/>
        <v>1200</v>
      </c>
      <c r="H79" s="90">
        <f>DSUM(SEP_2013_A,importe,CL_90_)</f>
        <v>1500</v>
      </c>
      <c r="I79" s="17">
        <f t="shared" si="11"/>
        <v>8</v>
      </c>
      <c r="J79" s="6" t="s">
        <v>1276</v>
      </c>
      <c r="K79" s="137">
        <f>DSUM(SEP_2013_A,23,CL_90_)</f>
        <v>150</v>
      </c>
      <c r="L79" s="137">
        <f>DSUM(SEP_2013_A,24,CL_90_)</f>
        <v>150</v>
      </c>
      <c r="M79" s="137">
        <f>DSUM(SEP_2013_A,25,CL_90_)</f>
        <v>150</v>
      </c>
      <c r="N79" s="137">
        <f>DSUM(SEP_2013_A,26,CL_90_)</f>
        <v>150</v>
      </c>
      <c r="O79" s="137">
        <f>DSUM(SEP_2013_A,27,CL_90_)</f>
        <v>150</v>
      </c>
      <c r="P79" s="137">
        <f>DSUM(SEP_2013_A,28,CL_90_)</f>
        <v>150</v>
      </c>
      <c r="Q79" s="137">
        <f>DSUM(SEP_2013_A,29,CL_90_)</f>
        <v>150</v>
      </c>
      <c r="R79" s="137">
        <f>DSUM(SEP_2013_A,30,CL_90_)</f>
        <v>150</v>
      </c>
      <c r="S79" s="137">
        <f>DSUM(SEP_2013_A,31,CL_90_)</f>
        <v>0</v>
      </c>
      <c r="T79" s="137">
        <f>DSUM(SEP_2013_A,32,CL_90_)</f>
        <v>0</v>
      </c>
      <c r="U79" s="137">
        <f>DSUM(SEP_2013_A,33,CL_90_)</f>
        <v>0</v>
      </c>
      <c r="V79" s="137">
        <f>DSUM(SEP_2013_A,34,CL_90_)</f>
        <v>0</v>
      </c>
    </row>
    <row r="80" spans="2:22" ht="15.95" customHeight="1" x14ac:dyDescent="0.2">
      <c r="B80" s="1" t="s">
        <v>850</v>
      </c>
      <c r="C80" s="129" t="str">
        <f t="shared" si="7"/>
        <v>Rancho La Cuchilla No. 91</v>
      </c>
      <c r="D80" s="129" t="str">
        <f t="shared" si="8"/>
        <v>Roldán Flores</v>
      </c>
      <c r="E80" s="90">
        <f t="shared" si="9"/>
        <v>300</v>
      </c>
      <c r="F80" s="91">
        <f>DSUM(SEP_2013_A,AA,CL_91_)</f>
        <v>0</v>
      </c>
      <c r="G80" s="90">
        <f t="shared" si="10"/>
        <v>3300</v>
      </c>
      <c r="H80" s="90">
        <f>DSUM(SEP_2013_A,importe,CL_91_)</f>
        <v>3300</v>
      </c>
      <c r="I80" s="17">
        <f>IF(VLOOKUP(B80,BASE_A,9,FALSE)=0,0,(G80/VLOOKUP(B80,BASE_A,9,FALSE)))+1</f>
        <v>12</v>
      </c>
      <c r="J80" s="6" t="s">
        <v>1276</v>
      </c>
      <c r="K80" s="137">
        <f>DSUM(SEP_2013_A,23,CL_91_)</f>
        <v>300</v>
      </c>
      <c r="L80" s="137">
        <f>DSUM(SEP_2013_A,24,CL_91_)</f>
        <v>300</v>
      </c>
      <c r="M80" s="137">
        <f>DSUM(SEP_2013_A,25,CL_91_)</f>
        <v>300</v>
      </c>
      <c r="N80" s="137">
        <f>DSUM(SEP_2013_A,26,CL_91_)</f>
        <v>300</v>
      </c>
      <c r="O80" s="137">
        <f>DSUM(SEP_2013_A,27,CL_91_)</f>
        <v>300</v>
      </c>
      <c r="P80" s="137">
        <f>DSUM(SEP_2013_A,28,CL_91_)</f>
        <v>300</v>
      </c>
      <c r="Q80" s="137">
        <f>DSUM(SEP_2013_A,29,CL_91_)</f>
        <v>300</v>
      </c>
      <c r="R80" s="137">
        <f>DSUM(SEP_2013_A,30,CL_91_)</f>
        <v>300</v>
      </c>
      <c r="S80" s="137">
        <f>DSUM(SEP_2013_A,31,CL_91_)</f>
        <v>300</v>
      </c>
      <c r="T80" s="137">
        <f>DSUM(SEP_2013_A,32,CL_91_)</f>
        <v>300</v>
      </c>
      <c r="U80" s="137">
        <f>DSUM(SEP_2013_A,33,CL_91_)</f>
        <v>300</v>
      </c>
      <c r="V80" s="137">
        <f>DSUM(SEP_2013_A,34,CL_91_)</f>
        <v>0</v>
      </c>
    </row>
    <row r="81" spans="2:22" ht="15.95" customHeight="1" x14ac:dyDescent="0.2">
      <c r="B81" s="1" t="s">
        <v>851</v>
      </c>
      <c r="C81" s="129" t="str">
        <f t="shared" si="7"/>
        <v>Rancho La Cuchilla No. 92</v>
      </c>
      <c r="D81" s="129" t="str">
        <f t="shared" si="8"/>
        <v>Cabrera</v>
      </c>
      <c r="E81" s="90">
        <f t="shared" si="9"/>
        <v>300</v>
      </c>
      <c r="F81" s="91">
        <f>DSUM(SEP_2013_A,AA,CL_92_)</f>
        <v>0</v>
      </c>
      <c r="G81" s="90">
        <f t="shared" si="10"/>
        <v>2700</v>
      </c>
      <c r="H81" s="90">
        <f>DSUM(SEP_2013_A,importe,CL_92_)</f>
        <v>2700</v>
      </c>
      <c r="I81" s="17">
        <f t="shared" ref="I81:I113" si="12">IF(VLOOKUP(B81,BASE_A,9,FALSE)=0,0,G81/VLOOKUP(B81,BASE_A,9,FALSE))</f>
        <v>9</v>
      </c>
      <c r="J81" s="6" t="s">
        <v>1276</v>
      </c>
      <c r="K81" s="137">
        <f>DSUM(SEP_2013_A,23,CL_92_)</f>
        <v>300</v>
      </c>
      <c r="L81" s="137">
        <f>DSUM(SEP_2013_A,24,CL_92_)</f>
        <v>300</v>
      </c>
      <c r="M81" s="137">
        <f>DSUM(SEP_2013_A,25,CL_92_)</f>
        <v>300</v>
      </c>
      <c r="N81" s="137">
        <f>DSUM(SEP_2013_A,26,CL_92_)</f>
        <v>300</v>
      </c>
      <c r="O81" s="137">
        <f>DSUM(SEP_2013_A,27,CL_92_)</f>
        <v>300</v>
      </c>
      <c r="P81" s="137">
        <f>DSUM(SEP_2013_A,28,CL_92_)</f>
        <v>300</v>
      </c>
      <c r="Q81" s="137">
        <f>DSUM(SEP_2013_A,29,CL_92_)</f>
        <v>300</v>
      </c>
      <c r="R81" s="137">
        <f>DSUM(SEP_2013_A,30,CL_92_)</f>
        <v>300</v>
      </c>
      <c r="S81" s="137">
        <f>DSUM(SEP_2013_A,31,CL_92_)</f>
        <v>300</v>
      </c>
      <c r="T81" s="137">
        <f>DSUM(SEP_2013_A,32,CL_92_)</f>
        <v>0</v>
      </c>
      <c r="U81" s="137">
        <f>DSUM(SEP_2013_A,33,CL_92_)</f>
        <v>0</v>
      </c>
      <c r="V81" s="137">
        <f>DSUM(SEP_2013_A,34,CL_92_)</f>
        <v>0</v>
      </c>
    </row>
    <row r="82" spans="2:22" ht="15.95" customHeight="1" x14ac:dyDescent="0.2">
      <c r="B82" s="1" t="s">
        <v>852</v>
      </c>
      <c r="C82" s="129" t="str">
        <f t="shared" si="7"/>
        <v>Rancho La Cuchilla No. 93</v>
      </c>
      <c r="D82" s="129" t="str">
        <f t="shared" si="8"/>
        <v>Alcántara Silva</v>
      </c>
      <c r="E82" s="90">
        <f t="shared" si="9"/>
        <v>300</v>
      </c>
      <c r="F82" s="91">
        <f>DSUM(SEP_2013_A,AA,CL_93_)</f>
        <v>300</v>
      </c>
      <c r="G82" s="90">
        <f t="shared" si="10"/>
        <v>2420</v>
      </c>
      <c r="H82" s="90">
        <f>DSUM(SEP_2013_A,importe,CL_93_)</f>
        <v>2720</v>
      </c>
      <c r="I82" s="17">
        <f t="shared" si="12"/>
        <v>8.0666666666666664</v>
      </c>
      <c r="J82" s="6" t="s">
        <v>1276</v>
      </c>
      <c r="K82" s="137">
        <f>DSUM(SEP_2013_A,23,CL_93_)</f>
        <v>300</v>
      </c>
      <c r="L82" s="137">
        <f>DSUM(SEP_2013_A,24,CL_93_)</f>
        <v>300</v>
      </c>
      <c r="M82" s="137">
        <f>DSUM(SEP_2013_A,25,CL_93_)</f>
        <v>300</v>
      </c>
      <c r="N82" s="137">
        <f>DSUM(SEP_2013_A,26,CL_93_)</f>
        <v>150</v>
      </c>
      <c r="O82" s="137">
        <f>DSUM(SEP_2013_A,27,CL_93_)</f>
        <v>170</v>
      </c>
      <c r="P82" s="137">
        <f>DSUM(SEP_2013_A,28,CL_93_)</f>
        <v>300</v>
      </c>
      <c r="Q82" s="137">
        <f>DSUM(SEP_2013_A,29,CL_93_)</f>
        <v>300</v>
      </c>
      <c r="R82" s="137">
        <f>DSUM(SEP_2013_A,30,CL_93_)</f>
        <v>300</v>
      </c>
      <c r="S82" s="137">
        <f>DSUM(SEP_2013_A,31,CL_93_)</f>
        <v>300</v>
      </c>
      <c r="T82" s="137">
        <f>DSUM(SEP_2013_A,32,CL_93_)</f>
        <v>0</v>
      </c>
      <c r="U82" s="137">
        <f>DSUM(SEP_2013_A,33,CL_93_)</f>
        <v>0</v>
      </c>
      <c r="V82" s="137">
        <f>DSUM(SEP_2013_A,34,CL_93_)</f>
        <v>0</v>
      </c>
    </row>
    <row r="83" spans="2:22" ht="15.95" customHeight="1" x14ac:dyDescent="0.2">
      <c r="B83" s="1" t="s">
        <v>853</v>
      </c>
      <c r="C83" s="129" t="str">
        <f t="shared" si="7"/>
        <v>Rancho La Cuchilla No. 94</v>
      </c>
      <c r="D83" s="129" t="str">
        <f t="shared" si="8"/>
        <v>Sánchez Márquez</v>
      </c>
      <c r="E83" s="90">
        <f t="shared" si="9"/>
        <v>300</v>
      </c>
      <c r="F83" s="91">
        <f>DSUM(SEP_2013_A,AA,CL_94_)</f>
        <v>300</v>
      </c>
      <c r="G83" s="90">
        <f t="shared" si="10"/>
        <v>2400</v>
      </c>
      <c r="H83" s="90">
        <f>DSUM(SEP_2013_A,importe,CL_94_)</f>
        <v>2700</v>
      </c>
      <c r="I83" s="17">
        <f t="shared" si="12"/>
        <v>8</v>
      </c>
      <c r="J83" s="6" t="s">
        <v>1276</v>
      </c>
      <c r="K83" s="137">
        <f>DSUM(SEP_2013_A,23,CL_94_)</f>
        <v>300</v>
      </c>
      <c r="L83" s="137">
        <f>DSUM(SEP_2013_A,24,CL_94_)</f>
        <v>300</v>
      </c>
      <c r="M83" s="137">
        <f>DSUM(SEP_2013_A,25,CL_94_)</f>
        <v>0</v>
      </c>
      <c r="N83" s="137">
        <f>DSUM(SEP_2013_A,26,CL_94_)</f>
        <v>300</v>
      </c>
      <c r="O83" s="137">
        <f>DSUM(SEP_2013_A,27,CL_94_)</f>
        <v>300</v>
      </c>
      <c r="P83" s="137">
        <f>DSUM(SEP_2013_A,28,CL_94_)</f>
        <v>300</v>
      </c>
      <c r="Q83" s="137">
        <f>DSUM(SEP_2013_A,29,CL_94_)</f>
        <v>300</v>
      </c>
      <c r="R83" s="137">
        <f>DSUM(SEP_2013_A,30,CL_94_)</f>
        <v>300</v>
      </c>
      <c r="S83" s="137">
        <f>DSUM(SEP_2013_A,31,CL_94_)</f>
        <v>300</v>
      </c>
      <c r="T83" s="137">
        <f>DSUM(SEP_2013_A,32,CL_94_)</f>
        <v>0</v>
      </c>
      <c r="U83" s="137">
        <f>DSUM(SEP_2013_A,33,CL_94_)</f>
        <v>0</v>
      </c>
      <c r="V83" s="137">
        <f>DSUM(SEP_2013_A,34,CL_94_)</f>
        <v>0</v>
      </c>
    </row>
    <row r="84" spans="2:22" ht="15.95" customHeight="1" x14ac:dyDescent="0.2">
      <c r="B84" s="1" t="s">
        <v>854</v>
      </c>
      <c r="C84" s="129" t="str">
        <f t="shared" si="7"/>
        <v>Rancho La Cuchilla No. 95</v>
      </c>
      <c r="D84" s="129" t="str">
        <f t="shared" si="8"/>
        <v>Gutiérrez Sánchez</v>
      </c>
      <c r="E84" s="90">
        <f t="shared" si="9"/>
        <v>300</v>
      </c>
      <c r="F84" s="91">
        <f>DSUM(SEP_2013_A,AA,CL_95_)</f>
        <v>300</v>
      </c>
      <c r="G84" s="90">
        <f t="shared" si="10"/>
        <v>3000</v>
      </c>
      <c r="H84" s="90">
        <f>DSUM(SEP_2013_A,importe,CL_95_)</f>
        <v>3300</v>
      </c>
      <c r="I84" s="17">
        <f t="shared" si="12"/>
        <v>10</v>
      </c>
      <c r="J84" s="6" t="s">
        <v>1276</v>
      </c>
      <c r="K84" s="137">
        <f>DSUM(SEP_2013_A,23,CL_95_)</f>
        <v>300</v>
      </c>
      <c r="L84" s="137">
        <f>DSUM(SEP_2013_A,24,CL_95_)</f>
        <v>300</v>
      </c>
      <c r="M84" s="137">
        <f>DSUM(SEP_2013_A,25,CL_95_)</f>
        <v>300</v>
      </c>
      <c r="N84" s="137">
        <f>DSUM(SEP_2013_A,26,CL_95_)</f>
        <v>300</v>
      </c>
      <c r="O84" s="137">
        <f>DSUM(SEP_2013_A,27,CL_95_)</f>
        <v>300</v>
      </c>
      <c r="P84" s="137">
        <f>DSUM(SEP_2013_A,28,CL_95_)</f>
        <v>300</v>
      </c>
      <c r="Q84" s="137">
        <f>DSUM(SEP_2013_A,29,CL_95_)</f>
        <v>300</v>
      </c>
      <c r="R84" s="137">
        <f>DSUM(SEP_2013_A,30,CL_95_)</f>
        <v>300</v>
      </c>
      <c r="S84" s="137">
        <f>DSUM(SEP_2013_A,31,CL_95_)</f>
        <v>300</v>
      </c>
      <c r="T84" s="137">
        <f>DSUM(SEP_2013_A,32,CL_95_)</f>
        <v>300</v>
      </c>
      <c r="U84" s="137">
        <f>DSUM(SEP_2013_A,33,CL_95_)</f>
        <v>0</v>
      </c>
      <c r="V84" s="137">
        <f>DSUM(SEP_2013_A,34,CL_95_)</f>
        <v>0</v>
      </c>
    </row>
    <row r="85" spans="2:22" ht="15.95" customHeight="1" x14ac:dyDescent="0.2">
      <c r="B85" s="1" t="s">
        <v>855</v>
      </c>
      <c r="C85" s="129" t="str">
        <f t="shared" si="7"/>
        <v>Rancho La Cuchilla No. 96</v>
      </c>
      <c r="D85" s="129" t="str">
        <f t="shared" si="8"/>
        <v>Valdez Álvarez</v>
      </c>
      <c r="E85" s="90">
        <f t="shared" si="9"/>
        <v>300</v>
      </c>
      <c r="F85" s="91">
        <f>DSUM(SEP_2013_A,AA,CL_96_)</f>
        <v>1800</v>
      </c>
      <c r="G85" s="90">
        <f t="shared" si="10"/>
        <v>3600</v>
      </c>
      <c r="H85" s="90">
        <f>DSUM(SEP_2013_A,importe,CL_96_)</f>
        <v>5400</v>
      </c>
      <c r="I85" s="17">
        <f t="shared" si="12"/>
        <v>12</v>
      </c>
      <c r="J85" s="6" t="s">
        <v>1276</v>
      </c>
      <c r="K85" s="137">
        <f>DSUM(SEP_2013_A,23,CL_96_)</f>
        <v>300</v>
      </c>
      <c r="L85" s="137">
        <f>DSUM(SEP_2013_A,24,CL_96_)</f>
        <v>300</v>
      </c>
      <c r="M85" s="137">
        <f>DSUM(SEP_2013_A,25,CL_96_)</f>
        <v>300</v>
      </c>
      <c r="N85" s="137">
        <f>DSUM(SEP_2013_A,26,CL_96_)</f>
        <v>300</v>
      </c>
      <c r="O85" s="137">
        <f>DSUM(SEP_2013_A,27,CL_96_)</f>
        <v>300</v>
      </c>
      <c r="P85" s="137">
        <f>DSUM(SEP_2013_A,28,CL_96_)</f>
        <v>300</v>
      </c>
      <c r="Q85" s="137">
        <f>DSUM(SEP_2013_A,29,CL_96_)</f>
        <v>300</v>
      </c>
      <c r="R85" s="137">
        <f>DSUM(SEP_2013_A,30,CL_96_)</f>
        <v>300</v>
      </c>
      <c r="S85" s="137">
        <f>DSUM(SEP_2013_A,31,CL_96_)</f>
        <v>300</v>
      </c>
      <c r="T85" s="137">
        <f>DSUM(SEP_2013_A,32,CL_96_)</f>
        <v>300</v>
      </c>
      <c r="U85" s="137">
        <f>DSUM(SEP_2013_A,33,CL_96_)</f>
        <v>300</v>
      </c>
      <c r="V85" s="137">
        <f>DSUM(SEP_2013_A,34,CL_96_)</f>
        <v>300</v>
      </c>
    </row>
    <row r="86" spans="2:22" ht="15.95" customHeight="1" x14ac:dyDescent="0.2">
      <c r="B86" s="1" t="s">
        <v>856</v>
      </c>
      <c r="C86" s="129" t="str">
        <f t="shared" si="7"/>
        <v>Rancho La Cuchilla No. 97</v>
      </c>
      <c r="D86" s="129" t="str">
        <f t="shared" si="8"/>
        <v>López Ruiz</v>
      </c>
      <c r="E86" s="90">
        <f t="shared" si="9"/>
        <v>300</v>
      </c>
      <c r="F86" s="91">
        <f>DSUM(SEP_2013_A,AA,CL_97_)</f>
        <v>300</v>
      </c>
      <c r="G86" s="90">
        <f t="shared" si="10"/>
        <v>2700</v>
      </c>
      <c r="H86" s="90">
        <f>DSUM(SEP_2013_A,importe,CL_97_)</f>
        <v>3000</v>
      </c>
      <c r="I86" s="17">
        <f t="shared" si="12"/>
        <v>9</v>
      </c>
      <c r="J86" s="6" t="s">
        <v>1276</v>
      </c>
      <c r="K86" s="137">
        <f>DSUM(SEP_2013_A,23,CL_97_)</f>
        <v>300</v>
      </c>
      <c r="L86" s="137">
        <f>DSUM(SEP_2013_A,24,CL_97_)</f>
        <v>300</v>
      </c>
      <c r="M86" s="137">
        <f>DSUM(SEP_2013_A,25,CL_97_)</f>
        <v>300</v>
      </c>
      <c r="N86" s="137">
        <f>DSUM(SEP_2013_A,26,CL_97_)</f>
        <v>300</v>
      </c>
      <c r="O86" s="137">
        <f>DSUM(SEP_2013_A,27,CL_97_)</f>
        <v>300</v>
      </c>
      <c r="P86" s="137">
        <f>DSUM(SEP_2013_A,28,CL_97_)</f>
        <v>300</v>
      </c>
      <c r="Q86" s="137">
        <f>DSUM(SEP_2013_A,29,CL_97_)</f>
        <v>300</v>
      </c>
      <c r="R86" s="137">
        <f>DSUM(SEP_2013_A,30,CL_97_)</f>
        <v>300</v>
      </c>
      <c r="S86" s="137">
        <f>DSUM(SEP_2013_A,31,CL_97_)</f>
        <v>300</v>
      </c>
      <c r="T86" s="137">
        <f>DSUM(SEP_2013_A,32,CL_97_)</f>
        <v>0</v>
      </c>
      <c r="U86" s="137">
        <f>DSUM(SEP_2013_A,33,CL_97_)</f>
        <v>0</v>
      </c>
      <c r="V86" s="137">
        <f>DSUM(SEP_2013_A,34,CL_97_)</f>
        <v>0</v>
      </c>
    </row>
    <row r="87" spans="2:22" ht="15.95" customHeight="1" x14ac:dyDescent="0.2">
      <c r="B87" s="1" t="s">
        <v>857</v>
      </c>
      <c r="C87" s="129" t="str">
        <f t="shared" si="7"/>
        <v>Rancho La Cuchilla No. 101</v>
      </c>
      <c r="D87" s="129" t="str">
        <f t="shared" si="8"/>
        <v>Rodríguez Ramírez</v>
      </c>
      <c r="E87" s="90">
        <f t="shared" si="9"/>
        <v>300</v>
      </c>
      <c r="F87" s="91">
        <f>DSUM(SEP_2013_A,AA,CL_101_)</f>
        <v>0</v>
      </c>
      <c r="G87" s="90">
        <f t="shared" si="10"/>
        <v>0</v>
      </c>
      <c r="H87" s="90">
        <f>DSUM(SEP_2013_A,importe,CL_101_)</f>
        <v>0</v>
      </c>
      <c r="I87" s="17">
        <f t="shared" si="12"/>
        <v>0</v>
      </c>
      <c r="J87" s="6" t="s">
        <v>1276</v>
      </c>
      <c r="K87" s="137">
        <f>DSUM(SEP_2013_A,23,CL_101_)</f>
        <v>0</v>
      </c>
      <c r="L87" s="137">
        <f>DSUM(SEP_2013_A,24,CL_101_)</f>
        <v>0</v>
      </c>
      <c r="M87" s="137">
        <f>DSUM(SEP_2013_A,25,CL_101_)</f>
        <v>0</v>
      </c>
      <c r="N87" s="137">
        <f>DSUM(SEP_2013_A,26,CL_101_)</f>
        <v>0</v>
      </c>
      <c r="O87" s="137">
        <f>DSUM(SEP_2013_A,27,CL_101_)</f>
        <v>0</v>
      </c>
      <c r="P87" s="137">
        <f>DSUM(SEP_2013_A,28,CL_101_)</f>
        <v>0</v>
      </c>
      <c r="Q87" s="137">
        <f>DSUM(SEP_2013_A,29,CL_101_)</f>
        <v>0</v>
      </c>
      <c r="R87" s="137">
        <f>DSUM(SEP_2013_A,30,CL_101_)</f>
        <v>0</v>
      </c>
      <c r="S87" s="137">
        <f>DSUM(SEP_2013_A,31,CL_101_)</f>
        <v>0</v>
      </c>
      <c r="T87" s="137">
        <f>DSUM(SEP_2013_A,32,CL_101_)</f>
        <v>0</v>
      </c>
      <c r="U87" s="137">
        <f>DSUM(SEP_2013_A,33,CL_101_)</f>
        <v>0</v>
      </c>
      <c r="V87" s="137">
        <f>DSUM(SEP_2013_A,34,CL_101_)</f>
        <v>0</v>
      </c>
    </row>
    <row r="88" spans="2:22" ht="15.95" customHeight="1" x14ac:dyDescent="0.2">
      <c r="B88" s="1" t="s">
        <v>858</v>
      </c>
      <c r="C88" s="129" t="str">
        <f t="shared" si="7"/>
        <v>Rancho La Cuchilla No. 107</v>
      </c>
      <c r="D88" s="129" t="str">
        <f t="shared" si="8"/>
        <v>Olivares Rivera</v>
      </c>
      <c r="E88" s="90">
        <f t="shared" si="9"/>
        <v>300</v>
      </c>
      <c r="F88" s="91">
        <f>DSUM(SEP_2013_A,AA,CL_107_)</f>
        <v>300</v>
      </c>
      <c r="G88" s="90">
        <f t="shared" si="10"/>
        <v>2700</v>
      </c>
      <c r="H88" s="90">
        <f>DSUM(SEP_2013_A,importe,CL_107_)</f>
        <v>3000</v>
      </c>
      <c r="I88" s="17">
        <f t="shared" si="12"/>
        <v>9</v>
      </c>
      <c r="J88" s="6" t="s">
        <v>1276</v>
      </c>
      <c r="K88" s="137">
        <f>DSUM(SEP_2013_A,23,CL_107_)</f>
        <v>300</v>
      </c>
      <c r="L88" s="137">
        <f>DSUM(SEP_2013_A,24,CL_107_)</f>
        <v>300</v>
      </c>
      <c r="M88" s="137">
        <f>DSUM(SEP_2013_A,25,CL_107_)</f>
        <v>300</v>
      </c>
      <c r="N88" s="137">
        <f>DSUM(SEP_2013_A,26,CL_107_)</f>
        <v>300</v>
      </c>
      <c r="O88" s="137">
        <f>DSUM(SEP_2013_A,27,CL_107_)</f>
        <v>300</v>
      </c>
      <c r="P88" s="137">
        <f>DSUM(SEP_2013_A,28,CL_107_)</f>
        <v>300</v>
      </c>
      <c r="Q88" s="137">
        <f>DSUM(SEP_2013_A,29,CL_107_)</f>
        <v>300</v>
      </c>
      <c r="R88" s="137">
        <f>DSUM(SEP_2013_A,30,CL_107_)</f>
        <v>300</v>
      </c>
      <c r="S88" s="137">
        <f>DSUM(SEP_2013_A,31,CL_107_)</f>
        <v>300</v>
      </c>
      <c r="T88" s="137">
        <f>DSUM(SEP_2013_A,32,CL_107_)</f>
        <v>0</v>
      </c>
      <c r="U88" s="137">
        <f>DSUM(SEP_2013_A,33,CL_107_)</f>
        <v>0</v>
      </c>
      <c r="V88" s="137">
        <f>DSUM(SEP_2013_A,34,CL_107_)</f>
        <v>0</v>
      </c>
    </row>
    <row r="89" spans="2:22" ht="15.95" customHeight="1" x14ac:dyDescent="0.2">
      <c r="B89" s="1" t="s">
        <v>789</v>
      </c>
      <c r="C89" s="129" t="str">
        <f t="shared" si="7"/>
        <v>Rancho La Cuchilla No. 110</v>
      </c>
      <c r="D89" s="129" t="str">
        <f t="shared" si="8"/>
        <v>Domínguez Canudas</v>
      </c>
      <c r="E89" s="90">
        <f t="shared" si="9"/>
        <v>300</v>
      </c>
      <c r="F89" s="91">
        <f>DSUM(SEP_2013_A,AA,CL_110_)</f>
        <v>300</v>
      </c>
      <c r="G89" s="90">
        <f t="shared" si="10"/>
        <v>2700</v>
      </c>
      <c r="H89" s="90">
        <f>DSUM(SEP_2013_A,importe,CL_110_)</f>
        <v>3000</v>
      </c>
      <c r="I89" s="17">
        <f t="shared" si="12"/>
        <v>9</v>
      </c>
      <c r="J89" s="6" t="s">
        <v>1276</v>
      </c>
      <c r="K89" s="137">
        <f>DSUM(SEP_2013_A,23,CL_110_)</f>
        <v>300</v>
      </c>
      <c r="L89" s="137">
        <f>DSUM(SEP_2013_A,24,CL_110_)</f>
        <v>300</v>
      </c>
      <c r="M89" s="137">
        <f>DSUM(SEP_2013_A,25,CL_110_)</f>
        <v>300</v>
      </c>
      <c r="N89" s="137">
        <f>DSUM(SEP_2013_A,26,CL_110_)</f>
        <v>300</v>
      </c>
      <c r="O89" s="137">
        <f>DSUM(SEP_2013_A,27,CL_110_)</f>
        <v>300</v>
      </c>
      <c r="P89" s="137">
        <f>DSUM(SEP_2013_A,28,CL_110_)</f>
        <v>300</v>
      </c>
      <c r="Q89" s="137">
        <f>DSUM(SEP_2013_A,29,CL_110_)</f>
        <v>300</v>
      </c>
      <c r="R89" s="137">
        <f>DSUM(SEP_2013_A,30,CL_110_)</f>
        <v>300</v>
      </c>
      <c r="S89" s="137">
        <f>DSUM(SEP_2013_A,31,CL_110_)</f>
        <v>300</v>
      </c>
      <c r="T89" s="137">
        <f>DSUM(SEP_2013_A,32,CL_110_)</f>
        <v>0</v>
      </c>
      <c r="U89" s="137">
        <f>DSUM(SEP_2013_A,33,CL_110_)</f>
        <v>0</v>
      </c>
      <c r="V89" s="137">
        <f>DSUM(SEP_2013_A,34,CL_110_)</f>
        <v>0</v>
      </c>
    </row>
    <row r="90" spans="2:22" ht="15.95" customHeight="1" x14ac:dyDescent="0.2">
      <c r="B90" s="1" t="s">
        <v>859</v>
      </c>
      <c r="C90" s="129" t="str">
        <f t="shared" si="7"/>
        <v>Rancho La Cuchilla No. 111</v>
      </c>
      <c r="D90" s="129" t="str">
        <f t="shared" si="8"/>
        <v>García Santos Ofelia</v>
      </c>
      <c r="E90" s="90">
        <f t="shared" si="9"/>
        <v>150</v>
      </c>
      <c r="F90" s="91">
        <f>DSUM(SEP_2013_A,AA,CL_111_)</f>
        <v>150</v>
      </c>
      <c r="G90" s="90">
        <f t="shared" si="10"/>
        <v>1450</v>
      </c>
      <c r="H90" s="90">
        <f>DSUM(SEP_2013_A,importe,CL_111_)</f>
        <v>1600</v>
      </c>
      <c r="I90" s="17">
        <f t="shared" si="12"/>
        <v>9.6666666666666661</v>
      </c>
      <c r="J90" s="6" t="s">
        <v>1276</v>
      </c>
      <c r="K90" s="137">
        <f>DSUM(SEP_2013_A,23,CL_111_)</f>
        <v>150</v>
      </c>
      <c r="L90" s="137">
        <f>DSUM(SEP_2013_A,24,CL_111_)</f>
        <v>150</v>
      </c>
      <c r="M90" s="137">
        <f>DSUM(SEP_2013_A,25,CL_111_)</f>
        <v>0</v>
      </c>
      <c r="N90" s="137">
        <f>DSUM(SEP_2013_A,26,CL_111_)</f>
        <v>300</v>
      </c>
      <c r="O90" s="137">
        <f>DSUM(SEP_2013_A,27,CL_111_)</f>
        <v>150</v>
      </c>
      <c r="P90" s="137">
        <f>DSUM(SEP_2013_A,28,CL_111_)</f>
        <v>150</v>
      </c>
      <c r="Q90" s="137">
        <f>DSUM(SEP_2013_A,29,CL_111_)</f>
        <v>150</v>
      </c>
      <c r="R90" s="137">
        <f>DSUM(SEP_2013_A,30,CL_111_)</f>
        <v>200</v>
      </c>
      <c r="S90" s="137">
        <f>DSUM(SEP_2013_A,31,CL_111_)</f>
        <v>200</v>
      </c>
      <c r="T90" s="137">
        <f>DSUM(SEP_2013_A,32,CL_111_)</f>
        <v>0</v>
      </c>
      <c r="U90" s="137">
        <f>DSUM(SEP_2013_A,33,CL_111_)</f>
        <v>0</v>
      </c>
      <c r="V90" s="137">
        <f>DSUM(SEP_2013_A,34,CL_111_)</f>
        <v>0</v>
      </c>
    </row>
    <row r="91" spans="2:22" ht="15.95" customHeight="1" x14ac:dyDescent="0.2">
      <c r="B91" s="1" t="s">
        <v>860</v>
      </c>
      <c r="C91" s="129" t="str">
        <f t="shared" si="7"/>
        <v>Rancho La Cuchilla No. 112, PA</v>
      </c>
      <c r="D91" s="129" t="str">
        <f t="shared" si="8"/>
        <v>Villalpando Pineda</v>
      </c>
      <c r="E91" s="90">
        <f t="shared" si="9"/>
        <v>150</v>
      </c>
      <c r="F91" s="91">
        <f>DSUM(SEP_2013_A,AA,CL_112_PA)</f>
        <v>0</v>
      </c>
      <c r="G91" s="90">
        <f t="shared" si="10"/>
        <v>0</v>
      </c>
      <c r="H91" s="90">
        <f>DSUM(SEP_2013_A,importe,CL_112_PA)</f>
        <v>0</v>
      </c>
      <c r="I91" s="17">
        <f t="shared" si="12"/>
        <v>0</v>
      </c>
      <c r="J91" s="6" t="s">
        <v>1276</v>
      </c>
      <c r="K91" s="137">
        <f>DSUM(SEP_2013_A,23,CL_112_PA)</f>
        <v>0</v>
      </c>
      <c r="L91" s="137">
        <f>DSUM(SEP_2013_A,24,CL_112_PA)</f>
        <v>0</v>
      </c>
      <c r="M91" s="137">
        <f>DSUM(SEP_2013_A,25,CL_112_PA)</f>
        <v>0</v>
      </c>
      <c r="N91" s="137">
        <f>DSUM(SEP_2013_A,26,CL_112_PA)</f>
        <v>0</v>
      </c>
      <c r="O91" s="137">
        <f>DSUM(SEP_2013_A,27,CL_112_PA)</f>
        <v>0</v>
      </c>
      <c r="P91" s="137">
        <f>DSUM(SEP_2013_A,28,CL_112_PA)</f>
        <v>0</v>
      </c>
      <c r="Q91" s="137">
        <f>DSUM(SEP_2013_A,29,CL_112_PA)</f>
        <v>0</v>
      </c>
      <c r="R91" s="137">
        <f>DSUM(SEP_2013_A,30,CL_112_PA)</f>
        <v>0</v>
      </c>
      <c r="S91" s="137">
        <f>DSUM(SEP_2013_A,31,CL_112_PA)</f>
        <v>0</v>
      </c>
      <c r="T91" s="137">
        <f>DSUM(SEP_2013_A,32,CL_112_PA)</f>
        <v>0</v>
      </c>
      <c r="U91" s="137">
        <f>DSUM(SEP_2013_A,33,CL_112_PA)</f>
        <v>0</v>
      </c>
      <c r="V91" s="137">
        <f>DSUM(SEP_2013_A,34,CL_112_PA)</f>
        <v>0</v>
      </c>
    </row>
    <row r="92" spans="2:22" ht="15.95" customHeight="1" x14ac:dyDescent="0.2">
      <c r="B92" s="1" t="s">
        <v>861</v>
      </c>
      <c r="C92" s="129" t="str">
        <f t="shared" si="7"/>
        <v>Rancho La Cuchilla No. 112, PB</v>
      </c>
      <c r="D92" s="129" t="str">
        <f t="shared" si="8"/>
        <v>Soreque</v>
      </c>
      <c r="E92" s="90">
        <f t="shared" si="9"/>
        <v>150</v>
      </c>
      <c r="F92" s="91">
        <f>DSUM(SEP_2013_A,AA,CL_112_PB)</f>
        <v>150</v>
      </c>
      <c r="G92" s="90">
        <f t="shared" si="10"/>
        <v>1350</v>
      </c>
      <c r="H92" s="90">
        <f>DSUM(SEP_2013_A,importe,CL_112_PB)</f>
        <v>1500</v>
      </c>
      <c r="I92" s="17">
        <f t="shared" si="12"/>
        <v>9</v>
      </c>
      <c r="J92" s="6" t="s">
        <v>1276</v>
      </c>
      <c r="K92" s="137">
        <f>DSUM(SEP_2013_A,23,CL_112_PB)</f>
        <v>150</v>
      </c>
      <c r="L92" s="137">
        <f>DSUM(SEP_2013_A,24,CL_112_PB)</f>
        <v>150</v>
      </c>
      <c r="M92" s="137">
        <f>DSUM(SEP_2013_A,25,CL_112_PB)</f>
        <v>150</v>
      </c>
      <c r="N92" s="137">
        <f>DSUM(SEP_2013_A,26,CL_112_PB)</f>
        <v>150</v>
      </c>
      <c r="O92" s="137">
        <f>DSUM(SEP_2013_A,27,CL_112_PB)</f>
        <v>150</v>
      </c>
      <c r="P92" s="137">
        <f>DSUM(SEP_2013_A,28,CL_112_PB)</f>
        <v>150</v>
      </c>
      <c r="Q92" s="137">
        <f>DSUM(SEP_2013_A,29,CL_112_PB)</f>
        <v>150</v>
      </c>
      <c r="R92" s="137">
        <f>DSUM(SEP_2013_A,30,CL_112_PB)</f>
        <v>150</v>
      </c>
      <c r="S92" s="137">
        <f>DSUM(SEP_2013_A,31,CL_112_PB)</f>
        <v>150</v>
      </c>
      <c r="T92" s="137">
        <f>DSUM(SEP_2013_A,32,CL_112_PB)</f>
        <v>0</v>
      </c>
      <c r="U92" s="137">
        <f>DSUM(SEP_2013_A,33,CL_112_PB)</f>
        <v>0</v>
      </c>
      <c r="V92" s="137">
        <f>DSUM(SEP_2013_A,34,CL_112_PB)</f>
        <v>0</v>
      </c>
    </row>
    <row r="93" spans="2:22" ht="15.95" customHeight="1" x14ac:dyDescent="0.2">
      <c r="B93" s="1" t="s">
        <v>862</v>
      </c>
      <c r="C93" s="129" t="str">
        <f t="shared" si="7"/>
        <v>Rancho La Cuchilla No. 115</v>
      </c>
      <c r="D93" s="129" t="str">
        <f t="shared" si="8"/>
        <v>Alfaro</v>
      </c>
      <c r="E93" s="90">
        <f t="shared" si="9"/>
        <v>300</v>
      </c>
      <c r="F93" s="91">
        <f>DSUM(SEP_2013_A,AA,CL_115_)</f>
        <v>0</v>
      </c>
      <c r="G93" s="90">
        <f t="shared" si="10"/>
        <v>2700</v>
      </c>
      <c r="H93" s="90">
        <f>DSUM(SEP_2013_A,importe,CL_115_)</f>
        <v>2700</v>
      </c>
      <c r="I93" s="17">
        <f t="shared" si="12"/>
        <v>9</v>
      </c>
      <c r="J93" s="6" t="s">
        <v>1276</v>
      </c>
      <c r="K93" s="137">
        <f>DSUM(SEP_2013_A,23,CL_115_)</f>
        <v>300</v>
      </c>
      <c r="L93" s="137">
        <f>DSUM(SEP_2013_A,24,CL_115_)</f>
        <v>300</v>
      </c>
      <c r="M93" s="137">
        <f>DSUM(SEP_2013_A,25,CL_115_)</f>
        <v>300</v>
      </c>
      <c r="N93" s="137">
        <f>DSUM(SEP_2013_A,26,CL_115_)</f>
        <v>300</v>
      </c>
      <c r="O93" s="137">
        <f>DSUM(SEP_2013_A,27,CL_115_)</f>
        <v>300</v>
      </c>
      <c r="P93" s="137">
        <f>DSUM(SEP_2013_A,28,CL_115_)</f>
        <v>300</v>
      </c>
      <c r="Q93" s="137">
        <f>DSUM(SEP_2013_A,29,CL_115_)</f>
        <v>300</v>
      </c>
      <c r="R93" s="137">
        <f>DSUM(SEP_2013_A,30,CL_115_)</f>
        <v>300</v>
      </c>
      <c r="S93" s="137">
        <f>DSUM(SEP_2013_A,31,CL_115_)</f>
        <v>300</v>
      </c>
      <c r="T93" s="137">
        <f>DSUM(SEP_2013_A,32,CL_115_)</f>
        <v>0</v>
      </c>
      <c r="U93" s="137">
        <f>DSUM(SEP_2013_A,33,CL_115_)</f>
        <v>0</v>
      </c>
      <c r="V93" s="137">
        <f>DSUM(SEP_2013_A,34,CL_115_)</f>
        <v>0</v>
      </c>
    </row>
    <row r="94" spans="2:22" ht="15.95" customHeight="1" x14ac:dyDescent="0.2">
      <c r="B94" s="1" t="s">
        <v>863</v>
      </c>
      <c r="C94" s="129" t="str">
        <f t="shared" si="7"/>
        <v>Rancho La Cuchilla No. 116</v>
      </c>
      <c r="D94" s="129" t="str">
        <f t="shared" si="8"/>
        <v>Miranda</v>
      </c>
      <c r="E94" s="90">
        <f t="shared" si="9"/>
        <v>300</v>
      </c>
      <c r="F94" s="91">
        <f>DSUM(SEP_2013_A,AA,CL_116_)</f>
        <v>0</v>
      </c>
      <c r="G94" s="90">
        <f t="shared" si="10"/>
        <v>0</v>
      </c>
      <c r="H94" s="90">
        <f>DSUM(SEP_2013_A,importe,CL_116_)</f>
        <v>0</v>
      </c>
      <c r="I94" s="17">
        <f t="shared" si="12"/>
        <v>0</v>
      </c>
      <c r="J94" s="6" t="s">
        <v>1276</v>
      </c>
      <c r="K94" s="137">
        <f>DSUM(SEP_2013_A,23,CL_116_)</f>
        <v>0</v>
      </c>
      <c r="L94" s="137">
        <f>DSUM(SEP_2013_A,24,CL_116_)</f>
        <v>0</v>
      </c>
      <c r="M94" s="137">
        <f>DSUM(SEP_2013_A,25,CL_116_)</f>
        <v>0</v>
      </c>
      <c r="N94" s="137">
        <f>DSUM(SEP_2013_A,26,CL_116_)</f>
        <v>0</v>
      </c>
      <c r="O94" s="137">
        <f>DSUM(SEP_2013_A,27,CL_116_)</f>
        <v>0</v>
      </c>
      <c r="P94" s="137">
        <f>DSUM(SEP_2013_A,28,CL_116_)</f>
        <v>0</v>
      </c>
      <c r="Q94" s="137">
        <f>DSUM(SEP_2013_A,29,CL_116_)</f>
        <v>0</v>
      </c>
      <c r="R94" s="137">
        <f>DSUM(SEP_2013_A,30,CL_116_)</f>
        <v>0</v>
      </c>
      <c r="S94" s="137">
        <f>DSUM(SEP_2013_A,31,CL_116_)</f>
        <v>0</v>
      </c>
      <c r="T94" s="137">
        <f>DSUM(SEP_2013_A,32,CL_116_)</f>
        <v>0</v>
      </c>
      <c r="U94" s="137">
        <f>DSUM(SEP_2013_A,33,CL_116_)</f>
        <v>0</v>
      </c>
      <c r="V94" s="137">
        <f>DSUM(SEP_2013_A,34,CL_116_)</f>
        <v>0</v>
      </c>
    </row>
    <row r="95" spans="2:22" ht="15.95" customHeight="1" x14ac:dyDescent="0.2">
      <c r="B95" s="1" t="s">
        <v>864</v>
      </c>
      <c r="C95" s="129" t="str">
        <f t="shared" si="7"/>
        <v>Rancho La Cuchilla No. 117</v>
      </c>
      <c r="D95" s="129" t="str">
        <f t="shared" si="8"/>
        <v>Gómez</v>
      </c>
      <c r="E95" s="90">
        <f t="shared" si="9"/>
        <v>300</v>
      </c>
      <c r="F95" s="91">
        <f>DSUM(SEP_2013_A,AA,CL_117_)</f>
        <v>0</v>
      </c>
      <c r="G95" s="90">
        <f t="shared" si="10"/>
        <v>3000</v>
      </c>
      <c r="H95" s="90">
        <f>DSUM(SEP_2013_A,importe,CL_117_)</f>
        <v>3000</v>
      </c>
      <c r="I95" s="17">
        <f t="shared" si="12"/>
        <v>10</v>
      </c>
      <c r="J95" s="6" t="s">
        <v>1276</v>
      </c>
      <c r="K95" s="137">
        <f>DSUM(SEP_2013_A,23,CL_117_)</f>
        <v>300</v>
      </c>
      <c r="L95" s="137">
        <f>DSUM(SEP_2013_A,24,CL_117_)</f>
        <v>300</v>
      </c>
      <c r="M95" s="137">
        <f>DSUM(SEP_2013_A,25,CL_117_)</f>
        <v>300</v>
      </c>
      <c r="N95" s="137">
        <f>DSUM(SEP_2013_A,26,CL_117_)</f>
        <v>300</v>
      </c>
      <c r="O95" s="137">
        <f>DSUM(SEP_2013_A,27,CL_117_)</f>
        <v>300</v>
      </c>
      <c r="P95" s="137">
        <f>DSUM(SEP_2013_A,28,CL_117_)</f>
        <v>300</v>
      </c>
      <c r="Q95" s="137">
        <f>DSUM(SEP_2013_A,29,CL_117_)</f>
        <v>300</v>
      </c>
      <c r="R95" s="137">
        <f>DSUM(SEP_2013_A,30,CL_117_)</f>
        <v>300</v>
      </c>
      <c r="S95" s="137">
        <f>DSUM(SEP_2013_A,31,CL_117_)</f>
        <v>300</v>
      </c>
      <c r="T95" s="137">
        <f>DSUM(SEP_2013_A,32,CL_117_)</f>
        <v>300</v>
      </c>
      <c r="U95" s="137">
        <f>DSUM(SEP_2013_A,33,CL_117_)</f>
        <v>0</v>
      </c>
      <c r="V95" s="137">
        <f>DSUM(SEP_2013_A,34,CL_117_)</f>
        <v>0</v>
      </c>
    </row>
    <row r="96" spans="2:22" ht="15.95" customHeight="1" x14ac:dyDescent="0.2">
      <c r="B96" s="1" t="s">
        <v>865</v>
      </c>
      <c r="C96" s="129" t="str">
        <f t="shared" si="7"/>
        <v>Rancho La Cuchilla No. 118</v>
      </c>
      <c r="D96" s="129" t="str">
        <f t="shared" si="8"/>
        <v>Astorga Ruiz</v>
      </c>
      <c r="E96" s="90">
        <f t="shared" si="9"/>
        <v>300</v>
      </c>
      <c r="F96" s="91">
        <f>DSUM(SEP_2013_A,AA,CL_118_)</f>
        <v>0</v>
      </c>
      <c r="G96" s="90">
        <f t="shared" si="10"/>
        <v>0</v>
      </c>
      <c r="H96" s="90">
        <f>DSUM(SEP_2013_A,importe,CL_118_)</f>
        <v>0</v>
      </c>
      <c r="I96" s="17">
        <f t="shared" si="12"/>
        <v>0</v>
      </c>
      <c r="J96" s="6" t="s">
        <v>1276</v>
      </c>
      <c r="K96" s="137">
        <f>DSUM(SEP_2013_A,23,CL_118_)</f>
        <v>0</v>
      </c>
      <c r="L96" s="137">
        <f>DSUM(SEP_2013_A,24,CL_118_)</f>
        <v>0</v>
      </c>
      <c r="M96" s="137">
        <f>DSUM(SEP_2013_A,25,CL_118_)</f>
        <v>0</v>
      </c>
      <c r="N96" s="137">
        <f>DSUM(SEP_2013_A,26,CL_118_)</f>
        <v>0</v>
      </c>
      <c r="O96" s="137">
        <f>DSUM(SEP_2013_A,27,CL_118_)</f>
        <v>0</v>
      </c>
      <c r="P96" s="137">
        <f>DSUM(SEP_2013_A,28,CL_118_)</f>
        <v>0</v>
      </c>
      <c r="Q96" s="137">
        <f>DSUM(SEP_2013_A,29,CL_118_)</f>
        <v>0</v>
      </c>
      <c r="R96" s="137">
        <f>DSUM(SEP_2013_A,30,CL_118_)</f>
        <v>0</v>
      </c>
      <c r="S96" s="137">
        <f>DSUM(SEP_2013_A,31,CL_118_)</f>
        <v>0</v>
      </c>
      <c r="T96" s="137">
        <f>DSUM(SEP_2013_A,32,CL_118_)</f>
        <v>0</v>
      </c>
      <c r="U96" s="137">
        <f>DSUM(SEP_2013_A,33,CL_118_)</f>
        <v>0</v>
      </c>
      <c r="V96" s="137">
        <f>DSUM(SEP_2013_A,34,CL_118_)</f>
        <v>0</v>
      </c>
    </row>
    <row r="97" spans="2:22" ht="15.95" customHeight="1" x14ac:dyDescent="0.2">
      <c r="B97" s="1" t="s">
        <v>866</v>
      </c>
      <c r="C97" s="129" t="str">
        <f t="shared" si="7"/>
        <v>Rancho La Cuchilla No. 119</v>
      </c>
      <c r="D97" s="129" t="str">
        <f t="shared" si="8"/>
        <v>Vilchis</v>
      </c>
      <c r="E97" s="90">
        <f t="shared" si="9"/>
        <v>300</v>
      </c>
      <c r="F97" s="91">
        <f>DSUM(SEP_2013_A,AA,CL_119_)</f>
        <v>0</v>
      </c>
      <c r="G97" s="90">
        <f t="shared" si="10"/>
        <v>0</v>
      </c>
      <c r="H97" s="90">
        <f>DSUM(SEP_2013_A,importe,CL_119_)</f>
        <v>0</v>
      </c>
      <c r="I97" s="17">
        <f t="shared" si="12"/>
        <v>0</v>
      </c>
      <c r="J97" s="6" t="s">
        <v>1276</v>
      </c>
      <c r="K97" s="137">
        <f>DSUM(SEP_2013_A,23,CL_119_)</f>
        <v>0</v>
      </c>
      <c r="L97" s="137">
        <f>DSUM(SEP_2013_A,24,CL_119_)</f>
        <v>0</v>
      </c>
      <c r="M97" s="137">
        <f>DSUM(SEP_2013_A,25,CL_119_)</f>
        <v>0</v>
      </c>
      <c r="N97" s="137">
        <f>DSUM(SEP_2013_A,26,CL_119_)</f>
        <v>0</v>
      </c>
      <c r="O97" s="137">
        <f>DSUM(SEP_2013_A,27,CL_119_)</f>
        <v>0</v>
      </c>
      <c r="P97" s="137">
        <f>DSUM(SEP_2013_A,28,CL_119_)</f>
        <v>0</v>
      </c>
      <c r="Q97" s="137">
        <f>DSUM(SEP_2013_A,29,CL_119_)</f>
        <v>0</v>
      </c>
      <c r="R97" s="137">
        <f>DSUM(SEP_2013_A,30,CL_119_)</f>
        <v>0</v>
      </c>
      <c r="S97" s="137">
        <f>DSUM(SEP_2013_A,31,CL_119_)</f>
        <v>0</v>
      </c>
      <c r="T97" s="137">
        <f>DSUM(SEP_2013_A,32,CL_119_)</f>
        <v>0</v>
      </c>
      <c r="U97" s="137">
        <f>DSUM(SEP_2013_A,33,CL_119_)</f>
        <v>0</v>
      </c>
      <c r="V97" s="137">
        <f>DSUM(SEP_2013_A,34,CL_119_)</f>
        <v>0</v>
      </c>
    </row>
    <row r="98" spans="2:22" ht="15.95" customHeight="1" x14ac:dyDescent="0.2">
      <c r="B98" s="1" t="s">
        <v>867</v>
      </c>
      <c r="C98" s="129" t="str">
        <f t="shared" si="7"/>
        <v>Rancho La Cuchilla No. 120</v>
      </c>
      <c r="D98" s="129" t="str">
        <f t="shared" si="8"/>
        <v>Pozos Vilchis</v>
      </c>
      <c r="E98" s="90">
        <f t="shared" si="9"/>
        <v>300</v>
      </c>
      <c r="F98" s="91">
        <f>DSUM(SEP_2013_A,AA,CL_120_)</f>
        <v>300</v>
      </c>
      <c r="G98" s="90">
        <f t="shared" si="10"/>
        <v>2700</v>
      </c>
      <c r="H98" s="90">
        <f>DSUM(SEP_2013_A,importe,CL_120_)</f>
        <v>3000</v>
      </c>
      <c r="I98" s="17">
        <f t="shared" si="12"/>
        <v>9</v>
      </c>
      <c r="J98" s="6" t="s">
        <v>1276</v>
      </c>
      <c r="K98" s="137">
        <f>DSUM(SEP_2013_A,23,CL_120_)</f>
        <v>300</v>
      </c>
      <c r="L98" s="137">
        <f>DSUM(SEP_2013_A,24,CL_120_)</f>
        <v>300</v>
      </c>
      <c r="M98" s="137">
        <f>DSUM(SEP_2013_A,25,CL_120_)</f>
        <v>300</v>
      </c>
      <c r="N98" s="137">
        <f>DSUM(SEP_2013_A,26,CL_120_)</f>
        <v>300</v>
      </c>
      <c r="O98" s="137">
        <f>DSUM(SEP_2013_A,27,CL_120_)</f>
        <v>300</v>
      </c>
      <c r="P98" s="137">
        <f>DSUM(SEP_2013_A,28,CL_120_)</f>
        <v>300</v>
      </c>
      <c r="Q98" s="137">
        <f>DSUM(SEP_2013_A,29,CL_120_)</f>
        <v>300</v>
      </c>
      <c r="R98" s="137">
        <f>DSUM(SEP_2013_A,30,CL_120_)</f>
        <v>300</v>
      </c>
      <c r="S98" s="137">
        <f>DSUM(SEP_2013_A,31,CL_120_)</f>
        <v>300</v>
      </c>
      <c r="T98" s="137">
        <f>DSUM(SEP_2013_A,32,CL_120_)</f>
        <v>0</v>
      </c>
      <c r="U98" s="137">
        <f>DSUM(SEP_2013_A,33,CL_120_)</f>
        <v>0</v>
      </c>
      <c r="V98" s="137">
        <f>DSUM(SEP_2013_A,34,CL_120_)</f>
        <v>0</v>
      </c>
    </row>
    <row r="99" spans="2:22" ht="15.95" customHeight="1" x14ac:dyDescent="0.2">
      <c r="B99" s="1" t="s">
        <v>868</v>
      </c>
      <c r="C99" s="129" t="str">
        <f t="shared" si="7"/>
        <v>Rancho La Cuchilla No. 121</v>
      </c>
      <c r="D99" s="129" t="str">
        <f t="shared" si="8"/>
        <v>Ramírez Márquez</v>
      </c>
      <c r="E99" s="90">
        <f t="shared" si="9"/>
        <v>300</v>
      </c>
      <c r="F99" s="91">
        <f>DSUM(SEP_2013_A,AA,CL_121_)</f>
        <v>0</v>
      </c>
      <c r="G99" s="90">
        <f t="shared" si="10"/>
        <v>3600</v>
      </c>
      <c r="H99" s="90">
        <f>DSUM(SEP_2013_A,importe,CL_121_)</f>
        <v>3600</v>
      </c>
      <c r="I99" s="17">
        <f t="shared" si="12"/>
        <v>12</v>
      </c>
      <c r="J99" s="6" t="s">
        <v>1276</v>
      </c>
      <c r="K99" s="137">
        <f>DSUM(SEP_2013_A,23,CL_121_)</f>
        <v>300</v>
      </c>
      <c r="L99" s="137">
        <f>DSUM(SEP_2013_A,24,CL_121_)</f>
        <v>300</v>
      </c>
      <c r="M99" s="137">
        <f>DSUM(SEP_2013_A,25,CL_121_)</f>
        <v>300</v>
      </c>
      <c r="N99" s="137">
        <f>DSUM(SEP_2013_A,26,CL_121_)</f>
        <v>300</v>
      </c>
      <c r="O99" s="137">
        <f>DSUM(SEP_2013_A,27,CL_121_)</f>
        <v>300</v>
      </c>
      <c r="P99" s="137">
        <f>DSUM(SEP_2013_A,28,CL_121_)</f>
        <v>300</v>
      </c>
      <c r="Q99" s="137">
        <f>DSUM(SEP_2013_A,29,CL_121_)</f>
        <v>300</v>
      </c>
      <c r="R99" s="137">
        <f>DSUM(SEP_2013_A,30,CL_121_)</f>
        <v>300</v>
      </c>
      <c r="S99" s="137">
        <f>DSUM(SEP_2013_A,31,CL_121_)</f>
        <v>300</v>
      </c>
      <c r="T99" s="137">
        <f>DSUM(SEP_2013_A,32,CL_121_)</f>
        <v>300</v>
      </c>
      <c r="U99" s="137">
        <f>DSUM(SEP_2013_A,33,CL_121_)</f>
        <v>300</v>
      </c>
      <c r="V99" s="137">
        <f>DSUM(SEP_2013_A,34,CL_121_)</f>
        <v>300</v>
      </c>
    </row>
    <row r="100" spans="2:22" ht="15.95" customHeight="1" x14ac:dyDescent="0.2">
      <c r="B100" s="1" t="s">
        <v>869</v>
      </c>
      <c r="C100" s="129" t="str">
        <f t="shared" si="7"/>
        <v>Rancho La Cuchilla No. 122</v>
      </c>
      <c r="D100" s="129" t="str">
        <f t="shared" si="8"/>
        <v>Mendoza</v>
      </c>
      <c r="E100" s="90">
        <f t="shared" si="9"/>
        <v>300</v>
      </c>
      <c r="F100" s="91">
        <f>DSUM(SEP_2013_A,AA,CL_122_)</f>
        <v>0</v>
      </c>
      <c r="G100" s="90">
        <f t="shared" si="10"/>
        <v>0</v>
      </c>
      <c r="H100" s="90">
        <f>DSUM(SEP_2013_A,importe,CL_122_)</f>
        <v>0</v>
      </c>
      <c r="I100" s="17">
        <f t="shared" si="12"/>
        <v>0</v>
      </c>
      <c r="J100" s="6" t="s">
        <v>1276</v>
      </c>
      <c r="K100" s="137">
        <f>DSUM(SEP_2013_A,23,CL_122_)</f>
        <v>0</v>
      </c>
      <c r="L100" s="137">
        <f>DSUM(SEP_2013_A,24,CL_122_)</f>
        <v>0</v>
      </c>
      <c r="M100" s="137">
        <f>DSUM(SEP_2013_A,25,CL_122_)</f>
        <v>0</v>
      </c>
      <c r="N100" s="137">
        <f>DSUM(SEP_2013_A,26,CL_122_)</f>
        <v>0</v>
      </c>
      <c r="O100" s="137">
        <f>DSUM(SEP_2013_A,27,CL_122_)</f>
        <v>0</v>
      </c>
      <c r="P100" s="137">
        <f>DSUM(SEP_2013_A,28,CL_122_)</f>
        <v>0</v>
      </c>
      <c r="Q100" s="137">
        <f>DSUM(SEP_2013_A,29,CL_122_)</f>
        <v>0</v>
      </c>
      <c r="R100" s="137">
        <f>DSUM(SEP_2013_A,30,CL_122_)</f>
        <v>0</v>
      </c>
      <c r="S100" s="137">
        <f>DSUM(SEP_2013_A,31,CL_122_)</f>
        <v>0</v>
      </c>
      <c r="T100" s="137">
        <f>DSUM(SEP_2013_A,32,CL_122_)</f>
        <v>0</v>
      </c>
      <c r="U100" s="137">
        <f>DSUM(SEP_2013_A,33,CL_122_)</f>
        <v>0</v>
      </c>
      <c r="V100" s="137">
        <f>DSUM(SEP_2013_A,34,CL_122_)</f>
        <v>0</v>
      </c>
    </row>
    <row r="101" spans="2:22" ht="15.95" customHeight="1" x14ac:dyDescent="0.2">
      <c r="B101" s="1" t="s">
        <v>870</v>
      </c>
      <c r="C101" s="129" t="str">
        <f t="shared" si="7"/>
        <v>Rancho La Cuchilla No. 125</v>
      </c>
      <c r="D101" s="129" t="str">
        <f t="shared" si="8"/>
        <v>Ordoñez Villalpando</v>
      </c>
      <c r="E101" s="90">
        <f t="shared" si="9"/>
        <v>300</v>
      </c>
      <c r="F101" s="91">
        <f>DSUM(SEP_2013_A,AA,CL_125_)</f>
        <v>0</v>
      </c>
      <c r="G101" s="90">
        <f t="shared" si="10"/>
        <v>0</v>
      </c>
      <c r="H101" s="90">
        <f>DSUM(SEP_2013_A,importe,CL_125_)</f>
        <v>0</v>
      </c>
      <c r="I101" s="17">
        <f t="shared" si="12"/>
        <v>0</v>
      </c>
      <c r="J101" s="6" t="s">
        <v>1276</v>
      </c>
      <c r="K101" s="137">
        <f>DSUM(SEP_2013_A,23,CL_125_)</f>
        <v>0</v>
      </c>
      <c r="L101" s="137">
        <f>DSUM(SEP_2013_A,24,CL_125_)</f>
        <v>0</v>
      </c>
      <c r="M101" s="137">
        <f>DSUM(SEP_2013_A,25,CL_125_)</f>
        <v>0</v>
      </c>
      <c r="N101" s="137">
        <f>DSUM(SEP_2013_A,26,CL_125_)</f>
        <v>0</v>
      </c>
      <c r="O101" s="137">
        <f>DSUM(SEP_2013_A,27,CL_125_)</f>
        <v>0</v>
      </c>
      <c r="P101" s="137">
        <f>DSUM(SEP_2013_A,28,CL_125_)</f>
        <v>0</v>
      </c>
      <c r="Q101" s="137">
        <f>DSUM(SEP_2013_A,29,CL_125_)</f>
        <v>0</v>
      </c>
      <c r="R101" s="137">
        <f>DSUM(SEP_2013_A,30,CL_125_)</f>
        <v>0</v>
      </c>
      <c r="S101" s="137">
        <f>DSUM(SEP_2013_A,31,CL_125_)</f>
        <v>0</v>
      </c>
      <c r="T101" s="137">
        <f>DSUM(SEP_2013_A,32,CL_125_)</f>
        <v>0</v>
      </c>
      <c r="U101" s="137">
        <f>DSUM(SEP_2013_A,33,CL_125_)</f>
        <v>0</v>
      </c>
      <c r="V101" s="137">
        <f>DSUM(SEP_2013_A,34,CL_125_)</f>
        <v>0</v>
      </c>
    </row>
    <row r="102" spans="2:22" ht="15.95" customHeight="1" x14ac:dyDescent="0.2">
      <c r="B102" s="1" t="s">
        <v>766</v>
      </c>
      <c r="C102" s="129" t="str">
        <f t="shared" si="7"/>
        <v>Rancho La Cuchilla No. 127</v>
      </c>
      <c r="D102" s="129" t="str">
        <f t="shared" si="8"/>
        <v>Quiñones</v>
      </c>
      <c r="E102" s="90">
        <f t="shared" si="9"/>
        <v>300</v>
      </c>
      <c r="F102" s="91">
        <f>DSUM(SEP_2013_A,AA,CL_127_)</f>
        <v>0</v>
      </c>
      <c r="G102" s="90">
        <f t="shared" si="10"/>
        <v>3000</v>
      </c>
      <c r="H102" s="90">
        <f>DSUM(SEP_2013_A,importe,CL_127_)</f>
        <v>3000</v>
      </c>
      <c r="I102" s="17">
        <f t="shared" si="12"/>
        <v>10</v>
      </c>
      <c r="J102" s="6" t="s">
        <v>1276</v>
      </c>
      <c r="K102" s="137">
        <f>DSUM(SEP_2013_A,23,CL_127_)</f>
        <v>300</v>
      </c>
      <c r="L102" s="137">
        <f>DSUM(SEP_2013_A,24,CL_127_)</f>
        <v>300</v>
      </c>
      <c r="M102" s="137">
        <f>DSUM(SEP_2013_A,25,CL_127_)</f>
        <v>300</v>
      </c>
      <c r="N102" s="137">
        <f>DSUM(SEP_2013_A,26,CL_127_)</f>
        <v>300</v>
      </c>
      <c r="O102" s="137">
        <f>DSUM(SEP_2013_A,27,CL_127_)</f>
        <v>300</v>
      </c>
      <c r="P102" s="137">
        <f>DSUM(SEP_2013_A,28,CL_127_)</f>
        <v>300</v>
      </c>
      <c r="Q102" s="137">
        <f>DSUM(SEP_2013_A,29,CL_127_)</f>
        <v>300</v>
      </c>
      <c r="R102" s="137">
        <f>DSUM(SEP_2013_A,30,CL_127_)</f>
        <v>300</v>
      </c>
      <c r="S102" s="137">
        <f>DSUM(SEP_2013_A,31,CL_127_)</f>
        <v>300</v>
      </c>
      <c r="T102" s="137">
        <f>DSUM(SEP_2013_A,32,CL_127_)</f>
        <v>300</v>
      </c>
      <c r="U102" s="137">
        <f>DSUM(SEP_2013_A,33,CL_127_)</f>
        <v>0</v>
      </c>
      <c r="V102" s="137">
        <f>DSUM(SEP_2013_A,34,CL_127_)</f>
        <v>0</v>
      </c>
    </row>
    <row r="103" spans="2:22" ht="15.95" customHeight="1" x14ac:dyDescent="0.2">
      <c r="B103" s="1" t="s">
        <v>871</v>
      </c>
      <c r="C103" s="129" t="str">
        <f t="shared" si="7"/>
        <v>Rancho La Cuchilla No. 129</v>
      </c>
      <c r="D103" s="129" t="str">
        <f t="shared" si="8"/>
        <v>Gamboa Rueda</v>
      </c>
      <c r="E103" s="90">
        <f t="shared" si="9"/>
        <v>200</v>
      </c>
      <c r="F103" s="91">
        <f>DSUM(SEP_2013_A,AA,CL_129_)</f>
        <v>400</v>
      </c>
      <c r="G103" s="90">
        <f t="shared" si="10"/>
        <v>2000</v>
      </c>
      <c r="H103" s="90">
        <f>DSUM(SEP_2013_A,importe,CL_129_)</f>
        <v>2400</v>
      </c>
      <c r="I103" s="17">
        <f t="shared" si="12"/>
        <v>10</v>
      </c>
      <c r="J103" s="6" t="s">
        <v>1276</v>
      </c>
      <c r="K103" s="137">
        <f>DSUM(SEP_2013_A,23,CL_129_)</f>
        <v>200</v>
      </c>
      <c r="L103" s="137">
        <f>DSUM(SEP_2013_A,24,CL_129_)</f>
        <v>200</v>
      </c>
      <c r="M103" s="137">
        <f>DSUM(SEP_2013_A,25,CL_129_)</f>
        <v>200</v>
      </c>
      <c r="N103" s="137">
        <f>DSUM(SEP_2013_A,26,CL_129_)</f>
        <v>200</v>
      </c>
      <c r="O103" s="137">
        <f>DSUM(SEP_2013_A,27,CL_129_)</f>
        <v>200</v>
      </c>
      <c r="P103" s="137">
        <f>DSUM(SEP_2013_A,28,CL_129_)</f>
        <v>200</v>
      </c>
      <c r="Q103" s="137">
        <f>DSUM(SEP_2013_A,29,CL_129_)</f>
        <v>200</v>
      </c>
      <c r="R103" s="137">
        <f>DSUM(SEP_2013_A,30,CL_129_)</f>
        <v>200</v>
      </c>
      <c r="S103" s="137">
        <f>DSUM(SEP_2013_A,31,CL_129_)</f>
        <v>200</v>
      </c>
      <c r="T103" s="137">
        <f>DSUM(SEP_2013_A,32,CL_129_)</f>
        <v>200</v>
      </c>
      <c r="U103" s="137">
        <f>DSUM(SEP_2013_A,33,CL_129_)</f>
        <v>0</v>
      </c>
      <c r="V103" s="137">
        <f>DSUM(SEP_2013_A,34,CL_129_)</f>
        <v>0</v>
      </c>
    </row>
    <row r="104" spans="2:22" ht="15.95" customHeight="1" x14ac:dyDescent="0.2">
      <c r="B104" s="1" t="s">
        <v>872</v>
      </c>
      <c r="C104" s="129" t="str">
        <f t="shared" si="7"/>
        <v>Rancho La Cuchilla No. 130</v>
      </c>
      <c r="D104" s="129" t="str">
        <f t="shared" si="8"/>
        <v>De la Huerta</v>
      </c>
      <c r="E104" s="90">
        <f t="shared" si="9"/>
        <v>300</v>
      </c>
      <c r="F104" s="91">
        <f>DSUM(SEP_2013_A,AA,CL_130_)</f>
        <v>300</v>
      </c>
      <c r="G104" s="90">
        <f t="shared" si="10"/>
        <v>2400</v>
      </c>
      <c r="H104" s="90">
        <f>DSUM(SEP_2013_A,importe,CL_130_)</f>
        <v>2700</v>
      </c>
      <c r="I104" s="17">
        <f t="shared" si="12"/>
        <v>8</v>
      </c>
      <c r="J104" s="6" t="s">
        <v>1276</v>
      </c>
      <c r="K104" s="137">
        <f>DSUM(SEP_2013_A,23,CL_130_)</f>
        <v>300</v>
      </c>
      <c r="L104" s="137">
        <f>DSUM(SEP_2013_A,24,CL_130_)</f>
        <v>300</v>
      </c>
      <c r="M104" s="137">
        <f>DSUM(SEP_2013_A,25,CL_130_)</f>
        <v>300</v>
      </c>
      <c r="N104" s="137">
        <f>DSUM(SEP_2013_A,26,CL_130_)</f>
        <v>300</v>
      </c>
      <c r="O104" s="137">
        <f>DSUM(SEP_2013_A,27,CL_130_)</f>
        <v>300</v>
      </c>
      <c r="P104" s="137">
        <f>DSUM(SEP_2013_A,28,CL_130_)</f>
        <v>300</v>
      </c>
      <c r="Q104" s="137">
        <f>DSUM(SEP_2013_A,29,CL_130_)</f>
        <v>300</v>
      </c>
      <c r="R104" s="137">
        <f>DSUM(SEP_2013_A,30,CL_130_)</f>
        <v>300</v>
      </c>
      <c r="S104" s="137">
        <f>DSUM(SEP_2013_A,31,CL_130_)</f>
        <v>0</v>
      </c>
      <c r="T104" s="137">
        <f>DSUM(SEP_2013_A,32,CL_130_)</f>
        <v>0</v>
      </c>
      <c r="U104" s="137">
        <f>DSUM(SEP_2013_A,33,CL_130_)</f>
        <v>0</v>
      </c>
      <c r="V104" s="137">
        <f>DSUM(SEP_2013_A,34,CL_130_)</f>
        <v>0</v>
      </c>
    </row>
    <row r="105" spans="2:22" ht="15.95" customHeight="1" x14ac:dyDescent="0.2">
      <c r="B105" s="1" t="s">
        <v>873</v>
      </c>
      <c r="C105" s="129" t="str">
        <f t="shared" si="7"/>
        <v>Rancho La Cuchilla No. 131</v>
      </c>
      <c r="D105" s="129" t="str">
        <f t="shared" si="8"/>
        <v>Cabrera Escudero</v>
      </c>
      <c r="E105" s="90">
        <f t="shared" si="9"/>
        <v>300</v>
      </c>
      <c r="F105" s="91">
        <f>DSUM(SEP_2013_A,AA,CL_131_)</f>
        <v>300</v>
      </c>
      <c r="G105" s="90">
        <f t="shared" si="10"/>
        <v>3000</v>
      </c>
      <c r="H105" s="90">
        <f>DSUM(SEP_2013_A,importe,CL_131_)</f>
        <v>3300</v>
      </c>
      <c r="I105" s="17">
        <f t="shared" si="12"/>
        <v>10</v>
      </c>
      <c r="J105" s="6" t="s">
        <v>1276</v>
      </c>
      <c r="K105" s="137">
        <f>DSUM(SEP_2013_A,23,CL_131_)</f>
        <v>300</v>
      </c>
      <c r="L105" s="137">
        <f>DSUM(SEP_2013_A,24,CL_131_)</f>
        <v>300</v>
      </c>
      <c r="M105" s="137">
        <f>DSUM(SEP_2013_A,25,CL_131_)</f>
        <v>300</v>
      </c>
      <c r="N105" s="137">
        <f>DSUM(SEP_2013_A,26,CL_131_)</f>
        <v>300</v>
      </c>
      <c r="O105" s="137">
        <f>DSUM(SEP_2013_A,27,CL_131_)</f>
        <v>300</v>
      </c>
      <c r="P105" s="137">
        <f>DSUM(SEP_2013_A,28,CL_131_)</f>
        <v>300</v>
      </c>
      <c r="Q105" s="137">
        <f>DSUM(SEP_2013_A,29,CL_131_)</f>
        <v>300</v>
      </c>
      <c r="R105" s="137">
        <f>DSUM(SEP_2013_A,30,CL_131_)</f>
        <v>300</v>
      </c>
      <c r="S105" s="137">
        <f>DSUM(SEP_2013_A,31,CL_131_)</f>
        <v>300</v>
      </c>
      <c r="T105" s="137">
        <f>DSUM(SEP_2013_A,32,CL_131_)</f>
        <v>300</v>
      </c>
      <c r="U105" s="137">
        <f>DSUM(SEP_2013_A,33,CL_131_)</f>
        <v>0</v>
      </c>
      <c r="V105" s="137">
        <f>DSUM(SEP_2013_A,34,CL_131_)</f>
        <v>0</v>
      </c>
    </row>
    <row r="106" spans="2:22" ht="15.95" customHeight="1" x14ac:dyDescent="0.2">
      <c r="B106" s="1" t="s">
        <v>874</v>
      </c>
      <c r="C106" s="129" t="str">
        <f t="shared" si="7"/>
        <v>Rancho La Cuchilla No. 132</v>
      </c>
      <c r="D106" s="129" t="str">
        <f t="shared" si="8"/>
        <v>Téllez Girón</v>
      </c>
      <c r="E106" s="90">
        <f t="shared" si="9"/>
        <v>300</v>
      </c>
      <c r="F106" s="91">
        <f>DSUM(SEP_2013_A,AA,CL_132_)</f>
        <v>300</v>
      </c>
      <c r="G106" s="90">
        <f t="shared" si="10"/>
        <v>2400</v>
      </c>
      <c r="H106" s="90">
        <f>DSUM(SEP_2013_A,importe,CL_132_)</f>
        <v>2700</v>
      </c>
      <c r="I106" s="17">
        <f t="shared" si="12"/>
        <v>8</v>
      </c>
      <c r="J106" s="6" t="s">
        <v>1276</v>
      </c>
      <c r="K106" s="137">
        <f>DSUM(SEP_2013_A,23,CL_132_)</f>
        <v>300</v>
      </c>
      <c r="L106" s="137">
        <f>DSUM(SEP_2013_A,24,CL_132_)</f>
        <v>300</v>
      </c>
      <c r="M106" s="137">
        <f>DSUM(SEP_2013_A,25,CL_132_)</f>
        <v>300</v>
      </c>
      <c r="N106" s="137">
        <f>DSUM(SEP_2013_A,26,CL_132_)</f>
        <v>300</v>
      </c>
      <c r="O106" s="137">
        <f>DSUM(SEP_2013_A,27,CL_132_)</f>
        <v>300</v>
      </c>
      <c r="P106" s="137">
        <f>DSUM(SEP_2013_A,28,CL_132_)</f>
        <v>300</v>
      </c>
      <c r="Q106" s="137">
        <f>DSUM(SEP_2013_A,29,CL_132_)</f>
        <v>300</v>
      </c>
      <c r="R106" s="137">
        <f>DSUM(SEP_2013_A,30,CL_132_)</f>
        <v>300</v>
      </c>
      <c r="S106" s="137">
        <f>DSUM(SEP_2013_A,31,CL_132_)</f>
        <v>0</v>
      </c>
      <c r="T106" s="137">
        <f>DSUM(SEP_2013_A,32,CL_132_)</f>
        <v>0</v>
      </c>
      <c r="U106" s="137">
        <f>DSUM(SEP_2013_A,33,CL_132_)</f>
        <v>0</v>
      </c>
      <c r="V106" s="137">
        <f>DSUM(SEP_2013_A,34,CL_132_)</f>
        <v>0</v>
      </c>
    </row>
    <row r="107" spans="2:22" ht="15.95" customHeight="1" x14ac:dyDescent="0.2">
      <c r="B107" s="1" t="s">
        <v>875</v>
      </c>
      <c r="C107" s="129" t="str">
        <f t="shared" si="7"/>
        <v>Rancho La Cuchilla No. 133</v>
      </c>
      <c r="D107" s="129" t="str">
        <f t="shared" si="8"/>
        <v>Rivas</v>
      </c>
      <c r="E107" s="90">
        <f t="shared" si="9"/>
        <v>300</v>
      </c>
      <c r="F107" s="91">
        <f>DSUM(SEP_2013_A,AA,CL_133_)</f>
        <v>600</v>
      </c>
      <c r="G107" s="90">
        <f t="shared" si="10"/>
        <v>600</v>
      </c>
      <c r="H107" s="90">
        <f>DSUM(SEP_2013_A,importe,CL_133_)</f>
        <v>1200</v>
      </c>
      <c r="I107" s="17">
        <f t="shared" si="12"/>
        <v>2</v>
      </c>
      <c r="J107" s="6" t="s">
        <v>1276</v>
      </c>
      <c r="K107" s="137">
        <f>DSUM(SEP_2013_A,23,CL_133_)</f>
        <v>300</v>
      </c>
      <c r="L107" s="137">
        <f>DSUM(SEP_2013_A,24,CL_133_)</f>
        <v>300</v>
      </c>
      <c r="M107" s="137">
        <f>DSUM(SEP_2013_A,25,CL_133_)</f>
        <v>0</v>
      </c>
      <c r="N107" s="137">
        <f>DSUM(SEP_2013_A,26,CL_133_)</f>
        <v>0</v>
      </c>
      <c r="O107" s="137">
        <f>DSUM(SEP_2013_A,27,CL_133_)</f>
        <v>0</v>
      </c>
      <c r="P107" s="137">
        <f>DSUM(SEP_2013_A,28,CL_133_)</f>
        <v>0</v>
      </c>
      <c r="Q107" s="137">
        <f>DSUM(SEP_2013_A,29,CL_133_)</f>
        <v>0</v>
      </c>
      <c r="R107" s="137">
        <f>DSUM(SEP_2013_A,30,CL_133_)</f>
        <v>0</v>
      </c>
      <c r="S107" s="137">
        <f>DSUM(SEP_2013_A,31,CL_133_)</f>
        <v>0</v>
      </c>
      <c r="T107" s="137">
        <f>DSUM(SEP_2013_A,32,CL_133_)</f>
        <v>0</v>
      </c>
      <c r="U107" s="137">
        <f>DSUM(SEP_2013_A,33,CL_133_)</f>
        <v>0</v>
      </c>
      <c r="V107" s="137">
        <f>DSUM(SEP_2013_A,34,CL_133_)</f>
        <v>0</v>
      </c>
    </row>
    <row r="108" spans="2:22" ht="15.95" customHeight="1" x14ac:dyDescent="0.2">
      <c r="B108" s="1" t="s">
        <v>876</v>
      </c>
      <c r="C108" s="129" t="str">
        <f t="shared" si="7"/>
        <v>Rancho La Cuchilla No. 134</v>
      </c>
      <c r="D108" s="129" t="str">
        <f t="shared" si="8"/>
        <v>Moreno Sánchez</v>
      </c>
      <c r="E108" s="90">
        <f t="shared" si="9"/>
        <v>300</v>
      </c>
      <c r="F108" s="91">
        <f>DSUM(SEP_2013_A,AA,CL_134_)</f>
        <v>900</v>
      </c>
      <c r="G108" s="90">
        <f t="shared" si="10"/>
        <v>1800</v>
      </c>
      <c r="H108" s="90">
        <f>DSUM(SEP_2013_A,importe,CL_134_)</f>
        <v>2700</v>
      </c>
      <c r="I108" s="17">
        <f t="shared" si="12"/>
        <v>6</v>
      </c>
      <c r="J108" s="6" t="s">
        <v>1276</v>
      </c>
      <c r="K108" s="137">
        <f>DSUM(SEP_2013_A,23,CL_134_)</f>
        <v>300</v>
      </c>
      <c r="L108" s="137">
        <f>DSUM(SEP_2013_A,24,CL_134_)</f>
        <v>300</v>
      </c>
      <c r="M108" s="137">
        <f>DSUM(SEP_2013_A,25,CL_134_)</f>
        <v>300</v>
      </c>
      <c r="N108" s="137">
        <f>DSUM(SEP_2013_A,26,CL_134_)</f>
        <v>300</v>
      </c>
      <c r="O108" s="137">
        <f>DSUM(SEP_2013_A,27,CL_134_)</f>
        <v>300</v>
      </c>
      <c r="P108" s="137">
        <f>DSUM(SEP_2013_A,28,CL_134_)</f>
        <v>300</v>
      </c>
      <c r="Q108" s="137">
        <f>DSUM(SEP_2013_A,29,CL_134_)</f>
        <v>0</v>
      </c>
      <c r="R108" s="137">
        <f>DSUM(SEP_2013_A,30,CL_134_)</f>
        <v>0</v>
      </c>
      <c r="S108" s="137">
        <f>DSUM(SEP_2013_A,31,CL_134_)</f>
        <v>0</v>
      </c>
      <c r="T108" s="137">
        <f>DSUM(SEP_2013_A,32,CL_134_)</f>
        <v>0</v>
      </c>
      <c r="U108" s="137">
        <f>DSUM(SEP_2013_A,33,CL_134_)</f>
        <v>0</v>
      </c>
      <c r="V108" s="137">
        <f>DSUM(SEP_2013_A,34,CL_134_)</f>
        <v>0</v>
      </c>
    </row>
    <row r="109" spans="2:22" ht="15.95" customHeight="1" x14ac:dyDescent="0.2">
      <c r="B109" s="1" t="s">
        <v>877</v>
      </c>
      <c r="C109" s="129" t="str">
        <f t="shared" si="7"/>
        <v>Rancho La Cuchilla No. 135</v>
      </c>
      <c r="D109" s="129" t="str">
        <f t="shared" si="8"/>
        <v>Ruiz</v>
      </c>
      <c r="E109" s="90">
        <f t="shared" si="9"/>
        <v>300</v>
      </c>
      <c r="F109" s="91">
        <f>DSUM(SEP_2013_A,AA,CL_135_)</f>
        <v>0</v>
      </c>
      <c r="G109" s="90">
        <f t="shared" si="10"/>
        <v>0</v>
      </c>
      <c r="H109" s="90">
        <f>DSUM(SEP_2013_A,importe,CL_135_)</f>
        <v>0</v>
      </c>
      <c r="I109" s="17">
        <f t="shared" si="12"/>
        <v>0</v>
      </c>
      <c r="J109" s="6" t="s">
        <v>1276</v>
      </c>
      <c r="K109" s="137">
        <f>DSUM(SEP_2013_A,23,CL_135_)</f>
        <v>0</v>
      </c>
      <c r="L109" s="137">
        <f>DSUM(SEP_2013_A,24,CL_135_)</f>
        <v>0</v>
      </c>
      <c r="M109" s="137">
        <f>DSUM(SEP_2013_A,25,CL_135_)</f>
        <v>0</v>
      </c>
      <c r="N109" s="137">
        <f>DSUM(SEP_2013_A,26,CL_135_)</f>
        <v>0</v>
      </c>
      <c r="O109" s="137">
        <f>DSUM(SEP_2013_A,27,CL_135_)</f>
        <v>0</v>
      </c>
      <c r="P109" s="137">
        <f>DSUM(SEP_2013_A,28,CL_135_)</f>
        <v>0</v>
      </c>
      <c r="Q109" s="137">
        <f>DSUM(SEP_2013_A,29,CL_135_)</f>
        <v>0</v>
      </c>
      <c r="R109" s="137">
        <f>DSUM(SEP_2013_A,30,CL_135_)</f>
        <v>0</v>
      </c>
      <c r="S109" s="137">
        <f>DSUM(SEP_2013_A,31,CL_135_)</f>
        <v>0</v>
      </c>
      <c r="T109" s="137">
        <f>DSUM(SEP_2013_A,32,CL_135_)</f>
        <v>0</v>
      </c>
      <c r="U109" s="137">
        <f>DSUM(SEP_2013_A,33,CL_135_)</f>
        <v>0</v>
      </c>
      <c r="V109" s="137">
        <f>DSUM(SEP_2013_A,34,CL_135_)</f>
        <v>0</v>
      </c>
    </row>
    <row r="110" spans="2:22" ht="15.95" customHeight="1" x14ac:dyDescent="0.2">
      <c r="B110" s="1" t="s">
        <v>1323</v>
      </c>
      <c r="C110" s="129" t="str">
        <f t="shared" si="7"/>
        <v>Rancho La Cuchilla No. 137</v>
      </c>
      <c r="D110" s="129">
        <f t="shared" si="8"/>
        <v>0</v>
      </c>
      <c r="E110" s="90">
        <f t="shared" si="9"/>
        <v>300</v>
      </c>
      <c r="F110" s="91">
        <f>DSUM(SEP_2013_A,AA,CL_137_)</f>
        <v>0</v>
      </c>
      <c r="G110" s="90">
        <f t="shared" si="10"/>
        <v>0</v>
      </c>
      <c r="H110" s="90">
        <f>DSUM(SEP_2013_A,importe,CL_137_)</f>
        <v>0</v>
      </c>
      <c r="I110" s="17">
        <f t="shared" si="12"/>
        <v>0</v>
      </c>
      <c r="J110" s="6" t="s">
        <v>1276</v>
      </c>
      <c r="K110" s="137">
        <f>DSUM(SEP_2013_A,23,CL_137_)</f>
        <v>0</v>
      </c>
      <c r="L110" s="137">
        <f>DSUM(SEP_2013_A,24,CL_137_)</f>
        <v>0</v>
      </c>
      <c r="M110" s="137">
        <f>DSUM(SEP_2013_A,25,CL_137_)</f>
        <v>0</v>
      </c>
      <c r="N110" s="137">
        <f>DSUM(SEP_2013_A,26,CL_137_)</f>
        <v>0</v>
      </c>
      <c r="O110" s="137">
        <f>DSUM(SEP_2013_A,27,CL_137_)</f>
        <v>0</v>
      </c>
      <c r="P110" s="137">
        <f>DSUM(SEP_2013_A,28,CL_137_)</f>
        <v>0</v>
      </c>
      <c r="Q110" s="137">
        <f>DSUM(SEP_2013_A,29,CL_137_)</f>
        <v>0</v>
      </c>
      <c r="R110" s="137">
        <f>DSUM(SEP_2013_A,30,CL_137_)</f>
        <v>0</v>
      </c>
      <c r="S110" s="137">
        <f>DSUM(SEP_2013_A,31,CL_137_)</f>
        <v>0</v>
      </c>
      <c r="T110" s="137">
        <f>DSUM(SEP_2013_A,32,CL_137_)</f>
        <v>0</v>
      </c>
      <c r="U110" s="137">
        <f>DSUM(SEP_2013_A,33,CL_137_)</f>
        <v>0</v>
      </c>
      <c r="V110" s="137">
        <f>DSUM(SEP_2013_A,34,CL_137_)</f>
        <v>0</v>
      </c>
    </row>
    <row r="111" spans="2:22" ht="15.95" customHeight="1" x14ac:dyDescent="0.2">
      <c r="B111" s="1" t="s">
        <v>764</v>
      </c>
      <c r="C111" s="129" t="str">
        <f t="shared" si="7"/>
        <v>Rancho La Cuchilla No. 139</v>
      </c>
      <c r="D111" s="129" t="str">
        <f t="shared" si="8"/>
        <v>Gloria García</v>
      </c>
      <c r="E111" s="90">
        <f t="shared" si="9"/>
        <v>200</v>
      </c>
      <c r="F111" s="91">
        <f>DSUM(SEP_2013_A,AA,CL_139_)</f>
        <v>200</v>
      </c>
      <c r="G111" s="90">
        <f t="shared" si="10"/>
        <v>1800</v>
      </c>
      <c r="H111" s="90">
        <f>DSUM(SEP_2013_A,importe,CL_139_)</f>
        <v>2000</v>
      </c>
      <c r="I111" s="17">
        <f t="shared" si="12"/>
        <v>9</v>
      </c>
      <c r="J111" s="6" t="s">
        <v>1276</v>
      </c>
      <c r="K111" s="137">
        <f>DSUM(SEP_2013_A,23,CL_139_)</f>
        <v>200</v>
      </c>
      <c r="L111" s="137">
        <f>DSUM(SEP_2013_A,24,CL_139_)</f>
        <v>200</v>
      </c>
      <c r="M111" s="137">
        <f>DSUM(SEP_2013_A,25,CL_139_)</f>
        <v>200</v>
      </c>
      <c r="N111" s="137">
        <f>DSUM(SEP_2013_A,26,CL_139_)</f>
        <v>200</v>
      </c>
      <c r="O111" s="137">
        <f>DSUM(SEP_2013_A,27,CL_139_)</f>
        <v>200</v>
      </c>
      <c r="P111" s="137">
        <f>DSUM(SEP_2013_A,28,CL_139_)</f>
        <v>200</v>
      </c>
      <c r="Q111" s="137">
        <f>DSUM(SEP_2013_A,29,CL_139_)</f>
        <v>200</v>
      </c>
      <c r="R111" s="137">
        <f>DSUM(SEP_2013_A,30,CL_139_)</f>
        <v>200</v>
      </c>
      <c r="S111" s="137">
        <f>DSUM(SEP_2013_A,31,CL_139_)</f>
        <v>200</v>
      </c>
      <c r="T111" s="137">
        <f>DSUM(SEP_2013_A,32,CL_139_)</f>
        <v>0</v>
      </c>
      <c r="U111" s="137">
        <f>DSUM(SEP_2013_A,33,CL_139_)</f>
        <v>0</v>
      </c>
      <c r="V111" s="137">
        <f>DSUM(SEP_2013_A,34,CL_139_)</f>
        <v>0</v>
      </c>
    </row>
    <row r="112" spans="2:22" ht="15.95" customHeight="1" x14ac:dyDescent="0.2">
      <c r="B112" s="1" t="s">
        <v>878</v>
      </c>
      <c r="C112" s="129" t="str">
        <f t="shared" si="7"/>
        <v>Rancho La Cuchilla No. 141</v>
      </c>
      <c r="D112" s="129" t="str">
        <f t="shared" si="8"/>
        <v>Salazar Torres</v>
      </c>
      <c r="E112" s="90">
        <f t="shared" si="9"/>
        <v>300</v>
      </c>
      <c r="F112" s="91">
        <f>DSUM(SEP_2013_A,AA,CL_141_)</f>
        <v>0</v>
      </c>
      <c r="G112" s="90">
        <f t="shared" si="10"/>
        <v>3600</v>
      </c>
      <c r="H112" s="90">
        <f>DSUM(SEP_2013_A,importe,CL_141_)</f>
        <v>3600</v>
      </c>
      <c r="I112" s="17">
        <f t="shared" si="12"/>
        <v>12</v>
      </c>
      <c r="J112" s="6" t="s">
        <v>1276</v>
      </c>
      <c r="K112" s="137">
        <f>DSUM(SEP_2013_A,23,CL_141_)</f>
        <v>300</v>
      </c>
      <c r="L112" s="137">
        <f>DSUM(SEP_2013_A,24,CL_141_)</f>
        <v>300</v>
      </c>
      <c r="M112" s="137">
        <f>DSUM(SEP_2013_A,25,CL_141_)</f>
        <v>300</v>
      </c>
      <c r="N112" s="137">
        <f>DSUM(SEP_2013_A,26,CL_141_)</f>
        <v>300</v>
      </c>
      <c r="O112" s="137">
        <f>DSUM(SEP_2013_A,27,CL_141_)</f>
        <v>300</v>
      </c>
      <c r="P112" s="137">
        <f>DSUM(SEP_2013_A,28,CL_141_)</f>
        <v>300</v>
      </c>
      <c r="Q112" s="137">
        <f>DSUM(SEP_2013_A,29,CL_141_)</f>
        <v>300</v>
      </c>
      <c r="R112" s="137">
        <f>DSUM(SEP_2013_A,30,CL_141_)</f>
        <v>300</v>
      </c>
      <c r="S112" s="137">
        <f>DSUM(SEP_2013_A,31,CL_141_)</f>
        <v>300</v>
      </c>
      <c r="T112" s="137">
        <f>DSUM(SEP_2013_A,32,CL_141_)</f>
        <v>300</v>
      </c>
      <c r="U112" s="137">
        <f>DSUM(SEP_2013_A,33,CL_141_)</f>
        <v>300</v>
      </c>
      <c r="V112" s="137">
        <f>DSUM(SEP_2013_A,34,CL_141_)</f>
        <v>300</v>
      </c>
    </row>
    <row r="113" spans="2:22" ht="15.95" customHeight="1" x14ac:dyDescent="0.2">
      <c r="B113" s="1" t="s">
        <v>1324</v>
      </c>
      <c r="C113" s="129" t="str">
        <f t="shared" si="7"/>
        <v>Rancho La Cuchilla No. 144</v>
      </c>
      <c r="D113" s="129">
        <f t="shared" si="8"/>
        <v>0</v>
      </c>
      <c r="E113" s="90">
        <f t="shared" si="9"/>
        <v>300</v>
      </c>
      <c r="F113" s="91">
        <f>DSUM(SEP_2013_A,AA,CL_144_)</f>
        <v>0</v>
      </c>
      <c r="G113" s="90">
        <f t="shared" si="10"/>
        <v>0</v>
      </c>
      <c r="H113" s="90">
        <f>DSUM(SEP_2013_A,importe,CL_144_)</f>
        <v>0</v>
      </c>
      <c r="I113" s="17">
        <f t="shared" si="12"/>
        <v>0</v>
      </c>
      <c r="J113" s="6" t="s">
        <v>1276</v>
      </c>
      <c r="K113" s="137">
        <f>DSUM(SEP_2013_A,23,CL_144_)</f>
        <v>0</v>
      </c>
      <c r="L113" s="137">
        <f>DSUM(SEP_2013_A,24,CL_144_)</f>
        <v>0</v>
      </c>
      <c r="M113" s="137">
        <f>DSUM(SEP_2013_A,25,CL_144_)</f>
        <v>0</v>
      </c>
      <c r="N113" s="137">
        <f>DSUM(SEP_2013_A,26,CL_144_)</f>
        <v>0</v>
      </c>
      <c r="O113" s="137">
        <f>DSUM(SEP_2013_A,27,CL_144_)</f>
        <v>0</v>
      </c>
      <c r="P113" s="137">
        <f>DSUM(SEP_2013_A,28,CL_144_)</f>
        <v>0</v>
      </c>
      <c r="Q113" s="137">
        <f>DSUM(SEP_2013_A,29,CL_144_)</f>
        <v>0</v>
      </c>
      <c r="R113" s="137">
        <f>DSUM(SEP_2013_A,30,CL_144_)</f>
        <v>0</v>
      </c>
      <c r="S113" s="137">
        <f>DSUM(SEP_2013_A,31,CL_144_)</f>
        <v>0</v>
      </c>
      <c r="T113" s="137">
        <f>DSUM(SEP_2013_A,32,CL_144_)</f>
        <v>0</v>
      </c>
      <c r="U113" s="137">
        <f>DSUM(SEP_2013_A,33,CL_144_)</f>
        <v>0</v>
      </c>
      <c r="V113" s="137">
        <f>DSUM(SEP_2013_A,34,CL_144_)</f>
        <v>0</v>
      </c>
    </row>
    <row r="114" spans="2:22" ht="15.95" customHeight="1" x14ac:dyDescent="0.2">
      <c r="B114" s="1" t="s">
        <v>879</v>
      </c>
      <c r="C114" s="129" t="str">
        <f t="shared" si="7"/>
        <v>Rancho La Cuchilla No. 145</v>
      </c>
      <c r="D114" s="129" t="str">
        <f t="shared" si="8"/>
        <v>Arámburu C.</v>
      </c>
      <c r="E114" s="90">
        <f t="shared" si="9"/>
        <v>300</v>
      </c>
      <c r="F114" s="91">
        <f>DSUM(SEP_2013_A,AA,CL_145_)</f>
        <v>0</v>
      </c>
      <c r="G114" s="90">
        <f t="shared" si="10"/>
        <v>3300</v>
      </c>
      <c r="H114" s="90">
        <f>DSUM(SEP_2013_A,importe,CL_145_)</f>
        <v>3300</v>
      </c>
      <c r="I114" s="17">
        <f>IF(VLOOKUP(B114,BASE_A,9,FALSE)=0,0,(G114/VLOOKUP(B114,BASE_A,9,FALSE)))+1</f>
        <v>12</v>
      </c>
      <c r="J114" s="6" t="s">
        <v>1276</v>
      </c>
      <c r="K114" s="137">
        <f>DSUM(SEP_2013_A,23,CL_145_)</f>
        <v>300</v>
      </c>
      <c r="L114" s="137">
        <f>DSUM(SEP_2013_A,24,CL_145_)</f>
        <v>300</v>
      </c>
      <c r="M114" s="137">
        <f>DSUM(SEP_2013_A,25,CL_145_)</f>
        <v>300</v>
      </c>
      <c r="N114" s="137">
        <f>DSUM(SEP_2013_A,26,CL_145_)</f>
        <v>300</v>
      </c>
      <c r="O114" s="137">
        <f>DSUM(SEP_2013_A,27,CL_145_)</f>
        <v>300</v>
      </c>
      <c r="P114" s="137">
        <f>DSUM(SEP_2013_A,28,CL_145_)</f>
        <v>300</v>
      </c>
      <c r="Q114" s="137">
        <f>DSUM(SEP_2013_A,29,CL_145_)</f>
        <v>300</v>
      </c>
      <c r="R114" s="137">
        <f>DSUM(SEP_2013_A,30,CL_145_)</f>
        <v>300</v>
      </c>
      <c r="S114" s="137">
        <f>DSUM(SEP_2013_A,31,CL_145_)</f>
        <v>300</v>
      </c>
      <c r="T114" s="137">
        <f>DSUM(SEP_2013_A,32,CL_145_)</f>
        <v>300</v>
      </c>
      <c r="U114" s="137">
        <f>DSUM(SEP_2013_A,33,CL_145_)</f>
        <v>300</v>
      </c>
      <c r="V114" s="137">
        <f>DSUM(SEP_2013_A,34,CL_145_)</f>
        <v>0</v>
      </c>
    </row>
    <row r="115" spans="2:22" ht="15.95" customHeight="1" x14ac:dyDescent="0.2">
      <c r="B115" s="1" t="s">
        <v>880</v>
      </c>
      <c r="C115" s="129" t="str">
        <f t="shared" si="7"/>
        <v>Rancho La Cuchilla No. 147</v>
      </c>
      <c r="D115" s="129">
        <f t="shared" si="8"/>
        <v>0</v>
      </c>
      <c r="E115" s="90">
        <f t="shared" si="9"/>
        <v>300</v>
      </c>
      <c r="F115" s="91">
        <f>DSUM(SEP_2013_A,AA,CL_147_)</f>
        <v>0</v>
      </c>
      <c r="G115" s="90">
        <f t="shared" si="10"/>
        <v>0</v>
      </c>
      <c r="H115" s="90">
        <f>DSUM(SEP_2013_A,importe,CL_147_)</f>
        <v>0</v>
      </c>
      <c r="I115" s="17">
        <f>IF(VLOOKUP(B115,BASE_A,9,FALSE)=0,0,G115/VLOOKUP(B115,BASE_A,9,FALSE))</f>
        <v>0</v>
      </c>
      <c r="J115" s="6" t="s">
        <v>1276</v>
      </c>
      <c r="K115" s="137">
        <f>DSUM(SEP_2013_A,23,CL_147_)</f>
        <v>0</v>
      </c>
      <c r="L115" s="137">
        <f>DSUM(SEP_2013_A,24,CL_147_)</f>
        <v>0</v>
      </c>
      <c r="M115" s="137">
        <f>DSUM(SEP_2013_A,25,CL_147_)</f>
        <v>0</v>
      </c>
      <c r="N115" s="137">
        <f>DSUM(SEP_2013_A,26,CL_147_)</f>
        <v>0</v>
      </c>
      <c r="O115" s="137">
        <f>DSUM(SEP_2013_A,27,CL_147_)</f>
        <v>0</v>
      </c>
      <c r="P115" s="137">
        <f>DSUM(SEP_2013_A,28,CL_147_)</f>
        <v>0</v>
      </c>
      <c r="Q115" s="137">
        <f>DSUM(SEP_2013_A,29,CL_147_)</f>
        <v>0</v>
      </c>
      <c r="R115" s="137">
        <f>DSUM(SEP_2013_A,30,CL_147_)</f>
        <v>0</v>
      </c>
      <c r="S115" s="137">
        <f>DSUM(SEP_2013_A,31,CL_147_)</f>
        <v>0</v>
      </c>
      <c r="T115" s="137">
        <f>DSUM(SEP_2013_A,32,CL_147_)</f>
        <v>0</v>
      </c>
      <c r="U115" s="137">
        <f>DSUM(SEP_2013_A,33,CL_147_)</f>
        <v>0</v>
      </c>
      <c r="V115" s="137">
        <f>DSUM(SEP_2013_A,34,CL_147_)</f>
        <v>0</v>
      </c>
    </row>
    <row r="116" spans="2:22" ht="15.95" customHeight="1" x14ac:dyDescent="0.2">
      <c r="B116" s="1" t="s">
        <v>881</v>
      </c>
      <c r="C116" s="129" t="str">
        <f t="shared" si="7"/>
        <v>Rancho La Cuchilla No. 148</v>
      </c>
      <c r="D116" s="129" t="str">
        <f t="shared" si="8"/>
        <v>Vázquez Vázquez</v>
      </c>
      <c r="E116" s="90">
        <f t="shared" si="9"/>
        <v>300</v>
      </c>
      <c r="F116" s="91">
        <f>DSUM(SEP_2013_A,AA,CL_148_)</f>
        <v>300</v>
      </c>
      <c r="G116" s="90">
        <f t="shared" si="10"/>
        <v>2100</v>
      </c>
      <c r="H116" s="90">
        <f>DSUM(SEP_2013_A,importe,CL_148_)</f>
        <v>2400</v>
      </c>
      <c r="I116" s="17">
        <f>IF(VLOOKUP(B116,BASE_A,9,FALSE)=0,0,G116/VLOOKUP(B116,BASE_A,9,FALSE))</f>
        <v>7</v>
      </c>
      <c r="J116" s="6" t="s">
        <v>1276</v>
      </c>
      <c r="K116" s="137">
        <f>DSUM(SEP_2013_A,23,CL_148_)</f>
        <v>300</v>
      </c>
      <c r="L116" s="137">
        <f>DSUM(SEP_2013_A,24,CL_148_)</f>
        <v>300</v>
      </c>
      <c r="M116" s="137">
        <f>DSUM(SEP_2013_A,25,CL_148_)</f>
        <v>300</v>
      </c>
      <c r="N116" s="137">
        <f>DSUM(SEP_2013_A,26,CL_148_)</f>
        <v>300</v>
      </c>
      <c r="O116" s="137">
        <f>DSUM(SEP_2013_A,27,CL_148_)</f>
        <v>300</v>
      </c>
      <c r="P116" s="137">
        <f>DSUM(SEP_2013_A,28,CL_148_)</f>
        <v>300</v>
      </c>
      <c r="Q116" s="137">
        <f>DSUM(SEP_2013_A,29,CL_148_)</f>
        <v>300</v>
      </c>
      <c r="R116" s="137">
        <f>DSUM(SEP_2013_A,30,CL_148_)</f>
        <v>0</v>
      </c>
      <c r="S116" s="137">
        <f>DSUM(SEP_2013_A,31,CL_148_)</f>
        <v>0</v>
      </c>
      <c r="T116" s="137">
        <f>DSUM(SEP_2013_A,32,CL_148_)</f>
        <v>0</v>
      </c>
      <c r="U116" s="137">
        <f>DSUM(SEP_2013_A,33,CL_148_)</f>
        <v>0</v>
      </c>
      <c r="V116" s="137">
        <f>DSUM(SEP_2013_A,34,CL_148_)</f>
        <v>0</v>
      </c>
    </row>
    <row r="117" spans="2:22" ht="15.95" customHeight="1" x14ac:dyDescent="0.2">
      <c r="B117" s="1" t="s">
        <v>882</v>
      </c>
      <c r="C117" s="129" t="str">
        <f t="shared" si="7"/>
        <v>Rancho La Cuchilla No. 149</v>
      </c>
      <c r="D117" s="129" t="str">
        <f t="shared" si="8"/>
        <v>Montes Irineos</v>
      </c>
      <c r="E117" s="90">
        <f t="shared" si="9"/>
        <v>300</v>
      </c>
      <c r="F117" s="91">
        <f>DSUM(SEP_2013_A,AA,CL_149_)</f>
        <v>0</v>
      </c>
      <c r="G117" s="90">
        <f t="shared" si="10"/>
        <v>3300</v>
      </c>
      <c r="H117" s="90">
        <f>DSUM(SEP_2013_A,importe,CL_149_)</f>
        <v>3300</v>
      </c>
      <c r="I117" s="17">
        <f>IF(VLOOKUP(B117,BASE_A,9,FALSE)=0,0,(G117/VLOOKUP(B117,BASE_A,9,FALSE)))+1</f>
        <v>12</v>
      </c>
      <c r="J117" s="6" t="s">
        <v>1276</v>
      </c>
      <c r="K117" s="137">
        <f>DSUM(SEP_2013_A,23,CL_149_)</f>
        <v>300</v>
      </c>
      <c r="L117" s="137">
        <f>DSUM(SEP_2013_A,24,CL_149_)</f>
        <v>300</v>
      </c>
      <c r="M117" s="137">
        <f>DSUM(SEP_2013_A,25,CL_149_)</f>
        <v>300</v>
      </c>
      <c r="N117" s="137">
        <f>DSUM(SEP_2013_A,26,CL_149_)</f>
        <v>300</v>
      </c>
      <c r="O117" s="137">
        <f>DSUM(SEP_2013_A,27,CL_149_)</f>
        <v>300</v>
      </c>
      <c r="P117" s="137">
        <f>DSUM(SEP_2013_A,28,CL_149_)</f>
        <v>300</v>
      </c>
      <c r="Q117" s="137">
        <f>DSUM(SEP_2013_A,29,CL_149_)</f>
        <v>300</v>
      </c>
      <c r="R117" s="137">
        <f>DSUM(SEP_2013_A,30,CL_149_)</f>
        <v>300</v>
      </c>
      <c r="S117" s="137">
        <f>DSUM(SEP_2013_A,31,CL_149_)</f>
        <v>300</v>
      </c>
      <c r="T117" s="137">
        <f>DSUM(SEP_2013_A,32,CL_149_)</f>
        <v>300</v>
      </c>
      <c r="U117" s="137">
        <f>DSUM(SEP_2013_A,33,CL_149_)</f>
        <v>300</v>
      </c>
      <c r="V117" s="137">
        <f>DSUM(SEP_2013_A,34,CL_149_)</f>
        <v>0</v>
      </c>
    </row>
    <row r="118" spans="2:22" ht="15.95" customHeight="1" x14ac:dyDescent="0.2">
      <c r="B118" s="1" t="s">
        <v>883</v>
      </c>
      <c r="C118" s="129" t="str">
        <f t="shared" si="7"/>
        <v>Rancho La Cuchilla No. terreno</v>
      </c>
      <c r="D118" s="129" t="str">
        <f t="shared" si="8"/>
        <v>Martínez Flores</v>
      </c>
      <c r="E118" s="90">
        <f t="shared" si="9"/>
        <v>300</v>
      </c>
      <c r="F118" s="91">
        <f>DSUM(SEP_2013_A,AA,CL_terreno_)</f>
        <v>600</v>
      </c>
      <c r="G118" s="90">
        <f t="shared" si="10"/>
        <v>1800</v>
      </c>
      <c r="H118" s="90">
        <f>DSUM(SEP_2013_A,importe,CL_terreno_)</f>
        <v>2400</v>
      </c>
      <c r="I118" s="17">
        <f t="shared" ref="I118:I133" si="13">IF(VLOOKUP(B118,BASE_A,9,FALSE)=0,0,G118/VLOOKUP(B118,BASE_A,9,FALSE))</f>
        <v>6</v>
      </c>
      <c r="J118" s="6" t="s">
        <v>1276</v>
      </c>
      <c r="K118" s="137">
        <f>DSUM(SEP_2013_A,23,CL_terreno_)</f>
        <v>300</v>
      </c>
      <c r="L118" s="137">
        <f>DSUM(SEP_2013_A,24,CL_terreno_)</f>
        <v>300</v>
      </c>
      <c r="M118" s="137">
        <f>DSUM(SEP_2013_A,25,CL_terreno_)</f>
        <v>300</v>
      </c>
      <c r="N118" s="137">
        <f>DSUM(SEP_2013_A,26,CL_terreno_)</f>
        <v>300</v>
      </c>
      <c r="O118" s="137">
        <f>DSUM(SEP_2013_A,27,CL_terreno_)</f>
        <v>300</v>
      </c>
      <c r="P118" s="137">
        <f>DSUM(SEP_2013_A,28,CL_terreno_)</f>
        <v>300</v>
      </c>
      <c r="Q118" s="137">
        <f>DSUM(SEP_2013_A,29,CL_terreno_)</f>
        <v>0</v>
      </c>
      <c r="R118" s="137">
        <f>DSUM(SEP_2013_A,30,CL_terreno_)</f>
        <v>0</v>
      </c>
      <c r="S118" s="137">
        <f>DSUM(SEP_2013_A,31,CL_terreno_)</f>
        <v>0</v>
      </c>
      <c r="T118" s="137">
        <f>DSUM(SEP_2013_A,32,CL_terreno_)</f>
        <v>0</v>
      </c>
      <c r="U118" s="137">
        <f>DSUM(SEP_2013_A,33,CL_terreno_)</f>
        <v>0</v>
      </c>
      <c r="V118" s="137">
        <f>DSUM(SEP_2013_A,34,CL_terreno_)</f>
        <v>0</v>
      </c>
    </row>
    <row r="119" spans="2:22" ht="15.95" customHeight="1" x14ac:dyDescent="0.2">
      <c r="B119" s="1" t="s">
        <v>1326</v>
      </c>
      <c r="C119" s="129" t="str">
        <f t="shared" si="7"/>
        <v>Rancho Estopila No. 15</v>
      </c>
      <c r="D119" s="129" t="str">
        <f t="shared" si="8"/>
        <v>Zhang</v>
      </c>
      <c r="E119" s="90">
        <f t="shared" si="9"/>
        <v>300</v>
      </c>
      <c r="F119" s="91">
        <f>DSUM(SEP_2013_A,AA,EP_15_)</f>
        <v>0</v>
      </c>
      <c r="G119" s="90">
        <f t="shared" si="10"/>
        <v>300</v>
      </c>
      <c r="H119" s="90">
        <f>DSUM(SEP_2013_A,importe,EP_15_)</f>
        <v>300</v>
      </c>
      <c r="I119" s="17">
        <f t="shared" si="13"/>
        <v>1</v>
      </c>
      <c r="J119" s="6" t="s">
        <v>1277</v>
      </c>
      <c r="K119" s="137">
        <f>DSUM(SEP_2013_A,23,EP_15_)</f>
        <v>0</v>
      </c>
      <c r="L119" s="137">
        <f>DSUM(SEP_2013_A,24,EP_15_)</f>
        <v>0</v>
      </c>
      <c r="M119" s="137">
        <f>DSUM(SEP_2013_A,25,EP_15_)</f>
        <v>0</v>
      </c>
      <c r="N119" s="137">
        <f>DSUM(SEP_2013_A,26,EP_15_)</f>
        <v>0</v>
      </c>
      <c r="O119" s="137">
        <f>DSUM(SEP_2013_A,27,EP_15_)</f>
        <v>0</v>
      </c>
      <c r="P119" s="137">
        <f>DSUM(SEP_2013_A,28,EP_15_)</f>
        <v>0</v>
      </c>
      <c r="Q119" s="137">
        <f>DSUM(SEP_2013_A,29,EP_15_)</f>
        <v>300</v>
      </c>
      <c r="R119" s="137">
        <f>DSUM(SEP_2013_A,30,EP_15_)</f>
        <v>0</v>
      </c>
      <c r="S119" s="137">
        <f>DSUM(SEP_2013_A,31,EP_15_)</f>
        <v>0</v>
      </c>
      <c r="T119" s="137">
        <f>DSUM(SEP_2013_A,32,EP_15_)</f>
        <v>0</v>
      </c>
      <c r="U119" s="137">
        <f>DSUM(SEP_2013_A,33,EP_15_)</f>
        <v>0</v>
      </c>
      <c r="V119" s="137">
        <f>DSUM(SEP_2013_A,34,EP_15_)</f>
        <v>0</v>
      </c>
    </row>
    <row r="120" spans="2:22" ht="15.95" customHeight="1" x14ac:dyDescent="0.2">
      <c r="B120" s="1" t="s">
        <v>904</v>
      </c>
      <c r="C120" s="129" t="str">
        <f t="shared" si="7"/>
        <v>Rancho Estopila No. 18</v>
      </c>
      <c r="D120" s="129" t="str">
        <f t="shared" si="8"/>
        <v>Aguilar Zarmeño</v>
      </c>
      <c r="E120" s="90">
        <f t="shared" si="9"/>
        <v>300</v>
      </c>
      <c r="F120" s="91">
        <f>DSUM(SEP_2013_A,AA,EP_18_)</f>
        <v>300</v>
      </c>
      <c r="G120" s="90">
        <f t="shared" si="10"/>
        <v>2400</v>
      </c>
      <c r="H120" s="90">
        <f>DSUM(SEP_2013_A,importe,EP_18_)</f>
        <v>2700</v>
      </c>
      <c r="I120" s="17">
        <f t="shared" si="13"/>
        <v>8</v>
      </c>
      <c r="J120" s="6" t="s">
        <v>1277</v>
      </c>
      <c r="K120" s="137">
        <f>DSUM(SEP_2013_A,23,EP_18_)</f>
        <v>300</v>
      </c>
      <c r="L120" s="137">
        <f>DSUM(SEP_2013_A,24,EP_18_)</f>
        <v>300</v>
      </c>
      <c r="M120" s="137">
        <f>DSUM(SEP_2013_A,25,EP_18_)</f>
        <v>300</v>
      </c>
      <c r="N120" s="137">
        <f>DSUM(SEP_2013_A,26,EP_18_)</f>
        <v>300</v>
      </c>
      <c r="O120" s="137">
        <f>DSUM(SEP_2013_A,27,EP_18_)</f>
        <v>300</v>
      </c>
      <c r="P120" s="137">
        <f>DSUM(SEP_2013_A,28,EP_18_)</f>
        <v>300</v>
      </c>
      <c r="Q120" s="137">
        <f>DSUM(SEP_2013_A,29,EP_18_)</f>
        <v>300</v>
      </c>
      <c r="R120" s="137">
        <f>DSUM(SEP_2013_A,30,EP_18_)</f>
        <v>300</v>
      </c>
      <c r="S120" s="137">
        <f>DSUM(SEP_2013_A,31,EP_18_)</f>
        <v>0</v>
      </c>
      <c r="T120" s="137">
        <f>DSUM(SEP_2013_A,32,EP_18_)</f>
        <v>0</v>
      </c>
      <c r="U120" s="137">
        <f>DSUM(SEP_2013_A,33,EP_18_)</f>
        <v>0</v>
      </c>
      <c r="V120" s="137">
        <f>DSUM(SEP_2013_A,34,EP_18_)</f>
        <v>0</v>
      </c>
    </row>
    <row r="121" spans="2:22" ht="15.95" customHeight="1" x14ac:dyDescent="0.2">
      <c r="B121" s="1" t="s">
        <v>905</v>
      </c>
      <c r="C121" s="129" t="str">
        <f t="shared" si="7"/>
        <v>Rancho Estopila No. 22, A</v>
      </c>
      <c r="D121" s="129" t="str">
        <f t="shared" si="8"/>
        <v>Ayala Carranza</v>
      </c>
      <c r="E121" s="90">
        <f t="shared" si="9"/>
        <v>150</v>
      </c>
      <c r="F121" s="91">
        <f>DSUM(SEP_2013_A,AA,EP_22_A)</f>
        <v>150</v>
      </c>
      <c r="G121" s="90">
        <f t="shared" si="10"/>
        <v>1350</v>
      </c>
      <c r="H121" s="90">
        <f>DSUM(SEP_2013_A,importe,EP_22_A)</f>
        <v>1500</v>
      </c>
      <c r="I121" s="17">
        <f t="shared" si="13"/>
        <v>9</v>
      </c>
      <c r="J121" s="6" t="s">
        <v>1277</v>
      </c>
      <c r="K121" s="137">
        <f>DSUM(SEP_2013_A,23,EP_22_A)</f>
        <v>150</v>
      </c>
      <c r="L121" s="137">
        <f>DSUM(SEP_2013_A,24,EP_22_A)</f>
        <v>150</v>
      </c>
      <c r="M121" s="137">
        <f>DSUM(SEP_2013_A,25,EP_22_A)</f>
        <v>150</v>
      </c>
      <c r="N121" s="137">
        <f>DSUM(SEP_2013_A,26,EP_22_A)</f>
        <v>150</v>
      </c>
      <c r="O121" s="137">
        <f>DSUM(SEP_2013_A,27,EP_22_A)</f>
        <v>150</v>
      </c>
      <c r="P121" s="137">
        <f>DSUM(SEP_2013_A,28,EP_22_A)</f>
        <v>150</v>
      </c>
      <c r="Q121" s="137">
        <f>DSUM(SEP_2013_A,29,EP_22_A)</f>
        <v>150</v>
      </c>
      <c r="R121" s="137">
        <f>DSUM(SEP_2013_A,30,EP_22_A)</f>
        <v>150</v>
      </c>
      <c r="S121" s="137">
        <f>DSUM(SEP_2013_A,31,EP_22_A)</f>
        <v>150</v>
      </c>
      <c r="T121" s="137">
        <f>DSUM(SEP_2013_A,32,EP_22_A)</f>
        <v>0</v>
      </c>
      <c r="U121" s="137">
        <f>DSUM(SEP_2013_A,33,EP_22_A)</f>
        <v>0</v>
      </c>
      <c r="V121" s="137">
        <f>DSUM(SEP_2013_A,34,EP_22_A)</f>
        <v>0</v>
      </c>
    </row>
    <row r="122" spans="2:22" ht="15.95" customHeight="1" x14ac:dyDescent="0.2">
      <c r="B122" s="1" t="s">
        <v>1327</v>
      </c>
      <c r="C122" s="129" t="str">
        <f t="shared" si="7"/>
        <v>Rancho Estopila No. 22, B</v>
      </c>
      <c r="D122" s="129">
        <f t="shared" si="8"/>
        <v>0</v>
      </c>
      <c r="E122" s="90">
        <f t="shared" si="9"/>
        <v>150</v>
      </c>
      <c r="F122" s="91">
        <f>DSUM(SEP_2013_A,AA,EP_22_B)</f>
        <v>0</v>
      </c>
      <c r="G122" s="90">
        <f t="shared" si="10"/>
        <v>0</v>
      </c>
      <c r="H122" s="90">
        <f>DSUM(SEP_2013_A,importe,EP_22_B)</f>
        <v>0</v>
      </c>
      <c r="I122" s="17">
        <f t="shared" si="13"/>
        <v>0</v>
      </c>
      <c r="J122" s="6" t="s">
        <v>1277</v>
      </c>
      <c r="K122" s="137">
        <f>DSUM(SEP_2013_A,23,EP_22_B)</f>
        <v>0</v>
      </c>
      <c r="L122" s="137">
        <f>DSUM(SEP_2013_A,24,EP_22_B)</f>
        <v>0</v>
      </c>
      <c r="M122" s="137">
        <f>DSUM(SEP_2013_A,25,EP_22_B)</f>
        <v>0</v>
      </c>
      <c r="N122" s="137">
        <f>DSUM(SEP_2013_A,26,EP_22_B)</f>
        <v>0</v>
      </c>
      <c r="O122" s="137">
        <f>DSUM(SEP_2013_A,27,EP_22_B)</f>
        <v>0</v>
      </c>
      <c r="P122" s="137">
        <f>DSUM(SEP_2013_A,28,EP_22_B)</f>
        <v>0</v>
      </c>
      <c r="Q122" s="137">
        <f>DSUM(SEP_2013_A,29,EP_22_B)</f>
        <v>0</v>
      </c>
      <c r="R122" s="137">
        <f>DSUM(SEP_2013_A,30,EP_22_B)</f>
        <v>0</v>
      </c>
      <c r="S122" s="137">
        <f>DSUM(SEP_2013_A,31,EP_22_B)</f>
        <v>0</v>
      </c>
      <c r="T122" s="137">
        <f>DSUM(SEP_2013_A,32,EP_22_B)</f>
        <v>0</v>
      </c>
      <c r="U122" s="137">
        <f>DSUM(SEP_2013_A,33,EP_22_B)</f>
        <v>0</v>
      </c>
      <c r="V122" s="137">
        <f>DSUM(SEP_2013_A,34,EP_22_B)</f>
        <v>0</v>
      </c>
    </row>
    <row r="123" spans="2:22" ht="15.95" customHeight="1" x14ac:dyDescent="0.2">
      <c r="B123" s="1" t="s">
        <v>906</v>
      </c>
      <c r="C123" s="129" t="str">
        <f t="shared" si="7"/>
        <v>Rancho Estopila No. 44</v>
      </c>
      <c r="D123" s="129" t="str">
        <f t="shared" si="8"/>
        <v>Christian</v>
      </c>
      <c r="E123" s="90">
        <f t="shared" si="9"/>
        <v>300</v>
      </c>
      <c r="F123" s="91">
        <f>DSUM(SEP_2013_A,AA,EP_44_)</f>
        <v>0</v>
      </c>
      <c r="G123" s="90">
        <f t="shared" si="10"/>
        <v>0</v>
      </c>
      <c r="H123" s="90">
        <f>DSUM(SEP_2013_A,importe,EP_44_)</f>
        <v>0</v>
      </c>
      <c r="I123" s="17">
        <f t="shared" si="13"/>
        <v>0</v>
      </c>
      <c r="J123" s="6" t="s">
        <v>1277</v>
      </c>
      <c r="K123" s="137">
        <f>DSUM(SEP_2013_A,23,EP_44_)</f>
        <v>0</v>
      </c>
      <c r="L123" s="137">
        <f>DSUM(SEP_2013_A,24,EP_44_)</f>
        <v>0</v>
      </c>
      <c r="M123" s="137">
        <f>DSUM(SEP_2013_A,25,EP_44_)</f>
        <v>0</v>
      </c>
      <c r="N123" s="137">
        <f>DSUM(SEP_2013_A,26,EP_44_)</f>
        <v>0</v>
      </c>
      <c r="O123" s="137">
        <f>DSUM(SEP_2013_A,27,EP_44_)</f>
        <v>0</v>
      </c>
      <c r="P123" s="137">
        <f>DSUM(SEP_2013_A,28,EP_44_)</f>
        <v>0</v>
      </c>
      <c r="Q123" s="137">
        <f>DSUM(SEP_2013_A,29,EP_44_)</f>
        <v>0</v>
      </c>
      <c r="R123" s="137">
        <f>DSUM(SEP_2013_A,30,EP_44_)</f>
        <v>0</v>
      </c>
      <c r="S123" s="137">
        <f>DSUM(SEP_2013_A,31,EP_44_)</f>
        <v>0</v>
      </c>
      <c r="T123" s="137">
        <f>DSUM(SEP_2013_A,32,EP_44_)</f>
        <v>0</v>
      </c>
      <c r="U123" s="137">
        <f>DSUM(SEP_2013_A,33,EP_44_)</f>
        <v>0</v>
      </c>
      <c r="V123" s="137">
        <f>DSUM(SEP_2013_A,34,EP_44_)</f>
        <v>0</v>
      </c>
    </row>
    <row r="124" spans="2:22" ht="15.95" customHeight="1" x14ac:dyDescent="0.2">
      <c r="B124" s="1" t="s">
        <v>907</v>
      </c>
      <c r="C124" s="129" t="str">
        <f t="shared" si="7"/>
        <v>Rancho Estanzuela No. 3</v>
      </c>
      <c r="D124" s="129" t="str">
        <f t="shared" si="8"/>
        <v>Villanueva Nájera</v>
      </c>
      <c r="E124" s="90">
        <f t="shared" si="9"/>
        <v>150</v>
      </c>
      <c r="F124" s="91">
        <f>DSUM(SEP_2013_A,AA,EZ_3_)</f>
        <v>150</v>
      </c>
      <c r="G124" s="90">
        <f t="shared" si="10"/>
        <v>1500</v>
      </c>
      <c r="H124" s="90">
        <f>DSUM(SEP_2013_A,importe,EZ_3_)</f>
        <v>1650</v>
      </c>
      <c r="I124" s="17">
        <f t="shared" si="13"/>
        <v>10</v>
      </c>
      <c r="J124" s="6" t="s">
        <v>1278</v>
      </c>
      <c r="K124" s="137">
        <f>DSUM(SEP_2013_A,23,EZ_3_)</f>
        <v>150</v>
      </c>
      <c r="L124" s="137">
        <f>DSUM(SEP_2013_A,24,EZ_3_)</f>
        <v>150</v>
      </c>
      <c r="M124" s="137">
        <f>DSUM(SEP_2013_A,25,EZ_3_)</f>
        <v>150</v>
      </c>
      <c r="N124" s="137">
        <f>DSUM(SEP_2013_A,26,EZ_3_)</f>
        <v>150</v>
      </c>
      <c r="O124" s="137">
        <f>DSUM(SEP_2013_A,27,EZ_3_)</f>
        <v>150</v>
      </c>
      <c r="P124" s="137">
        <f>DSUM(SEP_2013_A,28,EZ_3_)</f>
        <v>150</v>
      </c>
      <c r="Q124" s="137">
        <f>DSUM(SEP_2013_A,29,EZ_3_)</f>
        <v>300</v>
      </c>
      <c r="R124" s="137">
        <f>DSUM(SEP_2013_A,30,EZ_3_)</f>
        <v>150</v>
      </c>
      <c r="S124" s="137">
        <f>DSUM(SEP_2013_A,31,EZ_3_)</f>
        <v>150</v>
      </c>
      <c r="T124" s="137">
        <f>DSUM(SEP_2013_A,32,EZ_3_)</f>
        <v>0</v>
      </c>
      <c r="U124" s="137">
        <f>DSUM(SEP_2013_A,33,EZ_3_)</f>
        <v>0</v>
      </c>
      <c r="V124" s="137">
        <f>DSUM(SEP_2013_A,34,EZ_3_)</f>
        <v>0</v>
      </c>
    </row>
    <row r="125" spans="2:22" ht="15.95" customHeight="1" x14ac:dyDescent="0.2">
      <c r="B125" s="1" t="s">
        <v>908</v>
      </c>
      <c r="C125" s="129" t="str">
        <f t="shared" si="7"/>
        <v>Rancho Estanzuela No. 5, A</v>
      </c>
      <c r="D125" s="129" t="str">
        <f t="shared" si="8"/>
        <v>Zapata</v>
      </c>
      <c r="E125" s="90">
        <f t="shared" si="9"/>
        <v>150</v>
      </c>
      <c r="F125" s="91">
        <f>DSUM(SEP_2013_A,AA,EZ_5_A)</f>
        <v>0</v>
      </c>
      <c r="G125" s="90">
        <f t="shared" si="10"/>
        <v>0</v>
      </c>
      <c r="H125" s="90">
        <f>DSUM(SEP_2013_A,importe,EZ_5_A)</f>
        <v>0</v>
      </c>
      <c r="I125" s="17">
        <f t="shared" si="13"/>
        <v>0</v>
      </c>
      <c r="J125" s="6" t="s">
        <v>1278</v>
      </c>
      <c r="K125" s="137">
        <f>DSUM(SEP_2013_A,23,EZ_5_A)</f>
        <v>0</v>
      </c>
      <c r="L125" s="137">
        <f>DSUM(SEP_2013_A,24,EZ_5_A)</f>
        <v>0</v>
      </c>
      <c r="M125" s="137">
        <f>DSUM(SEP_2013_A,25,EZ_5_A)</f>
        <v>0</v>
      </c>
      <c r="N125" s="137">
        <f>DSUM(SEP_2013_A,26,EZ_5_A)</f>
        <v>0</v>
      </c>
      <c r="O125" s="137">
        <f>DSUM(SEP_2013_A,27,EZ_5_A)</f>
        <v>0</v>
      </c>
      <c r="P125" s="137">
        <f>DSUM(SEP_2013_A,28,EZ_5_A)</f>
        <v>0</v>
      </c>
      <c r="Q125" s="137">
        <f>DSUM(SEP_2013_A,29,EZ_5_A)</f>
        <v>0</v>
      </c>
      <c r="R125" s="137">
        <f>DSUM(SEP_2013_A,30,EZ_5_A)</f>
        <v>0</v>
      </c>
      <c r="S125" s="137">
        <f>DSUM(SEP_2013_A,31,EZ_5_A)</f>
        <v>0</v>
      </c>
      <c r="T125" s="137">
        <f>DSUM(SEP_2013_A,32,EZ_5_A)</f>
        <v>0</v>
      </c>
      <c r="U125" s="137">
        <f>DSUM(SEP_2013_A,33,EZ_5_A)</f>
        <v>0</v>
      </c>
      <c r="V125" s="137">
        <f>DSUM(SEP_2013_A,34,EZ_5_A)</f>
        <v>0</v>
      </c>
    </row>
    <row r="126" spans="2:22" ht="15.95" customHeight="1" x14ac:dyDescent="0.2">
      <c r="B126" s="1" t="s">
        <v>909</v>
      </c>
      <c r="C126" s="129" t="str">
        <f t="shared" si="7"/>
        <v>Rancho Estanzuela No. 5, B</v>
      </c>
      <c r="D126" s="129" t="str">
        <f t="shared" si="8"/>
        <v>Juárez Guerrero</v>
      </c>
      <c r="E126" s="90">
        <f t="shared" si="9"/>
        <v>150</v>
      </c>
      <c r="F126" s="91">
        <f>DSUM(SEP_2013_A,AA,EZ_5_B)</f>
        <v>0</v>
      </c>
      <c r="G126" s="90">
        <f t="shared" si="10"/>
        <v>0</v>
      </c>
      <c r="H126" s="90">
        <f>DSUM(SEP_2013_A,importe,EZ_5_B)</f>
        <v>0</v>
      </c>
      <c r="I126" s="17">
        <f t="shared" si="13"/>
        <v>0</v>
      </c>
      <c r="J126" s="6" t="s">
        <v>1278</v>
      </c>
      <c r="K126" s="137">
        <f>DSUM(SEP_2013_A,23,EZ_5_B)</f>
        <v>0</v>
      </c>
      <c r="L126" s="137">
        <f>DSUM(SEP_2013_A,24,EZ_5_B)</f>
        <v>0</v>
      </c>
      <c r="M126" s="137">
        <f>DSUM(SEP_2013_A,25,EZ_5_B)</f>
        <v>0</v>
      </c>
      <c r="N126" s="137">
        <f>DSUM(SEP_2013_A,26,EZ_5_B)</f>
        <v>0</v>
      </c>
      <c r="O126" s="137">
        <f>DSUM(SEP_2013_A,27,EZ_5_B)</f>
        <v>0</v>
      </c>
      <c r="P126" s="137">
        <f>DSUM(SEP_2013_A,28,EZ_5_B)</f>
        <v>0</v>
      </c>
      <c r="Q126" s="137">
        <f>DSUM(SEP_2013_A,29,EZ_5_B)</f>
        <v>0</v>
      </c>
      <c r="R126" s="137">
        <f>DSUM(SEP_2013_A,30,EZ_5_B)</f>
        <v>0</v>
      </c>
      <c r="S126" s="137">
        <f>DSUM(SEP_2013_A,31,EZ_5_B)</f>
        <v>0</v>
      </c>
      <c r="T126" s="137">
        <f>DSUM(SEP_2013_A,32,EZ_5_B)</f>
        <v>0</v>
      </c>
      <c r="U126" s="137">
        <f>DSUM(SEP_2013_A,33,EZ_5_B)</f>
        <v>0</v>
      </c>
      <c r="V126" s="137">
        <f>DSUM(SEP_2013_A,34,EZ_5_B)</f>
        <v>0</v>
      </c>
    </row>
    <row r="127" spans="2:22" ht="15.95" customHeight="1" x14ac:dyDescent="0.2">
      <c r="B127" s="1" t="s">
        <v>910</v>
      </c>
      <c r="C127" s="129" t="str">
        <f t="shared" si="7"/>
        <v>Rancho Estanzuela No. 7, A</v>
      </c>
      <c r="D127" s="129" t="str">
        <f t="shared" si="8"/>
        <v>Herrera Izquierdo</v>
      </c>
      <c r="E127" s="90">
        <f t="shared" si="9"/>
        <v>150</v>
      </c>
      <c r="F127" s="91">
        <f>DSUM(SEP_2013_A,AA,EZ_7_A)</f>
        <v>150</v>
      </c>
      <c r="G127" s="90">
        <f t="shared" si="10"/>
        <v>1350</v>
      </c>
      <c r="H127" s="90">
        <f>DSUM(SEP_2013_A,importe,EZ_7_A)</f>
        <v>1500</v>
      </c>
      <c r="I127" s="17">
        <f t="shared" si="13"/>
        <v>9</v>
      </c>
      <c r="J127" s="6" t="s">
        <v>1278</v>
      </c>
      <c r="K127" s="137">
        <f>DSUM(SEP_2013_A,23,EZ_7_A)</f>
        <v>150</v>
      </c>
      <c r="L127" s="137">
        <f>DSUM(SEP_2013_A,24,EZ_7_A)</f>
        <v>150</v>
      </c>
      <c r="M127" s="137">
        <f>DSUM(SEP_2013_A,25,EZ_7_A)</f>
        <v>150</v>
      </c>
      <c r="N127" s="137">
        <f>DSUM(SEP_2013_A,26,EZ_7_A)</f>
        <v>150</v>
      </c>
      <c r="O127" s="137">
        <f>DSUM(SEP_2013_A,27,EZ_7_A)</f>
        <v>150</v>
      </c>
      <c r="P127" s="137">
        <f>DSUM(SEP_2013_A,28,EZ_7_A)</f>
        <v>150</v>
      </c>
      <c r="Q127" s="137">
        <f>DSUM(SEP_2013_A,29,EZ_7_A)</f>
        <v>150</v>
      </c>
      <c r="R127" s="137">
        <f>DSUM(SEP_2013_A,30,EZ_7_A)</f>
        <v>150</v>
      </c>
      <c r="S127" s="137">
        <f>DSUM(SEP_2013_A,31,EZ_7_A)</f>
        <v>150</v>
      </c>
      <c r="T127" s="137">
        <f>DSUM(SEP_2013_A,32,EZ_7_A)</f>
        <v>0</v>
      </c>
      <c r="U127" s="137">
        <f>DSUM(SEP_2013_A,33,EZ_7_A)</f>
        <v>0</v>
      </c>
      <c r="V127" s="137">
        <f>DSUM(SEP_2013_A,34,EZ_7_A)</f>
        <v>0</v>
      </c>
    </row>
    <row r="128" spans="2:22" ht="15.95" customHeight="1" x14ac:dyDescent="0.2">
      <c r="B128" s="1" t="s">
        <v>911</v>
      </c>
      <c r="C128" s="129" t="str">
        <f t="shared" si="7"/>
        <v>Rancho Estanzuela No. 7, B</v>
      </c>
      <c r="D128" s="129" t="str">
        <f t="shared" si="8"/>
        <v>Camargo Romero</v>
      </c>
      <c r="E128" s="90">
        <f t="shared" si="9"/>
        <v>150</v>
      </c>
      <c r="F128" s="91">
        <f>DSUM(SEP_2013_A,AA,EZ_7_B)</f>
        <v>0</v>
      </c>
      <c r="G128" s="90">
        <f t="shared" si="10"/>
        <v>900</v>
      </c>
      <c r="H128" s="90">
        <f>DSUM(SEP_2013_A,importe,EZ_7_B)</f>
        <v>900</v>
      </c>
      <c r="I128" s="17">
        <f t="shared" si="13"/>
        <v>6</v>
      </c>
      <c r="J128" s="6" t="s">
        <v>1278</v>
      </c>
      <c r="K128" s="137">
        <f>DSUM(SEP_2013_A,23,EZ_7_B)</f>
        <v>150</v>
      </c>
      <c r="L128" s="137">
        <f>DSUM(SEP_2013_A,24,EZ_7_B)</f>
        <v>150</v>
      </c>
      <c r="M128" s="137">
        <f>DSUM(SEP_2013_A,25,EZ_7_B)</f>
        <v>150</v>
      </c>
      <c r="N128" s="137">
        <f>DSUM(SEP_2013_A,26,EZ_7_B)</f>
        <v>150</v>
      </c>
      <c r="O128" s="137">
        <f>DSUM(SEP_2013_A,27,EZ_7_B)</f>
        <v>150</v>
      </c>
      <c r="P128" s="137">
        <f>DSUM(SEP_2013_A,28,EZ_7_B)</f>
        <v>150</v>
      </c>
      <c r="Q128" s="137">
        <f>DSUM(SEP_2013_A,29,EZ_7_B)</f>
        <v>0</v>
      </c>
      <c r="R128" s="137">
        <f>DSUM(SEP_2013_A,30,EZ_7_B)</f>
        <v>0</v>
      </c>
      <c r="S128" s="137">
        <f>DSUM(SEP_2013_A,31,EZ_7_B)</f>
        <v>0</v>
      </c>
      <c r="T128" s="137">
        <f>DSUM(SEP_2013_A,32,EZ_7_B)</f>
        <v>0</v>
      </c>
      <c r="U128" s="137">
        <f>DSUM(SEP_2013_A,33,EZ_7_B)</f>
        <v>0</v>
      </c>
      <c r="V128" s="137">
        <f>DSUM(SEP_2013_A,34,EZ_7_B)</f>
        <v>0</v>
      </c>
    </row>
    <row r="129" spans="1:22" ht="15.95" customHeight="1" x14ac:dyDescent="0.2">
      <c r="B129" s="1" t="s">
        <v>912</v>
      </c>
      <c r="C129" s="129" t="str">
        <f t="shared" si="7"/>
        <v>Rancho Estanzuela No. 9, A</v>
      </c>
      <c r="D129" s="129" t="str">
        <f t="shared" si="8"/>
        <v>Castañeda</v>
      </c>
      <c r="E129" s="90">
        <f t="shared" si="9"/>
        <v>200</v>
      </c>
      <c r="F129" s="91">
        <f>DSUM(SEP_2013_A,AA,EZ_9_A)</f>
        <v>400</v>
      </c>
      <c r="G129" s="90">
        <f t="shared" si="10"/>
        <v>0</v>
      </c>
      <c r="H129" s="90">
        <f>DSUM(SEP_2013_A,importe,EZ_9_A)</f>
        <v>400</v>
      </c>
      <c r="I129" s="17">
        <f t="shared" si="13"/>
        <v>0</v>
      </c>
      <c r="J129" s="6" t="s">
        <v>1278</v>
      </c>
      <c r="K129" s="137">
        <f>DSUM(SEP_2013_A,23,EZ_9_A)</f>
        <v>0</v>
      </c>
      <c r="L129" s="137">
        <f>DSUM(SEP_2013_A,24,EZ_9_A)</f>
        <v>0</v>
      </c>
      <c r="M129" s="137">
        <f>DSUM(SEP_2013_A,25,EZ_9_A)</f>
        <v>0</v>
      </c>
      <c r="N129" s="137">
        <f>DSUM(SEP_2013_A,26,EZ_9_A)</f>
        <v>0</v>
      </c>
      <c r="O129" s="137">
        <f>DSUM(SEP_2013_A,27,EZ_9_A)</f>
        <v>0</v>
      </c>
      <c r="P129" s="137">
        <f>DSUM(SEP_2013_A,28,EZ_9_A)</f>
        <v>0</v>
      </c>
      <c r="Q129" s="137">
        <f>DSUM(SEP_2013_A,29,EZ_9_A)</f>
        <v>0</v>
      </c>
      <c r="R129" s="137">
        <f>DSUM(SEP_2013_A,30,EZ_9_A)</f>
        <v>0</v>
      </c>
      <c r="S129" s="137">
        <f>DSUM(SEP_2013_A,31,EZ_9_A)</f>
        <v>0</v>
      </c>
      <c r="T129" s="137">
        <f>DSUM(SEP_2013_A,32,EZ_9_A)</f>
        <v>0</v>
      </c>
      <c r="U129" s="137">
        <f>DSUM(SEP_2013_A,33,EZ_9_A)</f>
        <v>0</v>
      </c>
      <c r="V129" s="137">
        <f>DSUM(SEP_2013_A,34,EZ_9_A)</f>
        <v>0</v>
      </c>
    </row>
    <row r="130" spans="1:22" ht="15.95" customHeight="1" x14ac:dyDescent="0.2">
      <c r="B130" s="1" t="s">
        <v>913</v>
      </c>
      <c r="C130" s="129" t="str">
        <f t="shared" si="7"/>
        <v>Rancho Estanzuela No. 9, B</v>
      </c>
      <c r="D130" s="129" t="str">
        <f t="shared" si="8"/>
        <v>Velasco Rojas</v>
      </c>
      <c r="E130" s="90">
        <f t="shared" si="9"/>
        <v>200</v>
      </c>
      <c r="F130" s="91">
        <f>DSUM(SEP_2013_A,AA,EZ_9_B)</f>
        <v>200</v>
      </c>
      <c r="G130" s="90">
        <f t="shared" si="10"/>
        <v>2000</v>
      </c>
      <c r="H130" s="90">
        <f>DSUM(SEP_2013_A,importe,EZ_9_B)</f>
        <v>2200</v>
      </c>
      <c r="I130" s="17">
        <f t="shared" si="13"/>
        <v>10</v>
      </c>
      <c r="J130" s="6" t="s">
        <v>1278</v>
      </c>
      <c r="K130" s="137">
        <f>DSUM(SEP_2013_A,23,EZ_9_B)</f>
        <v>200</v>
      </c>
      <c r="L130" s="137">
        <f>DSUM(SEP_2013_A,24,EZ_9_B)</f>
        <v>200</v>
      </c>
      <c r="M130" s="137">
        <f>DSUM(SEP_2013_A,25,EZ_9_B)</f>
        <v>200</v>
      </c>
      <c r="N130" s="137">
        <f>DSUM(SEP_2013_A,26,EZ_9_B)</f>
        <v>200</v>
      </c>
      <c r="O130" s="137">
        <f>DSUM(SEP_2013_A,27,EZ_9_B)</f>
        <v>200</v>
      </c>
      <c r="P130" s="137">
        <f>DSUM(SEP_2013_A,28,EZ_9_B)</f>
        <v>200</v>
      </c>
      <c r="Q130" s="137">
        <f>DSUM(SEP_2013_A,29,EZ_9_B)</f>
        <v>200</v>
      </c>
      <c r="R130" s="137">
        <f>DSUM(SEP_2013_A,30,EZ_9_B)</f>
        <v>200</v>
      </c>
      <c r="S130" s="137">
        <f>DSUM(SEP_2013_A,31,EZ_9_B)</f>
        <v>200</v>
      </c>
      <c r="T130" s="137">
        <f>DSUM(SEP_2013_A,32,EZ_9_B)</f>
        <v>200</v>
      </c>
      <c r="U130" s="137">
        <f>DSUM(SEP_2013_A,33,EZ_9_B)</f>
        <v>0</v>
      </c>
      <c r="V130" s="137">
        <f>DSUM(SEP_2013_A,34,EZ_9_B)</f>
        <v>0</v>
      </c>
    </row>
    <row r="131" spans="1:22" ht="15.95" customHeight="1" x14ac:dyDescent="0.2">
      <c r="B131" s="1" t="s">
        <v>914</v>
      </c>
      <c r="C131" s="129" t="str">
        <f t="shared" si="7"/>
        <v>Rancho Estanzuela No. 11, A</v>
      </c>
      <c r="D131" s="129" t="str">
        <f t="shared" si="8"/>
        <v>Evans González</v>
      </c>
      <c r="E131" s="90">
        <f t="shared" si="9"/>
        <v>300</v>
      </c>
      <c r="F131" s="91">
        <f>DSUM(SEP_2013_A,AA,EZ_11_A)</f>
        <v>300</v>
      </c>
      <c r="G131" s="90">
        <f t="shared" si="10"/>
        <v>2400</v>
      </c>
      <c r="H131" s="90">
        <f>DSUM(SEP_2013_A,importe,EZ_11_A)</f>
        <v>2700</v>
      </c>
      <c r="I131" s="17">
        <f t="shared" si="13"/>
        <v>8</v>
      </c>
      <c r="J131" s="6" t="s">
        <v>1278</v>
      </c>
      <c r="K131" s="137">
        <f>DSUM(SEP_2013_A,23,EZ_11_A)</f>
        <v>300</v>
      </c>
      <c r="L131" s="137">
        <f>DSUM(SEP_2013_A,24,EZ_11_A)</f>
        <v>300</v>
      </c>
      <c r="M131" s="137">
        <f>DSUM(SEP_2013_A,25,EZ_11_A)</f>
        <v>300</v>
      </c>
      <c r="N131" s="137">
        <f>DSUM(SEP_2013_A,26,EZ_11_A)</f>
        <v>300</v>
      </c>
      <c r="O131" s="137">
        <f>DSUM(SEP_2013_A,27,EZ_11_A)</f>
        <v>300</v>
      </c>
      <c r="P131" s="137">
        <f>DSUM(SEP_2013_A,28,EZ_11_A)</f>
        <v>300</v>
      </c>
      <c r="Q131" s="137">
        <f>DSUM(SEP_2013_A,29,EZ_11_A)</f>
        <v>300</v>
      </c>
      <c r="R131" s="137">
        <f>DSUM(SEP_2013_A,30,EZ_11_A)</f>
        <v>300</v>
      </c>
      <c r="S131" s="137">
        <f>DSUM(SEP_2013_A,31,EZ_11_A)</f>
        <v>0</v>
      </c>
      <c r="T131" s="137">
        <f>DSUM(SEP_2013_A,32,EZ_11_A)</f>
        <v>0</v>
      </c>
      <c r="U131" s="137">
        <f>DSUM(SEP_2013_A,33,EZ_11_A)</f>
        <v>0</v>
      </c>
      <c r="V131" s="137">
        <f>DSUM(SEP_2013_A,34,EZ_11_A)</f>
        <v>0</v>
      </c>
    </row>
    <row r="132" spans="1:22" ht="15.95" customHeight="1" x14ac:dyDescent="0.2">
      <c r="B132" s="1" t="s">
        <v>915</v>
      </c>
      <c r="C132" s="129" t="str">
        <f t="shared" si="7"/>
        <v>Rancho Estanzuela No. 11, B</v>
      </c>
      <c r="D132" s="129" t="str">
        <f t="shared" si="8"/>
        <v>Gómez Miguel</v>
      </c>
      <c r="E132" s="90">
        <f t="shared" si="9"/>
        <v>200</v>
      </c>
      <c r="F132" s="91">
        <f>DSUM(SEP_2013_A,AA,EZ_11_B)</f>
        <v>200</v>
      </c>
      <c r="G132" s="90">
        <f t="shared" si="10"/>
        <v>1600</v>
      </c>
      <c r="H132" s="90">
        <f>DSUM(SEP_2013_A,importe,EZ_11_B)</f>
        <v>1800</v>
      </c>
      <c r="I132" s="17">
        <f t="shared" si="13"/>
        <v>8</v>
      </c>
      <c r="J132" s="6" t="s">
        <v>1278</v>
      </c>
      <c r="K132" s="137">
        <f>DSUM(SEP_2013_A,23,EZ_11_B)</f>
        <v>200</v>
      </c>
      <c r="L132" s="137">
        <f>DSUM(SEP_2013_A,24,EZ_11_B)</f>
        <v>200</v>
      </c>
      <c r="M132" s="137">
        <f>DSUM(SEP_2013_A,25,EZ_11_B)</f>
        <v>200</v>
      </c>
      <c r="N132" s="137">
        <f>DSUM(SEP_2013_A,26,EZ_11_B)</f>
        <v>200</v>
      </c>
      <c r="O132" s="137">
        <f>DSUM(SEP_2013_A,27,EZ_11_B)</f>
        <v>200</v>
      </c>
      <c r="P132" s="137">
        <f>DSUM(SEP_2013_A,28,EZ_11_B)</f>
        <v>200</v>
      </c>
      <c r="Q132" s="137">
        <f>DSUM(SEP_2013_A,29,EZ_11_B)</f>
        <v>200</v>
      </c>
      <c r="R132" s="137">
        <f>DSUM(SEP_2013_A,30,EZ_11_B)</f>
        <v>200</v>
      </c>
      <c r="S132" s="137">
        <f>DSUM(SEP_2013_A,31,EZ_11_B)</f>
        <v>0</v>
      </c>
      <c r="T132" s="137">
        <f>DSUM(SEP_2013_A,32,EZ_11_B)</f>
        <v>0</v>
      </c>
      <c r="U132" s="137">
        <f>DSUM(SEP_2013_A,33,EZ_11_B)</f>
        <v>0</v>
      </c>
      <c r="V132" s="137">
        <f>DSUM(SEP_2013_A,34,EZ_11_B)</f>
        <v>0</v>
      </c>
    </row>
    <row r="133" spans="1:22" ht="15.95" customHeight="1" x14ac:dyDescent="0.2">
      <c r="A133" s="158"/>
      <c r="B133" s="111" t="s">
        <v>916</v>
      </c>
      <c r="C133" s="130" t="str">
        <f t="shared" si="7"/>
        <v>Rancho Estanzuela No. 15, A</v>
      </c>
      <c r="D133" s="130" t="str">
        <f t="shared" si="8"/>
        <v>González</v>
      </c>
      <c r="E133" s="91">
        <f t="shared" si="9"/>
        <v>150</v>
      </c>
      <c r="F133" s="91">
        <f>DSUM(SEP_2013_A,AA,EZ_15_A)</f>
        <v>0</v>
      </c>
      <c r="G133" s="91">
        <f t="shared" si="10"/>
        <v>1200</v>
      </c>
      <c r="H133" s="91">
        <f>DSUM(BCO_SEP13_A,7,EZ_15_A)</f>
        <v>1200</v>
      </c>
      <c r="I133" s="159">
        <f t="shared" si="13"/>
        <v>8</v>
      </c>
      <c r="J133" s="6" t="s">
        <v>1278</v>
      </c>
      <c r="K133" s="137">
        <f>DSUM(BCO_ENE13,7,EZ_15_A)</f>
        <v>0</v>
      </c>
      <c r="L133" s="137">
        <f>DSUM(BCO_FEB13,7,EZ_15_A)</f>
        <v>0</v>
      </c>
      <c r="M133" s="137">
        <f>DSUM(BCO_MAR13,7,EZ_15_A)</f>
        <v>300</v>
      </c>
      <c r="N133" s="137">
        <f>DSUM(BCO_ABR13,7,EZ_15_A)</f>
        <v>300</v>
      </c>
      <c r="O133" s="137">
        <f>DSUM(BCO_MAY13,7,EZ_15_A)</f>
        <v>0</v>
      </c>
      <c r="P133" s="137">
        <f>DSUM(BCO_JUN13,7,EZ_15_A)</f>
        <v>0</v>
      </c>
      <c r="Q133" s="137">
        <f>DSUM(BCO_JUL13,7,EZ_15_A)</f>
        <v>600</v>
      </c>
      <c r="R133" s="137">
        <f>DSUM(BCO_AGO13,7,EZ_15_A)</f>
        <v>0</v>
      </c>
      <c r="S133" s="137">
        <f>DSUM(BCO_SEP13,7,EZ_15_A)</f>
        <v>0</v>
      </c>
      <c r="T133" s="137"/>
      <c r="U133" s="137"/>
      <c r="V133" s="137"/>
    </row>
    <row r="134" spans="1:22" ht="15.95" customHeight="1" x14ac:dyDescent="0.2">
      <c r="B134" s="1" t="s">
        <v>917</v>
      </c>
      <c r="C134" s="129" t="str">
        <f t="shared" si="7"/>
        <v>Rancho Estanzuela No. 15, B</v>
      </c>
      <c r="D134" s="129" t="str">
        <f t="shared" si="8"/>
        <v>Frade Torres</v>
      </c>
      <c r="E134" s="90">
        <f t="shared" si="9"/>
        <v>150</v>
      </c>
      <c r="F134" s="91">
        <f>DSUM(SEP_2013_A,AA,EZ_15_B)</f>
        <v>0</v>
      </c>
      <c r="G134" s="90">
        <f t="shared" si="10"/>
        <v>1650</v>
      </c>
      <c r="H134" s="90">
        <f>DSUM(SEP_2013_A,importe,EZ_15_B)</f>
        <v>1650</v>
      </c>
      <c r="I134" s="17">
        <f>IF(VLOOKUP(B134,BASE_A,9,FALSE)=0,0,(G134/VLOOKUP(B134,BASE_A,9,FALSE)))+1</f>
        <v>12</v>
      </c>
      <c r="J134" s="6" t="s">
        <v>1278</v>
      </c>
      <c r="K134" s="137">
        <f>DSUM(SEP_2013_A,23,EZ_15_B)</f>
        <v>150</v>
      </c>
      <c r="L134" s="137">
        <f>DSUM(SEP_2013_A,24,EZ_15_B)</f>
        <v>150</v>
      </c>
      <c r="M134" s="137">
        <f>DSUM(SEP_2013_A,25,EZ_15_B)</f>
        <v>150</v>
      </c>
      <c r="N134" s="137">
        <f>DSUM(SEP_2013_A,26,EZ_15_B)</f>
        <v>150</v>
      </c>
      <c r="O134" s="137">
        <f>DSUM(SEP_2013_A,27,EZ_15_B)</f>
        <v>150</v>
      </c>
      <c r="P134" s="137">
        <f>DSUM(SEP_2013_A,28,EZ_15_B)</f>
        <v>150</v>
      </c>
      <c r="Q134" s="137">
        <f>DSUM(SEP_2013_A,29,EZ_15_B)</f>
        <v>150</v>
      </c>
      <c r="R134" s="137">
        <f>DSUM(SEP_2013_A,30,EZ_15_B)</f>
        <v>150</v>
      </c>
      <c r="S134" s="137">
        <f>DSUM(SEP_2013_A,31,EZ_15_B)</f>
        <v>150</v>
      </c>
      <c r="T134" s="137">
        <f>DSUM(SEP_2013_A,32,EZ_15_B)</f>
        <v>150</v>
      </c>
      <c r="U134" s="137">
        <f>DSUM(SEP_2013_A,33,EZ_15_B)</f>
        <v>150</v>
      </c>
      <c r="V134" s="137">
        <f>DSUM(SEP_2013_A,34,EZ_15_B)</f>
        <v>0</v>
      </c>
    </row>
    <row r="135" spans="1:22" ht="15.95" customHeight="1" x14ac:dyDescent="0.2">
      <c r="B135" s="1" t="s">
        <v>918</v>
      </c>
      <c r="C135" s="129" t="str">
        <f t="shared" si="7"/>
        <v>Rancho Estanzuela No. 17</v>
      </c>
      <c r="D135" s="129" t="str">
        <f t="shared" si="8"/>
        <v>Enciso Ledesma</v>
      </c>
      <c r="E135" s="90">
        <f t="shared" si="9"/>
        <v>300</v>
      </c>
      <c r="F135" s="91">
        <f>DSUM(SEP_2013_A,AA,EZ_17_)</f>
        <v>0</v>
      </c>
      <c r="G135" s="90">
        <f t="shared" si="10"/>
        <v>0</v>
      </c>
      <c r="H135" s="90">
        <f>DSUM(SEP_2013_A,importe,EZ_17_)</f>
        <v>0</v>
      </c>
      <c r="I135" s="17">
        <f t="shared" ref="I135:I154" si="14">IF(VLOOKUP(B135,BASE_A,9,FALSE)=0,0,G135/VLOOKUP(B135,BASE_A,9,FALSE))</f>
        <v>0</v>
      </c>
      <c r="J135" s="6" t="s">
        <v>1278</v>
      </c>
      <c r="K135" s="137">
        <f>DSUM(SEP_2013_A,23,EZ_17_)</f>
        <v>0</v>
      </c>
      <c r="L135" s="137">
        <f>DSUM(SEP_2013_A,24,EZ_17_)</f>
        <v>0</v>
      </c>
      <c r="M135" s="137">
        <f>DSUM(SEP_2013_A,25,EZ_17_)</f>
        <v>0</v>
      </c>
      <c r="N135" s="137">
        <f>DSUM(SEP_2013_A,26,EZ_17_)</f>
        <v>0</v>
      </c>
      <c r="O135" s="137">
        <f>DSUM(SEP_2013_A,27,EZ_17_)</f>
        <v>0</v>
      </c>
      <c r="P135" s="137">
        <f>DSUM(SEP_2013_A,28,EZ_17_)</f>
        <v>0</v>
      </c>
      <c r="Q135" s="137">
        <f>DSUM(SEP_2013_A,29,EZ_17_)</f>
        <v>0</v>
      </c>
      <c r="R135" s="137">
        <f>DSUM(SEP_2013_A,30,EZ_17_)</f>
        <v>0</v>
      </c>
      <c r="S135" s="137">
        <f>DSUM(SEP_2013_A,31,EZ_17_)</f>
        <v>0</v>
      </c>
      <c r="T135" s="137">
        <f>DSUM(SEP_2013_A,32,EZ_17_)</f>
        <v>0</v>
      </c>
      <c r="U135" s="137">
        <f>DSUM(SEP_2013_A,33,EZ_17_)</f>
        <v>0</v>
      </c>
      <c r="V135" s="137">
        <f>DSUM(SEP_2013_A,34,EZ_17_)</f>
        <v>0</v>
      </c>
    </row>
    <row r="136" spans="1:22" ht="15.95" customHeight="1" x14ac:dyDescent="0.2">
      <c r="B136" s="1" t="s">
        <v>919</v>
      </c>
      <c r="C136" s="129" t="str">
        <f t="shared" ref="C136:C199" si="15">VLOOKUP(B136,BASE_A,6,FALSE)</f>
        <v>Rancho Estanzuela No. 19</v>
      </c>
      <c r="D136" s="129" t="str">
        <f t="shared" ref="D136:D199" si="16">VLOOKUP(B136,BASE_A,8,FALSE)</f>
        <v>Robles</v>
      </c>
      <c r="E136" s="90">
        <f t="shared" ref="E136:E199" si="17">VLOOKUP(B136,BASE_A,9,FALSE)</f>
        <v>300</v>
      </c>
      <c r="F136" s="91">
        <f>DSUM(SEP_2013_A,AA,EZ_19_)</f>
        <v>300</v>
      </c>
      <c r="G136" s="90">
        <f t="shared" ref="G136:G199" si="18">H136-F136</f>
        <v>2700</v>
      </c>
      <c r="H136" s="90">
        <f>DSUM(SEP_2013_A,importe,EZ_19_)</f>
        <v>3000</v>
      </c>
      <c r="I136" s="17">
        <f t="shared" si="14"/>
        <v>9</v>
      </c>
      <c r="J136" s="6" t="s">
        <v>1278</v>
      </c>
      <c r="K136" s="137">
        <f>DSUM(SEP_2013_A,23,EZ_19_)</f>
        <v>300</v>
      </c>
      <c r="L136" s="137">
        <f>DSUM(SEP_2013_A,24,EZ_19_)</f>
        <v>300</v>
      </c>
      <c r="M136" s="137">
        <f>DSUM(SEP_2013_A,25,EZ_19_)</f>
        <v>300</v>
      </c>
      <c r="N136" s="137">
        <f>DSUM(SEP_2013_A,26,EZ_19_)</f>
        <v>300</v>
      </c>
      <c r="O136" s="137">
        <f>DSUM(SEP_2013_A,27,EZ_19_)</f>
        <v>300</v>
      </c>
      <c r="P136" s="137">
        <f>DSUM(SEP_2013_A,28,EZ_19_)</f>
        <v>300</v>
      </c>
      <c r="Q136" s="137">
        <f>DSUM(SEP_2013_A,29,EZ_19_)</f>
        <v>300</v>
      </c>
      <c r="R136" s="137">
        <f>DSUM(SEP_2013_A,30,EZ_19_)</f>
        <v>300</v>
      </c>
      <c r="S136" s="137">
        <f>DSUM(SEP_2013_A,31,EZ_19_)</f>
        <v>300</v>
      </c>
      <c r="T136" s="137">
        <f>DSUM(SEP_2013_A,32,EZ_19_)</f>
        <v>0</v>
      </c>
      <c r="U136" s="137">
        <f>DSUM(SEP_2013_A,33,EZ_19_)</f>
        <v>0</v>
      </c>
      <c r="V136" s="137">
        <f>DSUM(SEP_2013_A,34,EZ_19_)</f>
        <v>0</v>
      </c>
    </row>
    <row r="137" spans="1:22" ht="15.95" customHeight="1" x14ac:dyDescent="0.2">
      <c r="B137" s="1" t="s">
        <v>920</v>
      </c>
      <c r="C137" s="129" t="str">
        <f t="shared" si="15"/>
        <v>Rancho Estanzuela No. 21</v>
      </c>
      <c r="D137" s="129" t="str">
        <f t="shared" si="16"/>
        <v>Chavero Barrera</v>
      </c>
      <c r="E137" s="90">
        <f t="shared" si="17"/>
        <v>300</v>
      </c>
      <c r="F137" s="91">
        <f>DSUM(SEP_2013_A,AA,EZ_21_)</f>
        <v>300</v>
      </c>
      <c r="G137" s="90">
        <f t="shared" si="18"/>
        <v>1800</v>
      </c>
      <c r="H137" s="90">
        <f>DSUM(SEP_2013_A,importe,EZ_21_)</f>
        <v>2100</v>
      </c>
      <c r="I137" s="17">
        <f t="shared" si="14"/>
        <v>6</v>
      </c>
      <c r="J137" s="6" t="s">
        <v>1278</v>
      </c>
      <c r="K137" s="137">
        <f>DSUM(SEP_2013_A,23,EZ_21_)</f>
        <v>300</v>
      </c>
      <c r="L137" s="137">
        <f>DSUM(SEP_2013_A,24,EZ_21_)</f>
        <v>300</v>
      </c>
      <c r="M137" s="137">
        <f>DSUM(SEP_2013_A,25,EZ_21_)</f>
        <v>300</v>
      </c>
      <c r="N137" s="137">
        <f>DSUM(SEP_2013_A,26,EZ_21_)</f>
        <v>300</v>
      </c>
      <c r="O137" s="137">
        <f>DSUM(SEP_2013_A,27,EZ_21_)</f>
        <v>300</v>
      </c>
      <c r="P137" s="137">
        <f>DSUM(SEP_2013_A,28,EZ_21_)</f>
        <v>300</v>
      </c>
      <c r="Q137" s="137">
        <f>DSUM(SEP_2013_A,29,EZ_21_)</f>
        <v>0</v>
      </c>
      <c r="R137" s="137">
        <f>DSUM(SEP_2013_A,30,EZ_21_)</f>
        <v>0</v>
      </c>
      <c r="S137" s="137">
        <f>DSUM(SEP_2013_A,31,EZ_21_)</f>
        <v>0</v>
      </c>
      <c r="T137" s="137">
        <f>DSUM(SEP_2013_A,32,EZ_21_)</f>
        <v>0</v>
      </c>
      <c r="U137" s="137">
        <f>DSUM(SEP_2013_A,33,EZ_21_)</f>
        <v>0</v>
      </c>
      <c r="V137" s="137">
        <f>DSUM(SEP_2013_A,34,EZ_21_)</f>
        <v>0</v>
      </c>
    </row>
    <row r="138" spans="1:22" ht="15.95" customHeight="1" x14ac:dyDescent="0.2">
      <c r="B138" s="1" t="s">
        <v>921</v>
      </c>
      <c r="C138" s="129" t="str">
        <f t="shared" si="15"/>
        <v>Rancho Estanzuela No. 25</v>
      </c>
      <c r="D138" s="129" t="str">
        <f t="shared" si="16"/>
        <v>Contreras Figueroa</v>
      </c>
      <c r="E138" s="90">
        <f t="shared" si="17"/>
        <v>300</v>
      </c>
      <c r="F138" s="91">
        <f>DSUM(SEP_2013_A,AA,EZ_25_)</f>
        <v>300</v>
      </c>
      <c r="G138" s="90">
        <f t="shared" si="18"/>
        <v>2700</v>
      </c>
      <c r="H138" s="90">
        <f>DSUM(SEP_2013_A,importe,EZ_25_)</f>
        <v>3000</v>
      </c>
      <c r="I138" s="17">
        <f t="shared" si="14"/>
        <v>9</v>
      </c>
      <c r="J138" s="6" t="s">
        <v>1278</v>
      </c>
      <c r="K138" s="137">
        <f>DSUM(SEP_2013_A,23,EZ_25_)</f>
        <v>300</v>
      </c>
      <c r="L138" s="137">
        <f>DSUM(SEP_2013_A,24,EZ_25_)</f>
        <v>300</v>
      </c>
      <c r="M138" s="137">
        <f>DSUM(SEP_2013_A,25,EZ_25_)</f>
        <v>300</v>
      </c>
      <c r="N138" s="137">
        <f>DSUM(SEP_2013_A,26,EZ_25_)</f>
        <v>300</v>
      </c>
      <c r="O138" s="137">
        <f>DSUM(SEP_2013_A,27,EZ_25_)</f>
        <v>300</v>
      </c>
      <c r="P138" s="137">
        <f>DSUM(SEP_2013_A,28,EZ_25_)</f>
        <v>300</v>
      </c>
      <c r="Q138" s="137">
        <f>DSUM(SEP_2013_A,29,EZ_25_)</f>
        <v>300</v>
      </c>
      <c r="R138" s="137">
        <f>DSUM(SEP_2013_A,30,EZ_25_)</f>
        <v>300</v>
      </c>
      <c r="S138" s="137">
        <f>DSUM(SEP_2013_A,31,EZ_25_)</f>
        <v>300</v>
      </c>
      <c r="T138" s="137">
        <f>DSUM(SEP_2013_A,32,EZ_25_)</f>
        <v>0</v>
      </c>
      <c r="U138" s="137">
        <f>DSUM(SEP_2013_A,33,EZ_25_)</f>
        <v>0</v>
      </c>
      <c r="V138" s="137">
        <f>DSUM(SEP_2013_A,34,EZ_25_)</f>
        <v>0</v>
      </c>
    </row>
    <row r="139" spans="1:22" ht="15.95" customHeight="1" x14ac:dyDescent="0.2">
      <c r="B139" s="1" t="s">
        <v>768</v>
      </c>
      <c r="C139" s="129" t="str">
        <f t="shared" si="15"/>
        <v>Rancho Estanzuela No. 31</v>
      </c>
      <c r="D139" s="129" t="str">
        <f t="shared" si="16"/>
        <v>Chávez Valdés</v>
      </c>
      <c r="E139" s="90">
        <f t="shared" si="17"/>
        <v>300</v>
      </c>
      <c r="F139" s="91">
        <f>DSUM(SEP_2013_A,AA,EZ_31_)</f>
        <v>300</v>
      </c>
      <c r="G139" s="90">
        <f t="shared" si="18"/>
        <v>3000</v>
      </c>
      <c r="H139" s="90">
        <f>DSUM(SEP_2013_A,importe,EZ_31_)</f>
        <v>3300</v>
      </c>
      <c r="I139" s="17">
        <f t="shared" si="14"/>
        <v>10</v>
      </c>
      <c r="J139" s="6" t="s">
        <v>1278</v>
      </c>
      <c r="K139" s="137">
        <f>DSUM(SEP_2013_A,23,EZ_31_)</f>
        <v>300</v>
      </c>
      <c r="L139" s="137">
        <f>DSUM(SEP_2013_A,24,EZ_31_)</f>
        <v>300</v>
      </c>
      <c r="M139" s="137">
        <f>DSUM(SEP_2013_A,25,EZ_31_)</f>
        <v>300</v>
      </c>
      <c r="N139" s="137">
        <f>DSUM(SEP_2013_A,26,EZ_31_)</f>
        <v>300</v>
      </c>
      <c r="O139" s="137">
        <f>DSUM(SEP_2013_A,27,EZ_31_)</f>
        <v>300</v>
      </c>
      <c r="P139" s="137">
        <f>DSUM(SEP_2013_A,28,EZ_31_)</f>
        <v>300</v>
      </c>
      <c r="Q139" s="137">
        <f>DSUM(SEP_2013_A,29,EZ_31_)</f>
        <v>300</v>
      </c>
      <c r="R139" s="137">
        <f>DSUM(SEP_2013_A,30,EZ_31_)</f>
        <v>300</v>
      </c>
      <c r="S139" s="137">
        <f>DSUM(SEP_2013_A,31,EZ_31_)</f>
        <v>300</v>
      </c>
      <c r="T139" s="137">
        <f>DSUM(SEP_2013_A,32,EZ_31_)</f>
        <v>300</v>
      </c>
      <c r="U139" s="137">
        <f>DSUM(SEP_2013_A,33,EZ_31_)</f>
        <v>0</v>
      </c>
      <c r="V139" s="137">
        <f>DSUM(SEP_2013_A,34,EZ_31_)</f>
        <v>0</v>
      </c>
    </row>
    <row r="140" spans="1:22" ht="15.95" customHeight="1" x14ac:dyDescent="0.2">
      <c r="B140" s="1" t="s">
        <v>922</v>
      </c>
      <c r="C140" s="129" t="str">
        <f t="shared" si="15"/>
        <v>Rancho Estanzuela No. 33</v>
      </c>
      <c r="D140" s="129" t="str">
        <f t="shared" si="16"/>
        <v>Arauz</v>
      </c>
      <c r="E140" s="90">
        <f t="shared" si="17"/>
        <v>300</v>
      </c>
      <c r="F140" s="91">
        <f>DSUM(SEP_2013_A,AA,EZ_33_)</f>
        <v>0</v>
      </c>
      <c r="G140" s="90">
        <f t="shared" si="18"/>
        <v>0</v>
      </c>
      <c r="H140" s="90">
        <f>DSUM(SEP_2013_A,importe,EZ_33_)</f>
        <v>0</v>
      </c>
      <c r="I140" s="17">
        <f t="shared" si="14"/>
        <v>0</v>
      </c>
      <c r="J140" s="6" t="s">
        <v>1278</v>
      </c>
      <c r="K140" s="137">
        <f>DSUM(SEP_2013_A,23,EZ_33_)</f>
        <v>0</v>
      </c>
      <c r="L140" s="137">
        <f>DSUM(SEP_2013_A,24,EZ_33_)</f>
        <v>0</v>
      </c>
      <c r="M140" s="137">
        <f>DSUM(SEP_2013_A,25,EZ_33_)</f>
        <v>0</v>
      </c>
      <c r="N140" s="137">
        <f>DSUM(SEP_2013_A,26,EZ_33_)</f>
        <v>0</v>
      </c>
      <c r="O140" s="137">
        <f>DSUM(SEP_2013_A,27,EZ_33_)</f>
        <v>0</v>
      </c>
      <c r="P140" s="137">
        <f>DSUM(SEP_2013_A,28,EZ_33_)</f>
        <v>0</v>
      </c>
      <c r="Q140" s="137">
        <f>DSUM(SEP_2013_A,29,EZ_33_)</f>
        <v>0</v>
      </c>
      <c r="R140" s="137">
        <f>DSUM(SEP_2013_A,30,EZ_33_)</f>
        <v>0</v>
      </c>
      <c r="S140" s="137">
        <f>DSUM(SEP_2013_A,31,EZ_33_)</f>
        <v>0</v>
      </c>
      <c r="T140" s="137">
        <f>DSUM(SEP_2013_A,32,EZ_33_)</f>
        <v>0</v>
      </c>
      <c r="U140" s="137">
        <f>DSUM(SEP_2013_A,33,EZ_33_)</f>
        <v>0</v>
      </c>
      <c r="V140" s="137">
        <f>DSUM(SEP_2013_A,34,EZ_33_)</f>
        <v>0</v>
      </c>
    </row>
    <row r="141" spans="1:22" ht="15.95" customHeight="1" x14ac:dyDescent="0.2">
      <c r="B141" s="1" t="s">
        <v>923</v>
      </c>
      <c r="C141" s="129" t="str">
        <f t="shared" si="15"/>
        <v>Rancho Estanzuela No. 35</v>
      </c>
      <c r="D141" s="129" t="str">
        <f t="shared" si="16"/>
        <v>Rodríguez</v>
      </c>
      <c r="E141" s="90">
        <f t="shared" si="17"/>
        <v>300</v>
      </c>
      <c r="F141" s="91">
        <f>DSUM(SEP_2013_A,AA,EZ_35_)</f>
        <v>300</v>
      </c>
      <c r="G141" s="90">
        <f t="shared" si="18"/>
        <v>3000</v>
      </c>
      <c r="H141" s="90">
        <f>DSUM(SEP_2013_A,importe,EZ_35_)</f>
        <v>3300</v>
      </c>
      <c r="I141" s="17">
        <f t="shared" si="14"/>
        <v>10</v>
      </c>
      <c r="J141" s="6" t="s">
        <v>1278</v>
      </c>
      <c r="K141" s="137">
        <f>DSUM(SEP_2013_A,23,EZ_35_)</f>
        <v>300</v>
      </c>
      <c r="L141" s="137">
        <f>DSUM(SEP_2013_A,24,EZ_35_)</f>
        <v>300</v>
      </c>
      <c r="M141" s="137">
        <f>DSUM(SEP_2013_A,25,EZ_35_)</f>
        <v>300</v>
      </c>
      <c r="N141" s="137">
        <f>DSUM(SEP_2013_A,26,EZ_35_)</f>
        <v>300</v>
      </c>
      <c r="O141" s="137">
        <f>DSUM(SEP_2013_A,27,EZ_35_)</f>
        <v>300</v>
      </c>
      <c r="P141" s="137">
        <f>DSUM(SEP_2013_A,28,EZ_35_)</f>
        <v>300</v>
      </c>
      <c r="Q141" s="137">
        <f>DSUM(SEP_2013_A,29,EZ_35_)</f>
        <v>300</v>
      </c>
      <c r="R141" s="137">
        <f>DSUM(SEP_2013_A,30,EZ_35_)</f>
        <v>300</v>
      </c>
      <c r="S141" s="137">
        <f>DSUM(SEP_2013_A,31,EZ_35_)</f>
        <v>300</v>
      </c>
      <c r="T141" s="137">
        <f>DSUM(SEP_2013_A,32,EZ_35_)</f>
        <v>300</v>
      </c>
      <c r="U141" s="137">
        <f>DSUM(SEP_2013_A,33,EZ_35_)</f>
        <v>0</v>
      </c>
      <c r="V141" s="137">
        <f>DSUM(SEP_2013_A,34,EZ_35_)</f>
        <v>0</v>
      </c>
    </row>
    <row r="142" spans="1:22" ht="15.95" customHeight="1" x14ac:dyDescent="0.2">
      <c r="B142" s="1" t="s">
        <v>786</v>
      </c>
      <c r="C142" s="129" t="str">
        <f t="shared" si="15"/>
        <v>Rancho Estanzuela No. 37</v>
      </c>
      <c r="D142" s="129" t="str">
        <f t="shared" si="16"/>
        <v>Cabello Eduardo</v>
      </c>
      <c r="E142" s="90">
        <f t="shared" si="17"/>
        <v>300</v>
      </c>
      <c r="F142" s="91">
        <f>DSUM(SEP_2013_A,AA,EZ_37_)</f>
        <v>600</v>
      </c>
      <c r="G142" s="90">
        <f t="shared" si="18"/>
        <v>2100</v>
      </c>
      <c r="H142" s="90">
        <f>DSUM(SEP_2013_A,importe,EZ_37_)</f>
        <v>2700</v>
      </c>
      <c r="I142" s="17">
        <f t="shared" si="14"/>
        <v>7</v>
      </c>
      <c r="J142" s="6" t="s">
        <v>1278</v>
      </c>
      <c r="K142" s="137">
        <f>DSUM(SEP_2013_A,23,EZ_37_)</f>
        <v>300</v>
      </c>
      <c r="L142" s="137">
        <f>DSUM(SEP_2013_A,24,EZ_37_)</f>
        <v>300</v>
      </c>
      <c r="M142" s="137">
        <f>DSUM(SEP_2013_A,25,EZ_37_)</f>
        <v>300</v>
      </c>
      <c r="N142" s="137">
        <f>DSUM(SEP_2013_A,26,EZ_37_)</f>
        <v>0</v>
      </c>
      <c r="O142" s="137">
        <f>DSUM(SEP_2013_A,27,EZ_37_)</f>
        <v>300</v>
      </c>
      <c r="P142" s="137">
        <f>DSUM(SEP_2013_A,28,EZ_37_)</f>
        <v>300</v>
      </c>
      <c r="Q142" s="137">
        <f>DSUM(SEP_2013_A,29,EZ_37_)</f>
        <v>300</v>
      </c>
      <c r="R142" s="137">
        <f>DSUM(SEP_2013_A,30,EZ_37_)</f>
        <v>300</v>
      </c>
      <c r="S142" s="137">
        <f>DSUM(SEP_2013_A,31,EZ_37_)</f>
        <v>0</v>
      </c>
      <c r="T142" s="137">
        <f>DSUM(SEP_2013_A,32,EZ_37_)</f>
        <v>0</v>
      </c>
      <c r="U142" s="137">
        <f>DSUM(SEP_2013_A,33,EZ_37_)</f>
        <v>0</v>
      </c>
      <c r="V142" s="137">
        <f>DSUM(SEP_2013_A,34,EZ_37_)</f>
        <v>0</v>
      </c>
    </row>
    <row r="143" spans="1:22" ht="15.95" customHeight="1" x14ac:dyDescent="0.2">
      <c r="B143" s="1" t="s">
        <v>924</v>
      </c>
      <c r="C143" s="129" t="str">
        <f t="shared" si="15"/>
        <v>Rancho Estanzuela No. 41</v>
      </c>
      <c r="D143" s="129" t="str">
        <f t="shared" si="16"/>
        <v>Díaz</v>
      </c>
      <c r="E143" s="90">
        <f t="shared" si="17"/>
        <v>300</v>
      </c>
      <c r="F143" s="91">
        <f>DSUM(SEP_2013_A,AA,EZ_41_)</f>
        <v>0</v>
      </c>
      <c r="G143" s="90">
        <f t="shared" si="18"/>
        <v>600</v>
      </c>
      <c r="H143" s="90">
        <f>DSUM(SEP_2013_A,importe,EZ_41_)</f>
        <v>600</v>
      </c>
      <c r="I143" s="17">
        <f t="shared" si="14"/>
        <v>2</v>
      </c>
      <c r="J143" s="6" t="s">
        <v>1278</v>
      </c>
      <c r="K143" s="137">
        <f>DSUM(SEP_2013_A,23,EZ_41_)</f>
        <v>0</v>
      </c>
      <c r="L143" s="137">
        <f>DSUM(SEP_2013_A,24,EZ_41_)</f>
        <v>0</v>
      </c>
      <c r="M143" s="137">
        <f>DSUM(SEP_2013_A,25,EZ_41_)</f>
        <v>300</v>
      </c>
      <c r="N143" s="137">
        <f>DSUM(SEP_2013_A,26,EZ_41_)</f>
        <v>300</v>
      </c>
      <c r="O143" s="137">
        <f>DSUM(SEP_2013_A,27,EZ_41_)</f>
        <v>0</v>
      </c>
      <c r="P143" s="137">
        <f>DSUM(SEP_2013_A,28,EZ_41_)</f>
        <v>0</v>
      </c>
      <c r="Q143" s="137">
        <f>DSUM(SEP_2013_A,29,EZ_41_)</f>
        <v>0</v>
      </c>
      <c r="R143" s="137">
        <f>DSUM(SEP_2013_A,30,EZ_41_)</f>
        <v>0</v>
      </c>
      <c r="S143" s="137">
        <f>DSUM(SEP_2013_A,31,EZ_41_)</f>
        <v>0</v>
      </c>
      <c r="T143" s="137">
        <f>DSUM(SEP_2013_A,32,EZ_41_)</f>
        <v>0</v>
      </c>
      <c r="U143" s="137">
        <f>DSUM(SEP_2013_A,33,EZ_41_)</f>
        <v>0</v>
      </c>
      <c r="V143" s="137">
        <f>DSUM(SEP_2013_A,34,EZ_41_)</f>
        <v>0</v>
      </c>
    </row>
    <row r="144" spans="1:22" ht="15.95" customHeight="1" x14ac:dyDescent="0.2">
      <c r="B144" s="1" t="s">
        <v>1328</v>
      </c>
      <c r="C144" s="129" t="str">
        <f t="shared" si="15"/>
        <v>Rancho Estanzuela No. 43</v>
      </c>
      <c r="D144" s="129">
        <f t="shared" si="16"/>
        <v>0</v>
      </c>
      <c r="E144" s="90">
        <f t="shared" si="17"/>
        <v>300</v>
      </c>
      <c r="F144" s="91">
        <f>DSUM(SEP_2013_A,AA,EZ_43_)</f>
        <v>0</v>
      </c>
      <c r="G144" s="90">
        <f t="shared" si="18"/>
        <v>0</v>
      </c>
      <c r="H144" s="90">
        <f>DSUM(SEP_2013_A,importe,EZ_43_)</f>
        <v>0</v>
      </c>
      <c r="I144" s="17">
        <f t="shared" si="14"/>
        <v>0</v>
      </c>
      <c r="J144" s="6" t="s">
        <v>1278</v>
      </c>
      <c r="K144" s="137">
        <f>DSUM(SEP_2013_A,23,EZ_43_)</f>
        <v>0</v>
      </c>
      <c r="L144" s="137">
        <f>DSUM(SEP_2013_A,24,EZ_43_)</f>
        <v>0</v>
      </c>
      <c r="M144" s="137">
        <f>DSUM(SEP_2013_A,25,EZ_43_)</f>
        <v>0</v>
      </c>
      <c r="N144" s="137">
        <f>DSUM(SEP_2013_A,26,EZ_43_)</f>
        <v>0</v>
      </c>
      <c r="O144" s="137">
        <f>DSUM(SEP_2013_A,27,EZ_43_)</f>
        <v>0</v>
      </c>
      <c r="P144" s="137">
        <f>DSUM(SEP_2013_A,28,EZ_43_)</f>
        <v>0</v>
      </c>
      <c r="Q144" s="137">
        <f>DSUM(SEP_2013_A,29,EZ_43_)</f>
        <v>0</v>
      </c>
      <c r="R144" s="137">
        <f>DSUM(SEP_2013_A,30,EZ_43_)</f>
        <v>0</v>
      </c>
      <c r="S144" s="137">
        <f>DSUM(SEP_2013_A,31,EZ_43_)</f>
        <v>0</v>
      </c>
      <c r="T144" s="137">
        <f>DSUM(SEP_2013_A,32,EZ_43_)</f>
        <v>0</v>
      </c>
      <c r="U144" s="137">
        <f>DSUM(SEP_2013_A,33,EZ_43_)</f>
        <v>0</v>
      </c>
      <c r="V144" s="137">
        <f>DSUM(SEP_2013_A,34,EZ_43_)</f>
        <v>0</v>
      </c>
    </row>
    <row r="145" spans="2:22" ht="15.95" customHeight="1" x14ac:dyDescent="0.2">
      <c r="B145" s="1" t="s">
        <v>1329</v>
      </c>
      <c r="C145" s="129" t="str">
        <f t="shared" si="15"/>
        <v>Rancho Estanzuela No. 45</v>
      </c>
      <c r="D145" s="129">
        <f t="shared" si="16"/>
        <v>0</v>
      </c>
      <c r="E145" s="90">
        <f t="shared" si="17"/>
        <v>300</v>
      </c>
      <c r="F145" s="91">
        <f>DSUM(SEP_2013_A,AA,EZ_45_)</f>
        <v>0</v>
      </c>
      <c r="G145" s="90">
        <f t="shared" si="18"/>
        <v>0</v>
      </c>
      <c r="H145" s="90">
        <f>DSUM(SEP_2013_A,importe,EZ_45_)</f>
        <v>0</v>
      </c>
      <c r="I145" s="17">
        <f t="shared" si="14"/>
        <v>0</v>
      </c>
      <c r="J145" s="6" t="s">
        <v>1278</v>
      </c>
      <c r="K145" s="137">
        <f>DSUM(SEP_2013_A,23,EZ_45_)</f>
        <v>0</v>
      </c>
      <c r="L145" s="137">
        <f>DSUM(SEP_2013_A,24,EZ_45_)</f>
        <v>0</v>
      </c>
      <c r="M145" s="137">
        <f>DSUM(SEP_2013_A,25,EZ_45_)</f>
        <v>0</v>
      </c>
      <c r="N145" s="137">
        <f>DSUM(SEP_2013_A,26,EZ_45_)</f>
        <v>0</v>
      </c>
      <c r="O145" s="137">
        <f>DSUM(SEP_2013_A,27,EZ_45_)</f>
        <v>0</v>
      </c>
      <c r="P145" s="137">
        <f>DSUM(SEP_2013_A,28,EZ_45_)</f>
        <v>0</v>
      </c>
      <c r="Q145" s="137">
        <f>DSUM(SEP_2013_A,29,EZ_45_)</f>
        <v>0</v>
      </c>
      <c r="R145" s="137">
        <f>DSUM(SEP_2013_A,30,EZ_45_)</f>
        <v>0</v>
      </c>
      <c r="S145" s="137">
        <f>DSUM(SEP_2013_A,31,EZ_45_)</f>
        <v>0</v>
      </c>
      <c r="T145" s="137">
        <f>DSUM(SEP_2013_A,32,EZ_45_)</f>
        <v>0</v>
      </c>
      <c r="U145" s="137">
        <f>DSUM(SEP_2013_A,33,EZ_45_)</f>
        <v>0</v>
      </c>
      <c r="V145" s="137">
        <f>DSUM(SEP_2013_A,34,EZ_45_)</f>
        <v>0</v>
      </c>
    </row>
    <row r="146" spans="2:22" ht="15.95" customHeight="1" x14ac:dyDescent="0.2">
      <c r="B146" s="1" t="s">
        <v>925</v>
      </c>
      <c r="C146" s="129" t="str">
        <f t="shared" si="15"/>
        <v>Rancho Estanzuela No. 47</v>
      </c>
      <c r="D146" s="129" t="str">
        <f t="shared" si="16"/>
        <v>Bussey García</v>
      </c>
      <c r="E146" s="90">
        <f t="shared" si="17"/>
        <v>300</v>
      </c>
      <c r="F146" s="91">
        <f>DSUM(SEP_2013_A,AA,EZ_47_)</f>
        <v>300</v>
      </c>
      <c r="G146" s="90">
        <f t="shared" si="18"/>
        <v>1500</v>
      </c>
      <c r="H146" s="90">
        <f>DSUM(SEP_2013_A,importe,EZ_47_)</f>
        <v>1800</v>
      </c>
      <c r="I146" s="17">
        <f t="shared" si="14"/>
        <v>5</v>
      </c>
      <c r="J146" s="6" t="s">
        <v>1278</v>
      </c>
      <c r="K146" s="137">
        <f>DSUM(SEP_2013_A,23,EZ_47_)</f>
        <v>300</v>
      </c>
      <c r="L146" s="137">
        <f>DSUM(SEP_2013_A,24,EZ_47_)</f>
        <v>300</v>
      </c>
      <c r="M146" s="137">
        <f>DSUM(SEP_2013_A,25,EZ_47_)</f>
        <v>300</v>
      </c>
      <c r="N146" s="137">
        <f>DSUM(SEP_2013_A,26,EZ_47_)</f>
        <v>300</v>
      </c>
      <c r="O146" s="137">
        <f>DSUM(SEP_2013_A,27,EZ_47_)</f>
        <v>300</v>
      </c>
      <c r="P146" s="137">
        <f>DSUM(SEP_2013_A,28,EZ_47_)</f>
        <v>0</v>
      </c>
      <c r="Q146" s="137">
        <f>DSUM(SEP_2013_A,29,EZ_47_)</f>
        <v>0</v>
      </c>
      <c r="R146" s="137">
        <f>DSUM(SEP_2013_A,30,EZ_47_)</f>
        <v>0</v>
      </c>
      <c r="S146" s="137">
        <f>DSUM(SEP_2013_A,31,EZ_47_)</f>
        <v>0</v>
      </c>
      <c r="T146" s="137">
        <f>DSUM(SEP_2013_A,32,EZ_47_)</f>
        <v>0</v>
      </c>
      <c r="U146" s="137">
        <f>DSUM(SEP_2013_A,33,EZ_47_)</f>
        <v>0</v>
      </c>
      <c r="V146" s="137">
        <f>DSUM(SEP_2013_A,34,EZ_47_)</f>
        <v>0</v>
      </c>
    </row>
    <row r="147" spans="2:22" ht="15.95" customHeight="1" x14ac:dyDescent="0.2">
      <c r="B147" s="1" t="s">
        <v>926</v>
      </c>
      <c r="C147" s="129" t="str">
        <f t="shared" si="15"/>
        <v>Rancho Estanzuela No. 49</v>
      </c>
      <c r="D147" s="129" t="str">
        <f t="shared" si="16"/>
        <v>Sánchez Zamora</v>
      </c>
      <c r="E147" s="90">
        <f t="shared" si="17"/>
        <v>300</v>
      </c>
      <c r="F147" s="91">
        <f>DSUM(SEP_2013_A,AA,EZ_49_)</f>
        <v>900</v>
      </c>
      <c r="G147" s="90">
        <f t="shared" si="18"/>
        <v>1500</v>
      </c>
      <c r="H147" s="90">
        <f>DSUM(SEP_2013_A,importe,EZ_49_)</f>
        <v>2400</v>
      </c>
      <c r="I147" s="17">
        <f t="shared" si="14"/>
        <v>5</v>
      </c>
      <c r="J147" s="6" t="s">
        <v>1278</v>
      </c>
      <c r="K147" s="137">
        <f>DSUM(SEP_2013_A,23,EZ_49_)</f>
        <v>300</v>
      </c>
      <c r="L147" s="137">
        <f>DSUM(SEP_2013_A,24,EZ_49_)</f>
        <v>300</v>
      </c>
      <c r="M147" s="137">
        <f>DSUM(SEP_2013_A,25,EZ_49_)</f>
        <v>300</v>
      </c>
      <c r="N147" s="137">
        <f>DSUM(SEP_2013_A,26,EZ_49_)</f>
        <v>300</v>
      </c>
      <c r="O147" s="137">
        <f>DSUM(SEP_2013_A,27,EZ_49_)</f>
        <v>300</v>
      </c>
      <c r="P147" s="137">
        <f>DSUM(SEP_2013_A,28,EZ_49_)</f>
        <v>0</v>
      </c>
      <c r="Q147" s="137">
        <f>DSUM(SEP_2013_A,29,EZ_49_)</f>
        <v>0</v>
      </c>
      <c r="R147" s="137">
        <f>DSUM(SEP_2013_A,30,EZ_49_)</f>
        <v>0</v>
      </c>
      <c r="S147" s="137">
        <f>DSUM(SEP_2013_A,31,EZ_49_)</f>
        <v>0</v>
      </c>
      <c r="T147" s="137">
        <f>DSUM(SEP_2013_A,32,EZ_49_)</f>
        <v>0</v>
      </c>
      <c r="U147" s="137">
        <f>DSUM(SEP_2013_A,33,EZ_49_)</f>
        <v>0</v>
      </c>
      <c r="V147" s="137">
        <f>DSUM(SEP_2013_A,34,EZ_49_)</f>
        <v>0</v>
      </c>
    </row>
    <row r="148" spans="2:22" ht="15.95" customHeight="1" x14ac:dyDescent="0.2">
      <c r="B148" s="1" t="s">
        <v>927</v>
      </c>
      <c r="C148" s="129" t="str">
        <f t="shared" si="15"/>
        <v>Rancho Estanzuela No. 53</v>
      </c>
      <c r="D148" s="129" t="str">
        <f t="shared" si="16"/>
        <v>Cáceres Palomares</v>
      </c>
      <c r="E148" s="90">
        <f t="shared" si="17"/>
        <v>300</v>
      </c>
      <c r="F148" s="91">
        <f>DSUM(SEP_2013_A,AA,EZ_53_)</f>
        <v>0</v>
      </c>
      <c r="G148" s="90">
        <f t="shared" si="18"/>
        <v>0</v>
      </c>
      <c r="H148" s="90">
        <f>DSUM(SEP_2013_A,importe,EZ_53_)</f>
        <v>0</v>
      </c>
      <c r="I148" s="17">
        <f t="shared" si="14"/>
        <v>0</v>
      </c>
      <c r="J148" s="6" t="s">
        <v>1278</v>
      </c>
      <c r="K148" s="137">
        <f>DSUM(SEP_2013_A,23,EZ_53_)</f>
        <v>0</v>
      </c>
      <c r="L148" s="137">
        <f>DSUM(SEP_2013_A,24,EZ_53_)</f>
        <v>0</v>
      </c>
      <c r="M148" s="137">
        <f>DSUM(SEP_2013_A,25,EZ_53_)</f>
        <v>0</v>
      </c>
      <c r="N148" s="137">
        <f>DSUM(SEP_2013_A,26,EZ_53_)</f>
        <v>0</v>
      </c>
      <c r="O148" s="137">
        <f>DSUM(SEP_2013_A,27,EZ_53_)</f>
        <v>0</v>
      </c>
      <c r="P148" s="137">
        <f>DSUM(SEP_2013_A,28,EZ_53_)</f>
        <v>0</v>
      </c>
      <c r="Q148" s="137">
        <f>DSUM(SEP_2013_A,29,EZ_53_)</f>
        <v>0</v>
      </c>
      <c r="R148" s="137">
        <f>DSUM(SEP_2013_A,30,EZ_53_)</f>
        <v>0</v>
      </c>
      <c r="S148" s="137">
        <f>DSUM(SEP_2013_A,31,EZ_53_)</f>
        <v>0</v>
      </c>
      <c r="T148" s="137">
        <f>DSUM(SEP_2013_A,32,EZ_53_)</f>
        <v>0</v>
      </c>
      <c r="U148" s="137">
        <f>DSUM(SEP_2013_A,33,EZ_53_)</f>
        <v>0</v>
      </c>
      <c r="V148" s="137">
        <f>DSUM(SEP_2013_A,34,EZ_53_)</f>
        <v>0</v>
      </c>
    </row>
    <row r="149" spans="2:22" ht="15.95" customHeight="1" x14ac:dyDescent="0.2">
      <c r="B149" s="1" t="s">
        <v>928</v>
      </c>
      <c r="C149" s="129" t="str">
        <f t="shared" si="15"/>
        <v>Rancho Estanzuela No. 55</v>
      </c>
      <c r="D149" s="129" t="str">
        <f t="shared" si="16"/>
        <v>Rodríguez Acevedo</v>
      </c>
      <c r="E149" s="90">
        <f t="shared" si="17"/>
        <v>300</v>
      </c>
      <c r="F149" s="91">
        <f>DSUM(SEP_2013_A,AA,EZ_55_)</f>
        <v>300</v>
      </c>
      <c r="G149" s="90">
        <f t="shared" si="18"/>
        <v>2700</v>
      </c>
      <c r="H149" s="90">
        <f>DSUM(SEP_2013_A,importe,EZ_55_)</f>
        <v>3000</v>
      </c>
      <c r="I149" s="17">
        <f t="shared" si="14"/>
        <v>9</v>
      </c>
      <c r="J149" s="6" t="s">
        <v>1278</v>
      </c>
      <c r="K149" s="137">
        <f>DSUM(SEP_2013_A,23,EZ_55_)</f>
        <v>300</v>
      </c>
      <c r="L149" s="137">
        <f>DSUM(SEP_2013_A,24,EZ_55_)</f>
        <v>300</v>
      </c>
      <c r="M149" s="137">
        <f>DSUM(SEP_2013_A,25,EZ_55_)</f>
        <v>300</v>
      </c>
      <c r="N149" s="137">
        <f>DSUM(SEP_2013_A,26,EZ_55_)</f>
        <v>300</v>
      </c>
      <c r="O149" s="137">
        <f>DSUM(SEP_2013_A,27,EZ_55_)</f>
        <v>300</v>
      </c>
      <c r="P149" s="137">
        <f>DSUM(SEP_2013_A,28,EZ_55_)</f>
        <v>300</v>
      </c>
      <c r="Q149" s="137">
        <f>DSUM(SEP_2013_A,29,EZ_55_)</f>
        <v>300</v>
      </c>
      <c r="R149" s="137">
        <f>DSUM(SEP_2013_A,30,EZ_55_)</f>
        <v>300</v>
      </c>
      <c r="S149" s="137">
        <f>DSUM(SEP_2013_A,31,EZ_55_)</f>
        <v>300</v>
      </c>
      <c r="T149" s="137">
        <f>DSUM(SEP_2013_A,32,EZ_55_)</f>
        <v>0</v>
      </c>
      <c r="U149" s="137">
        <f>DSUM(SEP_2013_A,33,EZ_55_)</f>
        <v>0</v>
      </c>
      <c r="V149" s="137">
        <f>DSUM(SEP_2013_A,34,EZ_55_)</f>
        <v>0</v>
      </c>
    </row>
    <row r="150" spans="2:22" ht="15.95" customHeight="1" x14ac:dyDescent="0.2">
      <c r="B150" s="1" t="s">
        <v>929</v>
      </c>
      <c r="C150" s="129" t="str">
        <f t="shared" si="15"/>
        <v>Rancho Estanzuela No. 57</v>
      </c>
      <c r="D150" s="129" t="str">
        <f t="shared" si="16"/>
        <v>Olivares</v>
      </c>
      <c r="E150" s="90">
        <f t="shared" si="17"/>
        <v>300</v>
      </c>
      <c r="F150" s="91">
        <f>DSUM(SEP_2013_A,AA,EZ_57_)</f>
        <v>1800</v>
      </c>
      <c r="G150" s="90">
        <f t="shared" si="18"/>
        <v>2700</v>
      </c>
      <c r="H150" s="90">
        <f>DSUM(SEP_2013_A,importe,EZ_57_)</f>
        <v>4500</v>
      </c>
      <c r="I150" s="17">
        <f t="shared" si="14"/>
        <v>9</v>
      </c>
      <c r="J150" s="6" t="s">
        <v>1278</v>
      </c>
      <c r="K150" s="137">
        <f>DSUM(SEP_2013_A,23,EZ_57_)</f>
        <v>600</v>
      </c>
      <c r="L150" s="137">
        <f>DSUM(SEP_2013_A,24,EZ_57_)</f>
        <v>300</v>
      </c>
      <c r="M150" s="137">
        <f>DSUM(SEP_2013_A,25,EZ_57_)</f>
        <v>300</v>
      </c>
      <c r="N150" s="137">
        <f>DSUM(SEP_2013_A,26,EZ_57_)</f>
        <v>0</v>
      </c>
      <c r="O150" s="137">
        <f>DSUM(SEP_2013_A,27,EZ_57_)</f>
        <v>300</v>
      </c>
      <c r="P150" s="137">
        <f>DSUM(SEP_2013_A,28,EZ_57_)</f>
        <v>300</v>
      </c>
      <c r="Q150" s="137">
        <f>DSUM(SEP_2013_A,29,EZ_57_)</f>
        <v>300</v>
      </c>
      <c r="R150" s="137">
        <f>DSUM(SEP_2013_A,30,EZ_57_)</f>
        <v>300</v>
      </c>
      <c r="S150" s="137">
        <f>DSUM(SEP_2013_A,31,EZ_57_)</f>
        <v>300</v>
      </c>
      <c r="T150" s="137">
        <f>DSUM(SEP_2013_A,32,EZ_57_)</f>
        <v>0</v>
      </c>
      <c r="U150" s="137">
        <f>DSUM(SEP_2013_A,33,EZ_57_)</f>
        <v>0</v>
      </c>
      <c r="V150" s="137">
        <f>DSUM(SEP_2013_A,34,EZ_57_)</f>
        <v>0</v>
      </c>
    </row>
    <row r="151" spans="2:22" ht="15.95" customHeight="1" x14ac:dyDescent="0.2">
      <c r="B151" s="1" t="s">
        <v>1330</v>
      </c>
      <c r="C151" s="129" t="str">
        <f t="shared" si="15"/>
        <v>Rancho Estanzuela No. 59</v>
      </c>
      <c r="D151" s="129">
        <f t="shared" si="16"/>
        <v>0</v>
      </c>
      <c r="E151" s="90">
        <f t="shared" si="17"/>
        <v>300</v>
      </c>
      <c r="F151" s="91">
        <f>DSUM(SEP_2013_A,AA,EZ_59_)</f>
        <v>0</v>
      </c>
      <c r="G151" s="90">
        <f t="shared" si="18"/>
        <v>0</v>
      </c>
      <c r="H151" s="90">
        <f>DSUM(SEP_2013_A,importe,EZ_59_)</f>
        <v>0</v>
      </c>
      <c r="I151" s="17">
        <f t="shared" si="14"/>
        <v>0</v>
      </c>
      <c r="J151" s="6" t="s">
        <v>1278</v>
      </c>
      <c r="K151" s="137">
        <f>DSUM(SEP_2013_A,23,EZ_59_)</f>
        <v>0</v>
      </c>
      <c r="L151" s="137">
        <f>DSUM(SEP_2013_A,24,EZ_59_)</f>
        <v>0</v>
      </c>
      <c r="M151" s="137">
        <f>DSUM(SEP_2013_A,25,EZ_59_)</f>
        <v>0</v>
      </c>
      <c r="N151" s="137">
        <f>DSUM(SEP_2013_A,26,EZ_59_)</f>
        <v>0</v>
      </c>
      <c r="O151" s="137">
        <f>DSUM(SEP_2013_A,27,EZ_59_)</f>
        <v>0</v>
      </c>
      <c r="P151" s="137">
        <f>DSUM(SEP_2013_A,28,EZ_59_)</f>
        <v>0</v>
      </c>
      <c r="Q151" s="137">
        <f>DSUM(SEP_2013_A,29,EZ_59_)</f>
        <v>0</v>
      </c>
      <c r="R151" s="137">
        <f>DSUM(SEP_2013_A,30,EZ_59_)</f>
        <v>0</v>
      </c>
      <c r="S151" s="137">
        <f>DSUM(SEP_2013_A,31,EZ_59_)</f>
        <v>0</v>
      </c>
      <c r="T151" s="137">
        <f>DSUM(SEP_2013_A,32,EZ_59_)</f>
        <v>0</v>
      </c>
      <c r="U151" s="137">
        <f>DSUM(SEP_2013_A,33,EZ_59_)</f>
        <v>0</v>
      </c>
      <c r="V151" s="137">
        <f>DSUM(SEP_2013_A,34,EZ_59_)</f>
        <v>0</v>
      </c>
    </row>
    <row r="152" spans="2:22" ht="15.95" customHeight="1" x14ac:dyDescent="0.2">
      <c r="B152" s="1" t="s">
        <v>930</v>
      </c>
      <c r="C152" s="129" t="str">
        <f t="shared" si="15"/>
        <v>Rancho Estanzuela No. 61</v>
      </c>
      <c r="D152" s="129" t="str">
        <f t="shared" si="16"/>
        <v>González Almazán</v>
      </c>
      <c r="E152" s="90">
        <f t="shared" si="17"/>
        <v>300</v>
      </c>
      <c r="F152" s="91">
        <f>DSUM(SEP_2013_A,AA,EZ_61_)</f>
        <v>300</v>
      </c>
      <c r="G152" s="90">
        <f t="shared" si="18"/>
        <v>3000</v>
      </c>
      <c r="H152" s="90">
        <f>DSUM(SEP_2013_A,importe,EZ_61_)</f>
        <v>3300</v>
      </c>
      <c r="I152" s="17">
        <f t="shared" si="14"/>
        <v>10</v>
      </c>
      <c r="J152" s="6" t="s">
        <v>1278</v>
      </c>
      <c r="K152" s="137">
        <f>DSUM(SEP_2013_A,23,EZ_61_)</f>
        <v>300</v>
      </c>
      <c r="L152" s="137">
        <f>DSUM(SEP_2013_A,24,EZ_61_)</f>
        <v>300</v>
      </c>
      <c r="M152" s="137">
        <f>DSUM(SEP_2013_A,25,EZ_61_)</f>
        <v>300</v>
      </c>
      <c r="N152" s="137">
        <f>DSUM(SEP_2013_A,26,EZ_61_)</f>
        <v>300</v>
      </c>
      <c r="O152" s="137">
        <f>DSUM(SEP_2013_A,27,EZ_61_)</f>
        <v>300</v>
      </c>
      <c r="P152" s="137">
        <f>DSUM(SEP_2013_A,28,EZ_61_)</f>
        <v>300</v>
      </c>
      <c r="Q152" s="137">
        <f>DSUM(SEP_2013_A,29,EZ_61_)</f>
        <v>300</v>
      </c>
      <c r="R152" s="137">
        <f>DSUM(SEP_2013_A,30,EZ_61_)</f>
        <v>300</v>
      </c>
      <c r="S152" s="137">
        <f>DSUM(SEP_2013_A,31,EZ_61_)</f>
        <v>300</v>
      </c>
      <c r="T152" s="137">
        <f>DSUM(SEP_2013_A,32,EZ_61_)</f>
        <v>300</v>
      </c>
      <c r="U152" s="137">
        <f>DSUM(SEP_2013_A,33,EZ_61_)</f>
        <v>0</v>
      </c>
      <c r="V152" s="137">
        <f>DSUM(SEP_2013_A,34,EZ_61_)</f>
        <v>0</v>
      </c>
    </row>
    <row r="153" spans="2:22" ht="15.95" customHeight="1" x14ac:dyDescent="0.2">
      <c r="B153" s="1" t="s">
        <v>931</v>
      </c>
      <c r="C153" s="129" t="str">
        <f t="shared" si="15"/>
        <v>Rancho Estanzuela No. 63</v>
      </c>
      <c r="D153" s="129" t="str">
        <f t="shared" si="16"/>
        <v>Mendoza Q.</v>
      </c>
      <c r="E153" s="90">
        <f t="shared" si="17"/>
        <v>200</v>
      </c>
      <c r="F153" s="91">
        <f>DSUM(SEP_2013_A,AA,EZ_63_)</f>
        <v>600</v>
      </c>
      <c r="G153" s="90">
        <f t="shared" si="18"/>
        <v>2400</v>
      </c>
      <c r="H153" s="90">
        <f>DSUM(SEP_2013_A,importe,EZ_63_)</f>
        <v>3000</v>
      </c>
      <c r="I153" s="17">
        <f t="shared" si="14"/>
        <v>12</v>
      </c>
      <c r="J153" s="6" t="s">
        <v>1278</v>
      </c>
      <c r="K153" s="137">
        <f>DSUM(SEP_2013_A,23,EZ_63_)</f>
        <v>200</v>
      </c>
      <c r="L153" s="137">
        <f>DSUM(SEP_2013_A,24,EZ_63_)</f>
        <v>200</v>
      </c>
      <c r="M153" s="137">
        <f>DSUM(SEP_2013_A,25,EZ_63_)</f>
        <v>200</v>
      </c>
      <c r="N153" s="137">
        <f>DSUM(SEP_2013_A,26,EZ_63_)</f>
        <v>200</v>
      </c>
      <c r="O153" s="137">
        <f>DSUM(SEP_2013_A,27,EZ_63_)</f>
        <v>200</v>
      </c>
      <c r="P153" s="137">
        <f>DSUM(SEP_2013_A,28,EZ_63_)</f>
        <v>200</v>
      </c>
      <c r="Q153" s="137">
        <f>DSUM(SEP_2013_A,29,EZ_63_)</f>
        <v>200</v>
      </c>
      <c r="R153" s="137">
        <f>DSUM(SEP_2013_A,30,EZ_63_)</f>
        <v>200</v>
      </c>
      <c r="S153" s="137">
        <f>DSUM(SEP_2013_A,31,EZ_63_)</f>
        <v>200</v>
      </c>
      <c r="T153" s="137">
        <f>DSUM(SEP_2013_A,32,EZ_63_)</f>
        <v>200</v>
      </c>
      <c r="U153" s="137">
        <f>DSUM(SEP_2013_A,33,EZ_63_)</f>
        <v>200</v>
      </c>
      <c r="V153" s="137">
        <f>DSUM(SEP_2013_A,34,EZ_63_)</f>
        <v>200</v>
      </c>
    </row>
    <row r="154" spans="2:22" ht="15.95" customHeight="1" x14ac:dyDescent="0.2">
      <c r="B154" s="1" t="s">
        <v>790</v>
      </c>
      <c r="C154" s="129" t="str">
        <f t="shared" si="15"/>
        <v>Rancho Estanzuela No. 65</v>
      </c>
      <c r="D154" s="129" t="str">
        <f t="shared" si="16"/>
        <v>López Becerril</v>
      </c>
      <c r="E154" s="90">
        <f t="shared" si="17"/>
        <v>300</v>
      </c>
      <c r="F154" s="91">
        <f>DSUM(SEP_2013_A,AA,EZ_65_)</f>
        <v>300</v>
      </c>
      <c r="G154" s="90">
        <f t="shared" si="18"/>
        <v>3000</v>
      </c>
      <c r="H154" s="90">
        <f>DSUM(SEP_2013_A,importe,EZ_65_)</f>
        <v>3300</v>
      </c>
      <c r="I154" s="17">
        <f t="shared" si="14"/>
        <v>10</v>
      </c>
      <c r="J154" s="6" t="s">
        <v>1278</v>
      </c>
      <c r="K154" s="137">
        <f>DSUM(SEP_2013_A,23,EZ_65_)</f>
        <v>300</v>
      </c>
      <c r="L154" s="137">
        <f>DSUM(SEP_2013_A,24,EZ_65_)</f>
        <v>300</v>
      </c>
      <c r="M154" s="137">
        <f>DSUM(SEP_2013_A,25,EZ_65_)</f>
        <v>300</v>
      </c>
      <c r="N154" s="137">
        <f>DSUM(SEP_2013_A,26,EZ_65_)</f>
        <v>300</v>
      </c>
      <c r="O154" s="137">
        <f>DSUM(SEP_2013_A,27,EZ_65_)</f>
        <v>300</v>
      </c>
      <c r="P154" s="137">
        <f>DSUM(SEP_2013_A,28,EZ_65_)</f>
        <v>300</v>
      </c>
      <c r="Q154" s="137">
        <f>DSUM(SEP_2013_A,29,EZ_65_)</f>
        <v>300</v>
      </c>
      <c r="R154" s="137">
        <f>DSUM(SEP_2013_A,30,EZ_65_)</f>
        <v>300</v>
      </c>
      <c r="S154" s="137">
        <f>DSUM(SEP_2013_A,31,EZ_65_)</f>
        <v>300</v>
      </c>
      <c r="T154" s="137">
        <f>DSUM(SEP_2013_A,32,EZ_65_)</f>
        <v>300</v>
      </c>
      <c r="U154" s="137">
        <f>DSUM(SEP_2013_A,33,EZ_65_)</f>
        <v>0</v>
      </c>
      <c r="V154" s="137">
        <f>DSUM(SEP_2013_A,34,EZ_65_)</f>
        <v>0</v>
      </c>
    </row>
    <row r="155" spans="2:22" ht="15.95" customHeight="1" x14ac:dyDescent="0.2">
      <c r="B155" s="1" t="s">
        <v>932</v>
      </c>
      <c r="C155" s="129" t="str">
        <f t="shared" si="15"/>
        <v>Rancho Estanzuela No. 67</v>
      </c>
      <c r="D155" s="129" t="str">
        <f t="shared" si="16"/>
        <v>Carmona Galarza</v>
      </c>
      <c r="E155" s="90">
        <f t="shared" si="17"/>
        <v>300</v>
      </c>
      <c r="F155" s="91">
        <f>DSUM(SEP_2013_A,AA,EZ_67_)</f>
        <v>0</v>
      </c>
      <c r="G155" s="90">
        <f t="shared" si="18"/>
        <v>3300</v>
      </c>
      <c r="H155" s="90">
        <f>DSUM(SEP_2013_A,importe,EZ_67_)</f>
        <v>3300</v>
      </c>
      <c r="I155" s="17">
        <f>IF(VLOOKUP(B155,BASE_A,9,FALSE)=0,0,(G155/VLOOKUP(B155,BASE_A,9,FALSE)))+1</f>
        <v>12</v>
      </c>
      <c r="J155" s="6" t="s">
        <v>1278</v>
      </c>
      <c r="K155" s="137">
        <f>DSUM(SEP_2013_A,23,EZ_67_)</f>
        <v>300</v>
      </c>
      <c r="L155" s="137">
        <f>DSUM(SEP_2013_A,24,EZ_67_)</f>
        <v>300</v>
      </c>
      <c r="M155" s="137">
        <f>DSUM(SEP_2013_A,25,EZ_67_)</f>
        <v>300</v>
      </c>
      <c r="N155" s="137">
        <f>DSUM(SEP_2013_A,26,EZ_67_)</f>
        <v>300</v>
      </c>
      <c r="O155" s="137">
        <f>DSUM(SEP_2013_A,27,EZ_67_)</f>
        <v>300</v>
      </c>
      <c r="P155" s="137">
        <f>DSUM(SEP_2013_A,28,EZ_67_)</f>
        <v>300</v>
      </c>
      <c r="Q155" s="137">
        <f>DSUM(SEP_2013_A,29,EZ_67_)</f>
        <v>300</v>
      </c>
      <c r="R155" s="137">
        <f>DSUM(SEP_2013_A,30,EZ_67_)</f>
        <v>300</v>
      </c>
      <c r="S155" s="137">
        <f>DSUM(SEP_2013_A,31,EZ_67_)</f>
        <v>300</v>
      </c>
      <c r="T155" s="137">
        <f>DSUM(SEP_2013_A,32,EZ_67_)</f>
        <v>300</v>
      </c>
      <c r="U155" s="137">
        <f>DSUM(SEP_2013_A,33,EZ_67_)</f>
        <v>300</v>
      </c>
      <c r="V155" s="137">
        <f>DSUM(SEP_2013_A,34,EZ_67_)</f>
        <v>0</v>
      </c>
    </row>
    <row r="156" spans="2:22" ht="15.95" customHeight="1" x14ac:dyDescent="0.2">
      <c r="B156" s="1" t="s">
        <v>933</v>
      </c>
      <c r="C156" s="129" t="str">
        <f t="shared" si="15"/>
        <v>Rancho Estanzuela No. 69</v>
      </c>
      <c r="D156" s="129" t="str">
        <f t="shared" si="16"/>
        <v>Apaez</v>
      </c>
      <c r="E156" s="90">
        <f t="shared" si="17"/>
        <v>300</v>
      </c>
      <c r="F156" s="91">
        <f>DSUM(SEP_2013_A,AA,EZ_69_)</f>
        <v>300</v>
      </c>
      <c r="G156" s="90">
        <f t="shared" si="18"/>
        <v>2700</v>
      </c>
      <c r="H156" s="90">
        <f>DSUM(SEP_2013_A,importe,EZ_69_)</f>
        <v>3000</v>
      </c>
      <c r="I156" s="17">
        <f>IF(VLOOKUP(B156,BASE_A,9,FALSE)=0,0,G156/VLOOKUP(B156,BASE_A,9,FALSE))</f>
        <v>9</v>
      </c>
      <c r="J156" s="6" t="s">
        <v>1278</v>
      </c>
      <c r="K156" s="137">
        <f>DSUM(SEP_2013_A,23,EZ_69_)</f>
        <v>300</v>
      </c>
      <c r="L156" s="137">
        <f>DSUM(SEP_2013_A,24,EZ_69_)</f>
        <v>300</v>
      </c>
      <c r="M156" s="137">
        <f>DSUM(SEP_2013_A,25,EZ_69_)</f>
        <v>300</v>
      </c>
      <c r="N156" s="137">
        <f>DSUM(SEP_2013_A,26,EZ_69_)</f>
        <v>300</v>
      </c>
      <c r="O156" s="137">
        <f>DSUM(SEP_2013_A,27,EZ_69_)</f>
        <v>300</v>
      </c>
      <c r="P156" s="137">
        <f>DSUM(SEP_2013_A,28,EZ_69_)</f>
        <v>300</v>
      </c>
      <c r="Q156" s="137">
        <f>DSUM(SEP_2013_A,29,EZ_69_)</f>
        <v>300</v>
      </c>
      <c r="R156" s="137">
        <f>DSUM(SEP_2013_A,30,EZ_69_)</f>
        <v>300</v>
      </c>
      <c r="S156" s="137">
        <f>DSUM(SEP_2013_A,31,EZ_69_)</f>
        <v>300</v>
      </c>
      <c r="T156" s="137">
        <f>DSUM(SEP_2013_A,32,EZ_69_)</f>
        <v>0</v>
      </c>
      <c r="U156" s="137">
        <f>DSUM(SEP_2013_A,33,EZ_69_)</f>
        <v>0</v>
      </c>
      <c r="V156" s="137">
        <f>DSUM(SEP_2013_A,34,EZ_69_)</f>
        <v>0</v>
      </c>
    </row>
    <row r="157" spans="2:22" ht="15.95" customHeight="1" x14ac:dyDescent="0.2">
      <c r="B157" s="1" t="s">
        <v>934</v>
      </c>
      <c r="C157" s="129" t="str">
        <f t="shared" si="15"/>
        <v>Rancho Estanzuela No. 71</v>
      </c>
      <c r="D157" s="129" t="str">
        <f t="shared" si="16"/>
        <v>Soriano</v>
      </c>
      <c r="E157" s="90">
        <f t="shared" si="17"/>
        <v>300</v>
      </c>
      <c r="F157" s="91">
        <f>DSUM(SEP_2013_A,AA,EZ_71_)</f>
        <v>0</v>
      </c>
      <c r="G157" s="90">
        <f t="shared" si="18"/>
        <v>3300</v>
      </c>
      <c r="H157" s="90">
        <f>DSUM(SEP_2013_A,importe,EZ_71_)</f>
        <v>3300</v>
      </c>
      <c r="I157" s="17">
        <f>IF(VLOOKUP(B157,BASE_A,9,FALSE)=0,0,(G157/VLOOKUP(B157,BASE_A,9,FALSE)))+1</f>
        <v>12</v>
      </c>
      <c r="J157" s="6" t="s">
        <v>1278</v>
      </c>
      <c r="K157" s="137">
        <f>DSUM(SEP_2013_A,23,EZ_71_)</f>
        <v>300</v>
      </c>
      <c r="L157" s="137">
        <f>DSUM(SEP_2013_A,24,EZ_71_)</f>
        <v>300</v>
      </c>
      <c r="M157" s="137">
        <f>DSUM(SEP_2013_A,25,EZ_71_)</f>
        <v>300</v>
      </c>
      <c r="N157" s="137">
        <f>DSUM(SEP_2013_A,26,EZ_71_)</f>
        <v>300</v>
      </c>
      <c r="O157" s="137">
        <f>DSUM(SEP_2013_A,27,EZ_71_)</f>
        <v>300</v>
      </c>
      <c r="P157" s="137">
        <f>DSUM(SEP_2013_A,28,EZ_71_)</f>
        <v>300</v>
      </c>
      <c r="Q157" s="137">
        <f>DSUM(SEP_2013_A,29,EZ_71_)</f>
        <v>300</v>
      </c>
      <c r="R157" s="137">
        <f>DSUM(SEP_2013_A,30,EZ_71_)</f>
        <v>300</v>
      </c>
      <c r="S157" s="137">
        <f>DSUM(SEP_2013_A,31,EZ_71_)</f>
        <v>300</v>
      </c>
      <c r="T157" s="137">
        <f>DSUM(SEP_2013_A,32,EZ_71_)</f>
        <v>300</v>
      </c>
      <c r="U157" s="137">
        <f>DSUM(SEP_2013_A,33,EZ_71_)</f>
        <v>300</v>
      </c>
      <c r="V157" s="137">
        <f>DSUM(SEP_2013_A,34,EZ_71_)</f>
        <v>0</v>
      </c>
    </row>
    <row r="158" spans="2:22" ht="15.95" customHeight="1" x14ac:dyDescent="0.2">
      <c r="B158" s="1" t="s">
        <v>935</v>
      </c>
      <c r="C158" s="129" t="str">
        <f t="shared" si="15"/>
        <v>Rancho Estanzuela No. 73</v>
      </c>
      <c r="D158" s="129" t="str">
        <f t="shared" si="16"/>
        <v>Salcedo García</v>
      </c>
      <c r="E158" s="90">
        <f t="shared" si="17"/>
        <v>300</v>
      </c>
      <c r="F158" s="91">
        <f>DSUM(SEP_2013_A,AA,EZ_73_)</f>
        <v>300</v>
      </c>
      <c r="G158" s="90">
        <f t="shared" si="18"/>
        <v>2100</v>
      </c>
      <c r="H158" s="90">
        <f>DSUM(SEP_2013_A,importe,EZ_73_)</f>
        <v>2400</v>
      </c>
      <c r="I158" s="17">
        <f t="shared" ref="I158:I169" si="19">IF(VLOOKUP(B158,BASE_A,9,FALSE)=0,0,G158/VLOOKUP(B158,BASE_A,9,FALSE))</f>
        <v>7</v>
      </c>
      <c r="J158" s="6" t="s">
        <v>1278</v>
      </c>
      <c r="K158" s="137">
        <f>DSUM(SEP_2013_A,23,EZ_73_)</f>
        <v>300</v>
      </c>
      <c r="L158" s="137">
        <f>DSUM(SEP_2013_A,24,EZ_73_)</f>
        <v>300</v>
      </c>
      <c r="M158" s="137">
        <f>DSUM(SEP_2013_A,25,EZ_73_)</f>
        <v>300</v>
      </c>
      <c r="N158" s="137">
        <f>DSUM(SEP_2013_A,26,EZ_73_)</f>
        <v>300</v>
      </c>
      <c r="O158" s="137">
        <f>DSUM(SEP_2013_A,27,EZ_73_)</f>
        <v>300</v>
      </c>
      <c r="P158" s="137">
        <f>DSUM(SEP_2013_A,28,EZ_73_)</f>
        <v>300</v>
      </c>
      <c r="Q158" s="137">
        <f>DSUM(SEP_2013_A,29,EZ_73_)</f>
        <v>300</v>
      </c>
      <c r="R158" s="137">
        <f>DSUM(SEP_2013_A,30,EZ_73_)</f>
        <v>0</v>
      </c>
      <c r="S158" s="137">
        <f>DSUM(SEP_2013_A,31,EZ_73_)</f>
        <v>0</v>
      </c>
      <c r="T158" s="137">
        <f>DSUM(SEP_2013_A,32,EZ_73_)</f>
        <v>0</v>
      </c>
      <c r="U158" s="137">
        <f>DSUM(SEP_2013_A,33,EZ_73_)</f>
        <v>0</v>
      </c>
      <c r="V158" s="137">
        <f>DSUM(SEP_2013_A,34,EZ_73_)</f>
        <v>0</v>
      </c>
    </row>
    <row r="159" spans="2:22" ht="15.95" customHeight="1" x14ac:dyDescent="0.2">
      <c r="B159" s="1" t="s">
        <v>936</v>
      </c>
      <c r="C159" s="129" t="str">
        <f t="shared" si="15"/>
        <v>Rancho Estanzuela No. 75</v>
      </c>
      <c r="D159" s="129" t="str">
        <f t="shared" si="16"/>
        <v>Candela Pons</v>
      </c>
      <c r="E159" s="90">
        <f t="shared" si="17"/>
        <v>150</v>
      </c>
      <c r="F159" s="91">
        <f>DSUM(SEP_2013_A,AA,EZ_75_)</f>
        <v>450</v>
      </c>
      <c r="G159" s="90">
        <f t="shared" si="18"/>
        <v>1200</v>
      </c>
      <c r="H159" s="90">
        <f>DSUM(SEP_2013_A,importe,EZ_75_)</f>
        <v>1650</v>
      </c>
      <c r="I159" s="17">
        <f t="shared" si="19"/>
        <v>8</v>
      </c>
      <c r="J159" s="6" t="s">
        <v>1278</v>
      </c>
      <c r="K159" s="137">
        <f>DSUM(SEP_2013_A,23,EZ_75_)</f>
        <v>150</v>
      </c>
      <c r="L159" s="137">
        <f>DSUM(SEP_2013_A,24,EZ_75_)</f>
        <v>150</v>
      </c>
      <c r="M159" s="137">
        <f>DSUM(SEP_2013_A,25,EZ_75_)</f>
        <v>150</v>
      </c>
      <c r="N159" s="137">
        <f>DSUM(SEP_2013_A,26,EZ_75_)</f>
        <v>150</v>
      </c>
      <c r="O159" s="137">
        <f>DSUM(SEP_2013_A,27,EZ_75_)</f>
        <v>150</v>
      </c>
      <c r="P159" s="137">
        <f>DSUM(SEP_2013_A,28,EZ_75_)</f>
        <v>150</v>
      </c>
      <c r="Q159" s="137">
        <f>DSUM(SEP_2013_A,29,EZ_75_)</f>
        <v>150</v>
      </c>
      <c r="R159" s="137">
        <f>DSUM(SEP_2013_A,30,EZ_75_)</f>
        <v>150</v>
      </c>
      <c r="S159" s="137">
        <f>DSUM(SEP_2013_A,31,EZ_75_)</f>
        <v>0</v>
      </c>
      <c r="T159" s="137">
        <f>DSUM(SEP_2013_A,32,EZ_75_)</f>
        <v>0</v>
      </c>
      <c r="U159" s="137">
        <f>DSUM(SEP_2013_A,33,EZ_75_)</f>
        <v>0</v>
      </c>
      <c r="V159" s="137">
        <f>DSUM(SEP_2013_A,34,EZ_75_)</f>
        <v>0</v>
      </c>
    </row>
    <row r="160" spans="2:22" ht="15.95" customHeight="1" x14ac:dyDescent="0.2">
      <c r="B160" s="1" t="s">
        <v>937</v>
      </c>
      <c r="C160" s="129" t="str">
        <f t="shared" si="15"/>
        <v>Rancho Estanzuela No. 77</v>
      </c>
      <c r="D160" s="129" t="str">
        <f t="shared" si="16"/>
        <v>De la Rosa Rico</v>
      </c>
      <c r="E160" s="90">
        <f t="shared" si="17"/>
        <v>300</v>
      </c>
      <c r="F160" s="91">
        <f>DSUM(SEP_2013_A,AA,EZ_77_)</f>
        <v>600</v>
      </c>
      <c r="G160" s="90">
        <f t="shared" si="18"/>
        <v>2400</v>
      </c>
      <c r="H160" s="90">
        <f>DSUM(SEP_2013_A,importe,EZ_77_)</f>
        <v>3000</v>
      </c>
      <c r="I160" s="17">
        <f t="shared" si="19"/>
        <v>8</v>
      </c>
      <c r="J160" s="6" t="s">
        <v>1278</v>
      </c>
      <c r="K160" s="137">
        <f>DSUM(SEP_2013_A,23,EZ_77_)</f>
        <v>300</v>
      </c>
      <c r="L160" s="137">
        <f>DSUM(SEP_2013_A,24,EZ_77_)</f>
        <v>300</v>
      </c>
      <c r="M160" s="137">
        <f>DSUM(SEP_2013_A,25,EZ_77_)</f>
        <v>300</v>
      </c>
      <c r="N160" s="137">
        <f>DSUM(SEP_2013_A,26,EZ_77_)</f>
        <v>300</v>
      </c>
      <c r="O160" s="137">
        <f>DSUM(SEP_2013_A,27,EZ_77_)</f>
        <v>600</v>
      </c>
      <c r="P160" s="137">
        <f>DSUM(SEP_2013_A,28,EZ_77_)</f>
        <v>600</v>
      </c>
      <c r="Q160" s="137">
        <f>DSUM(SEP_2013_A,29,EZ_77_)</f>
        <v>0</v>
      </c>
      <c r="R160" s="137">
        <f>DSUM(SEP_2013_A,30,EZ_77_)</f>
        <v>0</v>
      </c>
      <c r="S160" s="137">
        <f>DSUM(SEP_2013_A,31,EZ_77_)</f>
        <v>0</v>
      </c>
      <c r="T160" s="137">
        <f>DSUM(SEP_2013_A,32,EZ_77_)</f>
        <v>0</v>
      </c>
      <c r="U160" s="137">
        <f>DSUM(SEP_2013_A,33,EZ_77_)</f>
        <v>0</v>
      </c>
      <c r="V160" s="137">
        <f>DSUM(SEP_2013_A,34,EZ_77_)</f>
        <v>0</v>
      </c>
    </row>
    <row r="161" spans="2:22" ht="15.95" customHeight="1" x14ac:dyDescent="0.2">
      <c r="B161" s="1" t="s">
        <v>938</v>
      </c>
      <c r="C161" s="129" t="str">
        <f t="shared" si="15"/>
        <v>Rancho Estanzuela No. 79</v>
      </c>
      <c r="D161" s="129" t="str">
        <f t="shared" si="16"/>
        <v>Mendoza</v>
      </c>
      <c r="E161" s="90">
        <f t="shared" si="17"/>
        <v>300</v>
      </c>
      <c r="F161" s="91">
        <f>DSUM(SEP_2013_A,AA,EZ_79_)</f>
        <v>600</v>
      </c>
      <c r="G161" s="90">
        <f t="shared" si="18"/>
        <v>2400</v>
      </c>
      <c r="H161" s="90">
        <f>DSUM(SEP_2013_A,importe,EZ_79_)</f>
        <v>3000</v>
      </c>
      <c r="I161" s="17">
        <f t="shared" si="19"/>
        <v>8</v>
      </c>
      <c r="J161" s="6" t="s">
        <v>1278</v>
      </c>
      <c r="K161" s="137">
        <f>DSUM(SEP_2013_A,23,EZ_79_)</f>
        <v>300</v>
      </c>
      <c r="L161" s="137">
        <f>DSUM(SEP_2013_A,24,EZ_79_)</f>
        <v>300</v>
      </c>
      <c r="M161" s="137">
        <f>DSUM(SEP_2013_A,25,EZ_79_)</f>
        <v>300</v>
      </c>
      <c r="N161" s="137">
        <f>DSUM(SEP_2013_A,26,EZ_79_)</f>
        <v>300</v>
      </c>
      <c r="O161" s="137">
        <f>DSUM(SEP_2013_A,27,EZ_79_)</f>
        <v>300</v>
      </c>
      <c r="P161" s="137">
        <f>DSUM(SEP_2013_A,28,EZ_79_)</f>
        <v>300</v>
      </c>
      <c r="Q161" s="137">
        <f>DSUM(SEP_2013_A,29,EZ_79_)</f>
        <v>300</v>
      </c>
      <c r="R161" s="137">
        <f>DSUM(SEP_2013_A,30,EZ_79_)</f>
        <v>300</v>
      </c>
      <c r="S161" s="137">
        <f>DSUM(SEP_2013_A,31,EZ_79_)</f>
        <v>0</v>
      </c>
      <c r="T161" s="137">
        <f>DSUM(SEP_2013_A,32,EZ_79_)</f>
        <v>0</v>
      </c>
      <c r="U161" s="137">
        <f>DSUM(SEP_2013_A,33,EZ_79_)</f>
        <v>0</v>
      </c>
      <c r="V161" s="137">
        <f>DSUM(SEP_2013_A,34,EZ_79_)</f>
        <v>0</v>
      </c>
    </row>
    <row r="162" spans="2:22" ht="15.95" customHeight="1" x14ac:dyDescent="0.2">
      <c r="B162" s="1" t="s">
        <v>939</v>
      </c>
      <c r="C162" s="129" t="str">
        <f t="shared" si="15"/>
        <v>Rancho Estanzuela No. 89</v>
      </c>
      <c r="D162" s="129" t="str">
        <f t="shared" si="16"/>
        <v>Romero Ortiz</v>
      </c>
      <c r="E162" s="90">
        <f t="shared" si="17"/>
        <v>300</v>
      </c>
      <c r="F162" s="91">
        <f>DSUM(SEP_2013_A,AA,EZ_89_)</f>
        <v>300</v>
      </c>
      <c r="G162" s="90">
        <f t="shared" si="18"/>
        <v>2100</v>
      </c>
      <c r="H162" s="90">
        <f>DSUM(SEP_2013_A,importe,EZ_89_)</f>
        <v>2400</v>
      </c>
      <c r="I162" s="17">
        <f t="shared" si="19"/>
        <v>7</v>
      </c>
      <c r="J162" s="6" t="s">
        <v>1278</v>
      </c>
      <c r="K162" s="137">
        <f>DSUM(SEP_2013_A,23,EZ_89_)</f>
        <v>300</v>
      </c>
      <c r="L162" s="137">
        <f>DSUM(SEP_2013_A,24,EZ_89_)</f>
        <v>300</v>
      </c>
      <c r="M162" s="137">
        <f>DSUM(SEP_2013_A,25,EZ_89_)</f>
        <v>300</v>
      </c>
      <c r="N162" s="137">
        <f>DSUM(SEP_2013_A,26,EZ_89_)</f>
        <v>300</v>
      </c>
      <c r="O162" s="137">
        <f>DSUM(SEP_2013_A,27,EZ_89_)</f>
        <v>300</v>
      </c>
      <c r="P162" s="137">
        <f>DSUM(SEP_2013_A,28,EZ_89_)</f>
        <v>300</v>
      </c>
      <c r="Q162" s="137">
        <f>DSUM(SEP_2013_A,29,EZ_89_)</f>
        <v>300</v>
      </c>
      <c r="R162" s="137">
        <f>DSUM(SEP_2013_A,30,EZ_89_)</f>
        <v>0</v>
      </c>
      <c r="S162" s="137">
        <f>DSUM(SEP_2013_A,31,EZ_89_)</f>
        <v>0</v>
      </c>
      <c r="T162" s="137">
        <f>DSUM(SEP_2013_A,32,EZ_89_)</f>
        <v>0</v>
      </c>
      <c r="U162" s="137">
        <f>DSUM(SEP_2013_A,33,EZ_89_)</f>
        <v>0</v>
      </c>
      <c r="V162" s="137">
        <f>DSUM(SEP_2013_A,34,EZ_89_)</f>
        <v>0</v>
      </c>
    </row>
    <row r="163" spans="2:22" ht="15.95" customHeight="1" x14ac:dyDescent="0.2">
      <c r="B163" s="1" t="s">
        <v>940</v>
      </c>
      <c r="C163" s="129" t="str">
        <f t="shared" si="15"/>
        <v>Rancho Estanzuela No. 91</v>
      </c>
      <c r="D163" s="129" t="str">
        <f t="shared" si="16"/>
        <v>Lobato Torres</v>
      </c>
      <c r="E163" s="90">
        <f t="shared" si="17"/>
        <v>300</v>
      </c>
      <c r="F163" s="91">
        <f>DSUM(SEP_2013_A,AA,EZ_91_)</f>
        <v>900</v>
      </c>
      <c r="G163" s="90">
        <f t="shared" si="18"/>
        <v>2700</v>
      </c>
      <c r="H163" s="90">
        <f>DSUM(SEP_2013_A,importe,EZ_91_)</f>
        <v>3600</v>
      </c>
      <c r="I163" s="17">
        <f t="shared" si="19"/>
        <v>9</v>
      </c>
      <c r="J163" s="6" t="s">
        <v>1278</v>
      </c>
      <c r="K163" s="249">
        <f>DSUM(SEP_2013_A,23,EZ_91_)</f>
        <v>300</v>
      </c>
      <c r="L163" s="137">
        <f>DSUM(SEP_2013_A,24,EZ_91_)</f>
        <v>300</v>
      </c>
      <c r="M163" s="137">
        <f>DSUM(SEP_2013_A,25,EZ_91_)</f>
        <v>300</v>
      </c>
      <c r="N163" s="137">
        <f>DSUM(SEP_2013_A,26,EZ_91_)</f>
        <v>300</v>
      </c>
      <c r="O163" s="137">
        <f>DSUM(SEP_2013_A,27,EZ_91_)</f>
        <v>300</v>
      </c>
      <c r="P163" s="137">
        <f>DSUM(SEP_2013_A,28,EZ_91_)</f>
        <v>300</v>
      </c>
      <c r="Q163" s="137">
        <f>DSUM(SEP_2013_A,29,EZ_91_)</f>
        <v>300</v>
      </c>
      <c r="R163" s="137">
        <f>DSUM(SEP_2013_A,30,EZ_91_)</f>
        <v>300</v>
      </c>
      <c r="S163" s="137">
        <f>DSUM(SEP_2013_A,31,EZ_91_)</f>
        <v>300</v>
      </c>
      <c r="T163" s="137">
        <f>DSUM(SEP_2013_A,32,EZ_91_)</f>
        <v>0</v>
      </c>
      <c r="U163" s="137">
        <f>DSUM(SEP_2013_A,33,EZ_91_)</f>
        <v>0</v>
      </c>
      <c r="V163" s="137">
        <f>DSUM(SEP_2013_A,34,EZ_91_)</f>
        <v>0</v>
      </c>
    </row>
    <row r="164" spans="2:22" ht="15.95" customHeight="1" x14ac:dyDescent="0.2">
      <c r="B164" s="1" t="s">
        <v>941</v>
      </c>
      <c r="C164" s="129" t="str">
        <f t="shared" si="15"/>
        <v>Rancho Estanzuela No. 93</v>
      </c>
      <c r="D164" s="129" t="str">
        <f t="shared" si="16"/>
        <v>Alcocer</v>
      </c>
      <c r="E164" s="90">
        <f t="shared" si="17"/>
        <v>300</v>
      </c>
      <c r="F164" s="91">
        <f>DSUM(SEP_2013_A,AA,EZ_93_)</f>
        <v>0</v>
      </c>
      <c r="G164" s="90">
        <f t="shared" si="18"/>
        <v>0</v>
      </c>
      <c r="H164" s="90">
        <f>DSUM(SEP_2013_A,importe,EZ_93_)</f>
        <v>0</v>
      </c>
      <c r="I164" s="17">
        <f t="shared" si="19"/>
        <v>0</v>
      </c>
      <c r="J164" s="6" t="s">
        <v>1278</v>
      </c>
      <c r="K164" s="137">
        <f>DSUM(SEP_2013_A,23,EZ_93_)</f>
        <v>0</v>
      </c>
      <c r="L164" s="137">
        <f>DSUM(SEP_2013_A,24,EZ_93_)</f>
        <v>0</v>
      </c>
      <c r="M164" s="137">
        <f>DSUM(SEP_2013_A,25,EZ_93_)</f>
        <v>0</v>
      </c>
      <c r="N164" s="137">
        <f>DSUM(SEP_2013_A,26,EZ_93_)</f>
        <v>0</v>
      </c>
      <c r="O164" s="137">
        <f>DSUM(SEP_2013_A,27,EZ_93_)</f>
        <v>0</v>
      </c>
      <c r="P164" s="137">
        <f>DSUM(SEP_2013_A,28,EZ_93_)</f>
        <v>0</v>
      </c>
      <c r="Q164" s="137">
        <f>DSUM(SEP_2013_A,29,EZ_93_)</f>
        <v>0</v>
      </c>
      <c r="R164" s="137">
        <f>DSUM(SEP_2013_A,30,EZ_93_)</f>
        <v>0</v>
      </c>
      <c r="S164" s="137">
        <f>DSUM(SEP_2013_A,31,EZ_93_)</f>
        <v>0</v>
      </c>
      <c r="T164" s="137">
        <f>DSUM(SEP_2013_A,32,EZ_93_)</f>
        <v>0</v>
      </c>
      <c r="U164" s="137">
        <f>DSUM(SEP_2013_A,33,EZ_93_)</f>
        <v>0</v>
      </c>
      <c r="V164" s="137">
        <f>DSUM(SEP_2013_A,34,EZ_93_)</f>
        <v>0</v>
      </c>
    </row>
    <row r="165" spans="2:22" ht="15.95" customHeight="1" x14ac:dyDescent="0.2">
      <c r="B165" s="1" t="s">
        <v>942</v>
      </c>
      <c r="C165" s="129" t="str">
        <f t="shared" si="15"/>
        <v>Rancho Estanzuela No. 95</v>
      </c>
      <c r="D165" s="129" t="str">
        <f t="shared" si="16"/>
        <v>Castro Puente</v>
      </c>
      <c r="E165" s="90">
        <f t="shared" si="17"/>
        <v>300</v>
      </c>
      <c r="F165" s="91">
        <f>DSUM(SEP_2013_A,AA,EZ_95_)</f>
        <v>300</v>
      </c>
      <c r="G165" s="90">
        <f t="shared" si="18"/>
        <v>3300</v>
      </c>
      <c r="H165" s="90">
        <f>DSUM(SEP_2013_A,importe,EZ_95_)</f>
        <v>3600</v>
      </c>
      <c r="I165" s="17">
        <f t="shared" si="19"/>
        <v>11</v>
      </c>
      <c r="J165" s="6" t="s">
        <v>1278</v>
      </c>
      <c r="K165" s="137">
        <f>DSUM(SEP_2013_A,23,EZ_95_)</f>
        <v>300</v>
      </c>
      <c r="L165" s="137">
        <f>DSUM(SEP_2013_A,24,EZ_95_)</f>
        <v>300</v>
      </c>
      <c r="M165" s="137">
        <f>DSUM(SEP_2013_A,25,EZ_95_)</f>
        <v>300</v>
      </c>
      <c r="N165" s="137">
        <f>DSUM(SEP_2013_A,26,EZ_95_)</f>
        <v>300</v>
      </c>
      <c r="O165" s="137">
        <f>DSUM(SEP_2013_A,27,EZ_95_)</f>
        <v>300</v>
      </c>
      <c r="P165" s="137">
        <f>DSUM(SEP_2013_A,28,EZ_95_)</f>
        <v>300</v>
      </c>
      <c r="Q165" s="137">
        <f>DSUM(SEP_2013_A,29,EZ_95_)</f>
        <v>300</v>
      </c>
      <c r="R165" s="137">
        <f>DSUM(SEP_2013_A,30,EZ_95_)</f>
        <v>300</v>
      </c>
      <c r="S165" s="137">
        <f>DSUM(SEP_2013_A,31,EZ_95_)</f>
        <v>300</v>
      </c>
      <c r="T165" s="137">
        <f>DSUM(SEP_2013_A,32,EZ_95_)</f>
        <v>300</v>
      </c>
      <c r="U165" s="137">
        <f>DSUM(SEP_2013_A,33,EZ_95_)</f>
        <v>300</v>
      </c>
      <c r="V165" s="137">
        <f>DSUM(SEP_2013_A,34,EZ_95_)</f>
        <v>0</v>
      </c>
    </row>
    <row r="166" spans="2:22" ht="15.95" customHeight="1" x14ac:dyDescent="0.2">
      <c r="B166" s="1" t="s">
        <v>943</v>
      </c>
      <c r="C166" s="129" t="str">
        <f t="shared" si="15"/>
        <v>Rancho Estanzuela No. 97</v>
      </c>
      <c r="D166" s="129" t="str">
        <f t="shared" si="16"/>
        <v>Bolaños</v>
      </c>
      <c r="E166" s="90">
        <f t="shared" si="17"/>
        <v>300</v>
      </c>
      <c r="F166" s="91">
        <f>DSUM(SEP_2013_A,AA,EZ_97_)</f>
        <v>0</v>
      </c>
      <c r="G166" s="90">
        <f t="shared" si="18"/>
        <v>0</v>
      </c>
      <c r="H166" s="90">
        <f>DSUM(SEP_2013_A,importe,EZ_97_)</f>
        <v>0</v>
      </c>
      <c r="I166" s="17">
        <f t="shared" si="19"/>
        <v>0</v>
      </c>
      <c r="J166" s="6" t="s">
        <v>1278</v>
      </c>
      <c r="K166" s="137">
        <f>DSUM(SEP_2013_A,23,EZ_97_)</f>
        <v>0</v>
      </c>
      <c r="L166" s="137">
        <f>DSUM(SEP_2013_A,24,EZ_97_)</f>
        <v>0</v>
      </c>
      <c r="M166" s="137">
        <f>DSUM(SEP_2013_A,25,EZ_97_)</f>
        <v>0</v>
      </c>
      <c r="N166" s="137">
        <f>DSUM(SEP_2013_A,26,EZ_97_)</f>
        <v>0</v>
      </c>
      <c r="O166" s="137">
        <f>DSUM(SEP_2013_A,27,EZ_97_)</f>
        <v>0</v>
      </c>
      <c r="P166" s="137">
        <f>DSUM(SEP_2013_A,28,EZ_97_)</f>
        <v>0</v>
      </c>
      <c r="Q166" s="137">
        <f>DSUM(SEP_2013_A,29,EZ_97_)</f>
        <v>0</v>
      </c>
      <c r="R166" s="137">
        <f>DSUM(SEP_2013_A,30,EZ_97_)</f>
        <v>0</v>
      </c>
      <c r="S166" s="137">
        <f>DSUM(SEP_2013_A,31,EZ_97_)</f>
        <v>0</v>
      </c>
      <c r="T166" s="137">
        <f>DSUM(SEP_2013_A,32,EZ_97_)</f>
        <v>0</v>
      </c>
      <c r="U166" s="137">
        <f>DSUM(SEP_2013_A,33,EZ_97_)</f>
        <v>0</v>
      </c>
      <c r="V166" s="137">
        <f>DSUM(SEP_2013_A,34,EZ_97_)</f>
        <v>0</v>
      </c>
    </row>
    <row r="167" spans="2:22" ht="15.95" customHeight="1" x14ac:dyDescent="0.2">
      <c r="B167" s="1" t="s">
        <v>944</v>
      </c>
      <c r="C167" s="129" t="str">
        <f t="shared" si="15"/>
        <v>Rancho Estanzuela No. 99</v>
      </c>
      <c r="D167" s="129" t="str">
        <f t="shared" si="16"/>
        <v>García López</v>
      </c>
      <c r="E167" s="90">
        <f t="shared" si="17"/>
        <v>300</v>
      </c>
      <c r="F167" s="91">
        <f>DSUM(SEP_2013_A,AA,EZ_99_)</f>
        <v>600</v>
      </c>
      <c r="G167" s="90">
        <f t="shared" si="18"/>
        <v>2400</v>
      </c>
      <c r="H167" s="90">
        <f>DSUM(SEP_2013_A,importe,EZ_99_)</f>
        <v>3000</v>
      </c>
      <c r="I167" s="17">
        <f t="shared" si="19"/>
        <v>8</v>
      </c>
      <c r="J167" s="6" t="s">
        <v>1278</v>
      </c>
      <c r="K167" s="137">
        <f>DSUM(SEP_2013_A,23,EZ_99_)</f>
        <v>300</v>
      </c>
      <c r="L167" s="137">
        <f>DSUM(SEP_2013_A,24,EZ_99_)</f>
        <v>300</v>
      </c>
      <c r="M167" s="137">
        <f>DSUM(SEP_2013_A,25,EZ_99_)</f>
        <v>300</v>
      </c>
      <c r="N167" s="137">
        <f>DSUM(SEP_2013_A,26,EZ_99_)</f>
        <v>300</v>
      </c>
      <c r="O167" s="137">
        <f>DSUM(SEP_2013_A,27,EZ_99_)</f>
        <v>300</v>
      </c>
      <c r="P167" s="137">
        <f>DSUM(SEP_2013_A,28,EZ_99_)</f>
        <v>300</v>
      </c>
      <c r="Q167" s="137">
        <f>DSUM(SEP_2013_A,29,EZ_99_)</f>
        <v>300</v>
      </c>
      <c r="R167" s="137">
        <f>DSUM(SEP_2013_A,30,EZ_99_)</f>
        <v>300</v>
      </c>
      <c r="S167" s="137">
        <f>DSUM(SEP_2013_A,31,EZ_99_)</f>
        <v>0</v>
      </c>
      <c r="T167" s="137">
        <f>DSUM(SEP_2013_A,32,EZ_99_)</f>
        <v>0</v>
      </c>
      <c r="U167" s="137">
        <f>DSUM(SEP_2013_A,33,EZ_99_)</f>
        <v>0</v>
      </c>
      <c r="V167" s="137">
        <f>DSUM(SEP_2013_A,34,EZ_99_)</f>
        <v>0</v>
      </c>
    </row>
    <row r="168" spans="2:22" ht="15.95" customHeight="1" x14ac:dyDescent="0.2">
      <c r="B168" s="1" t="s">
        <v>945</v>
      </c>
      <c r="C168" s="129" t="str">
        <f t="shared" si="15"/>
        <v>Rancho Estanzuela No. 100</v>
      </c>
      <c r="D168" s="129" t="str">
        <f t="shared" si="16"/>
        <v>Arias Monter</v>
      </c>
      <c r="E168" s="90">
        <f t="shared" si="17"/>
        <v>300</v>
      </c>
      <c r="F168" s="91">
        <f>DSUM(SEP_2013_A,AA,EZ_100_)</f>
        <v>300</v>
      </c>
      <c r="G168" s="90">
        <f t="shared" si="18"/>
        <v>2400</v>
      </c>
      <c r="H168" s="90">
        <f>DSUM(SEP_2013_A,importe,EZ_100_)</f>
        <v>2700</v>
      </c>
      <c r="I168" s="17">
        <f t="shared" si="19"/>
        <v>8</v>
      </c>
      <c r="J168" s="6" t="s">
        <v>1278</v>
      </c>
      <c r="K168" s="137">
        <f>DSUM(SEP_2013_A,23,EZ_100_)</f>
        <v>300</v>
      </c>
      <c r="L168" s="137">
        <f>DSUM(SEP_2013_A,24,EZ_100_)</f>
        <v>300</v>
      </c>
      <c r="M168" s="137">
        <f>DSUM(SEP_2013_A,25,EZ_100_)</f>
        <v>300</v>
      </c>
      <c r="N168" s="137">
        <f>DSUM(SEP_2013_A,26,EZ_100_)</f>
        <v>300</v>
      </c>
      <c r="O168" s="137">
        <f>DSUM(SEP_2013_A,27,EZ_100_)</f>
        <v>300</v>
      </c>
      <c r="P168" s="137">
        <f>DSUM(SEP_2013_A,28,EZ_100_)</f>
        <v>300</v>
      </c>
      <c r="Q168" s="137">
        <f>DSUM(SEP_2013_A,29,EZ_100_)</f>
        <v>300</v>
      </c>
      <c r="R168" s="137">
        <f>DSUM(SEP_2013_A,30,EZ_100_)</f>
        <v>300</v>
      </c>
      <c r="S168" s="137">
        <f>DSUM(SEP_2013_A,31,EZ_100_)</f>
        <v>0</v>
      </c>
      <c r="T168" s="137">
        <f>DSUM(SEP_2013_A,32,EZ_100_)</f>
        <v>0</v>
      </c>
      <c r="U168" s="137">
        <f>DSUM(SEP_2013_A,33,EZ_100_)</f>
        <v>0</v>
      </c>
      <c r="V168" s="137">
        <f>DSUM(SEP_2013_A,34,EZ_100_)</f>
        <v>0</v>
      </c>
    </row>
    <row r="169" spans="2:22" ht="15.95" customHeight="1" x14ac:dyDescent="0.2">
      <c r="B169" s="1" t="s">
        <v>946</v>
      </c>
      <c r="C169" s="129" t="str">
        <f t="shared" si="15"/>
        <v>Rancho Estanzuela No. 101</v>
      </c>
      <c r="D169" s="129" t="str">
        <f t="shared" si="16"/>
        <v>Calderón Celis</v>
      </c>
      <c r="E169" s="90">
        <f t="shared" si="17"/>
        <v>300</v>
      </c>
      <c r="F169" s="91">
        <f>DSUM(SEP_2013_A,AA,EZ_101_)</f>
        <v>300</v>
      </c>
      <c r="G169" s="90">
        <f t="shared" si="18"/>
        <v>2700</v>
      </c>
      <c r="H169" s="90">
        <f>DSUM(SEP_2013_A,importe,EZ_101_)</f>
        <v>3000</v>
      </c>
      <c r="I169" s="17">
        <f t="shared" si="19"/>
        <v>9</v>
      </c>
      <c r="J169" s="6" t="s">
        <v>1278</v>
      </c>
      <c r="K169" s="137">
        <f>DSUM(SEP_2013_A,23,EZ_101_)</f>
        <v>300</v>
      </c>
      <c r="L169" s="137">
        <f>DSUM(SEP_2013_A,24,EZ_101_)</f>
        <v>300</v>
      </c>
      <c r="M169" s="137">
        <f>DSUM(SEP_2013_A,25,EZ_101_)</f>
        <v>300</v>
      </c>
      <c r="N169" s="137">
        <f>DSUM(SEP_2013_A,26,EZ_101_)</f>
        <v>300</v>
      </c>
      <c r="O169" s="137">
        <f>DSUM(SEP_2013_A,27,EZ_101_)</f>
        <v>300</v>
      </c>
      <c r="P169" s="137">
        <f>DSUM(SEP_2013_A,28,EZ_101_)</f>
        <v>300</v>
      </c>
      <c r="Q169" s="137">
        <f>DSUM(SEP_2013_A,29,EZ_101_)</f>
        <v>300</v>
      </c>
      <c r="R169" s="137">
        <f>DSUM(SEP_2013_A,30,EZ_101_)</f>
        <v>300</v>
      </c>
      <c r="S169" s="137">
        <f>DSUM(SEP_2013_A,31,EZ_101_)</f>
        <v>300</v>
      </c>
      <c r="T169" s="137">
        <f>DSUM(SEP_2013_A,32,EZ_101_)</f>
        <v>0</v>
      </c>
      <c r="U169" s="137">
        <f>DSUM(SEP_2013_A,33,EZ_101_)</f>
        <v>0</v>
      </c>
      <c r="V169" s="137">
        <f>DSUM(SEP_2013_A,34,EZ_101_)</f>
        <v>0</v>
      </c>
    </row>
    <row r="170" spans="2:22" ht="15.95" customHeight="1" x14ac:dyDescent="0.2">
      <c r="B170" s="1" t="s">
        <v>947</v>
      </c>
      <c r="C170" s="129" t="str">
        <f t="shared" si="15"/>
        <v>Rancho Estanzuela No. 103</v>
      </c>
      <c r="D170" s="129" t="str">
        <f t="shared" si="16"/>
        <v>Valencia Aranda</v>
      </c>
      <c r="E170" s="90">
        <f t="shared" si="17"/>
        <v>300</v>
      </c>
      <c r="F170" s="91">
        <f>DSUM(SEP_2013_A,AA,EZ_103_)</f>
        <v>0</v>
      </c>
      <c r="G170" s="90">
        <f t="shared" si="18"/>
        <v>3300</v>
      </c>
      <c r="H170" s="90">
        <f>DSUM(SEP_2013_A,importe,EZ_103_)</f>
        <v>3300</v>
      </c>
      <c r="I170" s="17">
        <f>IF(VLOOKUP(B170,BASE_A,9,FALSE)=0,0,(G170/VLOOKUP(B170,BASE_A,9,FALSE)))+1</f>
        <v>12</v>
      </c>
      <c r="J170" s="6" t="s">
        <v>1278</v>
      </c>
      <c r="K170" s="137">
        <f>DSUM(SEP_2013_A,23,EZ_103_)</f>
        <v>300</v>
      </c>
      <c r="L170" s="137">
        <f>DSUM(SEP_2013_A,24,EZ_103_)</f>
        <v>300</v>
      </c>
      <c r="M170" s="137">
        <f>DSUM(SEP_2013_A,25,EZ_103_)</f>
        <v>300</v>
      </c>
      <c r="N170" s="137">
        <f>DSUM(SEP_2013_A,26,EZ_103_)</f>
        <v>300</v>
      </c>
      <c r="O170" s="137">
        <f>DSUM(SEP_2013_A,27,EZ_103_)</f>
        <v>300</v>
      </c>
      <c r="P170" s="137">
        <f>DSUM(SEP_2013_A,28,EZ_103_)</f>
        <v>300</v>
      </c>
      <c r="Q170" s="137">
        <f>DSUM(SEP_2013_A,29,EZ_103_)</f>
        <v>300</v>
      </c>
      <c r="R170" s="137">
        <f>DSUM(SEP_2013_A,30,EZ_103_)</f>
        <v>300</v>
      </c>
      <c r="S170" s="137">
        <f>DSUM(SEP_2013_A,31,EZ_103_)</f>
        <v>300</v>
      </c>
      <c r="T170" s="137">
        <f>DSUM(SEP_2013_A,32,EZ_103_)</f>
        <v>300</v>
      </c>
      <c r="U170" s="137">
        <f>DSUM(SEP_2013_A,33,EZ_103_)</f>
        <v>300</v>
      </c>
      <c r="V170" s="137">
        <f>DSUM(SEP_2013_A,34,EZ_103_)</f>
        <v>0</v>
      </c>
    </row>
    <row r="171" spans="2:22" ht="15.95" customHeight="1" x14ac:dyDescent="0.2">
      <c r="B171" s="1" t="s">
        <v>1331</v>
      </c>
      <c r="C171" s="129" t="str">
        <f t="shared" si="15"/>
        <v>Rancho Estanzuela No. 105</v>
      </c>
      <c r="D171" s="129">
        <f t="shared" si="16"/>
        <v>0</v>
      </c>
      <c r="E171" s="90">
        <f t="shared" si="17"/>
        <v>300</v>
      </c>
      <c r="F171" s="91">
        <f>DSUM(SEP_2013_A,AA,EZ_105_)</f>
        <v>0</v>
      </c>
      <c r="G171" s="90">
        <f t="shared" si="18"/>
        <v>0</v>
      </c>
      <c r="H171" s="90">
        <f>DSUM(SEP_2013_A,importe,EZ_105_)</f>
        <v>0</v>
      </c>
      <c r="I171" s="17">
        <f t="shared" ref="I171:I202" si="20">IF(VLOOKUP(B171,BASE_A,9,FALSE)=0,0,G171/VLOOKUP(B171,BASE_A,9,FALSE))</f>
        <v>0</v>
      </c>
      <c r="J171" s="6" t="s">
        <v>1278</v>
      </c>
      <c r="K171" s="137">
        <f>DSUM(SEP_2013_A,23,EZ_105_)</f>
        <v>0</v>
      </c>
      <c r="L171" s="137">
        <f>DSUM(SEP_2013_A,24,EZ_105_)</f>
        <v>0</v>
      </c>
      <c r="M171" s="137">
        <f>DSUM(SEP_2013_A,25,EZ_105_)</f>
        <v>0</v>
      </c>
      <c r="N171" s="137">
        <f>DSUM(SEP_2013_A,26,EZ_105_)</f>
        <v>0</v>
      </c>
      <c r="O171" s="137">
        <f>DSUM(SEP_2013_A,27,EZ_105_)</f>
        <v>0</v>
      </c>
      <c r="P171" s="137">
        <f>DSUM(SEP_2013_A,28,EZ_105_)</f>
        <v>0</v>
      </c>
      <c r="Q171" s="137">
        <f>DSUM(SEP_2013_A,29,EZ_105_)</f>
        <v>0</v>
      </c>
      <c r="R171" s="137">
        <f>DSUM(SEP_2013_A,30,EZ_105_)</f>
        <v>0</v>
      </c>
      <c r="S171" s="137">
        <f>DSUM(SEP_2013_A,31,EZ_105_)</f>
        <v>0</v>
      </c>
      <c r="T171" s="137">
        <f>DSUM(SEP_2013_A,32,EZ_105_)</f>
        <v>0</v>
      </c>
      <c r="U171" s="137">
        <f>DSUM(SEP_2013_A,33,EZ_105_)</f>
        <v>0</v>
      </c>
      <c r="V171" s="137">
        <f>DSUM(SEP_2013_A,34,EZ_105_)</f>
        <v>0</v>
      </c>
    </row>
    <row r="172" spans="2:22" ht="15.95" customHeight="1" x14ac:dyDescent="0.2">
      <c r="B172" s="1" t="s">
        <v>948</v>
      </c>
      <c r="C172" s="129" t="str">
        <f t="shared" si="15"/>
        <v>Rancho Estanzuela No. 111</v>
      </c>
      <c r="D172" s="129" t="str">
        <f t="shared" si="16"/>
        <v>Flores Pérez</v>
      </c>
      <c r="E172" s="90">
        <f t="shared" si="17"/>
        <v>300</v>
      </c>
      <c r="F172" s="91">
        <f>DSUM(SEP_2013_A,AA,EZ_111_)</f>
        <v>300</v>
      </c>
      <c r="G172" s="90">
        <f t="shared" si="18"/>
        <v>2700</v>
      </c>
      <c r="H172" s="90">
        <f>DSUM(SEP_2013_A,importe,EZ_111_)</f>
        <v>3000</v>
      </c>
      <c r="I172" s="17">
        <f t="shared" si="20"/>
        <v>9</v>
      </c>
      <c r="J172" s="6" t="s">
        <v>1278</v>
      </c>
      <c r="K172" s="137">
        <f>DSUM(SEP_2013_A,23,EZ_111_)</f>
        <v>300</v>
      </c>
      <c r="L172" s="137">
        <f>DSUM(SEP_2013_A,24,EZ_111_)</f>
        <v>300</v>
      </c>
      <c r="M172" s="137">
        <f>DSUM(SEP_2013_A,25,EZ_111_)</f>
        <v>300</v>
      </c>
      <c r="N172" s="137">
        <f>DSUM(SEP_2013_A,26,EZ_111_)</f>
        <v>300</v>
      </c>
      <c r="O172" s="137">
        <f>DSUM(SEP_2013_A,27,EZ_111_)</f>
        <v>300</v>
      </c>
      <c r="P172" s="137">
        <f>DSUM(SEP_2013_A,28,EZ_111_)</f>
        <v>300</v>
      </c>
      <c r="Q172" s="137">
        <f>DSUM(SEP_2013_A,29,EZ_111_)</f>
        <v>300</v>
      </c>
      <c r="R172" s="137">
        <f>DSUM(SEP_2013_A,30,EZ_111_)</f>
        <v>300</v>
      </c>
      <c r="S172" s="137">
        <f>DSUM(SEP_2013_A,31,EZ_111_)</f>
        <v>300</v>
      </c>
      <c r="T172" s="137">
        <f>DSUM(SEP_2013_A,32,EZ_111_)</f>
        <v>0</v>
      </c>
      <c r="U172" s="137">
        <f>DSUM(SEP_2013_A,33,EZ_111_)</f>
        <v>0</v>
      </c>
      <c r="V172" s="137">
        <f>DSUM(SEP_2013_A,34,EZ_111_)</f>
        <v>0</v>
      </c>
    </row>
    <row r="173" spans="2:22" ht="15.95" customHeight="1" x14ac:dyDescent="0.2">
      <c r="B173" s="1" t="s">
        <v>949</v>
      </c>
      <c r="C173" s="129" t="str">
        <f t="shared" si="15"/>
        <v>Rancho Estanzuela No. 115</v>
      </c>
      <c r="D173" s="129" t="str">
        <f t="shared" si="16"/>
        <v>Frías Solórzano</v>
      </c>
      <c r="E173" s="90">
        <f t="shared" si="17"/>
        <v>200</v>
      </c>
      <c r="F173" s="91">
        <f>DSUM(SEP_2013_A,AA,EZ_115_)</f>
        <v>400</v>
      </c>
      <c r="G173" s="90">
        <f t="shared" si="18"/>
        <v>1800</v>
      </c>
      <c r="H173" s="90">
        <f>DSUM(SEP_2013_A,importe,EZ_115_)</f>
        <v>2200</v>
      </c>
      <c r="I173" s="17">
        <f t="shared" si="20"/>
        <v>9</v>
      </c>
      <c r="J173" s="6" t="s">
        <v>1278</v>
      </c>
      <c r="K173" s="137">
        <f>DSUM(SEP_2013_A,23,EZ_115_)</f>
        <v>200</v>
      </c>
      <c r="L173" s="137">
        <f>DSUM(SEP_2013_A,24,EZ_115_)</f>
        <v>200</v>
      </c>
      <c r="M173" s="137">
        <f>DSUM(SEP_2013_A,25,EZ_115_)</f>
        <v>200</v>
      </c>
      <c r="N173" s="137">
        <f>DSUM(SEP_2013_A,26,EZ_115_)</f>
        <v>200</v>
      </c>
      <c r="O173" s="137">
        <f>DSUM(SEP_2013_A,27,EZ_115_)</f>
        <v>200</v>
      </c>
      <c r="P173" s="137">
        <f>DSUM(SEP_2013_A,28,EZ_115_)</f>
        <v>200</v>
      </c>
      <c r="Q173" s="137">
        <f>DSUM(SEP_2013_A,29,EZ_115_)</f>
        <v>200</v>
      </c>
      <c r="R173" s="137">
        <f>DSUM(SEP_2013_A,30,EZ_115_)</f>
        <v>200</v>
      </c>
      <c r="S173" s="137">
        <f>DSUM(SEP_2013_A,31,EZ_115_)</f>
        <v>200</v>
      </c>
      <c r="T173" s="137">
        <f>DSUM(SEP_2013_A,32,EZ_115_)</f>
        <v>0</v>
      </c>
      <c r="U173" s="137">
        <f>DSUM(SEP_2013_A,33,EZ_115_)</f>
        <v>0</v>
      </c>
      <c r="V173" s="137">
        <f>DSUM(SEP_2013_A,34,EZ_115_)</f>
        <v>0</v>
      </c>
    </row>
    <row r="174" spans="2:22" ht="15.95" customHeight="1" x14ac:dyDescent="0.2">
      <c r="B174" s="1" t="s">
        <v>950</v>
      </c>
      <c r="C174" s="129" t="str">
        <f t="shared" si="15"/>
        <v>Rancho Estanzuela No. 117</v>
      </c>
      <c r="D174" s="129" t="str">
        <f t="shared" si="16"/>
        <v>Cordero Nieto</v>
      </c>
      <c r="E174" s="90">
        <f t="shared" si="17"/>
        <v>300</v>
      </c>
      <c r="F174" s="91">
        <f>DSUM(SEP_2013_A,AA,EZ_117_)</f>
        <v>0</v>
      </c>
      <c r="G174" s="90">
        <f t="shared" si="18"/>
        <v>0</v>
      </c>
      <c r="H174" s="90">
        <f>DSUM(SEP_2013_A,importe,EZ_117_)</f>
        <v>0</v>
      </c>
      <c r="I174" s="17">
        <f t="shared" si="20"/>
        <v>0</v>
      </c>
      <c r="J174" s="6" t="s">
        <v>1278</v>
      </c>
      <c r="K174" s="137">
        <f>DSUM(SEP_2013_A,23,EZ_117_)</f>
        <v>0</v>
      </c>
      <c r="L174" s="137">
        <f>DSUM(SEP_2013_A,24,EZ_117_)</f>
        <v>0</v>
      </c>
      <c r="M174" s="137">
        <f>DSUM(SEP_2013_A,25,EZ_117_)</f>
        <v>0</v>
      </c>
      <c r="N174" s="137">
        <f>DSUM(SEP_2013_A,26,EZ_117_)</f>
        <v>0</v>
      </c>
      <c r="O174" s="137">
        <f>DSUM(SEP_2013_A,27,EZ_117_)</f>
        <v>0</v>
      </c>
      <c r="P174" s="137">
        <f>DSUM(SEP_2013_A,28,EZ_117_)</f>
        <v>0</v>
      </c>
      <c r="Q174" s="137">
        <f>DSUM(SEP_2013_A,29,EZ_117_)</f>
        <v>0</v>
      </c>
      <c r="R174" s="137">
        <f>DSUM(SEP_2013_A,30,EZ_117_)</f>
        <v>0</v>
      </c>
      <c r="S174" s="137">
        <f>DSUM(SEP_2013_A,31,EZ_117_)</f>
        <v>0</v>
      </c>
      <c r="T174" s="137">
        <f>DSUM(SEP_2013_A,32,EZ_117_)</f>
        <v>0</v>
      </c>
      <c r="U174" s="137">
        <f>DSUM(SEP_2013_A,33,EZ_117_)</f>
        <v>0</v>
      </c>
      <c r="V174" s="137">
        <f>DSUM(SEP_2013_A,34,EZ_117_)</f>
        <v>0</v>
      </c>
    </row>
    <row r="175" spans="2:22" ht="15.95" customHeight="1" x14ac:dyDescent="0.2">
      <c r="B175" s="1" t="s">
        <v>951</v>
      </c>
      <c r="C175" s="129" t="str">
        <f t="shared" si="15"/>
        <v>Rancho Estanzuela No. 119, 2</v>
      </c>
      <c r="D175" s="129" t="str">
        <f t="shared" si="16"/>
        <v>García Medina</v>
      </c>
      <c r="E175" s="90">
        <f t="shared" si="17"/>
        <v>300</v>
      </c>
      <c r="F175" s="91">
        <f>DSUM(SEP_2013_A,AA,EZ_119_2)</f>
        <v>0</v>
      </c>
      <c r="G175" s="90">
        <f t="shared" si="18"/>
        <v>0</v>
      </c>
      <c r="H175" s="90">
        <f>DSUM(SEP_2013_A,importe,EZ_119_2)</f>
        <v>0</v>
      </c>
      <c r="I175" s="17">
        <f t="shared" si="20"/>
        <v>0</v>
      </c>
      <c r="J175" s="6" t="s">
        <v>1278</v>
      </c>
      <c r="K175" s="137">
        <f>DSUM(SEP_2013_A,23,EZ_119_2)</f>
        <v>0</v>
      </c>
      <c r="L175" s="137">
        <f>DSUM(SEP_2013_A,24,EZ_119_2)</f>
        <v>0</v>
      </c>
      <c r="M175" s="137">
        <f>DSUM(SEP_2013_A,25,EZ_119_2)</f>
        <v>0</v>
      </c>
      <c r="N175" s="137">
        <f>DSUM(SEP_2013_A,26,EZ_119_2)</f>
        <v>0</v>
      </c>
      <c r="O175" s="137">
        <f>DSUM(SEP_2013_A,27,EZ_119_2)</f>
        <v>0</v>
      </c>
      <c r="P175" s="137">
        <f>DSUM(SEP_2013_A,28,EZ_119_2)</f>
        <v>0</v>
      </c>
      <c r="Q175" s="137">
        <f>DSUM(SEP_2013_A,29,EZ_119_2)</f>
        <v>0</v>
      </c>
      <c r="R175" s="137">
        <f>DSUM(SEP_2013_A,30,EZ_119_2)</f>
        <v>0</v>
      </c>
      <c r="S175" s="137">
        <f>DSUM(SEP_2013_A,31,EZ_119_2)</f>
        <v>0</v>
      </c>
      <c r="T175" s="137">
        <f>DSUM(SEP_2013_A,32,EZ_119_2)</f>
        <v>0</v>
      </c>
      <c r="U175" s="137">
        <f>DSUM(SEP_2013_A,33,EZ_119_2)</f>
        <v>0</v>
      </c>
      <c r="V175" s="137">
        <f>DSUM(SEP_2013_A,34,EZ_119_2)</f>
        <v>0</v>
      </c>
    </row>
    <row r="176" spans="2:22" ht="15.95" customHeight="1" x14ac:dyDescent="0.2">
      <c r="B176" s="1" t="s">
        <v>1180</v>
      </c>
      <c r="C176" s="129" t="str">
        <f t="shared" si="15"/>
        <v>Rancho Estanzuela No. 119</v>
      </c>
      <c r="D176" s="129" t="str">
        <f t="shared" si="16"/>
        <v>López Tovar</v>
      </c>
      <c r="E176" s="90">
        <f t="shared" si="17"/>
        <v>300</v>
      </c>
      <c r="F176" s="91">
        <f>DSUM(SEP_2013_A,AA,EZ_119_0)</f>
        <v>800</v>
      </c>
      <c r="G176" s="90">
        <f t="shared" si="18"/>
        <v>300</v>
      </c>
      <c r="H176" s="90">
        <f>DSUM(SEP_2013_A,importe,EZ_119_0)</f>
        <v>1100</v>
      </c>
      <c r="I176" s="17">
        <f t="shared" si="20"/>
        <v>1</v>
      </c>
      <c r="J176" s="6" t="s">
        <v>1278</v>
      </c>
      <c r="K176" s="137">
        <f>DSUM(SEP_2013_A,23,EZ_119_0)</f>
        <v>300</v>
      </c>
      <c r="L176" s="137">
        <f>DSUM(SEP_2013_A,24,EZ_119_0)</f>
        <v>0</v>
      </c>
      <c r="M176" s="137">
        <f>DSUM(SEP_2013_A,25,EZ_119_0)</f>
        <v>0</v>
      </c>
      <c r="N176" s="137">
        <f>DSUM(SEP_2013_A,26,EZ_119_0)</f>
        <v>0</v>
      </c>
      <c r="O176" s="137">
        <f>DSUM(SEP_2013_A,27,EZ_119_0)</f>
        <v>0</v>
      </c>
      <c r="P176" s="137">
        <f>DSUM(SEP_2013_A,28,EZ_119_0)</f>
        <v>0</v>
      </c>
      <c r="Q176" s="137">
        <f>DSUM(SEP_2013_A,29,EZ_119_0)</f>
        <v>0</v>
      </c>
      <c r="R176" s="137">
        <f>DSUM(SEP_2013_A,30,EZ_119_0)</f>
        <v>0</v>
      </c>
      <c r="S176" s="137">
        <f>DSUM(SEP_2013_A,31,EZ_119_0)</f>
        <v>0</v>
      </c>
      <c r="T176" s="137">
        <f>DSUM(SEP_2013_A,32,EZ_119_0)</f>
        <v>0</v>
      </c>
      <c r="U176" s="137">
        <f>DSUM(SEP_2013_A,33,EZ_119_0)</f>
        <v>0</v>
      </c>
      <c r="V176" s="137">
        <f>DSUM(SEP_2013_A,34,EZ_119_0)</f>
        <v>0</v>
      </c>
    </row>
    <row r="177" spans="1:22" ht="15.95" customHeight="1" x14ac:dyDescent="0.2">
      <c r="B177" s="1" t="s">
        <v>952</v>
      </c>
      <c r="C177" s="129" t="str">
        <f t="shared" si="15"/>
        <v>Rancho Estanzuela No. 121</v>
      </c>
      <c r="D177" s="129" t="str">
        <f t="shared" si="16"/>
        <v>López López</v>
      </c>
      <c r="E177" s="90">
        <f t="shared" si="17"/>
        <v>300</v>
      </c>
      <c r="F177" s="91">
        <f>DSUM(SEP_2013_A,AA,EZ_121_)</f>
        <v>0</v>
      </c>
      <c r="G177" s="90">
        <f t="shared" si="18"/>
        <v>0</v>
      </c>
      <c r="H177" s="90">
        <f>DSUM(SEP_2013_A,importe,EZ_121_)</f>
        <v>0</v>
      </c>
      <c r="I177" s="17">
        <f t="shared" si="20"/>
        <v>0</v>
      </c>
      <c r="J177" s="6" t="s">
        <v>1278</v>
      </c>
      <c r="K177" s="137">
        <f>DSUM(SEP_2013_A,23,EZ_121_)</f>
        <v>0</v>
      </c>
      <c r="L177" s="137">
        <f>DSUM(SEP_2013_A,24,EZ_121_)</f>
        <v>0</v>
      </c>
      <c r="M177" s="137">
        <f>DSUM(SEP_2013_A,25,EZ_121_)</f>
        <v>0</v>
      </c>
      <c r="N177" s="137">
        <f>DSUM(SEP_2013_A,26,EZ_121_)</f>
        <v>0</v>
      </c>
      <c r="O177" s="137">
        <f>DSUM(SEP_2013_A,27,EZ_121_)</f>
        <v>0</v>
      </c>
      <c r="P177" s="137">
        <f>DSUM(SEP_2013_A,28,EZ_121_)</f>
        <v>0</v>
      </c>
      <c r="Q177" s="137">
        <f>DSUM(SEP_2013_A,29,EZ_121_)</f>
        <v>0</v>
      </c>
      <c r="R177" s="137">
        <f>DSUM(SEP_2013_A,30,EZ_121_)</f>
        <v>0</v>
      </c>
      <c r="S177" s="137">
        <f>DSUM(SEP_2013_A,31,EZ_121_)</f>
        <v>0</v>
      </c>
      <c r="T177" s="137">
        <f>DSUM(SEP_2013_A,32,EZ_121_)</f>
        <v>0</v>
      </c>
      <c r="U177" s="137">
        <f>DSUM(SEP_2013_A,33,EZ_121_)</f>
        <v>0</v>
      </c>
      <c r="V177" s="137">
        <f>DSUM(SEP_2013_A,34,EZ_121_)</f>
        <v>0</v>
      </c>
    </row>
    <row r="178" spans="1:22" ht="15.95" customHeight="1" x14ac:dyDescent="0.2">
      <c r="B178" s="1" t="s">
        <v>953</v>
      </c>
      <c r="C178" s="129" t="str">
        <f t="shared" si="15"/>
        <v>Rancho Estanzuela No. 123</v>
      </c>
      <c r="D178" s="129" t="str">
        <f t="shared" si="16"/>
        <v>Bueno Rendón</v>
      </c>
      <c r="E178" s="90">
        <f t="shared" si="17"/>
        <v>150</v>
      </c>
      <c r="F178" s="91">
        <f>DSUM(SEP_2013_A,AA,EZ_123_)</f>
        <v>150</v>
      </c>
      <c r="G178" s="90">
        <f t="shared" si="18"/>
        <v>150</v>
      </c>
      <c r="H178" s="90">
        <f>DSUM(SEP_2013_A,importe,EZ_123_)</f>
        <v>300</v>
      </c>
      <c r="I178" s="17">
        <f t="shared" si="20"/>
        <v>1</v>
      </c>
      <c r="J178" s="6" t="s">
        <v>1278</v>
      </c>
      <c r="K178" s="137">
        <f>DSUM(SEP_2013_A,23,EZ_123_)</f>
        <v>150</v>
      </c>
      <c r="L178" s="137">
        <f>DSUM(SEP_2013_A,24,EZ_123_)</f>
        <v>0</v>
      </c>
      <c r="M178" s="137">
        <f>DSUM(SEP_2013_A,25,EZ_123_)</f>
        <v>0</v>
      </c>
      <c r="N178" s="137">
        <f>DSUM(SEP_2013_A,26,EZ_123_)</f>
        <v>0</v>
      </c>
      <c r="O178" s="137">
        <f>DSUM(SEP_2013_A,27,EZ_123_)</f>
        <v>0</v>
      </c>
      <c r="P178" s="137">
        <f>DSUM(SEP_2013_A,28,EZ_123_)</f>
        <v>0</v>
      </c>
      <c r="Q178" s="137">
        <f>DSUM(SEP_2013_A,29,EZ_123_)</f>
        <v>0</v>
      </c>
      <c r="R178" s="137">
        <f>DSUM(SEP_2013_A,30,EZ_123_)</f>
        <v>0</v>
      </c>
      <c r="S178" s="137">
        <f>DSUM(SEP_2013_A,31,EZ_123_)</f>
        <v>0</v>
      </c>
      <c r="T178" s="137">
        <f>DSUM(SEP_2013_A,32,EZ_123_)</f>
        <v>0</v>
      </c>
      <c r="U178" s="137">
        <f>DSUM(SEP_2013_A,33,EZ_123_)</f>
        <v>0</v>
      </c>
      <c r="V178" s="137">
        <f>DSUM(SEP_2013_A,34,EZ_123_)</f>
        <v>0</v>
      </c>
    </row>
    <row r="179" spans="1:22" ht="15.95" customHeight="1" x14ac:dyDescent="0.2">
      <c r="B179" s="1" t="s">
        <v>954</v>
      </c>
      <c r="C179" s="129" t="str">
        <f t="shared" si="15"/>
        <v>Rancho Estanzuela No. 127</v>
      </c>
      <c r="D179" s="129" t="str">
        <f t="shared" si="16"/>
        <v>Luna Zepeda</v>
      </c>
      <c r="E179" s="90">
        <f t="shared" si="17"/>
        <v>200</v>
      </c>
      <c r="F179" s="91">
        <f>DSUM(SEP_2013_A,AA,EZ_127_)</f>
        <v>400</v>
      </c>
      <c r="G179" s="90">
        <f t="shared" si="18"/>
        <v>0</v>
      </c>
      <c r="H179" s="90">
        <f>DSUM(SEP_2013_A,importe,EZ_127_)</f>
        <v>400</v>
      </c>
      <c r="I179" s="17">
        <f t="shared" si="20"/>
        <v>0</v>
      </c>
      <c r="J179" s="6" t="s">
        <v>1278</v>
      </c>
      <c r="K179" s="137">
        <f>DSUM(SEP_2013_A,23,EZ_127_)</f>
        <v>0</v>
      </c>
      <c r="L179" s="137">
        <f>DSUM(SEP_2013_A,24,EZ_127_)</f>
        <v>0</v>
      </c>
      <c r="M179" s="137">
        <f>DSUM(SEP_2013_A,25,EZ_127_)</f>
        <v>0</v>
      </c>
      <c r="N179" s="137">
        <f>DSUM(SEP_2013_A,26,EZ_127_)</f>
        <v>0</v>
      </c>
      <c r="O179" s="137">
        <f>DSUM(SEP_2013_A,27,EZ_127_)</f>
        <v>0</v>
      </c>
      <c r="P179" s="137">
        <f>DSUM(SEP_2013_A,28,EZ_127_)</f>
        <v>0</v>
      </c>
      <c r="Q179" s="137">
        <f>DSUM(SEP_2013_A,29,EZ_127_)</f>
        <v>0</v>
      </c>
      <c r="R179" s="137">
        <f>DSUM(SEP_2013_A,30,EZ_127_)</f>
        <v>0</v>
      </c>
      <c r="S179" s="137">
        <f>DSUM(SEP_2013_A,31,EZ_127_)</f>
        <v>0</v>
      </c>
      <c r="T179" s="137">
        <f>DSUM(SEP_2013_A,32,EZ_127_)</f>
        <v>0</v>
      </c>
      <c r="U179" s="137">
        <f>DSUM(SEP_2013_A,33,EZ_127_)</f>
        <v>0</v>
      </c>
      <c r="V179" s="137">
        <f>DSUM(SEP_2013_A,34,EZ_127_)</f>
        <v>0</v>
      </c>
    </row>
    <row r="180" spans="1:22" ht="15.95" customHeight="1" x14ac:dyDescent="0.2">
      <c r="B180" s="1" t="s">
        <v>955</v>
      </c>
      <c r="C180" s="129" t="str">
        <f t="shared" si="15"/>
        <v>Rancho Estanzuela No. 129</v>
      </c>
      <c r="D180" s="129" t="str">
        <f t="shared" si="16"/>
        <v>González</v>
      </c>
      <c r="E180" s="90">
        <f t="shared" si="17"/>
        <v>300</v>
      </c>
      <c r="F180" s="91">
        <f>DSUM(SEP_2013_A,AA,EZ_129_)</f>
        <v>0</v>
      </c>
      <c r="G180" s="90">
        <f t="shared" si="18"/>
        <v>0</v>
      </c>
      <c r="H180" s="90">
        <f>DSUM(SEP_2013_A,importe,EZ_129_)</f>
        <v>0</v>
      </c>
      <c r="I180" s="17">
        <f t="shared" si="20"/>
        <v>0</v>
      </c>
      <c r="J180" s="6" t="s">
        <v>1278</v>
      </c>
      <c r="K180" s="137">
        <f>DSUM(SEP_2013_A,23,EZ_129_)</f>
        <v>0</v>
      </c>
      <c r="L180" s="137">
        <f>DSUM(SEP_2013_A,24,EZ_129_)</f>
        <v>0</v>
      </c>
      <c r="M180" s="137">
        <f>DSUM(SEP_2013_A,25,EZ_129_)</f>
        <v>0</v>
      </c>
      <c r="N180" s="137">
        <f>DSUM(SEP_2013_A,26,EZ_129_)</f>
        <v>0</v>
      </c>
      <c r="O180" s="137">
        <f>DSUM(SEP_2013_A,27,EZ_129_)</f>
        <v>0</v>
      </c>
      <c r="P180" s="137">
        <f>DSUM(SEP_2013_A,28,EZ_129_)</f>
        <v>0</v>
      </c>
      <c r="Q180" s="137">
        <f>DSUM(SEP_2013_A,29,EZ_129_)</f>
        <v>0</v>
      </c>
      <c r="R180" s="137">
        <f>DSUM(SEP_2013_A,30,EZ_129_)</f>
        <v>0</v>
      </c>
      <c r="S180" s="137">
        <f>DSUM(SEP_2013_A,31,EZ_129_)</f>
        <v>0</v>
      </c>
      <c r="T180" s="137">
        <f>DSUM(SEP_2013_A,32,EZ_129_)</f>
        <v>0</v>
      </c>
      <c r="U180" s="137">
        <f>DSUM(SEP_2013_A,33,EZ_129_)</f>
        <v>0</v>
      </c>
      <c r="V180" s="137">
        <f>DSUM(SEP_2013_A,34,EZ_129_)</f>
        <v>0</v>
      </c>
    </row>
    <row r="181" spans="1:22" ht="15.95" customHeight="1" x14ac:dyDescent="0.2">
      <c r="A181" s="158"/>
      <c r="B181" s="111" t="s">
        <v>1703</v>
      </c>
      <c r="C181" s="130" t="str">
        <f t="shared" si="15"/>
        <v>Rancho Estanzuela No. 130, A</v>
      </c>
      <c r="D181" s="130" t="str">
        <f t="shared" si="16"/>
        <v>Colegio Carmel</v>
      </c>
      <c r="E181" s="91">
        <f t="shared" si="17"/>
        <v>10000</v>
      </c>
      <c r="F181" s="91">
        <f>DSUM(SEP_2013_A,AA,CM_130_A)</f>
        <v>0</v>
      </c>
      <c r="G181" s="91">
        <f t="shared" si="18"/>
        <v>80000</v>
      </c>
      <c r="H181" s="91">
        <f>DSUM(BCO_SEP13_A,7,CM_130_A)</f>
        <v>80000</v>
      </c>
      <c r="I181" s="159">
        <f t="shared" si="20"/>
        <v>8</v>
      </c>
      <c r="J181" s="186" t="s">
        <v>1701</v>
      </c>
      <c r="K181" s="157">
        <f>DSUM(BCO_ENE13,7,CM_130_A)</f>
        <v>10000</v>
      </c>
      <c r="L181" s="157">
        <f>DSUM(BCO_FEB13,7,CM_130_A)</f>
        <v>10000</v>
      </c>
      <c r="M181" s="157">
        <f>DSUM(BCO_MAR13,7,CM_130_A)</f>
        <v>10000</v>
      </c>
      <c r="N181" s="157">
        <f>DSUM(BCO_ABR13,7,CM_130_A)</f>
        <v>0</v>
      </c>
      <c r="O181" s="157">
        <f>DSUM(BCO_MAY13,7,CM_130_A)</f>
        <v>20000</v>
      </c>
      <c r="P181" s="157">
        <f>DSUM(BCO_JUN13,7,CM_130_A)</f>
        <v>10000</v>
      </c>
      <c r="Q181" s="157">
        <f>DSUM(BCO_JUL13,7,CM_130_A)</f>
        <v>10000</v>
      </c>
      <c r="R181" s="157">
        <f>DSUM(BCO_AGO13,7,CM_130_A)</f>
        <v>10000</v>
      </c>
      <c r="S181" s="157">
        <f>DSUM(BCO_SEP13,7,CM_130_A)</f>
        <v>0</v>
      </c>
      <c r="T181" s="137"/>
      <c r="U181" s="137"/>
      <c r="V181" s="137"/>
    </row>
    <row r="182" spans="1:22" ht="15.95" customHeight="1" x14ac:dyDescent="0.2">
      <c r="B182" s="1" t="s">
        <v>965</v>
      </c>
      <c r="C182" s="129" t="str">
        <f t="shared" si="15"/>
        <v>Rancho Estanzuela No. 130, B</v>
      </c>
      <c r="D182" s="129" t="str">
        <f t="shared" si="16"/>
        <v>Morales</v>
      </c>
      <c r="E182" s="90">
        <f t="shared" si="17"/>
        <v>300</v>
      </c>
      <c r="F182" s="91">
        <f>DSUM(SEP_2013_A,AA,EZ_130_B)</f>
        <v>0</v>
      </c>
      <c r="G182" s="90">
        <f t="shared" si="18"/>
        <v>0</v>
      </c>
      <c r="H182" s="90">
        <f>DSUM(SEP_2013_A,importe,EZ_130_B)</f>
        <v>0</v>
      </c>
      <c r="I182" s="17">
        <f t="shared" si="20"/>
        <v>0</v>
      </c>
      <c r="J182" s="6" t="s">
        <v>1278</v>
      </c>
      <c r="K182" s="137">
        <f>DSUM(SEP_2013_A,23,EZ_130_B)</f>
        <v>0</v>
      </c>
      <c r="L182" s="137">
        <f>DSUM(SEP_2013_A,24,EZ_130_B)</f>
        <v>0</v>
      </c>
      <c r="M182" s="137">
        <f>DSUM(SEP_2013_A,25,EZ_130_B)</f>
        <v>0</v>
      </c>
      <c r="N182" s="137">
        <f>DSUM(SEP_2013_A,26,EZ_130_B)</f>
        <v>0</v>
      </c>
      <c r="O182" s="137">
        <f>DSUM(SEP_2013_A,27,EZ_130_B)</f>
        <v>0</v>
      </c>
      <c r="P182" s="137">
        <f>DSUM(SEP_2013_A,28,EZ_130_B)</f>
        <v>0</v>
      </c>
      <c r="Q182" s="137">
        <f>DSUM(SEP_2013_A,29,EZ_130_B)</f>
        <v>0</v>
      </c>
      <c r="R182" s="137">
        <f>DSUM(SEP_2013_A,30,EZ_130_B)</f>
        <v>0</v>
      </c>
      <c r="S182" s="137">
        <f>DSUM(SEP_2013_A,31,EZ_130_B)</f>
        <v>0</v>
      </c>
      <c r="T182" s="137">
        <f>DSUM(SEP_2013_A,32,EZ_130_B)</f>
        <v>0</v>
      </c>
      <c r="U182" s="137">
        <f>DSUM(SEP_2013_A,33,EZ_130_B)</f>
        <v>0</v>
      </c>
      <c r="V182" s="137">
        <f>DSUM(SEP_2013_A,34,EZ_130_B)</f>
        <v>0</v>
      </c>
    </row>
    <row r="183" spans="1:22" ht="15.95" customHeight="1" x14ac:dyDescent="0.2">
      <c r="B183" s="1" t="s">
        <v>1842</v>
      </c>
      <c r="C183" s="129" t="str">
        <f t="shared" si="15"/>
        <v>Rancho Estanzuela No. 133</v>
      </c>
      <c r="D183" s="129" t="str">
        <f t="shared" si="16"/>
        <v>Hernández Salazar</v>
      </c>
      <c r="E183" s="90">
        <f t="shared" si="17"/>
        <v>250</v>
      </c>
      <c r="F183" s="91">
        <f>DSUM(SEP_2013_A,AA,EZ_133_)</f>
        <v>250</v>
      </c>
      <c r="G183" s="90">
        <f t="shared" si="18"/>
        <v>2250</v>
      </c>
      <c r="H183" s="90">
        <f>DSUM(SEP_2013_A,importe,EZ_133_)</f>
        <v>2500</v>
      </c>
      <c r="I183" s="17">
        <f t="shared" si="20"/>
        <v>9</v>
      </c>
      <c r="J183" s="6" t="s">
        <v>1278</v>
      </c>
      <c r="K183" s="137">
        <f>DSUM(SEP_2013_A,23,EZ_133_)</f>
        <v>250</v>
      </c>
      <c r="L183" s="137">
        <f>DSUM(SEP_2013_A,24,EZ_133_)</f>
        <v>250</v>
      </c>
      <c r="M183" s="137">
        <f>DSUM(SEP_2013_A,25,EZ_133_)</f>
        <v>250</v>
      </c>
      <c r="N183" s="137">
        <f>DSUM(SEP_2013_A,26,EZ_133_)</f>
        <v>250</v>
      </c>
      <c r="O183" s="137">
        <f>DSUM(SEP_2013_A,27,EZ_133_)</f>
        <v>250</v>
      </c>
      <c r="P183" s="137">
        <f>DSUM(SEP_2013_A,28,EZ_133_)</f>
        <v>250</v>
      </c>
      <c r="Q183" s="137">
        <f>DSUM(SEP_2013_A,29,EZ_133_)</f>
        <v>250</v>
      </c>
      <c r="R183" s="137">
        <f>DSUM(SEP_2013_A,30,EZ_133_)</f>
        <v>250</v>
      </c>
      <c r="S183" s="137">
        <f>DSUM(SEP_2013_A,31,EZ_133_)</f>
        <v>250</v>
      </c>
      <c r="T183" s="137">
        <f>DSUM(SEP_2013_A,32,EZ_133_)</f>
        <v>0</v>
      </c>
      <c r="U183" s="137">
        <f>DSUM(SEP_2013_A,33,EZ_133_)</f>
        <v>0</v>
      </c>
      <c r="V183" s="137">
        <f>DSUM(SEP_2013_A,34,EZ_133_)</f>
        <v>0</v>
      </c>
    </row>
    <row r="184" spans="1:22" ht="15.95" customHeight="1" x14ac:dyDescent="0.2">
      <c r="B184" s="1" t="s">
        <v>956</v>
      </c>
      <c r="C184" s="129" t="str">
        <f t="shared" si="15"/>
        <v>Rancho Estanzuela No. 135</v>
      </c>
      <c r="D184" s="129" t="str">
        <f t="shared" si="16"/>
        <v>Iglesias</v>
      </c>
      <c r="E184" s="90">
        <f t="shared" si="17"/>
        <v>300</v>
      </c>
      <c r="F184" s="91">
        <f>DSUM(SEP_2013_A,AA,EZ_135_)</f>
        <v>0</v>
      </c>
      <c r="G184" s="90">
        <f t="shared" si="18"/>
        <v>0</v>
      </c>
      <c r="H184" s="90">
        <f>DSUM(SEP_2013_A,importe,EZ_135_)</f>
        <v>0</v>
      </c>
      <c r="I184" s="17">
        <f t="shared" si="20"/>
        <v>0</v>
      </c>
      <c r="J184" s="6" t="s">
        <v>1278</v>
      </c>
      <c r="K184" s="137">
        <f>DSUM(SEP_2013_A,23,EZ_135_)</f>
        <v>0</v>
      </c>
      <c r="L184" s="137">
        <f>DSUM(SEP_2013_A,24,EZ_135_)</f>
        <v>0</v>
      </c>
      <c r="M184" s="137">
        <f>DSUM(SEP_2013_A,25,EZ_135_)</f>
        <v>0</v>
      </c>
      <c r="N184" s="137">
        <f>DSUM(SEP_2013_A,26,EZ_135_)</f>
        <v>0</v>
      </c>
      <c r="O184" s="137">
        <f>DSUM(SEP_2013_A,27,EZ_135_)</f>
        <v>0</v>
      </c>
      <c r="P184" s="137">
        <f>DSUM(SEP_2013_A,28,EZ_135_)</f>
        <v>0</v>
      </c>
      <c r="Q184" s="137">
        <f>DSUM(SEP_2013_A,29,EZ_135_)</f>
        <v>0</v>
      </c>
      <c r="R184" s="137">
        <f>DSUM(SEP_2013_A,30,EZ_135_)</f>
        <v>0</v>
      </c>
      <c r="S184" s="137">
        <f>DSUM(SEP_2013_A,31,EZ_135_)</f>
        <v>0</v>
      </c>
      <c r="T184" s="137">
        <f>DSUM(SEP_2013_A,32,EZ_135_)</f>
        <v>0</v>
      </c>
      <c r="U184" s="137">
        <f>DSUM(SEP_2013_A,33,EZ_135_)</f>
        <v>0</v>
      </c>
      <c r="V184" s="137">
        <f>DSUM(SEP_2013_A,34,EZ_135_)</f>
        <v>0</v>
      </c>
    </row>
    <row r="185" spans="1:22" ht="15.95" customHeight="1" x14ac:dyDescent="0.2">
      <c r="B185" s="1" t="s">
        <v>762</v>
      </c>
      <c r="C185" s="129" t="str">
        <f t="shared" si="15"/>
        <v>Rancho Estanzuela No. 139</v>
      </c>
      <c r="D185" s="129" t="str">
        <f t="shared" si="16"/>
        <v>Ortiz</v>
      </c>
      <c r="E185" s="90">
        <f t="shared" si="17"/>
        <v>300</v>
      </c>
      <c r="F185" s="91">
        <f>DSUM(SEP_2013_A,AA,EZ_139_)</f>
        <v>300</v>
      </c>
      <c r="G185" s="90">
        <f t="shared" si="18"/>
        <v>3000</v>
      </c>
      <c r="H185" s="90">
        <f>DSUM(SEP_2013_A,importe,EZ_139_)</f>
        <v>3300</v>
      </c>
      <c r="I185" s="17">
        <f t="shared" si="20"/>
        <v>10</v>
      </c>
      <c r="J185" s="6" t="s">
        <v>1278</v>
      </c>
      <c r="K185" s="137">
        <f>DSUM(SEP_2013_A,23,EZ_139_)</f>
        <v>300</v>
      </c>
      <c r="L185" s="137">
        <f>DSUM(SEP_2013_A,24,EZ_139_)</f>
        <v>300</v>
      </c>
      <c r="M185" s="137">
        <f>DSUM(SEP_2013_A,25,EZ_139_)</f>
        <v>300</v>
      </c>
      <c r="N185" s="137">
        <f>DSUM(SEP_2013_A,26,EZ_139_)</f>
        <v>300</v>
      </c>
      <c r="O185" s="137">
        <f>DSUM(SEP_2013_A,27,EZ_139_)</f>
        <v>300</v>
      </c>
      <c r="P185" s="137">
        <f>DSUM(SEP_2013_A,28,EZ_139_)</f>
        <v>300</v>
      </c>
      <c r="Q185" s="137">
        <f>DSUM(SEP_2013_A,29,EZ_139_)</f>
        <v>300</v>
      </c>
      <c r="R185" s="137">
        <f>DSUM(SEP_2013_A,30,EZ_139_)</f>
        <v>300</v>
      </c>
      <c r="S185" s="137">
        <f>DSUM(SEP_2013_A,31,EZ_139_)</f>
        <v>300</v>
      </c>
      <c r="T185" s="137">
        <f>DSUM(SEP_2013_A,32,EZ_139_)</f>
        <v>300</v>
      </c>
      <c r="U185" s="137">
        <f>DSUM(SEP_2013_A,33,EZ_139_)</f>
        <v>0</v>
      </c>
      <c r="V185" s="137">
        <f>DSUM(SEP_2013_A,34,EZ_139_)</f>
        <v>0</v>
      </c>
    </row>
    <row r="186" spans="1:22" ht="15.95" customHeight="1" x14ac:dyDescent="0.2">
      <c r="B186" s="1" t="s">
        <v>957</v>
      </c>
      <c r="C186" s="129" t="str">
        <f t="shared" si="15"/>
        <v>Rancho Estanzuela No. 141</v>
      </c>
      <c r="D186" s="129" t="str">
        <f t="shared" si="16"/>
        <v>Castillo Toledano</v>
      </c>
      <c r="E186" s="90">
        <f t="shared" si="17"/>
        <v>300</v>
      </c>
      <c r="F186" s="91">
        <f>DSUM(SEP_2013_A,AA,EZ_141_)</f>
        <v>1200</v>
      </c>
      <c r="G186" s="90">
        <f t="shared" si="18"/>
        <v>1800</v>
      </c>
      <c r="H186" s="90">
        <f>DSUM(SEP_2013_A,importe,EZ_141_)</f>
        <v>3000</v>
      </c>
      <c r="I186" s="17">
        <f t="shared" si="20"/>
        <v>6</v>
      </c>
      <c r="J186" s="6" t="s">
        <v>1278</v>
      </c>
      <c r="K186" s="137">
        <f>DSUM(SEP_2013_A,23,EZ_141_)</f>
        <v>300</v>
      </c>
      <c r="L186" s="137">
        <f>DSUM(SEP_2013_A,24,EZ_141_)</f>
        <v>300</v>
      </c>
      <c r="M186" s="137">
        <f>DSUM(SEP_2013_A,25,EZ_141_)</f>
        <v>300</v>
      </c>
      <c r="N186" s="137">
        <f>DSUM(SEP_2013_A,26,EZ_141_)</f>
        <v>300</v>
      </c>
      <c r="O186" s="137">
        <f>DSUM(SEP_2013_A,27,EZ_141_)</f>
        <v>300</v>
      </c>
      <c r="P186" s="137">
        <f>DSUM(SEP_2013_A,28,EZ_141_)</f>
        <v>300</v>
      </c>
      <c r="Q186" s="137">
        <f>DSUM(SEP_2013_A,29,EZ_141_)</f>
        <v>0</v>
      </c>
      <c r="R186" s="137">
        <f>DSUM(SEP_2013_A,30,EZ_141_)</f>
        <v>0</v>
      </c>
      <c r="S186" s="137">
        <f>DSUM(SEP_2013_A,31,EZ_141_)</f>
        <v>0</v>
      </c>
      <c r="T186" s="137">
        <f>DSUM(SEP_2013_A,32,EZ_141_)</f>
        <v>0</v>
      </c>
      <c r="U186" s="137">
        <f>DSUM(SEP_2013_A,33,EZ_141_)</f>
        <v>0</v>
      </c>
      <c r="V186" s="137">
        <f>DSUM(SEP_2013_A,34,EZ_141_)</f>
        <v>0</v>
      </c>
    </row>
    <row r="187" spans="1:22" ht="15.95" customHeight="1" x14ac:dyDescent="0.2">
      <c r="B187" s="1" t="s">
        <v>1332</v>
      </c>
      <c r="C187" s="129" t="str">
        <f t="shared" si="15"/>
        <v>Rancho Estanzuela No. 147, 1</v>
      </c>
      <c r="D187" s="129" t="str">
        <f t="shared" si="16"/>
        <v>De la Rosa Enrique</v>
      </c>
      <c r="E187" s="90">
        <f t="shared" si="17"/>
        <v>100</v>
      </c>
      <c r="F187" s="91">
        <f>DSUM(SEP_2013_A,AA,EZ_147_1)</f>
        <v>0</v>
      </c>
      <c r="G187" s="90">
        <f t="shared" si="18"/>
        <v>300</v>
      </c>
      <c r="H187" s="90">
        <f>DSUM(SEP_2013_A,importe,EZ_147_1)</f>
        <v>300</v>
      </c>
      <c r="I187" s="17">
        <f t="shared" si="20"/>
        <v>3</v>
      </c>
      <c r="J187" s="6" t="s">
        <v>1278</v>
      </c>
      <c r="K187" s="137">
        <f>DSUM(SEP_2013_A,23,EZ_147_1)</f>
        <v>100</v>
      </c>
      <c r="L187" s="137">
        <f>DSUM(SEP_2013_A,24,EZ_147_1)</f>
        <v>100</v>
      </c>
      <c r="M187" s="137">
        <f>DSUM(SEP_2013_A,25,EZ_147_1)</f>
        <v>100</v>
      </c>
      <c r="N187" s="137">
        <f>DSUM(SEP_2013_A,26,EZ_147_1)</f>
        <v>0</v>
      </c>
      <c r="O187" s="137">
        <f>DSUM(SEP_2013_A,27,EZ_147_1)</f>
        <v>0</v>
      </c>
      <c r="P187" s="137">
        <f>DSUM(SEP_2013_A,28,EZ_147_1)</f>
        <v>0</v>
      </c>
      <c r="Q187" s="137">
        <f>DSUM(SEP_2013_A,29,EZ_147_1)</f>
        <v>0</v>
      </c>
      <c r="R187" s="137">
        <f>DSUM(SEP_2013_A,30,EZ_147_1)</f>
        <v>0</v>
      </c>
      <c r="S187" s="137">
        <f>DSUM(SEP_2013_A,31,EZ_147_1)</f>
        <v>0</v>
      </c>
      <c r="T187" s="137">
        <f>DSUM(SEP_2013_A,32,EZ_147_1)</f>
        <v>0</v>
      </c>
      <c r="U187" s="137">
        <f>DSUM(SEP_2013_A,33,EZ_147_1)</f>
        <v>0</v>
      </c>
      <c r="V187" s="137">
        <f>DSUM(SEP_2013_A,34,EZ_147_1)</f>
        <v>0</v>
      </c>
    </row>
    <row r="188" spans="1:22" ht="15.95" customHeight="1" x14ac:dyDescent="0.2">
      <c r="B188" s="1" t="s">
        <v>1333</v>
      </c>
      <c r="C188" s="129" t="str">
        <f t="shared" si="15"/>
        <v>Rancho Estanzuela No. 147, 2</v>
      </c>
      <c r="D188" s="129" t="str">
        <f t="shared" si="16"/>
        <v>Castrejón Ocampo</v>
      </c>
      <c r="E188" s="90">
        <f t="shared" si="17"/>
        <v>300</v>
      </c>
      <c r="F188" s="91">
        <f>DSUM(SEP_2013_A,AA,EZ_147_2)</f>
        <v>600</v>
      </c>
      <c r="G188" s="90">
        <f t="shared" si="18"/>
        <v>600</v>
      </c>
      <c r="H188" s="90">
        <f>DSUM(SEP_2013_A,importe,EZ_147_2)</f>
        <v>1200</v>
      </c>
      <c r="I188" s="17">
        <f t="shared" si="20"/>
        <v>2</v>
      </c>
      <c r="J188" s="6" t="s">
        <v>1278</v>
      </c>
      <c r="K188" s="137">
        <f>DSUM(SEP_2013_A,23,EZ_147_2)</f>
        <v>300</v>
      </c>
      <c r="L188" s="137">
        <f>DSUM(SEP_2013_A,24,EZ_147_2)</f>
        <v>300</v>
      </c>
      <c r="M188" s="137">
        <f>DSUM(SEP_2013_A,25,EZ_147_2)</f>
        <v>0</v>
      </c>
      <c r="N188" s="137">
        <f>DSUM(SEP_2013_A,26,EZ_147_2)</f>
        <v>0</v>
      </c>
      <c r="O188" s="137">
        <f>DSUM(SEP_2013_A,27,EZ_147_2)</f>
        <v>0</v>
      </c>
      <c r="P188" s="137">
        <f>DSUM(SEP_2013_A,28,EZ_147_2)</f>
        <v>0</v>
      </c>
      <c r="Q188" s="137">
        <f>DSUM(SEP_2013_A,29,EZ_147_2)</f>
        <v>0</v>
      </c>
      <c r="R188" s="137">
        <f>DSUM(SEP_2013_A,30,EZ_147_2)</f>
        <v>0</v>
      </c>
      <c r="S188" s="137">
        <f>DSUM(SEP_2013_A,31,EZ_147_2)</f>
        <v>0</v>
      </c>
      <c r="T188" s="137">
        <f>DSUM(SEP_2013_A,32,EZ_147_2)</f>
        <v>0</v>
      </c>
      <c r="U188" s="137">
        <f>DSUM(SEP_2013_A,33,EZ_147_2)</f>
        <v>0</v>
      </c>
      <c r="V188" s="137">
        <f>DSUM(SEP_2013_A,34,EZ_147_2)</f>
        <v>0</v>
      </c>
    </row>
    <row r="189" spans="1:22" ht="15.95" customHeight="1" x14ac:dyDescent="0.2">
      <c r="B189" s="1" t="s">
        <v>1334</v>
      </c>
      <c r="C189" s="129" t="str">
        <f t="shared" si="15"/>
        <v>Rancho Estanzuela No. 147, 3</v>
      </c>
      <c r="D189" s="129" t="str">
        <f t="shared" si="16"/>
        <v>Corrales</v>
      </c>
      <c r="E189" s="90">
        <f t="shared" si="17"/>
        <v>0</v>
      </c>
      <c r="F189" s="91">
        <f>DSUM(SEP_2013_A,AA,EZ_147_3)</f>
        <v>0</v>
      </c>
      <c r="G189" s="90">
        <f t="shared" si="18"/>
        <v>0</v>
      </c>
      <c r="H189" s="90">
        <f>DSUM(SEP_2013_A,importe,EZ_147_3)</f>
        <v>0</v>
      </c>
      <c r="I189" s="17">
        <f t="shared" si="20"/>
        <v>0</v>
      </c>
      <c r="J189" s="6" t="s">
        <v>1278</v>
      </c>
      <c r="K189" s="137">
        <f>DSUM(SEP_2013_A,23,EZ_147_3)</f>
        <v>0</v>
      </c>
      <c r="L189" s="137">
        <f>DSUM(SEP_2013_A,24,EZ_147_3)</f>
        <v>0</v>
      </c>
      <c r="M189" s="137">
        <f>DSUM(SEP_2013_A,25,EZ_147_3)</f>
        <v>0</v>
      </c>
      <c r="N189" s="137">
        <f>DSUM(SEP_2013_A,26,EZ_147_3)</f>
        <v>0</v>
      </c>
      <c r="O189" s="137">
        <f>DSUM(SEP_2013_A,27,EZ_147_3)</f>
        <v>0</v>
      </c>
      <c r="P189" s="137">
        <f>DSUM(SEP_2013_A,28,EZ_147_3)</f>
        <v>0</v>
      </c>
      <c r="Q189" s="137">
        <f>DSUM(SEP_2013_A,29,EZ_147_3)</f>
        <v>0</v>
      </c>
      <c r="R189" s="137">
        <f>DSUM(SEP_2013_A,30,EZ_147_3)</f>
        <v>0</v>
      </c>
      <c r="S189" s="137">
        <f>DSUM(SEP_2013_A,31,EZ_147_3)</f>
        <v>0</v>
      </c>
      <c r="T189" s="137">
        <f>DSUM(SEP_2013_A,32,EZ_147_3)</f>
        <v>0</v>
      </c>
      <c r="U189" s="137">
        <f>DSUM(SEP_2013_A,33,EZ_147_3)</f>
        <v>0</v>
      </c>
      <c r="V189" s="137">
        <f>DSUM(SEP_2013_A,34,EZ_147_3)</f>
        <v>0</v>
      </c>
    </row>
    <row r="190" spans="1:22" ht="15.95" customHeight="1" x14ac:dyDescent="0.2">
      <c r="B190" s="1" t="s">
        <v>958</v>
      </c>
      <c r="C190" s="129" t="str">
        <f t="shared" si="15"/>
        <v>Rancho Estanzuela No. 149</v>
      </c>
      <c r="D190" s="129" t="str">
        <f t="shared" si="16"/>
        <v>Sala</v>
      </c>
      <c r="E190" s="90">
        <f t="shared" si="17"/>
        <v>300</v>
      </c>
      <c r="F190" s="91">
        <f>DSUM(SEP_2013_A,AA,EZ_149_)</f>
        <v>0</v>
      </c>
      <c r="G190" s="90">
        <f t="shared" si="18"/>
        <v>3000</v>
      </c>
      <c r="H190" s="90">
        <f>DSUM(SEP_2013_A,importe,EZ_149_)</f>
        <v>3000</v>
      </c>
      <c r="I190" s="17">
        <f t="shared" si="20"/>
        <v>10</v>
      </c>
      <c r="J190" s="6" t="s">
        <v>1278</v>
      </c>
      <c r="K190" s="137">
        <f>DSUM(SEP_2013_A,23,EZ_149_)</f>
        <v>300</v>
      </c>
      <c r="L190" s="137">
        <f>DSUM(SEP_2013_A,24,EZ_149_)</f>
        <v>0</v>
      </c>
      <c r="M190" s="137">
        <f>DSUM(SEP_2013_A,25,EZ_149_)</f>
        <v>0</v>
      </c>
      <c r="N190" s="137">
        <f>DSUM(SEP_2013_A,26,EZ_149_)</f>
        <v>300</v>
      </c>
      <c r="O190" s="137">
        <f>DSUM(SEP_2013_A,27,EZ_149_)</f>
        <v>300</v>
      </c>
      <c r="P190" s="137">
        <f>DSUM(SEP_2013_A,28,EZ_149_)</f>
        <v>300</v>
      </c>
      <c r="Q190" s="137">
        <f>DSUM(SEP_2013_A,29,EZ_149_)</f>
        <v>300</v>
      </c>
      <c r="R190" s="137">
        <f>DSUM(SEP_2013_A,30,EZ_149_)</f>
        <v>300</v>
      </c>
      <c r="S190" s="137">
        <f>DSUM(SEP_2013_A,31,EZ_149_)</f>
        <v>300</v>
      </c>
      <c r="T190" s="137">
        <f>DSUM(SEP_2013_A,32,EZ_149_)</f>
        <v>300</v>
      </c>
      <c r="U190" s="137">
        <f>DSUM(SEP_2013_A,33,EZ_149_)</f>
        <v>300</v>
      </c>
      <c r="V190" s="137">
        <f>DSUM(SEP_2013_A,34,EZ_149_)</f>
        <v>300</v>
      </c>
    </row>
    <row r="191" spans="1:22" ht="15.95" customHeight="1" x14ac:dyDescent="0.2">
      <c r="B191" s="1" t="s">
        <v>761</v>
      </c>
      <c r="C191" s="129" t="str">
        <f t="shared" si="15"/>
        <v>Rancho Estanzuela No. 151</v>
      </c>
      <c r="D191" s="129" t="str">
        <f t="shared" si="16"/>
        <v>Pérez Salazar</v>
      </c>
      <c r="E191" s="90">
        <f t="shared" si="17"/>
        <v>300</v>
      </c>
      <c r="F191" s="91">
        <f>DSUM(SEP_2013_A,AA,EZ_151_)</f>
        <v>300</v>
      </c>
      <c r="G191" s="90">
        <f t="shared" si="18"/>
        <v>2700</v>
      </c>
      <c r="H191" s="90">
        <f>DSUM(SEP_2013_A,importe,EZ_151_)</f>
        <v>3000</v>
      </c>
      <c r="I191" s="17">
        <f t="shared" si="20"/>
        <v>9</v>
      </c>
      <c r="J191" s="6" t="s">
        <v>1278</v>
      </c>
      <c r="K191" s="137">
        <f>DSUM(SEP_2013_A,23,EZ_151_)</f>
        <v>300</v>
      </c>
      <c r="L191" s="137">
        <f>DSUM(SEP_2013_A,24,EZ_151_)</f>
        <v>300</v>
      </c>
      <c r="M191" s="137">
        <f>DSUM(SEP_2013_A,25,EZ_151_)</f>
        <v>300</v>
      </c>
      <c r="N191" s="137">
        <f>DSUM(SEP_2013_A,26,EZ_151_)</f>
        <v>300</v>
      </c>
      <c r="O191" s="137">
        <f>DSUM(SEP_2013_A,27,EZ_151_)</f>
        <v>300</v>
      </c>
      <c r="P191" s="137">
        <f>DSUM(SEP_2013_A,28,EZ_151_)</f>
        <v>300</v>
      </c>
      <c r="Q191" s="137">
        <f>DSUM(SEP_2013_A,29,EZ_151_)</f>
        <v>300</v>
      </c>
      <c r="R191" s="137">
        <f>DSUM(SEP_2013_A,30,EZ_151_)</f>
        <v>300</v>
      </c>
      <c r="S191" s="137">
        <f>DSUM(SEP_2013_A,31,EZ_151_)</f>
        <v>300</v>
      </c>
      <c r="T191" s="137">
        <f>DSUM(SEP_2013_A,32,EZ_151_)</f>
        <v>0</v>
      </c>
      <c r="U191" s="137">
        <f>DSUM(SEP_2013_A,33,EZ_151_)</f>
        <v>0</v>
      </c>
      <c r="V191" s="137">
        <f>DSUM(SEP_2013_A,34,EZ_151_)</f>
        <v>0</v>
      </c>
    </row>
    <row r="192" spans="1:22" ht="15.95" customHeight="1" x14ac:dyDescent="0.2">
      <c r="B192" s="1" t="s">
        <v>959</v>
      </c>
      <c r="C192" s="129" t="str">
        <f t="shared" si="15"/>
        <v>Rancho Estanzuela No. 153</v>
      </c>
      <c r="D192" s="129" t="str">
        <f t="shared" si="16"/>
        <v>Torres Cázares</v>
      </c>
      <c r="E192" s="90">
        <f t="shared" si="17"/>
        <v>300</v>
      </c>
      <c r="F192" s="91">
        <f>DSUM(SEP_2013_A,AA,EZ_153_)</f>
        <v>0</v>
      </c>
      <c r="G192" s="90">
        <f t="shared" si="18"/>
        <v>0</v>
      </c>
      <c r="H192" s="90">
        <f>DSUM(SEP_2013_A,importe,EZ_153_)</f>
        <v>0</v>
      </c>
      <c r="I192" s="17">
        <f t="shared" si="20"/>
        <v>0</v>
      </c>
      <c r="J192" s="6" t="s">
        <v>1278</v>
      </c>
      <c r="K192" s="137">
        <f>DSUM(SEP_2013_A,23,EZ_153_)</f>
        <v>0</v>
      </c>
      <c r="L192" s="137">
        <f>DSUM(SEP_2013_A,24,EZ_153_)</f>
        <v>0</v>
      </c>
      <c r="M192" s="137">
        <f>DSUM(SEP_2013_A,25,EZ_153_)</f>
        <v>0</v>
      </c>
      <c r="N192" s="137">
        <f>DSUM(SEP_2013_A,26,EZ_153_)</f>
        <v>0</v>
      </c>
      <c r="O192" s="137">
        <f>DSUM(SEP_2013_A,27,EZ_153_)</f>
        <v>0</v>
      </c>
      <c r="P192" s="137">
        <f>DSUM(SEP_2013_A,28,EZ_153_)</f>
        <v>0</v>
      </c>
      <c r="Q192" s="137">
        <f>DSUM(SEP_2013_A,29,EZ_153_)</f>
        <v>0</v>
      </c>
      <c r="R192" s="137">
        <f>DSUM(SEP_2013_A,30,EZ_153_)</f>
        <v>0</v>
      </c>
      <c r="S192" s="137">
        <f>DSUM(SEP_2013_A,31,EZ_153_)</f>
        <v>0</v>
      </c>
      <c r="T192" s="137">
        <f>DSUM(SEP_2013_A,32,EZ_153_)</f>
        <v>0</v>
      </c>
      <c r="U192" s="137">
        <f>DSUM(SEP_2013_A,33,EZ_153_)</f>
        <v>0</v>
      </c>
      <c r="V192" s="137">
        <f>DSUM(SEP_2013_A,34,EZ_153_)</f>
        <v>0</v>
      </c>
    </row>
    <row r="193" spans="1:22" ht="15.95" customHeight="1" x14ac:dyDescent="0.2">
      <c r="B193" s="1" t="s">
        <v>960</v>
      </c>
      <c r="C193" s="129" t="str">
        <f t="shared" si="15"/>
        <v>Rancho Estanzuela No. 155</v>
      </c>
      <c r="D193" s="129" t="str">
        <f t="shared" si="16"/>
        <v>Anchondo Valerio</v>
      </c>
      <c r="E193" s="90">
        <f t="shared" si="17"/>
        <v>300</v>
      </c>
      <c r="F193" s="91">
        <f>DSUM(SEP_2013_A,AA,EZ_155_)</f>
        <v>0</v>
      </c>
      <c r="G193" s="90">
        <f t="shared" si="18"/>
        <v>0</v>
      </c>
      <c r="H193" s="90">
        <f>DSUM(SEP_2013_A,importe,EZ_155_)</f>
        <v>0</v>
      </c>
      <c r="I193" s="17">
        <f t="shared" si="20"/>
        <v>0</v>
      </c>
      <c r="J193" s="6" t="s">
        <v>1278</v>
      </c>
      <c r="K193" s="137">
        <f>DSUM(SEP_2013_A,23,EZ_155_)</f>
        <v>0</v>
      </c>
      <c r="L193" s="137">
        <f>DSUM(SEP_2013_A,24,EZ_155_)</f>
        <v>0</v>
      </c>
      <c r="M193" s="137">
        <f>DSUM(SEP_2013_A,25,EZ_155_)</f>
        <v>0</v>
      </c>
      <c r="N193" s="137">
        <f>DSUM(SEP_2013_A,26,EZ_155_)</f>
        <v>0</v>
      </c>
      <c r="O193" s="137">
        <f>DSUM(SEP_2013_A,27,EZ_155_)</f>
        <v>0</v>
      </c>
      <c r="P193" s="137">
        <f>DSUM(SEP_2013_A,28,EZ_155_)</f>
        <v>0</v>
      </c>
      <c r="Q193" s="137">
        <f>DSUM(SEP_2013_A,29,EZ_155_)</f>
        <v>0</v>
      </c>
      <c r="R193" s="137">
        <f>DSUM(SEP_2013_A,30,EZ_155_)</f>
        <v>0</v>
      </c>
      <c r="S193" s="137">
        <f>DSUM(SEP_2013_A,31,EZ_155_)</f>
        <v>0</v>
      </c>
      <c r="T193" s="137">
        <f>DSUM(SEP_2013_A,32,EZ_155_)</f>
        <v>0</v>
      </c>
      <c r="U193" s="137">
        <f>DSUM(SEP_2013_A,33,EZ_155_)</f>
        <v>0</v>
      </c>
      <c r="V193" s="137">
        <f>DSUM(SEP_2013_A,34,EZ_155_)</f>
        <v>0</v>
      </c>
    </row>
    <row r="194" spans="1:22" ht="15.95" customHeight="1" x14ac:dyDescent="0.2">
      <c r="B194" s="1" t="s">
        <v>1336</v>
      </c>
      <c r="C194" s="129" t="str">
        <f t="shared" si="15"/>
        <v>Rancho Estanzuela No. 157, 1</v>
      </c>
      <c r="D194" s="129" t="str">
        <f t="shared" si="16"/>
        <v>Anzures</v>
      </c>
      <c r="E194" s="90">
        <f t="shared" si="17"/>
        <v>450</v>
      </c>
      <c r="F194" s="91">
        <f>DSUM(SEP_2013_A,AA,EZ_157_1)</f>
        <v>900</v>
      </c>
      <c r="G194" s="90">
        <f t="shared" si="18"/>
        <v>3150</v>
      </c>
      <c r="H194" s="90">
        <f>DSUM(SEP_2013_A,importe,EZ_157_1)</f>
        <v>4050</v>
      </c>
      <c r="I194" s="17">
        <f t="shared" si="20"/>
        <v>7</v>
      </c>
      <c r="J194" s="6" t="s">
        <v>1278</v>
      </c>
      <c r="K194" s="137">
        <f>DSUM(SEP_2013_A,23,EZ_157_1)</f>
        <v>450</v>
      </c>
      <c r="L194" s="137">
        <f>DSUM(SEP_2013_A,24,EZ_157_1)</f>
        <v>450</v>
      </c>
      <c r="M194" s="137">
        <f>DSUM(SEP_2013_A,25,EZ_157_1)</f>
        <v>450</v>
      </c>
      <c r="N194" s="137">
        <f>DSUM(SEP_2013_A,26,EZ_157_1)</f>
        <v>450</v>
      </c>
      <c r="O194" s="137">
        <f>DSUM(SEP_2013_A,27,EZ_157_1)</f>
        <v>450</v>
      </c>
      <c r="P194" s="137">
        <f>DSUM(SEP_2013_A,28,EZ_157_1)</f>
        <v>450</v>
      </c>
      <c r="Q194" s="137">
        <f>DSUM(SEP_2013_A,29,EZ_157_1)</f>
        <v>450</v>
      </c>
      <c r="R194" s="137">
        <f>DSUM(SEP_2013_A,30,EZ_157_1)</f>
        <v>0</v>
      </c>
      <c r="S194" s="137">
        <f>DSUM(SEP_2013_A,31,EZ_157_1)</f>
        <v>0</v>
      </c>
      <c r="T194" s="137">
        <f>DSUM(SEP_2013_A,32,EZ_157_1)</f>
        <v>0</v>
      </c>
      <c r="U194" s="137">
        <f>DSUM(SEP_2013_A,33,EZ_157_1)</f>
        <v>0</v>
      </c>
      <c r="V194" s="137">
        <f>DSUM(SEP_2013_A,34,EZ_157_1)</f>
        <v>0</v>
      </c>
    </row>
    <row r="195" spans="1:22" ht="15.95" customHeight="1" x14ac:dyDescent="0.2">
      <c r="B195" s="1" t="s">
        <v>1337</v>
      </c>
      <c r="C195" s="129" t="str">
        <f t="shared" si="15"/>
        <v>Rancho Estanzuela No. 157, 2</v>
      </c>
      <c r="D195" s="129" t="str">
        <f t="shared" si="16"/>
        <v>Arias</v>
      </c>
      <c r="E195" s="90">
        <f t="shared" si="17"/>
        <v>0</v>
      </c>
      <c r="F195" s="91">
        <f>DSUM(SEP_2013_A,AA,EZ_157_2)</f>
        <v>0</v>
      </c>
      <c r="G195" s="90">
        <f t="shared" si="18"/>
        <v>0</v>
      </c>
      <c r="H195" s="90">
        <f>DSUM(SEP_2013_A,importe,EZ_157_2)</f>
        <v>0</v>
      </c>
      <c r="I195" s="17">
        <f t="shared" si="20"/>
        <v>0</v>
      </c>
      <c r="J195" s="6" t="s">
        <v>1278</v>
      </c>
      <c r="K195" s="137">
        <f>DSUM(SEP_2013_A,23,EZ_157_2)</f>
        <v>0</v>
      </c>
      <c r="L195" s="137">
        <f>DSUM(SEP_2013_A,24,EZ_157_2)</f>
        <v>0</v>
      </c>
      <c r="M195" s="137">
        <f>DSUM(SEP_2013_A,25,EZ_157_2)</f>
        <v>0</v>
      </c>
      <c r="N195" s="137">
        <f>DSUM(SEP_2013_A,26,EZ_157_2)</f>
        <v>0</v>
      </c>
      <c r="O195" s="137">
        <f>DSUM(SEP_2013_A,27,EZ_157_2)</f>
        <v>0</v>
      </c>
      <c r="P195" s="137">
        <f>DSUM(SEP_2013_A,28,EZ_157_2)</f>
        <v>0</v>
      </c>
      <c r="Q195" s="137">
        <f>DSUM(SEP_2013_A,29,EZ_157_2)</f>
        <v>0</v>
      </c>
      <c r="R195" s="137">
        <f>DSUM(SEP_2013_A,30,EZ_157_2)</f>
        <v>0</v>
      </c>
      <c r="S195" s="137">
        <f>DSUM(SEP_2013_A,31,EZ_157_2)</f>
        <v>0</v>
      </c>
      <c r="T195" s="137">
        <f>DSUM(SEP_2013_A,32,EZ_157_2)</f>
        <v>0</v>
      </c>
      <c r="U195" s="137">
        <f>DSUM(SEP_2013_A,33,EZ_157_2)</f>
        <v>0</v>
      </c>
      <c r="V195" s="137">
        <f>DSUM(SEP_2013_A,34,EZ_157_2)</f>
        <v>0</v>
      </c>
    </row>
    <row r="196" spans="1:22" ht="15.95" customHeight="1" x14ac:dyDescent="0.2">
      <c r="B196" s="1" t="s">
        <v>1338</v>
      </c>
      <c r="C196" s="129" t="str">
        <f t="shared" si="15"/>
        <v>Rancho Estanzuela No. 157, 3</v>
      </c>
      <c r="D196" s="129" t="str">
        <f t="shared" si="16"/>
        <v>Conde</v>
      </c>
      <c r="E196" s="90">
        <f t="shared" si="17"/>
        <v>0</v>
      </c>
      <c r="F196" s="91">
        <f>DSUM(SEP_2013_A,AA,EZ_157_3)</f>
        <v>0</v>
      </c>
      <c r="G196" s="90">
        <f t="shared" si="18"/>
        <v>0</v>
      </c>
      <c r="H196" s="90">
        <f>DSUM(SEP_2013_A,importe,EZ_157_3)</f>
        <v>0</v>
      </c>
      <c r="I196" s="17">
        <f t="shared" si="20"/>
        <v>0</v>
      </c>
      <c r="J196" s="6" t="s">
        <v>1278</v>
      </c>
      <c r="K196" s="137">
        <f>DSUM(SEP_2013_A,23,EZ_157_3)</f>
        <v>0</v>
      </c>
      <c r="L196" s="137">
        <f>DSUM(SEP_2013_A,24,EZ_157_3)</f>
        <v>0</v>
      </c>
      <c r="M196" s="137">
        <f>DSUM(SEP_2013_A,25,EZ_157_3)</f>
        <v>0</v>
      </c>
      <c r="N196" s="137">
        <f>DSUM(SEP_2013_A,26,EZ_157_3)</f>
        <v>0</v>
      </c>
      <c r="O196" s="137">
        <f>DSUM(SEP_2013_A,27,EZ_157_3)</f>
        <v>0</v>
      </c>
      <c r="P196" s="137">
        <f>DSUM(SEP_2013_A,28,EZ_157_3)</f>
        <v>0</v>
      </c>
      <c r="Q196" s="137">
        <f>DSUM(SEP_2013_A,29,EZ_157_3)</f>
        <v>0</v>
      </c>
      <c r="R196" s="137">
        <f>DSUM(SEP_2013_A,30,EZ_157_3)</f>
        <v>0</v>
      </c>
      <c r="S196" s="137">
        <f>DSUM(SEP_2013_A,31,EZ_157_3)</f>
        <v>0</v>
      </c>
      <c r="T196" s="137">
        <f>DSUM(SEP_2013_A,32,EZ_157_3)</f>
        <v>0</v>
      </c>
      <c r="U196" s="137">
        <f>DSUM(SEP_2013_A,33,EZ_157_3)</f>
        <v>0</v>
      </c>
      <c r="V196" s="137">
        <f>DSUM(SEP_2013_A,34,EZ_157_3)</f>
        <v>0</v>
      </c>
    </row>
    <row r="197" spans="1:22" ht="15.95" customHeight="1" x14ac:dyDescent="0.2">
      <c r="B197" s="1" t="s">
        <v>961</v>
      </c>
      <c r="C197" s="129" t="str">
        <f t="shared" si="15"/>
        <v>Rancho Estanzuela No. 159</v>
      </c>
      <c r="D197" s="129" t="str">
        <f t="shared" si="16"/>
        <v>Reyes Núñez</v>
      </c>
      <c r="E197" s="90">
        <f t="shared" si="17"/>
        <v>250</v>
      </c>
      <c r="F197" s="91">
        <f>DSUM(SEP_2013_A,AA,EZ_159_)</f>
        <v>250</v>
      </c>
      <c r="G197" s="90">
        <f t="shared" si="18"/>
        <v>2250</v>
      </c>
      <c r="H197" s="90">
        <f>DSUM(SEP_2013_A,importe,EZ_159_)</f>
        <v>2500</v>
      </c>
      <c r="I197" s="17">
        <f t="shared" si="20"/>
        <v>9</v>
      </c>
      <c r="J197" s="6" t="s">
        <v>1278</v>
      </c>
      <c r="K197" s="137">
        <f>DSUM(SEP_2013_A,23,EZ_159_)</f>
        <v>250</v>
      </c>
      <c r="L197" s="137">
        <f>DSUM(SEP_2013_A,24,EZ_159_)</f>
        <v>250</v>
      </c>
      <c r="M197" s="137">
        <f>DSUM(SEP_2013_A,25,EZ_159_)</f>
        <v>250</v>
      </c>
      <c r="N197" s="137">
        <f>DSUM(SEP_2013_A,26,EZ_159_)</f>
        <v>250</v>
      </c>
      <c r="O197" s="137">
        <f>DSUM(SEP_2013_A,27,EZ_159_)</f>
        <v>250</v>
      </c>
      <c r="P197" s="137">
        <f>DSUM(SEP_2013_A,28,EZ_159_)</f>
        <v>250</v>
      </c>
      <c r="Q197" s="137">
        <f>DSUM(SEP_2013_A,29,EZ_159_)</f>
        <v>250</v>
      </c>
      <c r="R197" s="137">
        <f>DSUM(SEP_2013_A,30,EZ_159_)</f>
        <v>250</v>
      </c>
      <c r="S197" s="137">
        <f>DSUM(SEP_2013_A,31,EZ_159_)</f>
        <v>250</v>
      </c>
      <c r="T197" s="137">
        <f>DSUM(SEP_2013_A,32,EZ_159_)</f>
        <v>0</v>
      </c>
      <c r="U197" s="137">
        <f>DSUM(SEP_2013_A,33,EZ_159_)</f>
        <v>0</v>
      </c>
      <c r="V197" s="137">
        <f>DSUM(SEP_2013_A,34,EZ_159_)</f>
        <v>0</v>
      </c>
    </row>
    <row r="198" spans="1:22" ht="15.95" customHeight="1" x14ac:dyDescent="0.2">
      <c r="B198" s="1" t="s">
        <v>962</v>
      </c>
      <c r="C198" s="129" t="str">
        <f t="shared" si="15"/>
        <v>Rancho Estanzuela No. 161, 1</v>
      </c>
      <c r="D198" s="129" t="str">
        <f t="shared" si="16"/>
        <v>Guevara</v>
      </c>
      <c r="E198" s="90">
        <f t="shared" si="17"/>
        <v>150</v>
      </c>
      <c r="F198" s="91">
        <f>DSUM(SEP_2013_A,AA,EZ_161_1)</f>
        <v>600</v>
      </c>
      <c r="G198" s="90">
        <f t="shared" si="18"/>
        <v>1350</v>
      </c>
      <c r="H198" s="90">
        <f>DSUM(SEP_2013_A,importe,EZ_161_1)</f>
        <v>1950</v>
      </c>
      <c r="I198" s="17">
        <f t="shared" si="20"/>
        <v>9</v>
      </c>
      <c r="J198" s="6" t="s">
        <v>1278</v>
      </c>
      <c r="K198" s="137">
        <f>DSUM(SEP_2013_A,23,EZ_161_1)</f>
        <v>150</v>
      </c>
      <c r="L198" s="137">
        <f>DSUM(SEP_2013_A,24,EZ_161_1)</f>
        <v>150</v>
      </c>
      <c r="M198" s="137">
        <f>DSUM(SEP_2013_A,25,EZ_161_1)</f>
        <v>150</v>
      </c>
      <c r="N198" s="137">
        <f>DSUM(SEP_2013_A,26,EZ_161_1)</f>
        <v>150</v>
      </c>
      <c r="O198" s="137">
        <f>DSUM(SEP_2013_A,27,EZ_161_1)</f>
        <v>150</v>
      </c>
      <c r="P198" s="137">
        <f>DSUM(SEP_2013_A,28,EZ_161_1)</f>
        <v>150</v>
      </c>
      <c r="Q198" s="137">
        <f>DSUM(SEP_2013_A,29,EZ_161_1)</f>
        <v>150</v>
      </c>
      <c r="R198" s="137">
        <f>DSUM(SEP_2013_A,30,EZ_161_1)</f>
        <v>150</v>
      </c>
      <c r="S198" s="137">
        <f>DSUM(SEP_2013_A,31,EZ_161_1)</f>
        <v>150</v>
      </c>
      <c r="T198" s="137">
        <f>DSUM(SEP_2013_A,32,EZ_161_1)</f>
        <v>0</v>
      </c>
      <c r="U198" s="137">
        <f>DSUM(SEP_2013_A,33,EZ_161_1)</f>
        <v>0</v>
      </c>
      <c r="V198" s="137">
        <f>DSUM(SEP_2013_A,34,EZ_161_1)</f>
        <v>0</v>
      </c>
    </row>
    <row r="199" spans="1:22" ht="15.95" customHeight="1" x14ac:dyDescent="0.2">
      <c r="B199" s="1" t="s">
        <v>963</v>
      </c>
      <c r="C199" s="129" t="str">
        <f t="shared" si="15"/>
        <v>Rancho Estanzuela No. 161, B</v>
      </c>
      <c r="D199" s="129" t="str">
        <f t="shared" si="16"/>
        <v>Pomián</v>
      </c>
      <c r="E199" s="90">
        <f t="shared" si="17"/>
        <v>150</v>
      </c>
      <c r="F199" s="91">
        <f>DSUM(SEP_2013_A,AA,EZ_161_B)</f>
        <v>0</v>
      </c>
      <c r="G199" s="90">
        <f t="shared" si="18"/>
        <v>0</v>
      </c>
      <c r="H199" s="90">
        <f>DSUM(SEP_2013_A,importe,EZ_161_B)</f>
        <v>0</v>
      </c>
      <c r="I199" s="17">
        <f t="shared" si="20"/>
        <v>0</v>
      </c>
      <c r="J199" s="6" t="s">
        <v>1278</v>
      </c>
      <c r="K199" s="137">
        <f>DSUM(SEP_2013_A,23,EZ_161_B)</f>
        <v>0</v>
      </c>
      <c r="L199" s="137">
        <f>DSUM(SEP_2013_A,24,EZ_161_B)</f>
        <v>0</v>
      </c>
      <c r="M199" s="137">
        <f>DSUM(SEP_2013_A,25,EZ_161_B)</f>
        <v>0</v>
      </c>
      <c r="N199" s="137">
        <f>DSUM(SEP_2013_A,26,EZ_161_B)</f>
        <v>0</v>
      </c>
      <c r="O199" s="137">
        <f>DSUM(SEP_2013_A,27,EZ_161_B)</f>
        <v>0</v>
      </c>
      <c r="P199" s="137">
        <f>DSUM(SEP_2013_A,28,EZ_161_B)</f>
        <v>0</v>
      </c>
      <c r="Q199" s="137">
        <f>DSUM(SEP_2013_A,29,EZ_161_B)</f>
        <v>0</v>
      </c>
      <c r="R199" s="137">
        <f>DSUM(SEP_2013_A,30,EZ_161_B)</f>
        <v>0</v>
      </c>
      <c r="S199" s="137">
        <f>DSUM(SEP_2013_A,31,EZ_161_B)</f>
        <v>0</v>
      </c>
      <c r="T199" s="137">
        <f>DSUM(SEP_2013_A,32,EZ_161_B)</f>
        <v>0</v>
      </c>
      <c r="U199" s="137">
        <f>DSUM(SEP_2013_A,33,EZ_161_B)</f>
        <v>0</v>
      </c>
      <c r="V199" s="137">
        <f>DSUM(SEP_2013_A,34,EZ_161_B)</f>
        <v>0</v>
      </c>
    </row>
    <row r="200" spans="1:22" ht="15.95" customHeight="1" x14ac:dyDescent="0.2">
      <c r="B200" s="1" t="s">
        <v>964</v>
      </c>
      <c r="C200" s="129" t="str">
        <f t="shared" ref="C200:C263" si="21">VLOOKUP(B200,BASE_A,6,FALSE)</f>
        <v>Rancho Estanzuela No. 163</v>
      </c>
      <c r="D200" s="129" t="str">
        <f t="shared" ref="D200:D263" si="22">VLOOKUP(B200,BASE_A,8,FALSE)</f>
        <v>González Rodríguez</v>
      </c>
      <c r="E200" s="90">
        <f t="shared" ref="E200:E263" si="23">VLOOKUP(B200,BASE_A,9,FALSE)</f>
        <v>300</v>
      </c>
      <c r="F200" s="91">
        <f>DSUM(SEP_2013_A,AA,EZ_163_)</f>
        <v>600</v>
      </c>
      <c r="G200" s="90">
        <f t="shared" ref="G200:G263" si="24">H200-F200</f>
        <v>0</v>
      </c>
      <c r="H200" s="90">
        <f>DSUM(SEP_2013_A,importe,EZ_163_)</f>
        <v>600</v>
      </c>
      <c r="I200" s="17">
        <f t="shared" si="20"/>
        <v>0</v>
      </c>
      <c r="J200" s="6" t="s">
        <v>1278</v>
      </c>
      <c r="K200" s="137">
        <f>DSUM(SEP_2013_A,23,EZ_163_)</f>
        <v>0</v>
      </c>
      <c r="L200" s="137">
        <f>DSUM(SEP_2013_A,24,EZ_163_)</f>
        <v>0</v>
      </c>
      <c r="M200" s="137">
        <f>DSUM(SEP_2013_A,25,EZ_163_)</f>
        <v>0</v>
      </c>
      <c r="N200" s="137">
        <f>DSUM(SEP_2013_A,26,EZ_163_)</f>
        <v>0</v>
      </c>
      <c r="O200" s="137">
        <f>DSUM(SEP_2013_A,27,EZ_163_)</f>
        <v>0</v>
      </c>
      <c r="P200" s="137">
        <f>DSUM(SEP_2013_A,28,EZ_163_)</f>
        <v>0</v>
      </c>
      <c r="Q200" s="137">
        <f>DSUM(SEP_2013_A,29,EZ_163_)</f>
        <v>0</v>
      </c>
      <c r="R200" s="137">
        <f>DSUM(SEP_2013_A,30,EZ_163_)</f>
        <v>0</v>
      </c>
      <c r="S200" s="137">
        <f>DSUM(SEP_2013_A,31,EZ_163_)</f>
        <v>0</v>
      </c>
      <c r="T200" s="137">
        <f>DSUM(SEP_2013_A,32,EZ_163_)</f>
        <v>0</v>
      </c>
      <c r="U200" s="137">
        <f>DSUM(SEP_2013_A,33,EZ_163_)</f>
        <v>0</v>
      </c>
      <c r="V200" s="137">
        <f>DSUM(SEP_2013_A,34,EZ_163_)</f>
        <v>0</v>
      </c>
    </row>
    <row r="201" spans="1:22" ht="15.95" customHeight="1" x14ac:dyDescent="0.2">
      <c r="B201" s="1" t="s">
        <v>967</v>
      </c>
      <c r="C201" s="129" t="str">
        <f t="shared" si="21"/>
        <v>Rancho Estanzuela No. 165, A</v>
      </c>
      <c r="D201" s="129" t="str">
        <f t="shared" si="22"/>
        <v>Campos Jorge</v>
      </c>
      <c r="E201" s="90">
        <f t="shared" si="23"/>
        <v>150</v>
      </c>
      <c r="F201" s="91">
        <f>DSUM(SEP_2013_A,AA,EZ_165_A)</f>
        <v>0</v>
      </c>
      <c r="G201" s="90">
        <f t="shared" si="24"/>
        <v>0</v>
      </c>
      <c r="H201" s="90">
        <f>DSUM(SEP_2013_A,importe,EZ_165_A)</f>
        <v>0</v>
      </c>
      <c r="I201" s="17">
        <f t="shared" si="20"/>
        <v>0</v>
      </c>
      <c r="J201" s="6" t="s">
        <v>1278</v>
      </c>
      <c r="K201" s="137">
        <f>DSUM(SEP_2013_A,23,EZ_165_A)</f>
        <v>0</v>
      </c>
      <c r="L201" s="137">
        <f>DSUM(SEP_2013_A,24,EZ_165_A)</f>
        <v>0</v>
      </c>
      <c r="M201" s="137">
        <f>DSUM(SEP_2013_A,25,EZ_165_A)</f>
        <v>0</v>
      </c>
      <c r="N201" s="137">
        <f>DSUM(SEP_2013_A,26,EZ_165_A)</f>
        <v>0</v>
      </c>
      <c r="O201" s="137">
        <f>DSUM(SEP_2013_A,27,EZ_165_A)</f>
        <v>0</v>
      </c>
      <c r="P201" s="137">
        <f>DSUM(SEP_2013_A,28,EZ_165_A)</f>
        <v>0</v>
      </c>
      <c r="Q201" s="137">
        <f>DSUM(SEP_2013_A,29,EZ_165_A)</f>
        <v>0</v>
      </c>
      <c r="R201" s="137">
        <f>DSUM(SEP_2013_A,30,EZ_165_A)</f>
        <v>0</v>
      </c>
      <c r="S201" s="137">
        <f>DSUM(SEP_2013_A,31,EZ_165_A)</f>
        <v>0</v>
      </c>
      <c r="T201" s="137">
        <f>DSUM(SEP_2013_A,32,EZ_165_A)</f>
        <v>0</v>
      </c>
      <c r="U201" s="137">
        <f>DSUM(SEP_2013_A,33,EZ_165_A)</f>
        <v>0</v>
      </c>
      <c r="V201" s="137">
        <f>DSUM(SEP_2013_A,34,EZ_165_A)</f>
        <v>0</v>
      </c>
    </row>
    <row r="202" spans="1:22" ht="15.95" customHeight="1" x14ac:dyDescent="0.2">
      <c r="B202" s="1" t="s">
        <v>968</v>
      </c>
      <c r="C202" s="129" t="str">
        <f t="shared" si="21"/>
        <v>Rancho Estanzuela No. 165, B</v>
      </c>
      <c r="D202" s="129" t="str">
        <f t="shared" si="22"/>
        <v>Cervantes Luis S.</v>
      </c>
      <c r="E202" s="90">
        <f t="shared" si="23"/>
        <v>150</v>
      </c>
      <c r="F202" s="91">
        <f>DSUM(SEP_2013_A,AA,EZ_165_B)</f>
        <v>0</v>
      </c>
      <c r="G202" s="90">
        <f t="shared" si="24"/>
        <v>0</v>
      </c>
      <c r="H202" s="90">
        <f>DSUM(SEP_2013_A,importe,EZ_165_B)</f>
        <v>0</v>
      </c>
      <c r="I202" s="17">
        <f t="shared" si="20"/>
        <v>0</v>
      </c>
      <c r="J202" s="6" t="s">
        <v>1278</v>
      </c>
      <c r="K202" s="137">
        <f>DSUM(SEP_2013_A,23,EZ_165_B)</f>
        <v>0</v>
      </c>
      <c r="L202" s="137">
        <f>DSUM(SEP_2013_A,24,EZ_165_B)</f>
        <v>0</v>
      </c>
      <c r="M202" s="137">
        <f>DSUM(SEP_2013_A,25,EZ_165_B)</f>
        <v>0</v>
      </c>
      <c r="N202" s="137">
        <f>DSUM(SEP_2013_A,26,EZ_165_B)</f>
        <v>0</v>
      </c>
      <c r="O202" s="137">
        <f>DSUM(SEP_2013_A,27,EZ_165_B)</f>
        <v>0</v>
      </c>
      <c r="P202" s="137">
        <f>DSUM(SEP_2013_A,28,EZ_165_B)</f>
        <v>0</v>
      </c>
      <c r="Q202" s="137">
        <f>DSUM(SEP_2013_A,29,EZ_165_B)</f>
        <v>0</v>
      </c>
      <c r="R202" s="137">
        <f>DSUM(SEP_2013_A,30,EZ_165_B)</f>
        <v>0</v>
      </c>
      <c r="S202" s="137">
        <f>DSUM(SEP_2013_A,31,EZ_165_B)</f>
        <v>0</v>
      </c>
      <c r="T202" s="137">
        <f>DSUM(SEP_2013_A,32,EZ_165_B)</f>
        <v>0</v>
      </c>
      <c r="U202" s="137">
        <f>DSUM(SEP_2013_A,33,EZ_165_B)</f>
        <v>0</v>
      </c>
      <c r="V202" s="137">
        <f>DSUM(SEP_2013_A,34,EZ_165_B)</f>
        <v>0</v>
      </c>
    </row>
    <row r="203" spans="1:22" ht="15.95" customHeight="1" x14ac:dyDescent="0.2">
      <c r="B203" s="1" t="s">
        <v>970</v>
      </c>
      <c r="C203" s="129" t="str">
        <f t="shared" si="21"/>
        <v>Calzada del Hueso No. 828</v>
      </c>
      <c r="D203" s="129" t="str">
        <f t="shared" si="22"/>
        <v>Cervantes, Miguel</v>
      </c>
      <c r="E203" s="90">
        <f t="shared" si="23"/>
        <v>300</v>
      </c>
      <c r="F203" s="91">
        <f>DSUM(SEP_2013_A,AA,HS_828_)</f>
        <v>300</v>
      </c>
      <c r="G203" s="90">
        <f t="shared" si="24"/>
        <v>2100</v>
      </c>
      <c r="H203" s="90">
        <f>DSUM(SEP_2013_A,importe,HS_828_)</f>
        <v>2400</v>
      </c>
      <c r="I203" s="17">
        <f t="shared" ref="I203:I219" si="25">IF(VLOOKUP(B203,BASE_A,9,FALSE)=0,0,G203/VLOOKUP(B203,BASE_A,9,FALSE))</f>
        <v>7</v>
      </c>
      <c r="J203" s="6" t="s">
        <v>1279</v>
      </c>
      <c r="K203" s="137">
        <f>DSUM(SEP_2013_A,23,HS_828_)</f>
        <v>300</v>
      </c>
      <c r="L203" s="137">
        <f>DSUM(SEP_2013_A,24,HS_828_)</f>
        <v>300</v>
      </c>
      <c r="M203" s="137">
        <f>DSUM(SEP_2013_A,25,HS_828_)</f>
        <v>300</v>
      </c>
      <c r="N203" s="137">
        <f>DSUM(SEP_2013_A,26,HS_828_)</f>
        <v>300</v>
      </c>
      <c r="O203" s="137">
        <f>DSUM(SEP_2013_A,27,HS_828_)</f>
        <v>0</v>
      </c>
      <c r="P203" s="137">
        <f>DSUM(SEP_2013_A,28,HS_828_)</f>
        <v>300</v>
      </c>
      <c r="Q203" s="137">
        <f>DSUM(SEP_2013_A,29,HS_828_)</f>
        <v>300</v>
      </c>
      <c r="R203" s="137">
        <f>DSUM(SEP_2013_A,30,HS_828_)</f>
        <v>300</v>
      </c>
      <c r="S203" s="137">
        <f>DSUM(SEP_2013_A,31,HS_828_)</f>
        <v>0</v>
      </c>
      <c r="T203" s="137">
        <f>DSUM(SEP_2013_A,32,HS_828_)</f>
        <v>0</v>
      </c>
      <c r="U203" s="137">
        <f>DSUM(SEP_2013_A,33,HS_828_)</f>
        <v>0</v>
      </c>
      <c r="V203" s="137">
        <f>DSUM(SEP_2013_A,34,HS_828_)</f>
        <v>0</v>
      </c>
    </row>
    <row r="204" spans="1:22" ht="15.95" customHeight="1" x14ac:dyDescent="0.2">
      <c r="B204" s="1" t="s">
        <v>971</v>
      </c>
      <c r="C204" s="129" t="str">
        <f t="shared" si="21"/>
        <v>Calzada del Hueso No. 840</v>
      </c>
      <c r="D204" s="129" t="str">
        <f t="shared" si="22"/>
        <v>Pérez Retis</v>
      </c>
      <c r="E204" s="90">
        <f t="shared" si="23"/>
        <v>300</v>
      </c>
      <c r="F204" s="91">
        <f>DSUM(SEP_2013_A,AA,HS_840_)</f>
        <v>0</v>
      </c>
      <c r="G204" s="90">
        <f t="shared" si="24"/>
        <v>300</v>
      </c>
      <c r="H204" s="90">
        <f>DSUM(SEP_2013_A,importe,HS_840_)</f>
        <v>300</v>
      </c>
      <c r="I204" s="17">
        <f t="shared" si="25"/>
        <v>1</v>
      </c>
      <c r="J204" s="6" t="s">
        <v>1279</v>
      </c>
      <c r="K204" s="137">
        <f>DSUM(SEP_2013_A,23,HS_840_)</f>
        <v>0</v>
      </c>
      <c r="L204" s="137">
        <f>DSUM(SEP_2013_A,24,HS_840_)</f>
        <v>0</v>
      </c>
      <c r="M204" s="137">
        <f>DSUM(SEP_2013_A,25,HS_840_)</f>
        <v>0</v>
      </c>
      <c r="N204" s="137">
        <f>DSUM(SEP_2013_A,26,HS_840_)</f>
        <v>0</v>
      </c>
      <c r="O204" s="137">
        <f>DSUM(SEP_2013_A,27,HS_840_)</f>
        <v>0</v>
      </c>
      <c r="P204" s="137">
        <f>DSUM(SEP_2013_A,28,HS_840_)</f>
        <v>0</v>
      </c>
      <c r="Q204" s="137">
        <f>DSUM(SEP_2013_A,29,HS_840_)</f>
        <v>0</v>
      </c>
      <c r="R204" s="137">
        <f>DSUM(SEP_2013_A,30,HS_840_)</f>
        <v>0</v>
      </c>
      <c r="S204" s="137">
        <f>DSUM(SEP_2013_A,31,HS_840_)</f>
        <v>300</v>
      </c>
      <c r="T204" s="137">
        <f>DSUM(SEP_2013_A,32,HS_840_)</f>
        <v>0</v>
      </c>
      <c r="U204" s="137">
        <f>DSUM(SEP_2013_A,33,HS_840_)</f>
        <v>0</v>
      </c>
      <c r="V204" s="137">
        <f>DSUM(SEP_2013_A,34,HS_840_)</f>
        <v>0</v>
      </c>
    </row>
    <row r="205" spans="1:22" ht="15.95" customHeight="1" x14ac:dyDescent="0.2">
      <c r="B205" s="1" t="s">
        <v>972</v>
      </c>
      <c r="C205" s="129" t="str">
        <f t="shared" si="21"/>
        <v>Calzada del Hueso No. A</v>
      </c>
      <c r="D205" s="129" t="str">
        <f t="shared" si="22"/>
        <v>La Lechuga</v>
      </c>
      <c r="E205" s="90">
        <f t="shared" si="23"/>
        <v>300</v>
      </c>
      <c r="F205" s="91">
        <f>DSUM(SEP_2013_A,AA,HS_A_)</f>
        <v>0</v>
      </c>
      <c r="G205" s="90">
        <f t="shared" si="24"/>
        <v>0</v>
      </c>
      <c r="H205" s="90">
        <f>DSUM(SEP_2013_A,importe,HS_A_)</f>
        <v>0</v>
      </c>
      <c r="I205" s="17">
        <f t="shared" si="25"/>
        <v>0</v>
      </c>
      <c r="J205" s="6" t="s">
        <v>1279</v>
      </c>
      <c r="K205" s="137">
        <f>DSUM(SEP_2013_A,23,HS_A_)</f>
        <v>0</v>
      </c>
      <c r="L205" s="137">
        <f>DSUM(SEP_2013_A,24,HS_A_)</f>
        <v>0</v>
      </c>
      <c r="M205" s="137">
        <f>DSUM(SEP_2013_A,25,HS_A_)</f>
        <v>0</v>
      </c>
      <c r="N205" s="137">
        <f>DSUM(SEP_2013_A,26,HS_A_)</f>
        <v>0</v>
      </c>
      <c r="O205" s="137">
        <f>DSUM(SEP_2013_A,27,HS_A_)</f>
        <v>0</v>
      </c>
      <c r="P205" s="137">
        <f>DSUM(SEP_2013_A,28,HS_A_)</f>
        <v>0</v>
      </c>
      <c r="Q205" s="137">
        <f>DSUM(SEP_2013_A,29,HS_A_)</f>
        <v>0</v>
      </c>
      <c r="R205" s="137">
        <f>DSUM(SEP_2013_A,30,HS_A_)</f>
        <v>0</v>
      </c>
      <c r="S205" s="137">
        <f>DSUM(SEP_2013_A,31,HS_A_)</f>
        <v>0</v>
      </c>
      <c r="T205" s="137">
        <f>DSUM(SEP_2013_A,32,HS_A_)</f>
        <v>0</v>
      </c>
      <c r="U205" s="137">
        <f>DSUM(SEP_2013_A,33,HS_A_)</f>
        <v>0</v>
      </c>
      <c r="V205" s="137">
        <f>DSUM(SEP_2013_A,34,HS_A_)</f>
        <v>0</v>
      </c>
    </row>
    <row r="206" spans="1:22" ht="15.95" customHeight="1" x14ac:dyDescent="0.2">
      <c r="A206" s="158"/>
      <c r="B206" s="1" t="s">
        <v>973</v>
      </c>
      <c r="C206" s="129" t="str">
        <f t="shared" si="21"/>
        <v>Calzada del Hueso No. B</v>
      </c>
      <c r="D206" s="129" t="str">
        <f t="shared" si="22"/>
        <v>KB TEL Telecomunicaciones</v>
      </c>
      <c r="E206" s="90">
        <f t="shared" si="23"/>
        <v>1000</v>
      </c>
      <c r="F206" s="91">
        <f>DSUM(SEP_2013_A,AA,HS_B_)</f>
        <v>0</v>
      </c>
      <c r="G206" s="90">
        <f t="shared" si="24"/>
        <v>8000</v>
      </c>
      <c r="H206" s="90">
        <f>DSUM(SEP_2013_A,importe,HS_B_)</f>
        <v>8000</v>
      </c>
      <c r="I206" s="17">
        <f t="shared" si="25"/>
        <v>8</v>
      </c>
      <c r="J206" s="6" t="s">
        <v>1279</v>
      </c>
      <c r="K206" s="137">
        <f>DSUM(SEP_2013_A,23,HS_B_)</f>
        <v>1000</v>
      </c>
      <c r="L206" s="137">
        <f>DSUM(SEP_2013_A,24,HS_B_)</f>
        <v>1000</v>
      </c>
      <c r="M206" s="137">
        <f>DSUM(SEP_2013_A,25,HS_B_)</f>
        <v>1000</v>
      </c>
      <c r="N206" s="137">
        <f>DSUM(SEP_2013_A,26,HS_B_)</f>
        <v>1000</v>
      </c>
      <c r="O206" s="137">
        <f>DSUM(SEP_2013_A,27,HS_B_)</f>
        <v>1000</v>
      </c>
      <c r="P206" s="137">
        <f>DSUM(SEP_2013_A,28,HS_B_)</f>
        <v>1000</v>
      </c>
      <c r="Q206" s="137">
        <f>DSUM(SEP_2013_A,29,HS_B_)</f>
        <v>1000</v>
      </c>
      <c r="R206" s="137">
        <f>DSUM(SEP_2013_A,30,HS_B_)</f>
        <v>1000</v>
      </c>
      <c r="S206" s="137">
        <f>DSUM(SEP_2013_A,31,HS_B_)</f>
        <v>0</v>
      </c>
      <c r="T206" s="137">
        <f>DSUM(SEP_2013_A,32,HS_B_)</f>
        <v>0</v>
      </c>
      <c r="U206" s="137">
        <f>DSUM(SEP_2013_A,33,HS_B_)</f>
        <v>0</v>
      </c>
      <c r="V206" s="137">
        <f>DSUM(SEP_2013_A,34,HS_B_)</f>
        <v>0</v>
      </c>
    </row>
    <row r="207" spans="1:22" ht="15.95" customHeight="1" x14ac:dyDescent="0.2">
      <c r="B207" s="1" t="s">
        <v>974</v>
      </c>
      <c r="C207" s="129" t="str">
        <f t="shared" si="21"/>
        <v>Calzada del Hueso No. C</v>
      </c>
      <c r="D207" s="129" t="str">
        <f t="shared" si="22"/>
        <v>Estética</v>
      </c>
      <c r="E207" s="90">
        <f t="shared" si="23"/>
        <v>300</v>
      </c>
      <c r="F207" s="91">
        <f>DSUM(SEP_2013_A,AA,HS_C_)</f>
        <v>0</v>
      </c>
      <c r="G207" s="90">
        <f t="shared" si="24"/>
        <v>0</v>
      </c>
      <c r="H207" s="90">
        <f>DSUM(SEP_2013_A,importe,HS_C_)</f>
        <v>0</v>
      </c>
      <c r="I207" s="17">
        <f t="shared" si="25"/>
        <v>0</v>
      </c>
      <c r="J207" s="6" t="s">
        <v>1279</v>
      </c>
      <c r="K207" s="137">
        <f>DSUM(SEP_2013_A,23,HS_C_)</f>
        <v>0</v>
      </c>
      <c r="L207" s="137">
        <f>DSUM(SEP_2013_A,24,HS_C_)</f>
        <v>0</v>
      </c>
      <c r="M207" s="137">
        <f>DSUM(SEP_2013_A,25,HS_C_)</f>
        <v>0</v>
      </c>
      <c r="N207" s="137">
        <f>DSUM(SEP_2013_A,26,HS_C_)</f>
        <v>0</v>
      </c>
      <c r="O207" s="137">
        <f>DSUM(SEP_2013_A,27,HS_C_)</f>
        <v>0</v>
      </c>
      <c r="P207" s="137">
        <f>DSUM(SEP_2013_A,28,HS_C_)</f>
        <v>0</v>
      </c>
      <c r="Q207" s="137">
        <f>DSUM(SEP_2013_A,29,HS_C_)</f>
        <v>0</v>
      </c>
      <c r="R207" s="137">
        <f>DSUM(SEP_2013_A,30,HS_C_)</f>
        <v>0</v>
      </c>
      <c r="S207" s="137">
        <f>DSUM(SEP_2013_A,31,HS_C_)</f>
        <v>0</v>
      </c>
      <c r="T207" s="137">
        <f>DSUM(SEP_2013_A,32,HS_C_)</f>
        <v>0</v>
      </c>
      <c r="U207" s="137">
        <f>DSUM(SEP_2013_A,33,HS_C_)</f>
        <v>0</v>
      </c>
      <c r="V207" s="137">
        <f>DSUM(SEP_2013_A,34,HS_C_)</f>
        <v>0</v>
      </c>
    </row>
    <row r="208" spans="1:22" ht="15.95" customHeight="1" x14ac:dyDescent="0.2">
      <c r="B208" s="1" t="s">
        <v>1851</v>
      </c>
      <c r="C208" s="129" t="str">
        <f t="shared" si="21"/>
        <v>Rancho Landero No. 1, A</v>
      </c>
      <c r="D208" s="129" t="str">
        <f t="shared" si="22"/>
        <v>Ebysos</v>
      </c>
      <c r="E208" s="90">
        <f t="shared" si="23"/>
        <v>300</v>
      </c>
      <c r="F208" s="91">
        <f>DSUM(SEP_2013_A,AA,LD_1_A)</f>
        <v>0</v>
      </c>
      <c r="G208" s="90">
        <f t="shared" si="24"/>
        <v>0</v>
      </c>
      <c r="H208" s="90">
        <f>DSUM(SEP_2013_A,importe,LD_1_A)</f>
        <v>0</v>
      </c>
      <c r="I208" s="17">
        <f t="shared" si="25"/>
        <v>0</v>
      </c>
      <c r="J208" s="6" t="s">
        <v>1280</v>
      </c>
      <c r="K208" s="137">
        <f>DSUM(SEP_2013_A,23,LD_1_A)</f>
        <v>0</v>
      </c>
      <c r="L208" s="137">
        <f>DSUM(SEP_2013_A,24,LD_1_A)</f>
        <v>0</v>
      </c>
      <c r="M208" s="137">
        <f>DSUM(SEP_2013_A,25,LD_1_A)</f>
        <v>0</v>
      </c>
      <c r="N208" s="137">
        <f>DSUM(SEP_2013_A,26,LD_1_A)</f>
        <v>0</v>
      </c>
      <c r="O208" s="137">
        <f>DSUM(SEP_2013_A,27,LD_1_A)</f>
        <v>0</v>
      </c>
      <c r="P208" s="137">
        <f>DSUM(SEP_2013_A,28,LD_1_A)</f>
        <v>0</v>
      </c>
      <c r="Q208" s="137">
        <f>DSUM(SEP_2013_A,29,LD_1_A)</f>
        <v>0</v>
      </c>
      <c r="R208" s="137">
        <f>DSUM(SEP_2013_A,30,LD_1_A)</f>
        <v>0</v>
      </c>
      <c r="S208" s="137">
        <f>DSUM(SEP_2013_A,31,LD_1_A)</f>
        <v>0</v>
      </c>
      <c r="T208" s="137">
        <f>DSUM(SEP_2013_A,32,LD_1_A)</f>
        <v>0</v>
      </c>
      <c r="U208" s="137">
        <f>DSUM(SEP_2013_A,33,LD_1_A)</f>
        <v>0</v>
      </c>
      <c r="V208" s="137">
        <f>DSUM(SEP_2013_A,34,LD_1_A)</f>
        <v>0</v>
      </c>
    </row>
    <row r="209" spans="2:22" ht="15.95" customHeight="1" x14ac:dyDescent="0.2">
      <c r="B209" s="1" t="s">
        <v>1853</v>
      </c>
      <c r="C209" s="129" t="str">
        <f t="shared" si="21"/>
        <v>Rancho Landero No. 1, B</v>
      </c>
      <c r="D209" s="129" t="str">
        <f t="shared" si="22"/>
        <v>Pérez</v>
      </c>
      <c r="E209" s="90">
        <f t="shared" si="23"/>
        <v>300</v>
      </c>
      <c r="F209" s="91">
        <f>DSUM(SEP_2013_A,AA,LD_1_B)</f>
        <v>0</v>
      </c>
      <c r="G209" s="90">
        <f t="shared" si="24"/>
        <v>0</v>
      </c>
      <c r="H209" s="90">
        <f>DSUM(SEP_2013_A,importe,LD_1_B)</f>
        <v>0</v>
      </c>
      <c r="I209" s="17">
        <f t="shared" si="25"/>
        <v>0</v>
      </c>
      <c r="J209" s="6" t="s">
        <v>1280</v>
      </c>
      <c r="K209" s="137">
        <f>DSUM(SEP_2013_A,23,LD_1_B)</f>
        <v>0</v>
      </c>
      <c r="L209" s="137">
        <f>DSUM(SEP_2013_A,24,LD_1_B)</f>
        <v>0</v>
      </c>
      <c r="M209" s="137">
        <f>DSUM(SEP_2013_A,25,LD_1_B)</f>
        <v>0</v>
      </c>
      <c r="N209" s="137">
        <f>DSUM(SEP_2013_A,26,LD_1_B)</f>
        <v>0</v>
      </c>
      <c r="O209" s="137">
        <f>DSUM(SEP_2013_A,27,LD_1_B)</f>
        <v>0</v>
      </c>
      <c r="P209" s="137">
        <f>DSUM(SEP_2013_A,28,LD_1_B)</f>
        <v>0</v>
      </c>
      <c r="Q209" s="137">
        <f>DSUM(SEP_2013_A,29,LD_1_B)</f>
        <v>0</v>
      </c>
      <c r="R209" s="137">
        <f>DSUM(SEP_2013_A,30,LD_1_B)</f>
        <v>0</v>
      </c>
      <c r="S209" s="137">
        <f>DSUM(SEP_2013_A,31,LD_1_B)</f>
        <v>0</v>
      </c>
      <c r="T209" s="137">
        <f>DSUM(SEP_2013_A,32,LD_1_B)</f>
        <v>0</v>
      </c>
      <c r="U209" s="137">
        <f>DSUM(SEP_2013_A,33,LD_1_B)</f>
        <v>0</v>
      </c>
      <c r="V209" s="137">
        <f>DSUM(SEP_2013_A,34,LD_1_B)</f>
        <v>0</v>
      </c>
    </row>
    <row r="210" spans="2:22" ht="15.95" customHeight="1" x14ac:dyDescent="0.2">
      <c r="B210" s="1" t="s">
        <v>976</v>
      </c>
      <c r="C210" s="129" t="str">
        <f t="shared" si="21"/>
        <v>Rancho Landero No. 2, 3</v>
      </c>
      <c r="D210" s="129" t="str">
        <f t="shared" si="22"/>
        <v>Pineda Laura</v>
      </c>
      <c r="E210" s="90">
        <f t="shared" si="23"/>
        <v>150</v>
      </c>
      <c r="F210" s="91">
        <f>DSUM(SEP_2013_A,AA,LD_2_3)</f>
        <v>900</v>
      </c>
      <c r="G210" s="90">
        <f t="shared" si="24"/>
        <v>1650</v>
      </c>
      <c r="H210" s="90">
        <f>DSUM(SEP_2013_A,importe,LD_2_3)</f>
        <v>2550</v>
      </c>
      <c r="I210" s="17">
        <f t="shared" si="25"/>
        <v>11</v>
      </c>
      <c r="J210" s="6" t="s">
        <v>1280</v>
      </c>
      <c r="K210" s="137">
        <f>DSUM(SEP_2013_A,23,LD_2_3)</f>
        <v>150</v>
      </c>
      <c r="L210" s="137">
        <f>DSUM(SEP_2013_A,24,LD_2_3)</f>
        <v>0</v>
      </c>
      <c r="M210" s="137">
        <f>DSUM(SEP_2013_A,25,LD_2_3)</f>
        <v>150</v>
      </c>
      <c r="N210" s="137">
        <f>DSUM(SEP_2013_A,26,LD_2_3)</f>
        <v>150</v>
      </c>
      <c r="O210" s="137">
        <f>DSUM(SEP_2013_A,27,LD_2_3)</f>
        <v>150</v>
      </c>
      <c r="P210" s="137">
        <f>DSUM(SEP_2013_A,28,LD_2_3)</f>
        <v>150</v>
      </c>
      <c r="Q210" s="137">
        <f>DSUM(SEP_2013_A,29,LD_2_3)</f>
        <v>150</v>
      </c>
      <c r="R210" s="137">
        <f>DSUM(SEP_2013_A,30,LD_2_3)</f>
        <v>150</v>
      </c>
      <c r="S210" s="137">
        <f>DSUM(SEP_2013_A,31,LD_2_3)</f>
        <v>150</v>
      </c>
      <c r="T210" s="137">
        <f>DSUM(SEP_2013_A,32,LD_2_3)</f>
        <v>150</v>
      </c>
      <c r="U210" s="137">
        <f>DSUM(SEP_2013_A,33,LD_2_3)</f>
        <v>150</v>
      </c>
      <c r="V210" s="137">
        <f>DSUM(SEP_2013_A,34,LD_2_3)</f>
        <v>150</v>
      </c>
    </row>
    <row r="211" spans="2:22" ht="15.95" customHeight="1" x14ac:dyDescent="0.2">
      <c r="B211" s="1" t="s">
        <v>1046</v>
      </c>
      <c r="C211" s="129" t="str">
        <f t="shared" si="21"/>
        <v>Rancho Landero No. 2, A</v>
      </c>
      <c r="D211" s="129" t="str">
        <f t="shared" si="22"/>
        <v>Zepeda</v>
      </c>
      <c r="E211" s="90">
        <f t="shared" si="23"/>
        <v>150</v>
      </c>
      <c r="F211" s="91">
        <f>DSUM(SEP_2013_A,AA,LD_2_A)</f>
        <v>0</v>
      </c>
      <c r="G211" s="90">
        <f t="shared" si="24"/>
        <v>300</v>
      </c>
      <c r="H211" s="90">
        <f>DSUM(SEP_2013_A,importe,LD_2_A)</f>
        <v>300</v>
      </c>
      <c r="I211" s="17">
        <f t="shared" si="25"/>
        <v>2</v>
      </c>
      <c r="J211" s="6" t="s">
        <v>1280</v>
      </c>
      <c r="K211" s="137">
        <f>DSUM(SEP_2013_A,23,LD_2_A)</f>
        <v>150</v>
      </c>
      <c r="L211" s="137">
        <f>DSUM(SEP_2013_A,24,LD_2_A)</f>
        <v>150</v>
      </c>
      <c r="M211" s="137">
        <f>DSUM(SEP_2013_A,25,LD_2_A)</f>
        <v>0</v>
      </c>
      <c r="N211" s="137">
        <f>DSUM(SEP_2013_A,26,LD_2_A)</f>
        <v>0</v>
      </c>
      <c r="O211" s="137">
        <f>DSUM(SEP_2013_A,27,LD_2_A)</f>
        <v>0</v>
      </c>
      <c r="P211" s="137">
        <f>DSUM(SEP_2013_A,28,LD_2_A)</f>
        <v>0</v>
      </c>
      <c r="Q211" s="137">
        <f>DSUM(SEP_2013_A,29,LD_2_A)</f>
        <v>0</v>
      </c>
      <c r="R211" s="137">
        <f>DSUM(SEP_2013_A,30,LD_2_A)</f>
        <v>0</v>
      </c>
      <c r="S211" s="137">
        <f>DSUM(SEP_2013_A,31,LD_2_A)</f>
        <v>0</v>
      </c>
      <c r="T211" s="137">
        <f>DSUM(SEP_2013_A,32,LD_2_A)</f>
        <v>0</v>
      </c>
      <c r="U211" s="137">
        <f>DSUM(SEP_2013_A,33,LD_2_A)</f>
        <v>0</v>
      </c>
      <c r="V211" s="137">
        <f>DSUM(SEP_2013_A,34,LD_2_A)</f>
        <v>0</v>
      </c>
    </row>
    <row r="212" spans="2:22" ht="15.95" customHeight="1" x14ac:dyDescent="0.2">
      <c r="B212" s="1" t="s">
        <v>1047</v>
      </c>
      <c r="C212" s="129" t="str">
        <f t="shared" si="21"/>
        <v>Rancho Landero No. 2, B</v>
      </c>
      <c r="D212" s="129" t="str">
        <f t="shared" si="22"/>
        <v>Zamora Vera</v>
      </c>
      <c r="E212" s="90">
        <f t="shared" si="23"/>
        <v>150</v>
      </c>
      <c r="F212" s="91">
        <f>DSUM(SEP_2013_A,AA,LD_2_B)</f>
        <v>0</v>
      </c>
      <c r="G212" s="90">
        <f t="shared" si="24"/>
        <v>0</v>
      </c>
      <c r="H212" s="90">
        <f>DSUM(SEP_2013_A,importe,LD_2_B)</f>
        <v>0</v>
      </c>
      <c r="I212" s="17">
        <f t="shared" si="25"/>
        <v>0</v>
      </c>
      <c r="J212" s="6" t="s">
        <v>1280</v>
      </c>
      <c r="K212" s="137">
        <f>DSUM(SEP_2013_A,23,LD_2_B)</f>
        <v>0</v>
      </c>
      <c r="L212" s="137">
        <f>DSUM(SEP_2013_A,24,LD_2_B)</f>
        <v>0</v>
      </c>
      <c r="M212" s="137">
        <f>DSUM(SEP_2013_A,25,LD_2_B)</f>
        <v>0</v>
      </c>
      <c r="N212" s="137">
        <f>DSUM(SEP_2013_A,26,LD_2_B)</f>
        <v>0</v>
      </c>
      <c r="O212" s="137">
        <f>DSUM(SEP_2013_A,27,LD_2_B)</f>
        <v>0</v>
      </c>
      <c r="P212" s="137">
        <f>DSUM(SEP_2013_A,28,LD_2_B)</f>
        <v>0</v>
      </c>
      <c r="Q212" s="137">
        <f>DSUM(SEP_2013_A,29,LD_2_B)</f>
        <v>0</v>
      </c>
      <c r="R212" s="137">
        <f>DSUM(SEP_2013_A,30,LD_2_B)</f>
        <v>0</v>
      </c>
      <c r="S212" s="137">
        <f>DSUM(SEP_2013_A,31,LD_2_B)</f>
        <v>0</v>
      </c>
      <c r="T212" s="137">
        <f>DSUM(SEP_2013_A,32,LD_2_B)</f>
        <v>0</v>
      </c>
      <c r="U212" s="137">
        <f>DSUM(SEP_2013_A,33,LD_2_B)</f>
        <v>0</v>
      </c>
      <c r="V212" s="137">
        <f>DSUM(SEP_2013_A,34,LD_2_B)</f>
        <v>0</v>
      </c>
    </row>
    <row r="213" spans="2:22" ht="15.95" customHeight="1" x14ac:dyDescent="0.2">
      <c r="B213" s="1" t="s">
        <v>977</v>
      </c>
      <c r="C213" s="129" t="str">
        <f t="shared" si="21"/>
        <v>Rancho Landero No. 7</v>
      </c>
      <c r="D213" s="129" t="str">
        <f t="shared" si="22"/>
        <v>Robles</v>
      </c>
      <c r="E213" s="90">
        <f t="shared" si="23"/>
        <v>150</v>
      </c>
      <c r="F213" s="91">
        <f>DSUM(SEP_2013_A,AA,LD_7_)</f>
        <v>150</v>
      </c>
      <c r="G213" s="90">
        <f t="shared" si="24"/>
        <v>1350</v>
      </c>
      <c r="H213" s="90">
        <f>DSUM(SEP_2013_A,importe,LD_7_)</f>
        <v>1500</v>
      </c>
      <c r="I213" s="17">
        <f t="shared" si="25"/>
        <v>9</v>
      </c>
      <c r="J213" s="6" t="s">
        <v>1280</v>
      </c>
      <c r="K213" s="137">
        <f>DSUM(SEP_2013_A,23,LD_7_)</f>
        <v>150</v>
      </c>
      <c r="L213" s="137">
        <f>DSUM(SEP_2013_A,24,LD_7_)</f>
        <v>150</v>
      </c>
      <c r="M213" s="137">
        <f>DSUM(SEP_2013_A,25,LD_7_)</f>
        <v>150</v>
      </c>
      <c r="N213" s="137">
        <f>DSUM(SEP_2013_A,26,LD_7_)</f>
        <v>150</v>
      </c>
      <c r="O213" s="137">
        <f>DSUM(SEP_2013_A,27,LD_7_)</f>
        <v>150</v>
      </c>
      <c r="P213" s="137">
        <f>DSUM(SEP_2013_A,28,LD_7_)</f>
        <v>150</v>
      </c>
      <c r="Q213" s="137">
        <f>DSUM(SEP_2013_A,29,LD_7_)</f>
        <v>150</v>
      </c>
      <c r="R213" s="137">
        <f>DSUM(SEP_2013_A,30,LD_7_)</f>
        <v>150</v>
      </c>
      <c r="S213" s="137">
        <f>DSUM(SEP_2013_A,31,LD_7_)</f>
        <v>150</v>
      </c>
      <c r="T213" s="137">
        <f>DSUM(SEP_2013_A,32,LD_7_)</f>
        <v>0</v>
      </c>
      <c r="U213" s="137">
        <f>DSUM(SEP_2013_A,33,LD_7_)</f>
        <v>0</v>
      </c>
      <c r="V213" s="137">
        <f>DSUM(SEP_2013_A,34,LD_7_)</f>
        <v>0</v>
      </c>
    </row>
    <row r="214" spans="2:22" ht="15.95" customHeight="1" x14ac:dyDescent="0.2">
      <c r="B214" s="1" t="s">
        <v>978</v>
      </c>
      <c r="C214" s="129" t="str">
        <f t="shared" si="21"/>
        <v>Rancho Landero No. 8</v>
      </c>
      <c r="D214" s="129" t="str">
        <f t="shared" si="22"/>
        <v>Peña Torres</v>
      </c>
      <c r="E214" s="90">
        <f t="shared" si="23"/>
        <v>250</v>
      </c>
      <c r="F214" s="91">
        <f>DSUM(SEP_2013_A,AA,LD_8_)</f>
        <v>500</v>
      </c>
      <c r="G214" s="90">
        <f t="shared" si="24"/>
        <v>2000</v>
      </c>
      <c r="H214" s="90">
        <f>DSUM(SEP_2013_A,importe,LD_8_)</f>
        <v>2500</v>
      </c>
      <c r="I214" s="17">
        <f t="shared" si="25"/>
        <v>8</v>
      </c>
      <c r="J214" s="6" t="s">
        <v>1280</v>
      </c>
      <c r="K214" s="137">
        <f>DSUM(SEP_2013_A,23,LD_8_)</f>
        <v>250</v>
      </c>
      <c r="L214" s="137">
        <f>DSUM(SEP_2013_A,24,LD_8_)</f>
        <v>250</v>
      </c>
      <c r="M214" s="137">
        <f>DSUM(SEP_2013_A,25,LD_8_)</f>
        <v>250</v>
      </c>
      <c r="N214" s="137">
        <f>DSUM(SEP_2013_A,26,LD_8_)</f>
        <v>250</v>
      </c>
      <c r="O214" s="137">
        <f>DSUM(SEP_2013_A,27,LD_8_)</f>
        <v>250</v>
      </c>
      <c r="P214" s="137">
        <f>DSUM(SEP_2013_A,28,LD_8_)</f>
        <v>250</v>
      </c>
      <c r="Q214" s="137">
        <f>DSUM(SEP_2013_A,29,LD_8_)</f>
        <v>250</v>
      </c>
      <c r="R214" s="137">
        <f>DSUM(SEP_2013_A,30,LD_8_)</f>
        <v>250</v>
      </c>
      <c r="S214" s="137">
        <f>DSUM(SEP_2013_A,31,LD_8_)</f>
        <v>0</v>
      </c>
      <c r="T214" s="137">
        <f>DSUM(SEP_2013_A,32,LD_8_)</f>
        <v>0</v>
      </c>
      <c r="U214" s="137">
        <f>DSUM(SEP_2013_A,33,LD_8_)</f>
        <v>0</v>
      </c>
      <c r="V214" s="137">
        <f>DSUM(SEP_2013_A,34,LD_8_)</f>
        <v>0</v>
      </c>
    </row>
    <row r="215" spans="2:22" ht="15.95" customHeight="1" x14ac:dyDescent="0.2">
      <c r="B215" s="1" t="s">
        <v>979</v>
      </c>
      <c r="C215" s="129" t="str">
        <f t="shared" si="21"/>
        <v>Rancho Landero No. 10</v>
      </c>
      <c r="D215" s="129" t="str">
        <f t="shared" si="22"/>
        <v>Gómez Facio</v>
      </c>
      <c r="E215" s="90">
        <f t="shared" si="23"/>
        <v>300</v>
      </c>
      <c r="F215" s="91">
        <f>DSUM(SEP_2013_A,AA,LD_10_)</f>
        <v>0</v>
      </c>
      <c r="G215" s="90">
        <f t="shared" si="24"/>
        <v>0</v>
      </c>
      <c r="H215" s="90">
        <f>DSUM(SEP_2013_A,importe,LD_10_)</f>
        <v>0</v>
      </c>
      <c r="I215" s="17">
        <f t="shared" si="25"/>
        <v>0</v>
      </c>
      <c r="J215" s="6" t="s">
        <v>1280</v>
      </c>
      <c r="K215" s="137">
        <f>DSUM(SEP_2013_A,23,LD_10_)</f>
        <v>0</v>
      </c>
      <c r="L215" s="137">
        <f>DSUM(SEP_2013_A,24,LD_10_)</f>
        <v>0</v>
      </c>
      <c r="M215" s="137">
        <f>DSUM(SEP_2013_A,25,LD_10_)</f>
        <v>0</v>
      </c>
      <c r="N215" s="137">
        <f>DSUM(SEP_2013_A,26,LD_10_)</f>
        <v>0</v>
      </c>
      <c r="O215" s="137">
        <f>DSUM(SEP_2013_A,27,LD_10_)</f>
        <v>0</v>
      </c>
      <c r="P215" s="137">
        <f>DSUM(SEP_2013_A,28,LD_10_)</f>
        <v>0</v>
      </c>
      <c r="Q215" s="137">
        <f>DSUM(SEP_2013_A,29,LD_10_)</f>
        <v>0</v>
      </c>
      <c r="R215" s="137">
        <f>DSUM(SEP_2013_A,30,LD_10_)</f>
        <v>0</v>
      </c>
      <c r="S215" s="137">
        <f>DSUM(SEP_2013_A,31,LD_10_)</f>
        <v>0</v>
      </c>
      <c r="T215" s="137">
        <f>DSUM(SEP_2013_A,32,LD_10_)</f>
        <v>0</v>
      </c>
      <c r="U215" s="137">
        <f>DSUM(SEP_2013_A,33,LD_10_)</f>
        <v>0</v>
      </c>
      <c r="V215" s="137">
        <f>DSUM(SEP_2013_A,34,LD_10_)</f>
        <v>0</v>
      </c>
    </row>
    <row r="216" spans="2:22" ht="15.95" customHeight="1" x14ac:dyDescent="0.2">
      <c r="B216" s="1" t="s">
        <v>980</v>
      </c>
      <c r="C216" s="129" t="str">
        <f t="shared" si="21"/>
        <v>Rancho Landero No. 11</v>
      </c>
      <c r="D216" s="129" t="str">
        <f t="shared" si="22"/>
        <v>Callejas</v>
      </c>
      <c r="E216" s="90">
        <f t="shared" si="23"/>
        <v>300</v>
      </c>
      <c r="F216" s="91">
        <f>DSUM(SEP_2013_A,AA,LD_11_)</f>
        <v>0</v>
      </c>
      <c r="G216" s="90">
        <f t="shared" si="24"/>
        <v>0</v>
      </c>
      <c r="H216" s="90">
        <f>DSUM(SEP_2013_A,importe,LD_11_)</f>
        <v>0</v>
      </c>
      <c r="I216" s="17">
        <f t="shared" si="25"/>
        <v>0</v>
      </c>
      <c r="J216" s="6" t="s">
        <v>1280</v>
      </c>
      <c r="K216" s="137">
        <f>DSUM(SEP_2013_A,23,LD_11_)</f>
        <v>0</v>
      </c>
      <c r="L216" s="137">
        <f>DSUM(SEP_2013_A,24,LD_11_)</f>
        <v>0</v>
      </c>
      <c r="M216" s="137">
        <f>DSUM(SEP_2013_A,25,LD_11_)</f>
        <v>0</v>
      </c>
      <c r="N216" s="137">
        <f>DSUM(SEP_2013_A,26,LD_11_)</f>
        <v>0</v>
      </c>
      <c r="O216" s="137">
        <f>DSUM(SEP_2013_A,27,LD_11_)</f>
        <v>0</v>
      </c>
      <c r="P216" s="137">
        <f>DSUM(SEP_2013_A,28,LD_11_)</f>
        <v>0</v>
      </c>
      <c r="Q216" s="137">
        <f>DSUM(SEP_2013_A,29,LD_11_)</f>
        <v>0</v>
      </c>
      <c r="R216" s="137">
        <f>DSUM(SEP_2013_A,30,LD_11_)</f>
        <v>0</v>
      </c>
      <c r="S216" s="137">
        <f>DSUM(SEP_2013_A,31,LD_11_)</f>
        <v>0</v>
      </c>
      <c r="T216" s="137">
        <f>DSUM(SEP_2013_A,32,LD_11_)</f>
        <v>0</v>
      </c>
      <c r="U216" s="137">
        <f>DSUM(SEP_2013_A,33,LD_11_)</f>
        <v>0</v>
      </c>
      <c r="V216" s="137">
        <f>DSUM(SEP_2013_A,34,LD_11_)</f>
        <v>0</v>
      </c>
    </row>
    <row r="217" spans="2:22" ht="15.95" customHeight="1" x14ac:dyDescent="0.2">
      <c r="B217" s="1" t="s">
        <v>981</v>
      </c>
      <c r="C217" s="129" t="str">
        <f t="shared" si="21"/>
        <v>Rancho Landero No. 12</v>
      </c>
      <c r="D217" s="129" t="str">
        <f t="shared" si="22"/>
        <v>Guzmán Silva</v>
      </c>
      <c r="E217" s="90">
        <f t="shared" si="23"/>
        <v>300</v>
      </c>
      <c r="F217" s="91">
        <f>DSUM(SEP_2013_A,AA,LD_12_)</f>
        <v>300</v>
      </c>
      <c r="G217" s="90">
        <f t="shared" si="24"/>
        <v>1800</v>
      </c>
      <c r="H217" s="90">
        <f>DSUM(SEP_2013_A,importe,LD_12_)</f>
        <v>2100</v>
      </c>
      <c r="I217" s="17">
        <f t="shared" si="25"/>
        <v>6</v>
      </c>
      <c r="J217" s="6" t="s">
        <v>1280</v>
      </c>
      <c r="K217" s="137">
        <f>DSUM(SEP_2013_A,23,LD_12_)</f>
        <v>300</v>
      </c>
      <c r="L217" s="137">
        <f>DSUM(SEP_2013_A,24,LD_12_)</f>
        <v>300</v>
      </c>
      <c r="M217" s="137">
        <f>DSUM(SEP_2013_A,25,LD_12_)</f>
        <v>300</v>
      </c>
      <c r="N217" s="137">
        <f>DSUM(SEP_2013_A,26,LD_12_)</f>
        <v>300</v>
      </c>
      <c r="O217" s="137">
        <f>DSUM(SEP_2013_A,27,LD_12_)</f>
        <v>300</v>
      </c>
      <c r="P217" s="137">
        <f>DSUM(SEP_2013_A,28,LD_12_)</f>
        <v>300</v>
      </c>
      <c r="Q217" s="137">
        <f>DSUM(SEP_2013_A,29,LD_12_)</f>
        <v>0</v>
      </c>
      <c r="R217" s="137">
        <f>DSUM(SEP_2013_A,30,LD_12_)</f>
        <v>0</v>
      </c>
      <c r="S217" s="137">
        <f>DSUM(SEP_2013_A,31,LD_12_)</f>
        <v>0</v>
      </c>
      <c r="T217" s="137">
        <f>DSUM(SEP_2013_A,32,LD_12_)</f>
        <v>0</v>
      </c>
      <c r="U217" s="137">
        <f>DSUM(SEP_2013_A,33,LD_12_)</f>
        <v>0</v>
      </c>
      <c r="V217" s="137">
        <f>DSUM(SEP_2013_A,34,LD_12_)</f>
        <v>0</v>
      </c>
    </row>
    <row r="218" spans="2:22" ht="15.95" customHeight="1" x14ac:dyDescent="0.2">
      <c r="B218" s="1" t="s">
        <v>982</v>
      </c>
      <c r="C218" s="129" t="str">
        <f t="shared" si="21"/>
        <v>Rancho Landero No. 13</v>
      </c>
      <c r="D218" s="129" t="str">
        <f t="shared" si="22"/>
        <v>Romero</v>
      </c>
      <c r="E218" s="90">
        <f t="shared" si="23"/>
        <v>300</v>
      </c>
      <c r="F218" s="91">
        <f>DSUM(SEP_2013_A,AA,LD_13_)</f>
        <v>0</v>
      </c>
      <c r="G218" s="90">
        <f t="shared" si="24"/>
        <v>0</v>
      </c>
      <c r="H218" s="90">
        <f>DSUM(SEP_2013_A,importe,LD_13_)</f>
        <v>0</v>
      </c>
      <c r="I218" s="17">
        <f t="shared" si="25"/>
        <v>0</v>
      </c>
      <c r="J218" s="6" t="s">
        <v>1280</v>
      </c>
      <c r="K218" s="137">
        <f>DSUM(SEP_2013_A,23,LD_13_)</f>
        <v>0</v>
      </c>
      <c r="L218" s="137">
        <f>DSUM(SEP_2013_A,24,LD_13_)</f>
        <v>0</v>
      </c>
      <c r="M218" s="137">
        <f>DSUM(SEP_2013_A,25,LD_13_)</f>
        <v>0</v>
      </c>
      <c r="N218" s="137">
        <f>DSUM(SEP_2013_A,26,LD_13_)</f>
        <v>0</v>
      </c>
      <c r="O218" s="137">
        <f>DSUM(SEP_2013_A,27,LD_13_)</f>
        <v>0</v>
      </c>
      <c r="P218" s="137">
        <f>DSUM(SEP_2013_A,28,LD_13_)</f>
        <v>0</v>
      </c>
      <c r="Q218" s="137">
        <f>DSUM(SEP_2013_A,29,LD_13_)</f>
        <v>0</v>
      </c>
      <c r="R218" s="137">
        <f>DSUM(SEP_2013_A,30,LD_13_)</f>
        <v>0</v>
      </c>
      <c r="S218" s="137">
        <f>DSUM(SEP_2013_A,31,LD_13_)</f>
        <v>0</v>
      </c>
      <c r="T218" s="137">
        <f>DSUM(SEP_2013_A,32,LD_13_)</f>
        <v>0</v>
      </c>
      <c r="U218" s="137">
        <f>DSUM(SEP_2013_A,33,LD_13_)</f>
        <v>0</v>
      </c>
      <c r="V218" s="137">
        <f>DSUM(SEP_2013_A,34,LD_13_)</f>
        <v>0</v>
      </c>
    </row>
    <row r="219" spans="2:22" ht="15.95" customHeight="1" x14ac:dyDescent="0.2">
      <c r="B219" s="1" t="s">
        <v>983</v>
      </c>
      <c r="C219" s="129" t="str">
        <f t="shared" si="21"/>
        <v>Rancho Landero No. 14</v>
      </c>
      <c r="D219" s="129" t="str">
        <f t="shared" si="22"/>
        <v>Rivera</v>
      </c>
      <c r="E219" s="90">
        <f t="shared" si="23"/>
        <v>300</v>
      </c>
      <c r="F219" s="91">
        <f>DSUM(SEP_2013_A,AA,LD_14_)</f>
        <v>1500</v>
      </c>
      <c r="G219" s="90">
        <f t="shared" si="24"/>
        <v>0</v>
      </c>
      <c r="H219" s="90">
        <f>DSUM(SEP_2013_A,importe,LD_14_)</f>
        <v>1500</v>
      </c>
      <c r="I219" s="17">
        <f t="shared" si="25"/>
        <v>0</v>
      </c>
      <c r="J219" s="6" t="s">
        <v>1280</v>
      </c>
      <c r="K219" s="137">
        <f>DSUM(SEP_2013_A,23,LD_14_)</f>
        <v>0</v>
      </c>
      <c r="L219" s="137">
        <f>DSUM(SEP_2013_A,24,LD_14_)</f>
        <v>0</v>
      </c>
      <c r="M219" s="137">
        <f>DSUM(SEP_2013_A,25,LD_14_)</f>
        <v>0</v>
      </c>
      <c r="N219" s="137">
        <f>DSUM(SEP_2013_A,26,LD_14_)</f>
        <v>0</v>
      </c>
      <c r="O219" s="137">
        <f>DSUM(SEP_2013_A,27,LD_14_)</f>
        <v>0</v>
      </c>
      <c r="P219" s="137">
        <f>DSUM(SEP_2013_A,28,LD_14_)</f>
        <v>0</v>
      </c>
      <c r="Q219" s="137">
        <f>DSUM(SEP_2013_A,29,LD_14_)</f>
        <v>0</v>
      </c>
      <c r="R219" s="137">
        <f>DSUM(SEP_2013_A,30,LD_14_)</f>
        <v>0</v>
      </c>
      <c r="S219" s="137">
        <f>DSUM(SEP_2013_A,31,LD_14_)</f>
        <v>0</v>
      </c>
      <c r="T219" s="137">
        <f>DSUM(SEP_2013_A,32,LD_14_)</f>
        <v>0</v>
      </c>
      <c r="U219" s="137">
        <f>DSUM(SEP_2013_A,33,LD_14_)</f>
        <v>0</v>
      </c>
      <c r="V219" s="137">
        <f>DSUM(SEP_2013_A,34,LD_14_)</f>
        <v>0</v>
      </c>
    </row>
    <row r="220" spans="2:22" ht="15.95" customHeight="1" x14ac:dyDescent="0.2">
      <c r="B220" s="1" t="s">
        <v>984</v>
      </c>
      <c r="C220" s="129" t="str">
        <f t="shared" si="21"/>
        <v>Rancho Landero No. 15</v>
      </c>
      <c r="D220" s="129" t="str">
        <f t="shared" si="22"/>
        <v>Morales D.</v>
      </c>
      <c r="E220" s="90">
        <f t="shared" si="23"/>
        <v>300</v>
      </c>
      <c r="F220" s="91">
        <f>DSUM(SEP_2013_A,AA,LD_15_)</f>
        <v>0</v>
      </c>
      <c r="G220" s="90">
        <f t="shared" si="24"/>
        <v>3300</v>
      </c>
      <c r="H220" s="90">
        <f>DSUM(SEP_2013_A,importe,LD_15_)</f>
        <v>3300</v>
      </c>
      <c r="I220" s="17">
        <f>IF(VLOOKUP(B220,BASE_A,9,FALSE)=0,0,(G220/VLOOKUP(B220,BASE_A,9,FALSE)))+1</f>
        <v>12</v>
      </c>
      <c r="J220" s="6" t="s">
        <v>1280</v>
      </c>
      <c r="K220" s="137">
        <f>DSUM(SEP_2013_A,23,LD_15_)</f>
        <v>300</v>
      </c>
      <c r="L220" s="137">
        <f>DSUM(SEP_2013_A,24,LD_15_)</f>
        <v>300</v>
      </c>
      <c r="M220" s="137">
        <f>DSUM(SEP_2013_A,25,LD_15_)</f>
        <v>300</v>
      </c>
      <c r="N220" s="137">
        <f>DSUM(SEP_2013_A,26,LD_15_)</f>
        <v>300</v>
      </c>
      <c r="O220" s="137">
        <f>DSUM(SEP_2013_A,27,LD_15_)</f>
        <v>300</v>
      </c>
      <c r="P220" s="137">
        <f>DSUM(SEP_2013_A,28,LD_15_)</f>
        <v>300</v>
      </c>
      <c r="Q220" s="137">
        <f>DSUM(SEP_2013_A,29,LD_15_)</f>
        <v>300</v>
      </c>
      <c r="R220" s="137">
        <f>DSUM(SEP_2013_A,30,LD_15_)</f>
        <v>300</v>
      </c>
      <c r="S220" s="137">
        <f>DSUM(SEP_2013_A,31,LD_15_)</f>
        <v>300</v>
      </c>
      <c r="T220" s="137">
        <f>DSUM(SEP_2013_A,32,LD_15_)</f>
        <v>300</v>
      </c>
      <c r="U220" s="137">
        <f>DSUM(SEP_2013_A,33,LD_15_)</f>
        <v>300</v>
      </c>
      <c r="V220" s="137">
        <f>DSUM(SEP_2013_A,34,LD_15_)</f>
        <v>0</v>
      </c>
    </row>
    <row r="221" spans="2:22" ht="15.95" customHeight="1" x14ac:dyDescent="0.2">
      <c r="B221" s="1" t="s">
        <v>985</v>
      </c>
      <c r="C221" s="129" t="str">
        <f t="shared" si="21"/>
        <v>Rancho Landero No. 17</v>
      </c>
      <c r="D221" s="129" t="str">
        <f t="shared" si="22"/>
        <v>González</v>
      </c>
      <c r="E221" s="90">
        <f t="shared" si="23"/>
        <v>300</v>
      </c>
      <c r="F221" s="91">
        <f>DSUM(SEP_2013_A,AA,LD_17_)</f>
        <v>0</v>
      </c>
      <c r="G221" s="90">
        <f t="shared" si="24"/>
        <v>0</v>
      </c>
      <c r="H221" s="90">
        <f>DSUM(SEP_2013_A,importe,LD_17_)</f>
        <v>0</v>
      </c>
      <c r="I221" s="17">
        <f t="shared" ref="I221:I252" si="26">IF(VLOOKUP(B221,BASE_A,9,FALSE)=0,0,G221/VLOOKUP(B221,BASE_A,9,FALSE))</f>
        <v>0</v>
      </c>
      <c r="J221" s="6" t="s">
        <v>1280</v>
      </c>
      <c r="K221" s="137">
        <f>DSUM(SEP_2013_A,23,LD_17_)</f>
        <v>0</v>
      </c>
      <c r="L221" s="137">
        <f>DSUM(SEP_2013_A,24,LD_17_)</f>
        <v>0</v>
      </c>
      <c r="M221" s="137">
        <f>DSUM(SEP_2013_A,25,LD_17_)</f>
        <v>0</v>
      </c>
      <c r="N221" s="137">
        <f>DSUM(SEP_2013_A,26,LD_17_)</f>
        <v>0</v>
      </c>
      <c r="O221" s="137">
        <f>DSUM(SEP_2013_A,27,LD_17_)</f>
        <v>0</v>
      </c>
      <c r="P221" s="137">
        <f>DSUM(SEP_2013_A,28,LD_17_)</f>
        <v>0</v>
      </c>
      <c r="Q221" s="137">
        <f>DSUM(SEP_2013_A,29,LD_17_)</f>
        <v>0</v>
      </c>
      <c r="R221" s="137">
        <f>DSUM(SEP_2013_A,30,LD_17_)</f>
        <v>0</v>
      </c>
      <c r="S221" s="137">
        <f>DSUM(SEP_2013_A,31,LD_17_)</f>
        <v>0</v>
      </c>
      <c r="T221" s="137">
        <f>DSUM(SEP_2013_A,32,LD_17_)</f>
        <v>0</v>
      </c>
      <c r="U221" s="137">
        <f>DSUM(SEP_2013_A,33,LD_17_)</f>
        <v>0</v>
      </c>
      <c r="V221" s="137">
        <f>DSUM(SEP_2013_A,34,LD_17_)</f>
        <v>0</v>
      </c>
    </row>
    <row r="222" spans="2:22" ht="15.95" customHeight="1" x14ac:dyDescent="0.2">
      <c r="B222" s="1" t="s">
        <v>986</v>
      </c>
      <c r="C222" s="129" t="str">
        <f t="shared" si="21"/>
        <v>Rancho Landero No. 18</v>
      </c>
      <c r="D222" s="129" t="str">
        <f t="shared" si="22"/>
        <v>Rosado</v>
      </c>
      <c r="E222" s="90">
        <f t="shared" si="23"/>
        <v>250</v>
      </c>
      <c r="F222" s="91">
        <f>DSUM(SEP_2013_A,AA,LD_18_)</f>
        <v>250</v>
      </c>
      <c r="G222" s="90">
        <f t="shared" si="24"/>
        <v>2250</v>
      </c>
      <c r="H222" s="90">
        <f>DSUM(SEP_2013_A,importe,LD_18_)</f>
        <v>2500</v>
      </c>
      <c r="I222" s="17">
        <f t="shared" si="26"/>
        <v>9</v>
      </c>
      <c r="J222" s="6" t="s">
        <v>1280</v>
      </c>
      <c r="K222" s="137">
        <f>DSUM(SEP_2013_A,23,LD_18_)</f>
        <v>250</v>
      </c>
      <c r="L222" s="137">
        <f>DSUM(SEP_2013_A,24,LD_18_)</f>
        <v>250</v>
      </c>
      <c r="M222" s="137">
        <f>DSUM(SEP_2013_A,25,LD_18_)</f>
        <v>250</v>
      </c>
      <c r="N222" s="137">
        <f>DSUM(SEP_2013_A,26,LD_18_)</f>
        <v>250</v>
      </c>
      <c r="O222" s="137">
        <f>DSUM(SEP_2013_A,27,LD_18_)</f>
        <v>250</v>
      </c>
      <c r="P222" s="137">
        <f>DSUM(SEP_2013_A,28,LD_18_)</f>
        <v>250</v>
      </c>
      <c r="Q222" s="137">
        <f>DSUM(SEP_2013_A,29,LD_18_)</f>
        <v>250</v>
      </c>
      <c r="R222" s="137">
        <f>DSUM(SEP_2013_A,30,LD_18_)</f>
        <v>250</v>
      </c>
      <c r="S222" s="137">
        <f>DSUM(SEP_2013_A,31,LD_18_)</f>
        <v>250</v>
      </c>
      <c r="T222" s="137">
        <f>DSUM(SEP_2013_A,32,LD_18_)</f>
        <v>0</v>
      </c>
      <c r="U222" s="137">
        <f>DSUM(SEP_2013_A,33,LD_18_)</f>
        <v>0</v>
      </c>
      <c r="V222" s="137">
        <f>DSUM(SEP_2013_A,34,LD_18_)</f>
        <v>0</v>
      </c>
    </row>
    <row r="223" spans="2:22" ht="15.95" customHeight="1" x14ac:dyDescent="0.2">
      <c r="B223" s="1" t="s">
        <v>987</v>
      </c>
      <c r="C223" s="129" t="str">
        <f t="shared" si="21"/>
        <v>Rancho Landero No. 19</v>
      </c>
      <c r="D223" s="129" t="str">
        <f t="shared" si="22"/>
        <v>Jiménez Guadarrama</v>
      </c>
      <c r="E223" s="90">
        <f t="shared" si="23"/>
        <v>300</v>
      </c>
      <c r="F223" s="91">
        <f>DSUM(SEP_2013_A,AA,LD_19_)</f>
        <v>600</v>
      </c>
      <c r="G223" s="90">
        <f t="shared" si="24"/>
        <v>1800</v>
      </c>
      <c r="H223" s="90">
        <f>DSUM(SEP_2013_A,importe,LD_19_)</f>
        <v>2400</v>
      </c>
      <c r="I223" s="17">
        <f t="shared" si="26"/>
        <v>6</v>
      </c>
      <c r="J223" s="6" t="s">
        <v>1280</v>
      </c>
      <c r="K223" s="137">
        <f>DSUM(SEP_2013_A,23,LD_19_)</f>
        <v>300</v>
      </c>
      <c r="L223" s="137">
        <f>DSUM(SEP_2013_A,24,LD_19_)</f>
        <v>300</v>
      </c>
      <c r="M223" s="137">
        <f>DSUM(SEP_2013_A,25,LD_19_)</f>
        <v>300</v>
      </c>
      <c r="N223" s="137">
        <f>DSUM(SEP_2013_A,26,LD_19_)</f>
        <v>300</v>
      </c>
      <c r="O223" s="137">
        <f>DSUM(SEP_2013_A,27,LD_19_)</f>
        <v>300</v>
      </c>
      <c r="P223" s="137">
        <f>DSUM(SEP_2013_A,28,LD_19_)</f>
        <v>300</v>
      </c>
      <c r="Q223" s="137">
        <f>DSUM(SEP_2013_A,29,LD_19_)</f>
        <v>0</v>
      </c>
      <c r="R223" s="137">
        <f>DSUM(SEP_2013_A,30,LD_19_)</f>
        <v>0</v>
      </c>
      <c r="S223" s="137">
        <f>DSUM(SEP_2013_A,31,LD_19_)</f>
        <v>0</v>
      </c>
      <c r="T223" s="137">
        <f>DSUM(SEP_2013_A,32,LD_19_)</f>
        <v>0</v>
      </c>
      <c r="U223" s="137">
        <f>DSUM(SEP_2013_A,33,LD_19_)</f>
        <v>0</v>
      </c>
      <c r="V223" s="137">
        <f>DSUM(SEP_2013_A,34,LD_19_)</f>
        <v>0</v>
      </c>
    </row>
    <row r="224" spans="2:22" ht="15.95" customHeight="1" x14ac:dyDescent="0.2">
      <c r="B224" s="1" t="s">
        <v>988</v>
      </c>
      <c r="C224" s="129" t="str">
        <f t="shared" si="21"/>
        <v>Rancho Landero No. 20</v>
      </c>
      <c r="D224" s="129" t="str">
        <f t="shared" si="22"/>
        <v>Velasco</v>
      </c>
      <c r="E224" s="90">
        <f t="shared" si="23"/>
        <v>300</v>
      </c>
      <c r="F224" s="91">
        <f>DSUM(SEP_2013_A,AA,LD_20_)</f>
        <v>1500</v>
      </c>
      <c r="G224" s="90">
        <f t="shared" si="24"/>
        <v>1800</v>
      </c>
      <c r="H224" s="90">
        <f>DSUM(SEP_2013_A,importe,LD_20_)</f>
        <v>3300</v>
      </c>
      <c r="I224" s="17">
        <f t="shared" si="26"/>
        <v>6</v>
      </c>
      <c r="J224" s="6" t="s">
        <v>1280</v>
      </c>
      <c r="K224" s="137">
        <f>DSUM(SEP_2013_A,23,LD_20_)</f>
        <v>0</v>
      </c>
      <c r="L224" s="137">
        <f>DSUM(SEP_2013_A,24,LD_20_)</f>
        <v>0</v>
      </c>
      <c r="M224" s="137">
        <f>DSUM(SEP_2013_A,25,LD_20_)</f>
        <v>0</v>
      </c>
      <c r="N224" s="137">
        <f>DSUM(SEP_2013_A,26,LD_20_)</f>
        <v>300</v>
      </c>
      <c r="O224" s="137">
        <f>DSUM(SEP_2013_A,27,LD_20_)</f>
        <v>300</v>
      </c>
      <c r="P224" s="137">
        <f>DSUM(SEP_2013_A,28,LD_20_)</f>
        <v>300</v>
      </c>
      <c r="Q224" s="137">
        <f>DSUM(SEP_2013_A,29,LD_20_)</f>
        <v>300</v>
      </c>
      <c r="R224" s="137">
        <f>DSUM(SEP_2013_A,30,LD_20_)</f>
        <v>300</v>
      </c>
      <c r="S224" s="137">
        <f>DSUM(SEP_2013_A,31,LD_20_)</f>
        <v>300</v>
      </c>
      <c r="T224" s="137">
        <f>DSUM(SEP_2013_A,32,LD_20_)</f>
        <v>0</v>
      </c>
      <c r="U224" s="137">
        <f>DSUM(SEP_2013_A,33,LD_20_)</f>
        <v>0</v>
      </c>
      <c r="V224" s="137">
        <f>DSUM(SEP_2013_A,34,LD_20_)</f>
        <v>0</v>
      </c>
    </row>
    <row r="225" spans="2:22" ht="15.95" customHeight="1" x14ac:dyDescent="0.2">
      <c r="B225" s="1" t="s">
        <v>989</v>
      </c>
      <c r="C225" s="129" t="str">
        <f t="shared" si="21"/>
        <v>Rancho Landero No. 21</v>
      </c>
      <c r="D225" s="129" t="str">
        <f t="shared" si="22"/>
        <v>Meza</v>
      </c>
      <c r="E225" s="90">
        <f t="shared" si="23"/>
        <v>300</v>
      </c>
      <c r="F225" s="91">
        <f>DSUM(SEP_2013_A,AA,LD_21_)</f>
        <v>300</v>
      </c>
      <c r="G225" s="90">
        <f t="shared" si="24"/>
        <v>2700</v>
      </c>
      <c r="H225" s="90">
        <f>DSUM(SEP_2013_A,importe,LD_21_)</f>
        <v>3000</v>
      </c>
      <c r="I225" s="17">
        <f t="shared" si="26"/>
        <v>9</v>
      </c>
      <c r="J225" s="6" t="s">
        <v>1280</v>
      </c>
      <c r="K225" s="137">
        <f>DSUM(SEP_2013_A,23,LD_21_)</f>
        <v>300</v>
      </c>
      <c r="L225" s="137">
        <f>DSUM(SEP_2013_A,24,LD_21_)</f>
        <v>300</v>
      </c>
      <c r="M225" s="137">
        <f>DSUM(SEP_2013_A,25,LD_21_)</f>
        <v>300</v>
      </c>
      <c r="N225" s="137">
        <f>DSUM(SEP_2013_A,26,LD_21_)</f>
        <v>300</v>
      </c>
      <c r="O225" s="137">
        <f>DSUM(SEP_2013_A,27,LD_21_)</f>
        <v>300</v>
      </c>
      <c r="P225" s="137">
        <f>DSUM(SEP_2013_A,28,LD_21_)</f>
        <v>300</v>
      </c>
      <c r="Q225" s="137">
        <f>DSUM(SEP_2013_A,29,LD_21_)</f>
        <v>300</v>
      </c>
      <c r="R225" s="137">
        <f>DSUM(SEP_2013_A,30,LD_21_)</f>
        <v>300</v>
      </c>
      <c r="S225" s="137">
        <f>DSUM(SEP_2013_A,31,LD_21_)</f>
        <v>300</v>
      </c>
      <c r="T225" s="137">
        <f>DSUM(SEP_2013_A,32,LD_21_)</f>
        <v>0</v>
      </c>
      <c r="U225" s="137">
        <f>DSUM(SEP_2013_A,33,LD_21_)</f>
        <v>0</v>
      </c>
      <c r="V225" s="137">
        <f>DSUM(SEP_2013_A,34,LD_21_)</f>
        <v>0</v>
      </c>
    </row>
    <row r="226" spans="2:22" ht="15.95" customHeight="1" x14ac:dyDescent="0.2">
      <c r="B226" s="1" t="s">
        <v>990</v>
      </c>
      <c r="C226" s="129" t="str">
        <f t="shared" si="21"/>
        <v>Rancho Landero No. 22</v>
      </c>
      <c r="D226" s="129" t="str">
        <f t="shared" si="22"/>
        <v>Reyes</v>
      </c>
      <c r="E226" s="90">
        <f t="shared" si="23"/>
        <v>150</v>
      </c>
      <c r="F226" s="91">
        <f>DSUM(SEP_2013_A,AA,LD_22_)</f>
        <v>150</v>
      </c>
      <c r="G226" s="90">
        <f t="shared" si="24"/>
        <v>1350</v>
      </c>
      <c r="H226" s="90">
        <f>DSUM(SEP_2013_A,importe,LD_22_)</f>
        <v>1500</v>
      </c>
      <c r="I226" s="17">
        <f t="shared" si="26"/>
        <v>9</v>
      </c>
      <c r="J226" s="6" t="s">
        <v>1280</v>
      </c>
      <c r="K226" s="137">
        <f>DSUM(SEP_2013_A,23,LD_22_)</f>
        <v>150</v>
      </c>
      <c r="L226" s="137">
        <f>DSUM(SEP_2013_A,24,LD_22_)</f>
        <v>150</v>
      </c>
      <c r="M226" s="137">
        <f>DSUM(SEP_2013_A,25,LD_22_)</f>
        <v>150</v>
      </c>
      <c r="N226" s="137">
        <f>DSUM(SEP_2013_A,26,LD_22_)</f>
        <v>150</v>
      </c>
      <c r="O226" s="137">
        <f>DSUM(SEP_2013_A,27,LD_22_)</f>
        <v>150</v>
      </c>
      <c r="P226" s="137">
        <f>DSUM(SEP_2013_A,28,LD_22_)</f>
        <v>150</v>
      </c>
      <c r="Q226" s="137">
        <f>DSUM(SEP_2013_A,29,LD_22_)</f>
        <v>150</v>
      </c>
      <c r="R226" s="137">
        <f>DSUM(SEP_2013_A,30,LD_22_)</f>
        <v>150</v>
      </c>
      <c r="S226" s="137">
        <f>DSUM(SEP_2013_A,31,LD_22_)</f>
        <v>150</v>
      </c>
      <c r="T226" s="137">
        <f>DSUM(SEP_2013_A,32,LD_22_)</f>
        <v>0</v>
      </c>
      <c r="U226" s="137">
        <f>DSUM(SEP_2013_A,33,LD_22_)</f>
        <v>0</v>
      </c>
      <c r="V226" s="137">
        <f>DSUM(SEP_2013_A,34,LD_22_)</f>
        <v>0</v>
      </c>
    </row>
    <row r="227" spans="2:22" ht="15.95" customHeight="1" x14ac:dyDescent="0.2">
      <c r="B227" s="1" t="s">
        <v>991</v>
      </c>
      <c r="C227" s="129" t="str">
        <f t="shared" si="21"/>
        <v>Rancho Landero No. 24</v>
      </c>
      <c r="D227" s="129" t="str">
        <f t="shared" si="22"/>
        <v>Vázquez Peralta</v>
      </c>
      <c r="E227" s="90">
        <f t="shared" si="23"/>
        <v>300</v>
      </c>
      <c r="F227" s="91">
        <f>DSUM(SEP_2013_A,AA,LD_24_)</f>
        <v>300</v>
      </c>
      <c r="G227" s="90">
        <f t="shared" si="24"/>
        <v>2700</v>
      </c>
      <c r="H227" s="90">
        <f>DSUM(SEP_2013_A,importe,LD_24_)</f>
        <v>3000</v>
      </c>
      <c r="I227" s="17">
        <f t="shared" si="26"/>
        <v>9</v>
      </c>
      <c r="J227" s="6" t="s">
        <v>1280</v>
      </c>
      <c r="K227" s="137">
        <f>DSUM(SEP_2013_A,23,LD_24_)</f>
        <v>300</v>
      </c>
      <c r="L227" s="137">
        <f>DSUM(SEP_2013_A,24,LD_24_)</f>
        <v>300</v>
      </c>
      <c r="M227" s="137">
        <f>DSUM(SEP_2013_A,25,LD_24_)</f>
        <v>300</v>
      </c>
      <c r="N227" s="137">
        <f>DSUM(SEP_2013_A,26,LD_24_)</f>
        <v>300</v>
      </c>
      <c r="O227" s="137">
        <f>DSUM(SEP_2013_A,27,LD_24_)</f>
        <v>300</v>
      </c>
      <c r="P227" s="137">
        <f>DSUM(SEP_2013_A,28,LD_24_)</f>
        <v>300</v>
      </c>
      <c r="Q227" s="137">
        <f>DSUM(SEP_2013_A,29,LD_24_)</f>
        <v>300</v>
      </c>
      <c r="R227" s="137">
        <f>DSUM(SEP_2013_A,30,LD_24_)</f>
        <v>300</v>
      </c>
      <c r="S227" s="137">
        <f>DSUM(SEP_2013_A,31,LD_24_)</f>
        <v>300</v>
      </c>
      <c r="T227" s="137">
        <f>DSUM(SEP_2013_A,32,LD_24_)</f>
        <v>0</v>
      </c>
      <c r="U227" s="137">
        <f>DSUM(SEP_2013_A,33,LD_24_)</f>
        <v>0</v>
      </c>
      <c r="V227" s="137">
        <f>DSUM(SEP_2013_A,34,LD_24_)</f>
        <v>0</v>
      </c>
    </row>
    <row r="228" spans="2:22" ht="15.95" customHeight="1" x14ac:dyDescent="0.2">
      <c r="B228" s="1" t="s">
        <v>992</v>
      </c>
      <c r="C228" s="129" t="str">
        <f t="shared" si="21"/>
        <v>Rancho Landero No. 25</v>
      </c>
      <c r="D228" s="129" t="str">
        <f t="shared" si="22"/>
        <v>Escamilla Martínez</v>
      </c>
      <c r="E228" s="90">
        <f t="shared" si="23"/>
        <v>300</v>
      </c>
      <c r="F228" s="91">
        <f>DSUM(SEP_2013_A,AA,LD_25_)</f>
        <v>600</v>
      </c>
      <c r="G228" s="90">
        <f t="shared" si="24"/>
        <v>2400</v>
      </c>
      <c r="H228" s="90">
        <f>DSUM(SEP_2013_A,importe,LD_25_)</f>
        <v>3000</v>
      </c>
      <c r="I228" s="17">
        <f t="shared" si="26"/>
        <v>8</v>
      </c>
      <c r="J228" s="6" t="s">
        <v>1280</v>
      </c>
      <c r="K228" s="137">
        <f>DSUM(SEP_2013_A,23,LD_25_)</f>
        <v>300</v>
      </c>
      <c r="L228" s="137">
        <f>DSUM(SEP_2013_A,24,LD_25_)</f>
        <v>300</v>
      </c>
      <c r="M228" s="137">
        <f>DSUM(SEP_2013_A,25,LD_25_)</f>
        <v>300</v>
      </c>
      <c r="N228" s="137">
        <f>DSUM(SEP_2013_A,26,LD_25_)</f>
        <v>300</v>
      </c>
      <c r="O228" s="137">
        <f>DSUM(SEP_2013_A,27,LD_25_)</f>
        <v>300</v>
      </c>
      <c r="P228" s="137">
        <f>DSUM(SEP_2013_A,28,LD_25_)</f>
        <v>300</v>
      </c>
      <c r="Q228" s="137">
        <f>DSUM(SEP_2013_A,29,LD_25_)</f>
        <v>300</v>
      </c>
      <c r="R228" s="137">
        <f>DSUM(SEP_2013_A,30,LD_25_)</f>
        <v>300</v>
      </c>
      <c r="S228" s="137">
        <f>DSUM(SEP_2013_A,31,LD_25_)</f>
        <v>0</v>
      </c>
      <c r="T228" s="137">
        <f>DSUM(SEP_2013_A,32,LD_25_)</f>
        <v>0</v>
      </c>
      <c r="U228" s="137">
        <f>DSUM(SEP_2013_A,33,LD_25_)</f>
        <v>0</v>
      </c>
      <c r="V228" s="137">
        <f>DSUM(SEP_2013_A,34,LD_25_)</f>
        <v>0</v>
      </c>
    </row>
    <row r="229" spans="2:22" ht="15.95" customHeight="1" x14ac:dyDescent="0.2">
      <c r="B229" s="1" t="s">
        <v>993</v>
      </c>
      <c r="C229" s="129" t="str">
        <f t="shared" si="21"/>
        <v>Rancho Landero No. 26</v>
      </c>
      <c r="D229" s="129" t="str">
        <f t="shared" si="22"/>
        <v>Balderas Martínez</v>
      </c>
      <c r="E229" s="90">
        <f t="shared" si="23"/>
        <v>200</v>
      </c>
      <c r="F229" s="91">
        <f>DSUM(SEP_2013_A,AA,LD_26_)</f>
        <v>600</v>
      </c>
      <c r="G229" s="90">
        <f t="shared" si="24"/>
        <v>600</v>
      </c>
      <c r="H229" s="90">
        <f>DSUM(SEP_2013_A,importe,LD_26_)</f>
        <v>1200</v>
      </c>
      <c r="I229" s="17">
        <f t="shared" si="26"/>
        <v>3</v>
      </c>
      <c r="J229" s="6" t="s">
        <v>1280</v>
      </c>
      <c r="K229" s="137">
        <f>DSUM(SEP_2013_A,23,LD_26_)</f>
        <v>200</v>
      </c>
      <c r="L229" s="137">
        <f>DSUM(SEP_2013_A,24,LD_26_)</f>
        <v>200</v>
      </c>
      <c r="M229" s="137">
        <f>DSUM(SEP_2013_A,25,LD_26_)</f>
        <v>200</v>
      </c>
      <c r="N229" s="137">
        <f>DSUM(SEP_2013_A,26,LD_26_)</f>
        <v>0</v>
      </c>
      <c r="O229" s="137">
        <f>DSUM(SEP_2013_A,27,LD_26_)</f>
        <v>0</v>
      </c>
      <c r="P229" s="137">
        <f>DSUM(SEP_2013_A,28,LD_26_)</f>
        <v>0</v>
      </c>
      <c r="Q229" s="137">
        <f>DSUM(SEP_2013_A,29,LD_26_)</f>
        <v>0</v>
      </c>
      <c r="R229" s="137">
        <f>DSUM(SEP_2013_A,30,LD_26_)</f>
        <v>0</v>
      </c>
      <c r="S229" s="137">
        <f>DSUM(SEP_2013_A,31,LD_26_)</f>
        <v>0</v>
      </c>
      <c r="T229" s="137">
        <f>DSUM(SEP_2013_A,32,LD_26_)</f>
        <v>0</v>
      </c>
      <c r="U229" s="137">
        <f>DSUM(SEP_2013_A,33,LD_26_)</f>
        <v>0</v>
      </c>
      <c r="V229" s="137">
        <f>DSUM(SEP_2013_A,34,LD_26_)</f>
        <v>0</v>
      </c>
    </row>
    <row r="230" spans="2:22" ht="15.95" customHeight="1" x14ac:dyDescent="0.2">
      <c r="B230" s="1" t="s">
        <v>994</v>
      </c>
      <c r="C230" s="129" t="str">
        <f t="shared" si="21"/>
        <v>Rancho Landero No. 28</v>
      </c>
      <c r="D230" s="129" t="str">
        <f t="shared" si="22"/>
        <v>Hernández Hort.</v>
      </c>
      <c r="E230" s="90">
        <f t="shared" si="23"/>
        <v>300</v>
      </c>
      <c r="F230" s="91">
        <f>DSUM(SEP_2013_A,AA,LD_28_)</f>
        <v>0</v>
      </c>
      <c r="G230" s="90">
        <f t="shared" si="24"/>
        <v>0</v>
      </c>
      <c r="H230" s="90">
        <f>DSUM(SEP_2013_A,importe,LD_28_)</f>
        <v>0</v>
      </c>
      <c r="I230" s="17">
        <f t="shared" si="26"/>
        <v>0</v>
      </c>
      <c r="J230" s="6" t="s">
        <v>1280</v>
      </c>
      <c r="K230" s="137">
        <f>DSUM(SEP_2013_A,23,LD_28_)</f>
        <v>0</v>
      </c>
      <c r="L230" s="137">
        <f>DSUM(SEP_2013_A,24,LD_28_)</f>
        <v>0</v>
      </c>
      <c r="M230" s="137">
        <f>DSUM(SEP_2013_A,25,LD_28_)</f>
        <v>0</v>
      </c>
      <c r="N230" s="137">
        <f>DSUM(SEP_2013_A,26,LD_28_)</f>
        <v>0</v>
      </c>
      <c r="O230" s="137">
        <f>DSUM(SEP_2013_A,27,LD_28_)</f>
        <v>0</v>
      </c>
      <c r="P230" s="137">
        <f>DSUM(SEP_2013_A,28,LD_28_)</f>
        <v>0</v>
      </c>
      <c r="Q230" s="137">
        <f>DSUM(SEP_2013_A,29,LD_28_)</f>
        <v>0</v>
      </c>
      <c r="R230" s="137">
        <f>DSUM(SEP_2013_A,30,LD_28_)</f>
        <v>0</v>
      </c>
      <c r="S230" s="137">
        <f>DSUM(SEP_2013_A,31,LD_28_)</f>
        <v>0</v>
      </c>
      <c r="T230" s="137">
        <f>DSUM(SEP_2013_A,32,LD_28_)</f>
        <v>0</v>
      </c>
      <c r="U230" s="137">
        <f>DSUM(SEP_2013_A,33,LD_28_)</f>
        <v>0</v>
      </c>
      <c r="V230" s="137">
        <f>DSUM(SEP_2013_A,34,LD_28_)</f>
        <v>0</v>
      </c>
    </row>
    <row r="231" spans="2:22" ht="15.95" customHeight="1" x14ac:dyDescent="0.2">
      <c r="B231" s="1" t="s">
        <v>995</v>
      </c>
      <c r="C231" s="129" t="str">
        <f t="shared" si="21"/>
        <v>Rancho Landero No. 29</v>
      </c>
      <c r="D231" s="129" t="str">
        <f t="shared" si="22"/>
        <v>Ulrich Cervantes</v>
      </c>
      <c r="E231" s="90">
        <f t="shared" si="23"/>
        <v>150</v>
      </c>
      <c r="F231" s="91">
        <f>DSUM(SEP_2013_A,AA,LD_29_)</f>
        <v>0</v>
      </c>
      <c r="G231" s="90">
        <f t="shared" si="24"/>
        <v>150</v>
      </c>
      <c r="H231" s="90">
        <f>DSUM(SEP_2013_A,importe,LD_29_)</f>
        <v>150</v>
      </c>
      <c r="I231" s="17">
        <f t="shared" si="26"/>
        <v>1</v>
      </c>
      <c r="J231" s="6" t="s">
        <v>1280</v>
      </c>
      <c r="K231" s="137">
        <f>DSUM(SEP_2013_A,23,LD_29_)</f>
        <v>150</v>
      </c>
      <c r="L231" s="137">
        <f>DSUM(SEP_2013_A,24,LD_29_)</f>
        <v>0</v>
      </c>
      <c r="M231" s="137">
        <f>DSUM(SEP_2013_A,25,LD_29_)</f>
        <v>0</v>
      </c>
      <c r="N231" s="137">
        <f>DSUM(SEP_2013_A,26,LD_29_)</f>
        <v>0</v>
      </c>
      <c r="O231" s="137">
        <f>DSUM(SEP_2013_A,27,LD_29_)</f>
        <v>0</v>
      </c>
      <c r="P231" s="137">
        <f>DSUM(SEP_2013_A,28,LD_29_)</f>
        <v>0</v>
      </c>
      <c r="Q231" s="137">
        <f>DSUM(SEP_2013_A,29,LD_29_)</f>
        <v>0</v>
      </c>
      <c r="R231" s="137">
        <f>DSUM(SEP_2013_A,30,LD_29_)</f>
        <v>0</v>
      </c>
      <c r="S231" s="137">
        <f>DSUM(SEP_2013_A,31,LD_29_)</f>
        <v>0</v>
      </c>
      <c r="T231" s="137">
        <f>DSUM(SEP_2013_A,32,LD_29_)</f>
        <v>0</v>
      </c>
      <c r="U231" s="137">
        <f>DSUM(SEP_2013_A,33,LD_29_)</f>
        <v>0</v>
      </c>
      <c r="V231" s="137">
        <f>DSUM(SEP_2013_A,34,LD_29_)</f>
        <v>0</v>
      </c>
    </row>
    <row r="232" spans="2:22" ht="15.95" customHeight="1" x14ac:dyDescent="0.2">
      <c r="B232" s="1" t="s">
        <v>996</v>
      </c>
      <c r="C232" s="129" t="str">
        <f t="shared" si="21"/>
        <v>Rancho Landero No. 30</v>
      </c>
      <c r="D232" s="129" t="str">
        <f t="shared" si="22"/>
        <v>Torres Guzmán</v>
      </c>
      <c r="E232" s="90">
        <f t="shared" si="23"/>
        <v>300</v>
      </c>
      <c r="F232" s="91">
        <f>DSUM(SEP_2013_A,AA,LD_30_)</f>
        <v>300</v>
      </c>
      <c r="G232" s="90">
        <f t="shared" si="24"/>
        <v>3000</v>
      </c>
      <c r="H232" s="90">
        <f>DSUM(SEP_2013_A,importe,LD_30_)</f>
        <v>3300</v>
      </c>
      <c r="I232" s="17">
        <f t="shared" si="26"/>
        <v>10</v>
      </c>
      <c r="J232" s="6" t="s">
        <v>1280</v>
      </c>
      <c r="K232" s="137">
        <f>DSUM(SEP_2013_A,23,LD_30_)</f>
        <v>300</v>
      </c>
      <c r="L232" s="137">
        <f>DSUM(SEP_2013_A,24,LD_30_)</f>
        <v>300</v>
      </c>
      <c r="M232" s="137">
        <f>DSUM(SEP_2013_A,25,LD_30_)</f>
        <v>300</v>
      </c>
      <c r="N232" s="137">
        <f>DSUM(SEP_2013_A,26,LD_30_)</f>
        <v>300</v>
      </c>
      <c r="O232" s="137">
        <f>DSUM(SEP_2013_A,27,LD_30_)</f>
        <v>300</v>
      </c>
      <c r="P232" s="137">
        <f>DSUM(SEP_2013_A,28,LD_30_)</f>
        <v>300</v>
      </c>
      <c r="Q232" s="137">
        <f>DSUM(SEP_2013_A,29,LD_30_)</f>
        <v>300</v>
      </c>
      <c r="R232" s="137">
        <f>DSUM(SEP_2013_A,30,LD_30_)</f>
        <v>300</v>
      </c>
      <c r="S232" s="137">
        <f>DSUM(SEP_2013_A,31,LD_30_)</f>
        <v>300</v>
      </c>
      <c r="T232" s="137">
        <f>DSUM(SEP_2013_A,32,LD_30_)</f>
        <v>300</v>
      </c>
      <c r="U232" s="137">
        <f>DSUM(SEP_2013_A,33,LD_30_)</f>
        <v>0</v>
      </c>
      <c r="V232" s="137">
        <f>DSUM(SEP_2013_A,34,LD_30_)</f>
        <v>0</v>
      </c>
    </row>
    <row r="233" spans="2:22" ht="15.95" customHeight="1" x14ac:dyDescent="0.2">
      <c r="B233" s="1" t="s">
        <v>997</v>
      </c>
      <c r="C233" s="129" t="str">
        <f t="shared" si="21"/>
        <v>Rancho Landero No. 31</v>
      </c>
      <c r="D233" s="129" t="str">
        <f t="shared" si="22"/>
        <v>Díaz Hernández</v>
      </c>
      <c r="E233" s="90">
        <f t="shared" si="23"/>
        <v>200</v>
      </c>
      <c r="F233" s="91">
        <f>DSUM(SEP_2013_A,AA,LD_31_)</f>
        <v>200</v>
      </c>
      <c r="G233" s="90">
        <f t="shared" si="24"/>
        <v>1800</v>
      </c>
      <c r="H233" s="90">
        <f>DSUM(SEP_2013_A,importe,LD_31_)</f>
        <v>2000</v>
      </c>
      <c r="I233" s="17">
        <f t="shared" si="26"/>
        <v>9</v>
      </c>
      <c r="J233" s="6" t="s">
        <v>1280</v>
      </c>
      <c r="K233" s="137">
        <f>DSUM(SEP_2013_A,23,LD_31_)</f>
        <v>200</v>
      </c>
      <c r="L233" s="137">
        <f>DSUM(SEP_2013_A,24,LD_31_)</f>
        <v>200</v>
      </c>
      <c r="M233" s="137">
        <f>DSUM(SEP_2013_A,25,LD_31_)</f>
        <v>200</v>
      </c>
      <c r="N233" s="137">
        <f>DSUM(SEP_2013_A,26,LD_31_)</f>
        <v>200</v>
      </c>
      <c r="O233" s="137">
        <f>DSUM(SEP_2013_A,27,LD_31_)</f>
        <v>200</v>
      </c>
      <c r="P233" s="137">
        <f>DSUM(SEP_2013_A,28,LD_31_)</f>
        <v>200</v>
      </c>
      <c r="Q233" s="137">
        <f>DSUM(SEP_2013_A,29,LD_31_)</f>
        <v>200</v>
      </c>
      <c r="R233" s="137">
        <f>DSUM(SEP_2013_A,30,LD_31_)</f>
        <v>200</v>
      </c>
      <c r="S233" s="137">
        <f>DSUM(SEP_2013_A,31,LD_31_)</f>
        <v>200</v>
      </c>
      <c r="T233" s="137">
        <f>DSUM(SEP_2013_A,32,LD_31_)</f>
        <v>0</v>
      </c>
      <c r="U233" s="137">
        <f>DSUM(SEP_2013_A,33,LD_31_)</f>
        <v>0</v>
      </c>
      <c r="V233" s="137">
        <f>DSUM(SEP_2013_A,34,LD_31_)</f>
        <v>0</v>
      </c>
    </row>
    <row r="234" spans="2:22" ht="15.95" customHeight="1" x14ac:dyDescent="0.2">
      <c r="B234" s="1" t="s">
        <v>998</v>
      </c>
      <c r="C234" s="129" t="str">
        <f t="shared" si="21"/>
        <v>Rancho Landero No. 33</v>
      </c>
      <c r="D234" s="129" t="str">
        <f t="shared" si="22"/>
        <v>González Uribe</v>
      </c>
      <c r="E234" s="90">
        <f t="shared" si="23"/>
        <v>300</v>
      </c>
      <c r="F234" s="91">
        <f>DSUM(SEP_2013_A,AA,LD_33_)</f>
        <v>300</v>
      </c>
      <c r="G234" s="90">
        <f t="shared" si="24"/>
        <v>2700</v>
      </c>
      <c r="H234" s="90">
        <f>DSUM(SEP_2013_A,importe,LD_33_)</f>
        <v>3000</v>
      </c>
      <c r="I234" s="17">
        <f t="shared" si="26"/>
        <v>9</v>
      </c>
      <c r="J234" s="6" t="s">
        <v>1280</v>
      </c>
      <c r="K234" s="137">
        <f>DSUM(SEP_2013_A,23,LD_33_)</f>
        <v>300</v>
      </c>
      <c r="L234" s="137">
        <f>DSUM(SEP_2013_A,24,LD_33_)</f>
        <v>300</v>
      </c>
      <c r="M234" s="137">
        <f>DSUM(SEP_2013_A,25,LD_33_)</f>
        <v>300</v>
      </c>
      <c r="N234" s="137">
        <f>DSUM(SEP_2013_A,26,LD_33_)</f>
        <v>300</v>
      </c>
      <c r="O234" s="137">
        <f>DSUM(SEP_2013_A,27,LD_33_)</f>
        <v>300</v>
      </c>
      <c r="P234" s="137">
        <f>DSUM(SEP_2013_A,28,LD_33_)</f>
        <v>300</v>
      </c>
      <c r="Q234" s="137">
        <f>DSUM(SEP_2013_A,29,LD_33_)</f>
        <v>300</v>
      </c>
      <c r="R234" s="137">
        <f>DSUM(SEP_2013_A,30,LD_33_)</f>
        <v>300</v>
      </c>
      <c r="S234" s="137">
        <f>DSUM(SEP_2013_A,31,LD_33_)</f>
        <v>300</v>
      </c>
      <c r="T234" s="137">
        <f>DSUM(SEP_2013_A,32,LD_33_)</f>
        <v>0</v>
      </c>
      <c r="U234" s="137">
        <f>DSUM(SEP_2013_A,33,LD_33_)</f>
        <v>0</v>
      </c>
      <c r="V234" s="137">
        <f>DSUM(SEP_2013_A,34,LD_33_)</f>
        <v>0</v>
      </c>
    </row>
    <row r="235" spans="2:22" ht="15.95" customHeight="1" x14ac:dyDescent="0.2">
      <c r="B235" s="1" t="s">
        <v>999</v>
      </c>
      <c r="C235" s="129" t="str">
        <f t="shared" si="21"/>
        <v>Rancho Landero No. 34</v>
      </c>
      <c r="D235" s="129" t="str">
        <f t="shared" si="22"/>
        <v>Barro</v>
      </c>
      <c r="E235" s="90">
        <f t="shared" si="23"/>
        <v>300</v>
      </c>
      <c r="F235" s="91">
        <f>DSUM(SEP_2013_A,AA,LD_34_)</f>
        <v>900</v>
      </c>
      <c r="G235" s="90">
        <f t="shared" si="24"/>
        <v>1200</v>
      </c>
      <c r="H235" s="90">
        <f>DSUM(SEP_2013_A,importe,LD_34_)</f>
        <v>2100</v>
      </c>
      <c r="I235" s="17">
        <f t="shared" si="26"/>
        <v>4</v>
      </c>
      <c r="J235" s="6" t="s">
        <v>1280</v>
      </c>
      <c r="K235" s="137">
        <f>DSUM(SEP_2013_A,23,LD_34_)</f>
        <v>300</v>
      </c>
      <c r="L235" s="137">
        <f>DSUM(SEP_2013_A,24,LD_34_)</f>
        <v>300</v>
      </c>
      <c r="M235" s="137">
        <f>DSUM(SEP_2013_A,25,LD_34_)</f>
        <v>300</v>
      </c>
      <c r="N235" s="137">
        <f>DSUM(SEP_2013_A,26,LD_34_)</f>
        <v>300</v>
      </c>
      <c r="O235" s="137">
        <f>DSUM(SEP_2013_A,27,LD_34_)</f>
        <v>0</v>
      </c>
      <c r="P235" s="137">
        <f>DSUM(SEP_2013_A,28,LD_34_)</f>
        <v>0</v>
      </c>
      <c r="Q235" s="137">
        <f>DSUM(SEP_2013_A,29,LD_34_)</f>
        <v>0</v>
      </c>
      <c r="R235" s="137">
        <f>DSUM(SEP_2013_A,30,LD_34_)</f>
        <v>0</v>
      </c>
      <c r="S235" s="137">
        <f>DSUM(SEP_2013_A,31,LD_34_)</f>
        <v>0</v>
      </c>
      <c r="T235" s="137">
        <f>DSUM(SEP_2013_A,32,LD_34_)</f>
        <v>0</v>
      </c>
      <c r="U235" s="137">
        <f>DSUM(SEP_2013_A,33,LD_34_)</f>
        <v>0</v>
      </c>
      <c r="V235" s="137">
        <f>DSUM(SEP_2013_A,34,LD_34_)</f>
        <v>0</v>
      </c>
    </row>
    <row r="236" spans="2:22" ht="15.95" customHeight="1" x14ac:dyDescent="0.2">
      <c r="B236" s="1" t="s">
        <v>1000</v>
      </c>
      <c r="C236" s="129" t="str">
        <f t="shared" si="21"/>
        <v>Rancho Landero No. 35</v>
      </c>
      <c r="D236" s="129" t="str">
        <f t="shared" si="22"/>
        <v>Loperena</v>
      </c>
      <c r="E236" s="90">
        <f t="shared" si="23"/>
        <v>300</v>
      </c>
      <c r="F236" s="91">
        <f>DSUM(SEP_2013_A,AA,LD_35_)</f>
        <v>900</v>
      </c>
      <c r="G236" s="90">
        <f t="shared" si="24"/>
        <v>1200</v>
      </c>
      <c r="H236" s="90">
        <f>DSUM(SEP_2013_A,importe,LD_35_)</f>
        <v>2100</v>
      </c>
      <c r="I236" s="17">
        <f t="shared" si="26"/>
        <v>4</v>
      </c>
      <c r="J236" s="6" t="s">
        <v>1280</v>
      </c>
      <c r="K236" s="137">
        <f>DSUM(SEP_2013_A,23,LD_35_)</f>
        <v>300</v>
      </c>
      <c r="L236" s="137">
        <f>DSUM(SEP_2013_A,24,LD_35_)</f>
        <v>300</v>
      </c>
      <c r="M236" s="137">
        <f>DSUM(SEP_2013_A,25,LD_35_)</f>
        <v>300</v>
      </c>
      <c r="N236" s="137">
        <f>DSUM(SEP_2013_A,26,LD_35_)</f>
        <v>300</v>
      </c>
      <c r="O236" s="137">
        <f>DSUM(SEP_2013_A,27,LD_35_)</f>
        <v>0</v>
      </c>
      <c r="P236" s="137">
        <f>DSUM(SEP_2013_A,28,LD_35_)</f>
        <v>0</v>
      </c>
      <c r="Q236" s="137">
        <f>DSUM(SEP_2013_A,29,LD_35_)</f>
        <v>0</v>
      </c>
      <c r="R236" s="137">
        <f>DSUM(SEP_2013_A,30,LD_35_)</f>
        <v>0</v>
      </c>
      <c r="S236" s="137">
        <f>DSUM(SEP_2013_A,31,LD_35_)</f>
        <v>0</v>
      </c>
      <c r="T236" s="137">
        <f>DSUM(SEP_2013_A,32,LD_35_)</f>
        <v>0</v>
      </c>
      <c r="U236" s="137">
        <f>DSUM(SEP_2013_A,33,LD_35_)</f>
        <v>0</v>
      </c>
      <c r="V236" s="137">
        <f>DSUM(SEP_2013_A,34,LD_35_)</f>
        <v>0</v>
      </c>
    </row>
    <row r="237" spans="2:22" ht="15.95" customHeight="1" x14ac:dyDescent="0.2">
      <c r="B237" s="1" t="s">
        <v>1001</v>
      </c>
      <c r="C237" s="129" t="str">
        <f t="shared" si="21"/>
        <v>Rancho Landero No. 36</v>
      </c>
      <c r="D237" s="129" t="str">
        <f t="shared" si="22"/>
        <v>Jaime</v>
      </c>
      <c r="E237" s="90">
        <f t="shared" si="23"/>
        <v>200</v>
      </c>
      <c r="F237" s="91">
        <f>DSUM(SEP_2013_A,AA,LD_36_)</f>
        <v>0</v>
      </c>
      <c r="G237" s="90">
        <f t="shared" si="24"/>
        <v>600</v>
      </c>
      <c r="H237" s="90">
        <f>DSUM(SEP_2013_A,importe,LD_36_)</f>
        <v>600</v>
      </c>
      <c r="I237" s="17">
        <f t="shared" si="26"/>
        <v>3</v>
      </c>
      <c r="J237" s="6" t="s">
        <v>1280</v>
      </c>
      <c r="K237" s="137">
        <f>DSUM(SEP_2013_A,23,LD_36_)</f>
        <v>200</v>
      </c>
      <c r="L237" s="137">
        <f>DSUM(SEP_2013_A,24,LD_36_)</f>
        <v>200</v>
      </c>
      <c r="M237" s="137">
        <f>DSUM(SEP_2013_A,25,LD_36_)</f>
        <v>200</v>
      </c>
      <c r="N237" s="137">
        <f>DSUM(SEP_2013_A,26,LD_36_)</f>
        <v>0</v>
      </c>
      <c r="O237" s="137">
        <f>DSUM(SEP_2013_A,27,LD_36_)</f>
        <v>0</v>
      </c>
      <c r="P237" s="137">
        <f>DSUM(SEP_2013_A,28,LD_36_)</f>
        <v>0</v>
      </c>
      <c r="Q237" s="137">
        <f>DSUM(SEP_2013_A,29,LD_36_)</f>
        <v>0</v>
      </c>
      <c r="R237" s="137">
        <f>DSUM(SEP_2013_A,30,LD_36_)</f>
        <v>0</v>
      </c>
      <c r="S237" s="137">
        <f>DSUM(SEP_2013_A,31,LD_36_)</f>
        <v>0</v>
      </c>
      <c r="T237" s="137">
        <f>DSUM(SEP_2013_A,32,LD_36_)</f>
        <v>0</v>
      </c>
      <c r="U237" s="137">
        <f>DSUM(SEP_2013_A,33,LD_36_)</f>
        <v>0</v>
      </c>
      <c r="V237" s="137">
        <f>DSUM(SEP_2013_A,34,LD_36_)</f>
        <v>0</v>
      </c>
    </row>
    <row r="238" spans="2:22" ht="15.95" customHeight="1" x14ac:dyDescent="0.2">
      <c r="B238" s="1" t="s">
        <v>1002</v>
      </c>
      <c r="C238" s="129" t="str">
        <f t="shared" si="21"/>
        <v>Rancho Landero No. 37</v>
      </c>
      <c r="D238" s="129" t="str">
        <f t="shared" si="22"/>
        <v>Hernández</v>
      </c>
      <c r="E238" s="90">
        <f t="shared" si="23"/>
        <v>300</v>
      </c>
      <c r="F238" s="91">
        <f>DSUM(SEP_2013_A,AA,LD_37_)</f>
        <v>600</v>
      </c>
      <c r="G238" s="90">
        <f t="shared" si="24"/>
        <v>2700</v>
      </c>
      <c r="H238" s="90">
        <f>DSUM(SEP_2013_A,importe,LD_37_)</f>
        <v>3300</v>
      </c>
      <c r="I238" s="17">
        <f t="shared" si="26"/>
        <v>9</v>
      </c>
      <c r="J238" s="6" t="s">
        <v>1280</v>
      </c>
      <c r="K238" s="137">
        <f>DSUM(SEP_2013_A,23,LD_37_)</f>
        <v>300</v>
      </c>
      <c r="L238" s="137">
        <f>DSUM(SEP_2013_A,24,LD_37_)</f>
        <v>300</v>
      </c>
      <c r="M238" s="137">
        <f>DSUM(SEP_2013_A,25,LD_37_)</f>
        <v>300</v>
      </c>
      <c r="N238" s="137">
        <f>DSUM(SEP_2013_A,26,LD_37_)</f>
        <v>300</v>
      </c>
      <c r="O238" s="137">
        <f>DSUM(SEP_2013_A,27,LD_37_)</f>
        <v>300</v>
      </c>
      <c r="P238" s="137">
        <f>DSUM(SEP_2013_A,28,LD_37_)</f>
        <v>300</v>
      </c>
      <c r="Q238" s="137">
        <f>DSUM(SEP_2013_A,29,LD_37_)</f>
        <v>300</v>
      </c>
      <c r="R238" s="137">
        <f>DSUM(SEP_2013_A,30,LD_37_)</f>
        <v>300</v>
      </c>
      <c r="S238" s="137">
        <f>DSUM(SEP_2013_A,31,LD_37_)</f>
        <v>300</v>
      </c>
      <c r="T238" s="137">
        <f>DSUM(SEP_2013_A,32,LD_37_)</f>
        <v>0</v>
      </c>
      <c r="U238" s="137">
        <f>DSUM(SEP_2013_A,33,LD_37_)</f>
        <v>0</v>
      </c>
      <c r="V238" s="137">
        <f>DSUM(SEP_2013_A,34,LD_37_)</f>
        <v>0</v>
      </c>
    </row>
    <row r="239" spans="2:22" ht="15.95" customHeight="1" x14ac:dyDescent="0.2">
      <c r="B239" s="1" t="s">
        <v>1003</v>
      </c>
      <c r="C239" s="129" t="str">
        <f t="shared" si="21"/>
        <v>Rancho Landero No. 38</v>
      </c>
      <c r="D239" s="129" t="str">
        <f t="shared" si="22"/>
        <v>Sánchez Peña</v>
      </c>
      <c r="E239" s="90">
        <f t="shared" si="23"/>
        <v>300</v>
      </c>
      <c r="F239" s="91">
        <f>DSUM(SEP_2013_A,AA,LD_38_)</f>
        <v>300</v>
      </c>
      <c r="G239" s="90">
        <f t="shared" si="24"/>
        <v>3000</v>
      </c>
      <c r="H239" s="90">
        <f>DSUM(SEP_2013_A,importe,LD_38_)</f>
        <v>3300</v>
      </c>
      <c r="I239" s="17">
        <f t="shared" si="26"/>
        <v>10</v>
      </c>
      <c r="J239" s="6" t="s">
        <v>1280</v>
      </c>
      <c r="K239" s="137">
        <f>DSUM(SEP_2013_A,23,LD_38_)</f>
        <v>300</v>
      </c>
      <c r="L239" s="137">
        <f>DSUM(SEP_2013_A,24,LD_38_)</f>
        <v>300</v>
      </c>
      <c r="M239" s="137">
        <f>DSUM(SEP_2013_A,25,LD_38_)</f>
        <v>300</v>
      </c>
      <c r="N239" s="137">
        <f>DSUM(SEP_2013_A,26,LD_38_)</f>
        <v>300</v>
      </c>
      <c r="O239" s="137">
        <f>DSUM(SEP_2013_A,27,LD_38_)</f>
        <v>300</v>
      </c>
      <c r="P239" s="137">
        <f>DSUM(SEP_2013_A,28,LD_38_)</f>
        <v>300</v>
      </c>
      <c r="Q239" s="137">
        <f>DSUM(SEP_2013_A,29,LD_38_)</f>
        <v>300</v>
      </c>
      <c r="R239" s="137">
        <f>DSUM(SEP_2013_A,30,LD_38_)</f>
        <v>300</v>
      </c>
      <c r="S239" s="137">
        <f>DSUM(SEP_2013_A,31,LD_38_)</f>
        <v>300</v>
      </c>
      <c r="T239" s="137">
        <f>DSUM(SEP_2013_A,32,LD_38_)</f>
        <v>300</v>
      </c>
      <c r="U239" s="137">
        <f>DSUM(SEP_2013_A,33,LD_38_)</f>
        <v>0</v>
      </c>
      <c r="V239" s="137">
        <f>DSUM(SEP_2013_A,34,LD_38_)</f>
        <v>0</v>
      </c>
    </row>
    <row r="240" spans="2:22" ht="15.95" customHeight="1" x14ac:dyDescent="0.2">
      <c r="B240" s="1" t="s">
        <v>1004</v>
      </c>
      <c r="C240" s="129" t="str">
        <f t="shared" si="21"/>
        <v>Rancho Landero No. 39</v>
      </c>
      <c r="D240" s="129" t="str">
        <f t="shared" si="22"/>
        <v>Soto del Cueto</v>
      </c>
      <c r="E240" s="90">
        <f t="shared" si="23"/>
        <v>250</v>
      </c>
      <c r="F240" s="91">
        <f>DSUM(SEP_2013_A,AA,LD_39_)</f>
        <v>0</v>
      </c>
      <c r="G240" s="90">
        <f t="shared" si="24"/>
        <v>500</v>
      </c>
      <c r="H240" s="90">
        <f>DSUM(SEP_2013_A,importe,LD_39_)</f>
        <v>500</v>
      </c>
      <c r="I240" s="17">
        <f t="shared" si="26"/>
        <v>2</v>
      </c>
      <c r="J240" s="6" t="s">
        <v>1280</v>
      </c>
      <c r="K240" s="137">
        <f>DSUM(SEP_2013_A,23,LD_39_)</f>
        <v>250</v>
      </c>
      <c r="L240" s="137">
        <f>DSUM(SEP_2013_A,24,LD_39_)</f>
        <v>250</v>
      </c>
      <c r="M240" s="137">
        <f>DSUM(SEP_2013_A,25,LD_39_)</f>
        <v>0</v>
      </c>
      <c r="N240" s="137">
        <f>DSUM(SEP_2013_A,26,LD_39_)</f>
        <v>0</v>
      </c>
      <c r="O240" s="137">
        <f>DSUM(SEP_2013_A,27,LD_39_)</f>
        <v>0</v>
      </c>
      <c r="P240" s="137">
        <f>DSUM(SEP_2013_A,28,LD_39_)</f>
        <v>0</v>
      </c>
      <c r="Q240" s="137">
        <f>DSUM(SEP_2013_A,29,LD_39_)</f>
        <v>0</v>
      </c>
      <c r="R240" s="137">
        <f>DSUM(SEP_2013_A,30,LD_39_)</f>
        <v>0</v>
      </c>
      <c r="S240" s="137">
        <f>DSUM(SEP_2013_A,31,LD_39_)</f>
        <v>0</v>
      </c>
      <c r="T240" s="137">
        <f>DSUM(SEP_2013_A,32,LD_39_)</f>
        <v>0</v>
      </c>
      <c r="U240" s="137">
        <f>DSUM(SEP_2013_A,33,LD_39_)</f>
        <v>0</v>
      </c>
      <c r="V240" s="137">
        <f>DSUM(SEP_2013_A,34,LD_39_)</f>
        <v>0</v>
      </c>
    </row>
    <row r="241" spans="2:22" ht="15.95" customHeight="1" x14ac:dyDescent="0.2">
      <c r="B241" s="1" t="s">
        <v>1005</v>
      </c>
      <c r="C241" s="129" t="str">
        <f t="shared" si="21"/>
        <v>Rancho Landero No. 40</v>
      </c>
      <c r="D241" s="129" t="str">
        <f t="shared" si="22"/>
        <v>Almaguer Mireles</v>
      </c>
      <c r="E241" s="90">
        <f t="shared" si="23"/>
        <v>300</v>
      </c>
      <c r="F241" s="91">
        <f>DSUM(SEP_2013_A,AA,LD_40_)</f>
        <v>1800</v>
      </c>
      <c r="G241" s="90">
        <f t="shared" si="24"/>
        <v>600</v>
      </c>
      <c r="H241" s="90">
        <f>DSUM(SEP_2013_A,importe,LD_40_)</f>
        <v>2400</v>
      </c>
      <c r="I241" s="17">
        <f t="shared" si="26"/>
        <v>2</v>
      </c>
      <c r="J241" s="6" t="s">
        <v>1280</v>
      </c>
      <c r="K241" s="137">
        <f>DSUM(SEP_2013_A,23,LD_40_)</f>
        <v>300</v>
      </c>
      <c r="L241" s="137">
        <f>DSUM(SEP_2013_A,24,LD_40_)</f>
        <v>300</v>
      </c>
      <c r="M241" s="137">
        <f>DSUM(SEP_2013_A,25,LD_40_)</f>
        <v>0</v>
      </c>
      <c r="N241" s="137">
        <f>DSUM(SEP_2013_A,26,LD_40_)</f>
        <v>0</v>
      </c>
      <c r="O241" s="137">
        <f>DSUM(SEP_2013_A,27,LD_40_)</f>
        <v>0</v>
      </c>
      <c r="P241" s="137">
        <f>DSUM(SEP_2013_A,28,LD_40_)</f>
        <v>0</v>
      </c>
      <c r="Q241" s="137">
        <f>DSUM(SEP_2013_A,29,LD_40_)</f>
        <v>0</v>
      </c>
      <c r="R241" s="137">
        <f>DSUM(SEP_2013_A,30,LD_40_)</f>
        <v>0</v>
      </c>
      <c r="S241" s="137">
        <f>DSUM(SEP_2013_A,31,LD_40_)</f>
        <v>0</v>
      </c>
      <c r="T241" s="137">
        <f>DSUM(SEP_2013_A,32,LD_40_)</f>
        <v>0</v>
      </c>
      <c r="U241" s="137">
        <f>DSUM(SEP_2013_A,33,LD_40_)</f>
        <v>0</v>
      </c>
      <c r="V241" s="137">
        <f>DSUM(SEP_2013_A,34,LD_40_)</f>
        <v>0</v>
      </c>
    </row>
    <row r="242" spans="2:22" ht="15.95" customHeight="1" x14ac:dyDescent="0.2">
      <c r="B242" s="1" t="s">
        <v>1339</v>
      </c>
      <c r="C242" s="129" t="str">
        <f t="shared" si="21"/>
        <v>Rancho Landero No. 41</v>
      </c>
      <c r="D242" s="129">
        <f t="shared" si="22"/>
        <v>0</v>
      </c>
      <c r="E242" s="90">
        <f t="shared" si="23"/>
        <v>300</v>
      </c>
      <c r="F242" s="91">
        <f>DSUM(SEP_2013_A,AA,LD_41_)</f>
        <v>0</v>
      </c>
      <c r="G242" s="90">
        <f t="shared" si="24"/>
        <v>0</v>
      </c>
      <c r="H242" s="90">
        <f>DSUM(SEP_2013_A,importe,LD_41_)</f>
        <v>0</v>
      </c>
      <c r="I242" s="17">
        <f t="shared" si="26"/>
        <v>0</v>
      </c>
      <c r="J242" s="6" t="s">
        <v>1280</v>
      </c>
      <c r="K242" s="137">
        <f>DSUM(SEP_2013_A,23,LD_41_)</f>
        <v>0</v>
      </c>
      <c r="L242" s="137">
        <f>DSUM(SEP_2013_A,24,LD_41_)</f>
        <v>0</v>
      </c>
      <c r="M242" s="137">
        <f>DSUM(SEP_2013_A,25,LD_41_)</f>
        <v>0</v>
      </c>
      <c r="N242" s="137">
        <f>DSUM(SEP_2013_A,26,LD_41_)</f>
        <v>0</v>
      </c>
      <c r="O242" s="137">
        <f>DSUM(SEP_2013_A,27,LD_41_)</f>
        <v>0</v>
      </c>
      <c r="P242" s="137">
        <f>DSUM(SEP_2013_A,28,LD_41_)</f>
        <v>0</v>
      </c>
      <c r="Q242" s="137">
        <f>DSUM(SEP_2013_A,29,LD_41_)</f>
        <v>0</v>
      </c>
      <c r="R242" s="137">
        <f>DSUM(SEP_2013_A,30,LD_41_)</f>
        <v>0</v>
      </c>
      <c r="S242" s="137">
        <f>DSUM(SEP_2013_A,31,LD_41_)</f>
        <v>0</v>
      </c>
      <c r="T242" s="137">
        <f>DSUM(SEP_2013_A,32,LD_41_)</f>
        <v>0</v>
      </c>
      <c r="U242" s="137">
        <f>DSUM(SEP_2013_A,33,LD_41_)</f>
        <v>0</v>
      </c>
      <c r="V242" s="137">
        <f>DSUM(SEP_2013_A,34,LD_41_)</f>
        <v>0</v>
      </c>
    </row>
    <row r="243" spans="2:22" ht="15.95" customHeight="1" x14ac:dyDescent="0.2">
      <c r="B243" s="1" t="s">
        <v>1006</v>
      </c>
      <c r="C243" s="129" t="str">
        <f t="shared" si="21"/>
        <v>Rancho Landero No. 42</v>
      </c>
      <c r="D243" s="129" t="str">
        <f t="shared" si="22"/>
        <v>Ávila Fidel</v>
      </c>
      <c r="E243" s="90">
        <f t="shared" si="23"/>
        <v>300</v>
      </c>
      <c r="F243" s="91">
        <f>DSUM(SEP_2013_A,AA,LD_42_)</f>
        <v>300</v>
      </c>
      <c r="G243" s="90">
        <f t="shared" si="24"/>
        <v>2700</v>
      </c>
      <c r="H243" s="90">
        <f>DSUM(SEP_2013_A,importe,LD_42_)</f>
        <v>3000</v>
      </c>
      <c r="I243" s="17">
        <f t="shared" si="26"/>
        <v>9</v>
      </c>
      <c r="J243" s="6" t="s">
        <v>1280</v>
      </c>
      <c r="K243" s="137">
        <f>DSUM(SEP_2013_A,23,LD_42_)</f>
        <v>300</v>
      </c>
      <c r="L243" s="137">
        <f>DSUM(SEP_2013_A,24,LD_42_)</f>
        <v>300</v>
      </c>
      <c r="M243" s="137">
        <f>DSUM(SEP_2013_A,25,LD_42_)</f>
        <v>300</v>
      </c>
      <c r="N243" s="137">
        <f>DSUM(SEP_2013_A,26,LD_42_)</f>
        <v>300</v>
      </c>
      <c r="O243" s="137">
        <f>DSUM(SEP_2013_A,27,LD_42_)</f>
        <v>300</v>
      </c>
      <c r="P243" s="137">
        <f>DSUM(SEP_2013_A,28,LD_42_)</f>
        <v>300</v>
      </c>
      <c r="Q243" s="137">
        <f>DSUM(SEP_2013_A,29,LD_42_)</f>
        <v>300</v>
      </c>
      <c r="R243" s="137">
        <f>DSUM(SEP_2013_A,30,LD_42_)</f>
        <v>300</v>
      </c>
      <c r="S243" s="137">
        <f>DSUM(SEP_2013_A,31,LD_42_)</f>
        <v>300</v>
      </c>
      <c r="T243" s="137">
        <f>DSUM(SEP_2013_A,32,LD_42_)</f>
        <v>0</v>
      </c>
      <c r="U243" s="137">
        <f>DSUM(SEP_2013_A,33,LD_42_)</f>
        <v>0</v>
      </c>
      <c r="V243" s="137">
        <f>DSUM(SEP_2013_A,34,LD_42_)</f>
        <v>0</v>
      </c>
    </row>
    <row r="244" spans="2:22" ht="15.95" customHeight="1" x14ac:dyDescent="0.2">
      <c r="B244" s="1" t="s">
        <v>1007</v>
      </c>
      <c r="C244" s="129" t="str">
        <f t="shared" si="21"/>
        <v>Rancho Landero No. 44</v>
      </c>
      <c r="D244" s="129" t="str">
        <f t="shared" si="22"/>
        <v>Rodríguez C.</v>
      </c>
      <c r="E244" s="90">
        <f t="shared" si="23"/>
        <v>300</v>
      </c>
      <c r="F244" s="91">
        <f>DSUM(SEP_2013_A,AA,LD_44_)</f>
        <v>0</v>
      </c>
      <c r="G244" s="90">
        <f t="shared" si="24"/>
        <v>0</v>
      </c>
      <c r="H244" s="90">
        <f>DSUM(SEP_2013_A,importe,LD_44_)</f>
        <v>0</v>
      </c>
      <c r="I244" s="17">
        <f t="shared" si="26"/>
        <v>0</v>
      </c>
      <c r="J244" s="6" t="s">
        <v>1280</v>
      </c>
      <c r="K244" s="137">
        <f>DSUM(SEP_2013_A,23,LD_44_)</f>
        <v>0</v>
      </c>
      <c r="L244" s="137">
        <f>DSUM(SEP_2013_A,24,LD_44_)</f>
        <v>0</v>
      </c>
      <c r="M244" s="137">
        <f>DSUM(SEP_2013_A,25,LD_44_)</f>
        <v>0</v>
      </c>
      <c r="N244" s="137">
        <f>DSUM(SEP_2013_A,26,LD_44_)</f>
        <v>0</v>
      </c>
      <c r="O244" s="137">
        <f>DSUM(SEP_2013_A,27,LD_44_)</f>
        <v>0</v>
      </c>
      <c r="P244" s="137">
        <f>DSUM(SEP_2013_A,28,LD_44_)</f>
        <v>0</v>
      </c>
      <c r="Q244" s="137">
        <f>DSUM(SEP_2013_A,29,LD_44_)</f>
        <v>0</v>
      </c>
      <c r="R244" s="137">
        <f>DSUM(SEP_2013_A,30,LD_44_)</f>
        <v>0</v>
      </c>
      <c r="S244" s="137">
        <f>DSUM(SEP_2013_A,31,LD_44_)</f>
        <v>0</v>
      </c>
      <c r="T244" s="137">
        <f>DSUM(SEP_2013_A,32,LD_44_)</f>
        <v>0</v>
      </c>
      <c r="U244" s="137">
        <f>DSUM(SEP_2013_A,33,LD_44_)</f>
        <v>0</v>
      </c>
      <c r="V244" s="137">
        <f>DSUM(SEP_2013_A,34,LD_44_)</f>
        <v>0</v>
      </c>
    </row>
    <row r="245" spans="2:22" ht="15.95" customHeight="1" x14ac:dyDescent="0.2">
      <c r="B245" s="1" t="s">
        <v>1008</v>
      </c>
      <c r="C245" s="129" t="str">
        <f t="shared" si="21"/>
        <v>Rancho Landero No. 45</v>
      </c>
      <c r="D245" s="129" t="str">
        <f t="shared" si="22"/>
        <v>Almazán</v>
      </c>
      <c r="E245" s="90">
        <f t="shared" si="23"/>
        <v>250</v>
      </c>
      <c r="F245" s="91">
        <f>DSUM(SEP_2013_A,AA,LD_45_)</f>
        <v>250</v>
      </c>
      <c r="G245" s="90">
        <f t="shared" si="24"/>
        <v>1650</v>
      </c>
      <c r="H245" s="90">
        <f>DSUM(SEP_2013_A,importe,LD_45_)</f>
        <v>1900</v>
      </c>
      <c r="I245" s="17">
        <f t="shared" si="26"/>
        <v>6.6</v>
      </c>
      <c r="J245" s="6" t="s">
        <v>1280</v>
      </c>
      <c r="K245" s="137">
        <f>DSUM(SEP_2013_A,23,LD_45_)</f>
        <v>250</v>
      </c>
      <c r="L245" s="137">
        <f>DSUM(SEP_2013_A,24,LD_45_)</f>
        <v>250</v>
      </c>
      <c r="M245" s="137">
        <f>DSUM(SEP_2013_A,25,LD_45_)</f>
        <v>300</v>
      </c>
      <c r="N245" s="137">
        <f>DSUM(SEP_2013_A,26,LD_45_)</f>
        <v>250</v>
      </c>
      <c r="O245" s="137">
        <f>DSUM(SEP_2013_A,27,LD_45_)</f>
        <v>0</v>
      </c>
      <c r="P245" s="137">
        <f>DSUM(SEP_2013_A,28,LD_45_)</f>
        <v>0</v>
      </c>
      <c r="Q245" s="137">
        <f>DSUM(SEP_2013_A,29,LD_45_)</f>
        <v>0</v>
      </c>
      <c r="R245" s="137">
        <f>DSUM(SEP_2013_A,30,LD_45_)</f>
        <v>300</v>
      </c>
      <c r="S245" s="137">
        <f>DSUM(SEP_2013_A,31,LD_45_)</f>
        <v>300</v>
      </c>
      <c r="T245" s="137">
        <f>DSUM(SEP_2013_A,32,LD_45_)</f>
        <v>0</v>
      </c>
      <c r="U245" s="137">
        <f>DSUM(SEP_2013_A,33,LD_45_)</f>
        <v>0</v>
      </c>
      <c r="V245" s="137">
        <f>DSUM(SEP_2013_A,34,LD_45_)</f>
        <v>0</v>
      </c>
    </row>
    <row r="246" spans="2:22" ht="15.95" customHeight="1" x14ac:dyDescent="0.2">
      <c r="B246" s="1" t="s">
        <v>1009</v>
      </c>
      <c r="C246" s="129" t="str">
        <f t="shared" si="21"/>
        <v>Rancho Landero No. 47</v>
      </c>
      <c r="D246" s="129" t="str">
        <f t="shared" si="22"/>
        <v>García González</v>
      </c>
      <c r="E246" s="90">
        <f t="shared" si="23"/>
        <v>300</v>
      </c>
      <c r="F246" s="91">
        <f>DSUM(SEP_2013_A,AA,LD_47_)</f>
        <v>300</v>
      </c>
      <c r="G246" s="90">
        <f t="shared" si="24"/>
        <v>2400</v>
      </c>
      <c r="H246" s="90">
        <f>DSUM(SEP_2013_A,importe,LD_47_)</f>
        <v>2700</v>
      </c>
      <c r="I246" s="17">
        <f t="shared" si="26"/>
        <v>8</v>
      </c>
      <c r="J246" s="6" t="s">
        <v>1280</v>
      </c>
      <c r="K246" s="137">
        <f>DSUM(SEP_2013_A,23,LD_47_)</f>
        <v>300</v>
      </c>
      <c r="L246" s="137">
        <f>DSUM(SEP_2013_A,24,LD_47_)</f>
        <v>300</v>
      </c>
      <c r="M246" s="137">
        <f>DSUM(SEP_2013_A,25,LD_47_)</f>
        <v>300</v>
      </c>
      <c r="N246" s="137">
        <f>DSUM(SEP_2013_A,26,LD_47_)</f>
        <v>300</v>
      </c>
      <c r="O246" s="137">
        <f>DSUM(SEP_2013_A,27,LD_47_)</f>
        <v>300</v>
      </c>
      <c r="P246" s="137">
        <f>DSUM(SEP_2013_A,28,LD_47_)</f>
        <v>300</v>
      </c>
      <c r="Q246" s="137">
        <f>DSUM(SEP_2013_A,29,LD_47_)</f>
        <v>300</v>
      </c>
      <c r="R246" s="137">
        <f>DSUM(SEP_2013_A,30,LD_47_)</f>
        <v>300</v>
      </c>
      <c r="S246" s="137">
        <f>DSUM(SEP_2013_A,31,LD_47_)</f>
        <v>0</v>
      </c>
      <c r="T246" s="137">
        <f>DSUM(SEP_2013_A,32,LD_47_)</f>
        <v>0</v>
      </c>
      <c r="U246" s="137">
        <f>DSUM(SEP_2013_A,33,LD_47_)</f>
        <v>0</v>
      </c>
      <c r="V246" s="137">
        <f>DSUM(SEP_2013_A,34,LD_47_)</f>
        <v>0</v>
      </c>
    </row>
    <row r="247" spans="2:22" ht="15.95" customHeight="1" x14ac:dyDescent="0.2">
      <c r="B247" s="1" t="s">
        <v>1010</v>
      </c>
      <c r="C247" s="129" t="str">
        <f t="shared" si="21"/>
        <v>Rancho Landero No. 49</v>
      </c>
      <c r="D247" s="129" t="str">
        <f t="shared" si="22"/>
        <v>Flores</v>
      </c>
      <c r="E247" s="90">
        <f t="shared" si="23"/>
        <v>300</v>
      </c>
      <c r="F247" s="91">
        <f>DSUM(SEP_2013_A,AA,LD_49_)</f>
        <v>0</v>
      </c>
      <c r="G247" s="90">
        <f t="shared" si="24"/>
        <v>0</v>
      </c>
      <c r="H247" s="90">
        <f>DSUM(SEP_2013_A,importe,LD_49_)</f>
        <v>0</v>
      </c>
      <c r="I247" s="17">
        <f t="shared" si="26"/>
        <v>0</v>
      </c>
      <c r="J247" s="6" t="s">
        <v>1280</v>
      </c>
      <c r="K247" s="137">
        <f>DSUM(SEP_2013_A,23,LD_49_)</f>
        <v>0</v>
      </c>
      <c r="L247" s="137">
        <f>DSUM(SEP_2013_A,24,LD_49_)</f>
        <v>0</v>
      </c>
      <c r="M247" s="137">
        <f>DSUM(SEP_2013_A,25,LD_49_)</f>
        <v>0</v>
      </c>
      <c r="N247" s="137">
        <f>DSUM(SEP_2013_A,26,LD_49_)</f>
        <v>0</v>
      </c>
      <c r="O247" s="137">
        <f>DSUM(SEP_2013_A,27,LD_49_)</f>
        <v>0</v>
      </c>
      <c r="P247" s="137">
        <f>DSUM(SEP_2013_A,28,LD_49_)</f>
        <v>0</v>
      </c>
      <c r="Q247" s="137">
        <f>DSUM(SEP_2013_A,29,LD_49_)</f>
        <v>0</v>
      </c>
      <c r="R247" s="137">
        <f>DSUM(SEP_2013_A,30,LD_49_)</f>
        <v>0</v>
      </c>
      <c r="S247" s="137">
        <f>DSUM(SEP_2013_A,31,LD_49_)</f>
        <v>0</v>
      </c>
      <c r="T247" s="137">
        <f>DSUM(SEP_2013_A,32,LD_49_)</f>
        <v>0</v>
      </c>
      <c r="U247" s="137">
        <f>DSUM(SEP_2013_A,33,LD_49_)</f>
        <v>0</v>
      </c>
      <c r="V247" s="137">
        <f>DSUM(SEP_2013_A,34,LD_49_)</f>
        <v>0</v>
      </c>
    </row>
    <row r="248" spans="2:22" ht="15.95" customHeight="1" x14ac:dyDescent="0.2">
      <c r="B248" s="1" t="s">
        <v>1011</v>
      </c>
      <c r="C248" s="129" t="str">
        <f t="shared" si="21"/>
        <v>Rancho Landero No. 50</v>
      </c>
      <c r="D248" s="129" t="str">
        <f t="shared" si="22"/>
        <v>Colín</v>
      </c>
      <c r="E248" s="90">
        <f t="shared" si="23"/>
        <v>300</v>
      </c>
      <c r="F248" s="91">
        <f>DSUM(SEP_2013_A,AA,LD_50_)</f>
        <v>0</v>
      </c>
      <c r="G248" s="90">
        <f t="shared" si="24"/>
        <v>0</v>
      </c>
      <c r="H248" s="90">
        <f>DSUM(SEP_2013_A,importe,LD_50_)</f>
        <v>0</v>
      </c>
      <c r="I248" s="17">
        <f t="shared" si="26"/>
        <v>0</v>
      </c>
      <c r="J248" s="6" t="s">
        <v>1280</v>
      </c>
      <c r="K248" s="137">
        <f>DSUM(SEP_2013_A,23,LD_50_)</f>
        <v>0</v>
      </c>
      <c r="L248" s="137">
        <f>DSUM(SEP_2013_A,24,LD_50_)</f>
        <v>0</v>
      </c>
      <c r="M248" s="137">
        <f>DSUM(SEP_2013_A,25,LD_50_)</f>
        <v>0</v>
      </c>
      <c r="N248" s="137">
        <f>DSUM(SEP_2013_A,26,LD_50_)</f>
        <v>0</v>
      </c>
      <c r="O248" s="137">
        <f>DSUM(SEP_2013_A,27,LD_50_)</f>
        <v>0</v>
      </c>
      <c r="P248" s="137">
        <f>DSUM(SEP_2013_A,28,LD_50_)</f>
        <v>0</v>
      </c>
      <c r="Q248" s="137">
        <f>DSUM(SEP_2013_A,29,LD_50_)</f>
        <v>0</v>
      </c>
      <c r="R248" s="137">
        <f>DSUM(SEP_2013_A,30,LD_50_)</f>
        <v>0</v>
      </c>
      <c r="S248" s="137">
        <f>DSUM(SEP_2013_A,31,LD_50_)</f>
        <v>0</v>
      </c>
      <c r="T248" s="137">
        <f>DSUM(SEP_2013_A,32,LD_50_)</f>
        <v>0</v>
      </c>
      <c r="U248" s="137">
        <f>DSUM(SEP_2013_A,33,LD_50_)</f>
        <v>0</v>
      </c>
      <c r="V248" s="137">
        <f>DSUM(SEP_2013_A,34,LD_50_)</f>
        <v>0</v>
      </c>
    </row>
    <row r="249" spans="2:22" ht="15.95" customHeight="1" x14ac:dyDescent="0.2">
      <c r="B249" s="1" t="s">
        <v>1012</v>
      </c>
      <c r="C249" s="129" t="str">
        <f t="shared" si="21"/>
        <v>Rancho Landero No. 51</v>
      </c>
      <c r="D249" s="129" t="str">
        <f t="shared" si="22"/>
        <v>H. Robles Tamayo</v>
      </c>
      <c r="E249" s="90">
        <f t="shared" si="23"/>
        <v>300</v>
      </c>
      <c r="F249" s="91">
        <f>DSUM(SEP_2013_A,AA,LD_51_)</f>
        <v>300</v>
      </c>
      <c r="G249" s="90">
        <f t="shared" si="24"/>
        <v>2700</v>
      </c>
      <c r="H249" s="90">
        <f>DSUM(SEP_2013_A,importe,LD_51_)</f>
        <v>3000</v>
      </c>
      <c r="I249" s="17">
        <f t="shared" si="26"/>
        <v>9</v>
      </c>
      <c r="J249" s="6" t="s">
        <v>1280</v>
      </c>
      <c r="K249" s="137">
        <f>DSUM(SEP_2013_A,23,LD_51_)</f>
        <v>300</v>
      </c>
      <c r="L249" s="137">
        <f>DSUM(SEP_2013_A,24,LD_51_)</f>
        <v>300</v>
      </c>
      <c r="M249" s="137">
        <f>DSUM(SEP_2013_A,25,LD_51_)</f>
        <v>300</v>
      </c>
      <c r="N249" s="137">
        <f>DSUM(SEP_2013_A,26,LD_51_)</f>
        <v>300</v>
      </c>
      <c r="O249" s="137">
        <f>DSUM(SEP_2013_A,27,LD_51_)</f>
        <v>300</v>
      </c>
      <c r="P249" s="137">
        <f>DSUM(SEP_2013_A,28,LD_51_)</f>
        <v>300</v>
      </c>
      <c r="Q249" s="137">
        <f>DSUM(SEP_2013_A,29,LD_51_)</f>
        <v>300</v>
      </c>
      <c r="R249" s="137">
        <f>DSUM(SEP_2013_A,30,LD_51_)</f>
        <v>300</v>
      </c>
      <c r="S249" s="137">
        <f>DSUM(SEP_2013_A,31,LD_51_)</f>
        <v>300</v>
      </c>
      <c r="T249" s="137">
        <f>DSUM(SEP_2013_A,32,LD_51_)</f>
        <v>0</v>
      </c>
      <c r="U249" s="137">
        <f>DSUM(SEP_2013_A,33,LD_51_)</f>
        <v>0</v>
      </c>
      <c r="V249" s="137">
        <f>DSUM(SEP_2013_A,34,LD_51_)</f>
        <v>0</v>
      </c>
    </row>
    <row r="250" spans="2:22" ht="15.95" customHeight="1" x14ac:dyDescent="0.2">
      <c r="B250" s="1" t="s">
        <v>1013</v>
      </c>
      <c r="C250" s="129" t="str">
        <f t="shared" si="21"/>
        <v>Rancho Landero No. 52</v>
      </c>
      <c r="D250" s="129" t="str">
        <f t="shared" si="22"/>
        <v>Zavala</v>
      </c>
      <c r="E250" s="90">
        <f t="shared" si="23"/>
        <v>300</v>
      </c>
      <c r="F250" s="91">
        <f>DSUM(SEP_2013_A,AA,LD_52_)</f>
        <v>0</v>
      </c>
      <c r="G250" s="90">
        <f t="shared" si="24"/>
        <v>0</v>
      </c>
      <c r="H250" s="90">
        <f>DSUM(SEP_2013_A,importe,LD_52_)</f>
        <v>0</v>
      </c>
      <c r="I250" s="17">
        <f t="shared" si="26"/>
        <v>0</v>
      </c>
      <c r="J250" s="6" t="s">
        <v>1280</v>
      </c>
      <c r="K250" s="137">
        <f>DSUM(SEP_2013_A,23,LD_52_)</f>
        <v>0</v>
      </c>
      <c r="L250" s="137">
        <f>DSUM(SEP_2013_A,24,LD_52_)</f>
        <v>0</v>
      </c>
      <c r="M250" s="137">
        <f>DSUM(SEP_2013_A,25,LD_52_)</f>
        <v>0</v>
      </c>
      <c r="N250" s="137">
        <f>DSUM(SEP_2013_A,26,LD_52_)</f>
        <v>0</v>
      </c>
      <c r="O250" s="137">
        <f>DSUM(SEP_2013_A,27,LD_52_)</f>
        <v>0</v>
      </c>
      <c r="P250" s="137">
        <f>DSUM(SEP_2013_A,28,LD_52_)</f>
        <v>0</v>
      </c>
      <c r="Q250" s="137">
        <f>DSUM(SEP_2013_A,29,LD_52_)</f>
        <v>0</v>
      </c>
      <c r="R250" s="137">
        <f>DSUM(SEP_2013_A,30,LD_52_)</f>
        <v>0</v>
      </c>
      <c r="S250" s="137">
        <f>DSUM(SEP_2013_A,31,LD_52_)</f>
        <v>0</v>
      </c>
      <c r="T250" s="137">
        <f>DSUM(SEP_2013_A,32,LD_52_)</f>
        <v>0</v>
      </c>
      <c r="U250" s="137">
        <f>DSUM(SEP_2013_A,33,LD_52_)</f>
        <v>0</v>
      </c>
      <c r="V250" s="137">
        <f>DSUM(SEP_2013_A,34,LD_52_)</f>
        <v>0</v>
      </c>
    </row>
    <row r="251" spans="2:22" ht="15.95" customHeight="1" x14ac:dyDescent="0.2">
      <c r="B251" s="1" t="s">
        <v>1014</v>
      </c>
      <c r="C251" s="129" t="str">
        <f t="shared" si="21"/>
        <v>Rancho Landero No. 54, 1</v>
      </c>
      <c r="D251" s="129" t="str">
        <f t="shared" si="22"/>
        <v>Montes de Oca</v>
      </c>
      <c r="E251" s="90">
        <f t="shared" si="23"/>
        <v>300</v>
      </c>
      <c r="F251" s="91">
        <f>DSUM(SEP_2013_A,AA,LD_54_1)</f>
        <v>300</v>
      </c>
      <c r="G251" s="90">
        <f t="shared" si="24"/>
        <v>900</v>
      </c>
      <c r="H251" s="90">
        <f>DSUM(SEP_2013_A,importe,LD_54_1)</f>
        <v>1200</v>
      </c>
      <c r="I251" s="17">
        <f t="shared" si="26"/>
        <v>3</v>
      </c>
      <c r="J251" s="6" t="s">
        <v>1280</v>
      </c>
      <c r="K251" s="137">
        <f>DSUM(SEP_2013_A,23,LD_54_1)</f>
        <v>300</v>
      </c>
      <c r="L251" s="137">
        <f>DSUM(SEP_2013_A,24,LD_54_1)</f>
        <v>0</v>
      </c>
      <c r="M251" s="137">
        <f>DSUM(SEP_2013_A,25,LD_54_1)</f>
        <v>300</v>
      </c>
      <c r="N251" s="137">
        <f>DSUM(SEP_2013_A,26,LD_54_1)</f>
        <v>300</v>
      </c>
      <c r="O251" s="137">
        <f>DSUM(SEP_2013_A,27,LD_54_1)</f>
        <v>0</v>
      </c>
      <c r="P251" s="137">
        <f>DSUM(SEP_2013_A,28,LD_54_1)</f>
        <v>0</v>
      </c>
      <c r="Q251" s="137">
        <f>DSUM(SEP_2013_A,29,LD_54_1)</f>
        <v>0</v>
      </c>
      <c r="R251" s="137">
        <f>DSUM(SEP_2013_A,30,LD_54_1)</f>
        <v>0</v>
      </c>
      <c r="S251" s="137">
        <f>DSUM(SEP_2013_A,31,LD_54_1)</f>
        <v>0</v>
      </c>
      <c r="T251" s="137">
        <f>DSUM(SEP_2013_A,32,LD_54_1)</f>
        <v>0</v>
      </c>
      <c r="U251" s="137">
        <f>DSUM(SEP_2013_A,33,LD_54_1)</f>
        <v>0</v>
      </c>
      <c r="V251" s="137">
        <f>DSUM(SEP_2013_A,34,LD_54_1)</f>
        <v>0</v>
      </c>
    </row>
    <row r="252" spans="2:22" ht="15.95" customHeight="1" x14ac:dyDescent="0.2">
      <c r="B252" s="1" t="s">
        <v>1015</v>
      </c>
      <c r="C252" s="129" t="str">
        <f t="shared" si="21"/>
        <v>Rancho Landero No. 54, 2</v>
      </c>
      <c r="D252" s="129" t="str">
        <f t="shared" si="22"/>
        <v>Montemayor Santana</v>
      </c>
      <c r="E252" s="90">
        <f t="shared" si="23"/>
        <v>300</v>
      </c>
      <c r="F252" s="91">
        <f>DSUM(SEP_2013_A,AA,LD_54_2)</f>
        <v>0</v>
      </c>
      <c r="G252" s="90">
        <f t="shared" si="24"/>
        <v>450</v>
      </c>
      <c r="H252" s="90">
        <f>DSUM(SEP_2013_A,importe,LD_54_2)</f>
        <v>450</v>
      </c>
      <c r="I252" s="17">
        <f t="shared" si="26"/>
        <v>1.5</v>
      </c>
      <c r="J252" s="6" t="s">
        <v>1280</v>
      </c>
      <c r="K252" s="137">
        <f>DSUM(SEP_2013_A,23,LD_54_2)</f>
        <v>0</v>
      </c>
      <c r="L252" s="137">
        <f>DSUM(SEP_2013_A,24,LD_54_2)</f>
        <v>0</v>
      </c>
      <c r="M252" s="137">
        <f>DSUM(SEP_2013_A,25,LD_54_2)</f>
        <v>0</v>
      </c>
      <c r="N252" s="137">
        <f>DSUM(SEP_2013_A,26,LD_54_2)</f>
        <v>0</v>
      </c>
      <c r="O252" s="137">
        <f>DSUM(SEP_2013_A,27,LD_54_2)</f>
        <v>0</v>
      </c>
      <c r="P252" s="137">
        <f>DSUM(SEP_2013_A,28,LD_54_2)</f>
        <v>0</v>
      </c>
      <c r="Q252" s="137">
        <f>DSUM(SEP_2013_A,29,LD_54_2)</f>
        <v>150</v>
      </c>
      <c r="R252" s="137">
        <f>DSUM(SEP_2013_A,30,LD_54_2)</f>
        <v>150</v>
      </c>
      <c r="S252" s="137">
        <f>DSUM(SEP_2013_A,31,LD_54_2)</f>
        <v>150</v>
      </c>
      <c r="T252" s="137">
        <f>DSUM(SEP_2013_A,32,LD_54_2)</f>
        <v>0</v>
      </c>
      <c r="U252" s="137">
        <f>DSUM(SEP_2013_A,33,LD_54_2)</f>
        <v>0</v>
      </c>
      <c r="V252" s="137">
        <f>DSUM(SEP_2013_A,34,LD_54_2)</f>
        <v>0</v>
      </c>
    </row>
    <row r="253" spans="2:22" ht="15.95" customHeight="1" x14ac:dyDescent="0.2">
      <c r="B253" s="1" t="s">
        <v>1016</v>
      </c>
      <c r="C253" s="129" t="str">
        <f t="shared" si="21"/>
        <v>Rancho Landero No. 58</v>
      </c>
      <c r="D253" s="129" t="str">
        <f t="shared" si="22"/>
        <v>Valero</v>
      </c>
      <c r="E253" s="90">
        <f t="shared" si="23"/>
        <v>300</v>
      </c>
      <c r="F253" s="91">
        <f>DSUM(SEP_2013_A,AA,LD_58_)</f>
        <v>300</v>
      </c>
      <c r="G253" s="90">
        <f t="shared" si="24"/>
        <v>2700</v>
      </c>
      <c r="H253" s="90">
        <f>DSUM(SEP_2013_A,importe,LD_58_)</f>
        <v>3000</v>
      </c>
      <c r="I253" s="17">
        <f t="shared" ref="I253:I275" si="27">IF(VLOOKUP(B253,BASE_A,9,FALSE)=0,0,G253/VLOOKUP(B253,BASE_A,9,FALSE))</f>
        <v>9</v>
      </c>
      <c r="J253" s="6" t="s">
        <v>1280</v>
      </c>
      <c r="K253" s="137">
        <f>DSUM(SEP_2013_A,23,LD_58_)</f>
        <v>300</v>
      </c>
      <c r="L253" s="137">
        <f>DSUM(SEP_2013_A,24,LD_58_)</f>
        <v>300</v>
      </c>
      <c r="M253" s="137">
        <f>DSUM(SEP_2013_A,25,LD_58_)</f>
        <v>300</v>
      </c>
      <c r="N253" s="137">
        <f>DSUM(SEP_2013_A,26,LD_58_)</f>
        <v>300</v>
      </c>
      <c r="O253" s="137">
        <f>DSUM(SEP_2013_A,27,LD_58_)</f>
        <v>300</v>
      </c>
      <c r="P253" s="137">
        <f>DSUM(SEP_2013_A,28,LD_58_)</f>
        <v>300</v>
      </c>
      <c r="Q253" s="137">
        <f>DSUM(SEP_2013_A,29,LD_58_)</f>
        <v>300</v>
      </c>
      <c r="R253" s="137">
        <f>DSUM(SEP_2013_A,30,LD_58_)</f>
        <v>300</v>
      </c>
      <c r="S253" s="137">
        <f>DSUM(SEP_2013_A,31,LD_58_)</f>
        <v>300</v>
      </c>
      <c r="T253" s="137">
        <f>DSUM(SEP_2013_A,32,LD_58_)</f>
        <v>0</v>
      </c>
      <c r="U253" s="137">
        <f>DSUM(SEP_2013_A,33,LD_58_)</f>
        <v>0</v>
      </c>
      <c r="V253" s="137">
        <f>DSUM(SEP_2013_A,34,LD_58_)</f>
        <v>0</v>
      </c>
    </row>
    <row r="254" spans="2:22" ht="15.95" customHeight="1" x14ac:dyDescent="0.2">
      <c r="B254" s="1" t="s">
        <v>1017</v>
      </c>
      <c r="C254" s="129" t="str">
        <f t="shared" si="21"/>
        <v>Rancho Landero No. 60</v>
      </c>
      <c r="D254" s="129" t="str">
        <f t="shared" si="22"/>
        <v>Guerrero Flores</v>
      </c>
      <c r="E254" s="90">
        <f t="shared" si="23"/>
        <v>300</v>
      </c>
      <c r="F254" s="91">
        <f>DSUM(SEP_2013_A,AA,LD_60_)</f>
        <v>0</v>
      </c>
      <c r="G254" s="90">
        <f t="shared" si="24"/>
        <v>0</v>
      </c>
      <c r="H254" s="90">
        <f>DSUM(SEP_2013_A,importe,LD_60_)</f>
        <v>0</v>
      </c>
      <c r="I254" s="17">
        <f t="shared" si="27"/>
        <v>0</v>
      </c>
      <c r="J254" s="6" t="s">
        <v>1280</v>
      </c>
      <c r="K254" s="137">
        <f>DSUM(SEP_2013_A,23,LD_60_)</f>
        <v>0</v>
      </c>
      <c r="L254" s="137">
        <f>DSUM(SEP_2013_A,24,LD_60_)</f>
        <v>0</v>
      </c>
      <c r="M254" s="137">
        <f>DSUM(SEP_2013_A,25,LD_60_)</f>
        <v>0</v>
      </c>
      <c r="N254" s="137">
        <f>DSUM(SEP_2013_A,26,LD_60_)</f>
        <v>0</v>
      </c>
      <c r="O254" s="137">
        <f>DSUM(SEP_2013_A,27,LD_60_)</f>
        <v>0</v>
      </c>
      <c r="P254" s="137">
        <f>DSUM(SEP_2013_A,28,LD_60_)</f>
        <v>0</v>
      </c>
      <c r="Q254" s="137">
        <f>DSUM(SEP_2013_A,29,LD_60_)</f>
        <v>0</v>
      </c>
      <c r="R254" s="137">
        <f>DSUM(SEP_2013_A,30,LD_60_)</f>
        <v>0</v>
      </c>
      <c r="S254" s="137">
        <f>DSUM(SEP_2013_A,31,LD_60_)</f>
        <v>0</v>
      </c>
      <c r="T254" s="137">
        <f>DSUM(SEP_2013_A,32,LD_60_)</f>
        <v>0</v>
      </c>
      <c r="U254" s="137">
        <f>DSUM(SEP_2013_A,33,LD_60_)</f>
        <v>0</v>
      </c>
      <c r="V254" s="137">
        <f>DSUM(SEP_2013_A,34,LD_60_)</f>
        <v>0</v>
      </c>
    </row>
    <row r="255" spans="2:22" ht="15.95" customHeight="1" x14ac:dyDescent="0.2">
      <c r="B255" s="1" t="s">
        <v>1018</v>
      </c>
      <c r="C255" s="129" t="str">
        <f t="shared" si="21"/>
        <v>Rancho Landero No. 61</v>
      </c>
      <c r="D255" s="129" t="str">
        <f t="shared" si="22"/>
        <v>Miramontes Pérez</v>
      </c>
      <c r="E255" s="90">
        <f t="shared" si="23"/>
        <v>300</v>
      </c>
      <c r="F255" s="91">
        <f>DSUM(SEP_2013_A,AA,LD_61_)</f>
        <v>0</v>
      </c>
      <c r="G255" s="90">
        <f t="shared" si="24"/>
        <v>0</v>
      </c>
      <c r="H255" s="90">
        <f>DSUM(SEP_2013_A,importe,LD_61_)</f>
        <v>0</v>
      </c>
      <c r="I255" s="17">
        <f t="shared" si="27"/>
        <v>0</v>
      </c>
      <c r="J255" s="6" t="s">
        <v>1280</v>
      </c>
      <c r="K255" s="137">
        <f>DSUM(SEP_2013_A,23,LD_61_)</f>
        <v>0</v>
      </c>
      <c r="L255" s="137">
        <f>DSUM(SEP_2013_A,24,LD_61_)</f>
        <v>0</v>
      </c>
      <c r="M255" s="137">
        <f>DSUM(SEP_2013_A,25,LD_61_)</f>
        <v>0</v>
      </c>
      <c r="N255" s="137">
        <f>DSUM(SEP_2013_A,26,LD_61_)</f>
        <v>0</v>
      </c>
      <c r="O255" s="137">
        <f>DSUM(SEP_2013_A,27,LD_61_)</f>
        <v>0</v>
      </c>
      <c r="P255" s="137">
        <f>DSUM(SEP_2013_A,28,LD_61_)</f>
        <v>0</v>
      </c>
      <c r="Q255" s="137">
        <f>DSUM(SEP_2013_A,29,LD_61_)</f>
        <v>0</v>
      </c>
      <c r="R255" s="137">
        <f>DSUM(SEP_2013_A,30,LD_61_)</f>
        <v>0</v>
      </c>
      <c r="S255" s="137">
        <f>DSUM(SEP_2013_A,31,LD_61_)</f>
        <v>0</v>
      </c>
      <c r="T255" s="137">
        <f>DSUM(SEP_2013_A,32,LD_61_)</f>
        <v>0</v>
      </c>
      <c r="U255" s="137">
        <f>DSUM(SEP_2013_A,33,LD_61_)</f>
        <v>0</v>
      </c>
      <c r="V255" s="137">
        <f>DSUM(SEP_2013_A,34,LD_61_)</f>
        <v>0</v>
      </c>
    </row>
    <row r="256" spans="2:22" ht="15.95" customHeight="1" x14ac:dyDescent="0.2">
      <c r="B256" s="1" t="s">
        <v>1019</v>
      </c>
      <c r="C256" s="129" t="str">
        <f t="shared" si="21"/>
        <v>Rancho Landero No. 62</v>
      </c>
      <c r="D256" s="129" t="str">
        <f t="shared" si="22"/>
        <v>Narvaez Sara</v>
      </c>
      <c r="E256" s="90">
        <f t="shared" si="23"/>
        <v>300</v>
      </c>
      <c r="F256" s="91">
        <f>DSUM(SEP_2013_A,AA,LD_62_)</f>
        <v>0</v>
      </c>
      <c r="G256" s="90">
        <f t="shared" si="24"/>
        <v>2700</v>
      </c>
      <c r="H256" s="90">
        <f>DSUM(SEP_2013_A,importe,LD_62_)</f>
        <v>2700</v>
      </c>
      <c r="I256" s="17">
        <f t="shared" si="27"/>
        <v>9</v>
      </c>
      <c r="J256" s="6" t="s">
        <v>1280</v>
      </c>
      <c r="K256" s="137">
        <f>DSUM(SEP_2013_A,23,LD_62_)</f>
        <v>300</v>
      </c>
      <c r="L256" s="137">
        <f>DSUM(SEP_2013_A,24,LD_62_)</f>
        <v>300</v>
      </c>
      <c r="M256" s="137">
        <f>DSUM(SEP_2013_A,25,LD_62_)</f>
        <v>300</v>
      </c>
      <c r="N256" s="137">
        <f>DSUM(SEP_2013_A,26,LD_62_)</f>
        <v>300</v>
      </c>
      <c r="O256" s="137">
        <f>DSUM(SEP_2013_A,27,LD_62_)</f>
        <v>300</v>
      </c>
      <c r="P256" s="137">
        <f>DSUM(SEP_2013_A,28,LD_62_)</f>
        <v>300</v>
      </c>
      <c r="Q256" s="137">
        <f>DSUM(SEP_2013_A,29,LD_62_)</f>
        <v>300</v>
      </c>
      <c r="R256" s="137">
        <f>DSUM(SEP_2013_A,30,LD_62_)</f>
        <v>300</v>
      </c>
      <c r="S256" s="137">
        <f>DSUM(SEP_2013_A,31,LD_62_)</f>
        <v>300</v>
      </c>
      <c r="T256" s="137">
        <f>DSUM(SEP_2013_A,32,LD_62_)</f>
        <v>0</v>
      </c>
      <c r="U256" s="137">
        <f>DSUM(SEP_2013_A,33,LD_62_)</f>
        <v>0</v>
      </c>
      <c r="V256" s="137">
        <f>DSUM(SEP_2013_A,34,LD_62_)</f>
        <v>0</v>
      </c>
    </row>
    <row r="257" spans="2:22" ht="15.95" customHeight="1" x14ac:dyDescent="0.2">
      <c r="B257" s="1" t="s">
        <v>763</v>
      </c>
      <c r="C257" s="129" t="str">
        <f t="shared" si="21"/>
        <v>Rancho Landero No. 63</v>
      </c>
      <c r="D257" s="129" t="str">
        <f t="shared" si="22"/>
        <v>Hernández Chávez</v>
      </c>
      <c r="E257" s="90">
        <f t="shared" si="23"/>
        <v>300</v>
      </c>
      <c r="F257" s="91">
        <f>DSUM(SEP_2013_A,AA,LD_63_)</f>
        <v>0</v>
      </c>
      <c r="G257" s="90">
        <f t="shared" si="24"/>
        <v>2700</v>
      </c>
      <c r="H257" s="90">
        <f>DSUM(SEP_2013_A,importe,LD_63_)</f>
        <v>2700</v>
      </c>
      <c r="I257" s="17">
        <f t="shared" si="27"/>
        <v>9</v>
      </c>
      <c r="J257" s="6" t="s">
        <v>1280</v>
      </c>
      <c r="K257" s="137">
        <f>DSUM(SEP_2013_A,23,LD_63_)</f>
        <v>300</v>
      </c>
      <c r="L257" s="137">
        <f>DSUM(SEP_2013_A,24,LD_63_)</f>
        <v>300</v>
      </c>
      <c r="M257" s="137">
        <f>DSUM(SEP_2013_A,25,LD_63_)</f>
        <v>300</v>
      </c>
      <c r="N257" s="137">
        <f>DSUM(SEP_2013_A,26,LD_63_)</f>
        <v>300</v>
      </c>
      <c r="O257" s="137">
        <f>DSUM(SEP_2013_A,27,LD_63_)</f>
        <v>300</v>
      </c>
      <c r="P257" s="137">
        <f>DSUM(SEP_2013_A,28,LD_63_)</f>
        <v>300</v>
      </c>
      <c r="Q257" s="137">
        <f>DSUM(SEP_2013_A,29,LD_63_)</f>
        <v>300</v>
      </c>
      <c r="R257" s="137">
        <f>DSUM(SEP_2013_A,30,LD_63_)</f>
        <v>300</v>
      </c>
      <c r="S257" s="137">
        <f>DSUM(SEP_2013_A,31,LD_63_)</f>
        <v>300</v>
      </c>
      <c r="T257" s="137">
        <f>DSUM(SEP_2013_A,32,LD_63_)</f>
        <v>0</v>
      </c>
      <c r="U257" s="137">
        <f>DSUM(SEP_2013_A,33,LD_63_)</f>
        <v>0</v>
      </c>
      <c r="V257" s="137">
        <f>DSUM(SEP_2013_A,34,LD_63_)</f>
        <v>0</v>
      </c>
    </row>
    <row r="258" spans="2:22" ht="15.95" customHeight="1" x14ac:dyDescent="0.2">
      <c r="B258" s="1" t="s">
        <v>1020</v>
      </c>
      <c r="C258" s="129" t="str">
        <f t="shared" si="21"/>
        <v>Rancho Landero No. 64</v>
      </c>
      <c r="D258" s="129" t="str">
        <f t="shared" si="22"/>
        <v>Ocampo Melchor</v>
      </c>
      <c r="E258" s="90">
        <f t="shared" si="23"/>
        <v>300</v>
      </c>
      <c r="F258" s="91">
        <f>DSUM(SEP_2013_A,AA,LD_64_)</f>
        <v>600</v>
      </c>
      <c r="G258" s="90">
        <f t="shared" si="24"/>
        <v>1200</v>
      </c>
      <c r="H258" s="90">
        <f>DSUM(SEP_2013_A,importe,LD_64_)</f>
        <v>1800</v>
      </c>
      <c r="I258" s="17">
        <f t="shared" si="27"/>
        <v>4</v>
      </c>
      <c r="J258" s="6" t="s">
        <v>1280</v>
      </c>
      <c r="K258" s="137">
        <f>DSUM(SEP_2013_A,23,LD_64_)</f>
        <v>300</v>
      </c>
      <c r="L258" s="137">
        <f>DSUM(SEP_2013_A,24,LD_64_)</f>
        <v>300</v>
      </c>
      <c r="M258" s="137">
        <f>DSUM(SEP_2013_A,25,LD_64_)</f>
        <v>300</v>
      </c>
      <c r="N258" s="137">
        <f>DSUM(SEP_2013_A,26,LD_64_)</f>
        <v>300</v>
      </c>
      <c r="O258" s="137">
        <f>DSUM(SEP_2013_A,27,LD_64_)</f>
        <v>0</v>
      </c>
      <c r="P258" s="137">
        <f>DSUM(SEP_2013_A,28,LD_64_)</f>
        <v>0</v>
      </c>
      <c r="Q258" s="137">
        <f>DSUM(SEP_2013_A,29,LD_64_)</f>
        <v>0</v>
      </c>
      <c r="R258" s="137">
        <f>DSUM(SEP_2013_A,30,LD_64_)</f>
        <v>0</v>
      </c>
      <c r="S258" s="137">
        <f>DSUM(SEP_2013_A,31,LD_64_)</f>
        <v>0</v>
      </c>
      <c r="T258" s="137">
        <f>DSUM(SEP_2013_A,32,LD_64_)</f>
        <v>0</v>
      </c>
      <c r="U258" s="137">
        <f>DSUM(SEP_2013_A,33,LD_64_)</f>
        <v>0</v>
      </c>
      <c r="V258" s="137">
        <f>DSUM(SEP_2013_A,34,LD_64_)</f>
        <v>0</v>
      </c>
    </row>
    <row r="259" spans="2:22" ht="15.95" customHeight="1" x14ac:dyDescent="0.2">
      <c r="B259" s="1" t="s">
        <v>1021</v>
      </c>
      <c r="C259" s="129" t="str">
        <f t="shared" si="21"/>
        <v>Rancho Landero No. 65</v>
      </c>
      <c r="D259" s="129" t="str">
        <f t="shared" si="22"/>
        <v>Alpizar</v>
      </c>
      <c r="E259" s="90">
        <f t="shared" si="23"/>
        <v>300</v>
      </c>
      <c r="F259" s="91">
        <f>DSUM(SEP_2013_A,AA,LD_65_)</f>
        <v>900</v>
      </c>
      <c r="G259" s="90">
        <f t="shared" si="24"/>
        <v>2100</v>
      </c>
      <c r="H259" s="90">
        <f>DSUM(SEP_2013_A,importe,LD_65_)</f>
        <v>3000</v>
      </c>
      <c r="I259" s="17">
        <f t="shared" si="27"/>
        <v>7</v>
      </c>
      <c r="J259" s="6" t="s">
        <v>1280</v>
      </c>
      <c r="K259" s="137">
        <f>DSUM(SEP_2013_A,23,LD_65_)</f>
        <v>300</v>
      </c>
      <c r="L259" s="137">
        <f>DSUM(SEP_2013_A,24,LD_65_)</f>
        <v>300</v>
      </c>
      <c r="M259" s="137">
        <f>DSUM(SEP_2013_A,25,LD_65_)</f>
        <v>300</v>
      </c>
      <c r="N259" s="137">
        <f>DSUM(SEP_2013_A,26,LD_65_)</f>
        <v>300</v>
      </c>
      <c r="O259" s="137">
        <f>DSUM(SEP_2013_A,27,LD_65_)</f>
        <v>300</v>
      </c>
      <c r="P259" s="137">
        <f>DSUM(SEP_2013_A,28,LD_65_)</f>
        <v>300</v>
      </c>
      <c r="Q259" s="137">
        <f>DSUM(SEP_2013_A,29,LD_65_)</f>
        <v>300</v>
      </c>
      <c r="R259" s="137">
        <f>DSUM(SEP_2013_A,30,LD_65_)</f>
        <v>0</v>
      </c>
      <c r="S259" s="137">
        <f>DSUM(SEP_2013_A,31,LD_65_)</f>
        <v>0</v>
      </c>
      <c r="T259" s="137">
        <f>DSUM(SEP_2013_A,32,LD_65_)</f>
        <v>0</v>
      </c>
      <c r="U259" s="137">
        <f>DSUM(SEP_2013_A,33,LD_65_)</f>
        <v>0</v>
      </c>
      <c r="V259" s="137">
        <f>DSUM(SEP_2013_A,34,LD_65_)</f>
        <v>0</v>
      </c>
    </row>
    <row r="260" spans="2:22" ht="15.95" customHeight="1" x14ac:dyDescent="0.2">
      <c r="B260" s="1" t="s">
        <v>1340</v>
      </c>
      <c r="C260" s="129" t="str">
        <f t="shared" si="21"/>
        <v>Rancho Landero No. 66</v>
      </c>
      <c r="D260" s="129">
        <f t="shared" si="22"/>
        <v>0</v>
      </c>
      <c r="E260" s="90">
        <f t="shared" si="23"/>
        <v>300</v>
      </c>
      <c r="F260" s="91">
        <f>DSUM(SEP_2013_A,AA,LD_66_)</f>
        <v>0</v>
      </c>
      <c r="G260" s="90">
        <f t="shared" si="24"/>
        <v>0</v>
      </c>
      <c r="H260" s="90">
        <f>DSUM(SEP_2013_A,importe,LD_66_)</f>
        <v>0</v>
      </c>
      <c r="I260" s="17">
        <f t="shared" si="27"/>
        <v>0</v>
      </c>
      <c r="J260" s="6" t="s">
        <v>1280</v>
      </c>
      <c r="K260" s="137">
        <f>DSUM(SEP_2013_A,23,LD_66_)</f>
        <v>0</v>
      </c>
      <c r="L260" s="137">
        <f>DSUM(SEP_2013_A,24,LD_66_)</f>
        <v>0</v>
      </c>
      <c r="M260" s="137">
        <f>DSUM(SEP_2013_A,25,LD_66_)</f>
        <v>0</v>
      </c>
      <c r="N260" s="137">
        <f>DSUM(SEP_2013_A,26,LD_66_)</f>
        <v>0</v>
      </c>
      <c r="O260" s="137">
        <f>DSUM(SEP_2013_A,27,LD_66_)</f>
        <v>0</v>
      </c>
      <c r="P260" s="137">
        <f>DSUM(SEP_2013_A,28,LD_66_)</f>
        <v>0</v>
      </c>
      <c r="Q260" s="137">
        <f>DSUM(SEP_2013_A,29,LD_66_)</f>
        <v>0</v>
      </c>
      <c r="R260" s="137">
        <f>DSUM(SEP_2013_A,30,LD_66_)</f>
        <v>0</v>
      </c>
      <c r="S260" s="137">
        <f>DSUM(SEP_2013_A,31,LD_66_)</f>
        <v>0</v>
      </c>
      <c r="T260" s="137">
        <f>DSUM(SEP_2013_A,32,LD_66_)</f>
        <v>0</v>
      </c>
      <c r="U260" s="137">
        <f>DSUM(SEP_2013_A,33,LD_66_)</f>
        <v>0</v>
      </c>
      <c r="V260" s="137">
        <f>DSUM(SEP_2013_A,34,LD_66_)</f>
        <v>0</v>
      </c>
    </row>
    <row r="261" spans="2:22" ht="15.95" customHeight="1" x14ac:dyDescent="0.2">
      <c r="B261" s="1" t="s">
        <v>1022</v>
      </c>
      <c r="C261" s="129" t="str">
        <f t="shared" si="21"/>
        <v>Rancho Landero No. 68</v>
      </c>
      <c r="D261" s="129" t="str">
        <f t="shared" si="22"/>
        <v>Moreno</v>
      </c>
      <c r="E261" s="90">
        <f t="shared" si="23"/>
        <v>300</v>
      </c>
      <c r="F261" s="91">
        <f>DSUM(SEP_2013_A,AA,LD_68_)</f>
        <v>0</v>
      </c>
      <c r="G261" s="90">
        <f t="shared" si="24"/>
        <v>2400</v>
      </c>
      <c r="H261" s="90">
        <f>DSUM(SEP_2013_A,importe,LD_68_)</f>
        <v>2400</v>
      </c>
      <c r="I261" s="17">
        <f t="shared" si="27"/>
        <v>8</v>
      </c>
      <c r="J261" s="6" t="s">
        <v>1280</v>
      </c>
      <c r="K261" s="137">
        <f>DSUM(SEP_2013_A,23,LD_68_)</f>
        <v>300</v>
      </c>
      <c r="L261" s="137">
        <f>DSUM(SEP_2013_A,24,LD_68_)</f>
        <v>300</v>
      </c>
      <c r="M261" s="137">
        <f>DSUM(SEP_2013_A,25,LD_68_)</f>
        <v>300</v>
      </c>
      <c r="N261" s="137">
        <f>DSUM(SEP_2013_A,26,LD_68_)</f>
        <v>300</v>
      </c>
      <c r="O261" s="137">
        <f>DSUM(SEP_2013_A,27,LD_68_)</f>
        <v>300</v>
      </c>
      <c r="P261" s="137">
        <f>DSUM(SEP_2013_A,28,LD_68_)</f>
        <v>300</v>
      </c>
      <c r="Q261" s="137">
        <f>DSUM(SEP_2013_A,29,LD_68_)</f>
        <v>300</v>
      </c>
      <c r="R261" s="137">
        <f>DSUM(SEP_2013_A,30,LD_68_)</f>
        <v>300</v>
      </c>
      <c r="S261" s="137">
        <f>DSUM(SEP_2013_A,31,LD_68_)</f>
        <v>0</v>
      </c>
      <c r="T261" s="137">
        <f>DSUM(SEP_2013_A,32,LD_68_)</f>
        <v>0</v>
      </c>
      <c r="U261" s="137">
        <f>DSUM(SEP_2013_A,33,LD_68_)</f>
        <v>0</v>
      </c>
      <c r="V261" s="137">
        <f>DSUM(SEP_2013_A,34,LD_68_)</f>
        <v>0</v>
      </c>
    </row>
    <row r="262" spans="2:22" ht="15.95" customHeight="1" x14ac:dyDescent="0.2">
      <c r="B262" s="1" t="s">
        <v>1023</v>
      </c>
      <c r="C262" s="129" t="str">
        <f t="shared" si="21"/>
        <v>Rancho Landero No. 69</v>
      </c>
      <c r="D262" s="129" t="str">
        <f t="shared" si="22"/>
        <v>Gómez Ayala</v>
      </c>
      <c r="E262" s="90">
        <f t="shared" si="23"/>
        <v>300</v>
      </c>
      <c r="F262" s="91">
        <f>DSUM(SEP_2013_A,AA,LD_69_)</f>
        <v>900</v>
      </c>
      <c r="G262" s="90">
        <f t="shared" si="24"/>
        <v>2700</v>
      </c>
      <c r="H262" s="90">
        <f>DSUM(SEP_2013_A,importe,LD_69_)</f>
        <v>3600</v>
      </c>
      <c r="I262" s="17">
        <f t="shared" si="27"/>
        <v>9</v>
      </c>
      <c r="J262" s="6" t="s">
        <v>1280</v>
      </c>
      <c r="K262" s="137">
        <f>DSUM(SEP_2013_A,23,LD_69_)</f>
        <v>300</v>
      </c>
      <c r="L262" s="137">
        <f>DSUM(SEP_2013_A,24,LD_69_)</f>
        <v>300</v>
      </c>
      <c r="M262" s="137">
        <f>DSUM(SEP_2013_A,25,LD_69_)</f>
        <v>300</v>
      </c>
      <c r="N262" s="137">
        <f>DSUM(SEP_2013_A,26,LD_69_)</f>
        <v>300</v>
      </c>
      <c r="O262" s="137">
        <f>DSUM(SEP_2013_A,27,LD_69_)</f>
        <v>300</v>
      </c>
      <c r="P262" s="137">
        <f>DSUM(SEP_2013_A,28,LD_69_)</f>
        <v>300</v>
      </c>
      <c r="Q262" s="137">
        <f>DSUM(SEP_2013_A,29,LD_69_)</f>
        <v>300</v>
      </c>
      <c r="R262" s="137">
        <f>DSUM(SEP_2013_A,30,LD_69_)</f>
        <v>300</v>
      </c>
      <c r="S262" s="137">
        <f>DSUM(SEP_2013_A,31,LD_69_)</f>
        <v>300</v>
      </c>
      <c r="T262" s="137">
        <f>DSUM(SEP_2013_A,32,LD_69_)</f>
        <v>0</v>
      </c>
      <c r="U262" s="137">
        <f>DSUM(SEP_2013_A,33,LD_69_)</f>
        <v>0</v>
      </c>
      <c r="V262" s="137">
        <f>DSUM(SEP_2013_A,34,LD_69_)</f>
        <v>0</v>
      </c>
    </row>
    <row r="263" spans="2:22" ht="15.95" customHeight="1" x14ac:dyDescent="0.2">
      <c r="B263" s="1" t="s">
        <v>1024</v>
      </c>
      <c r="C263" s="129" t="str">
        <f t="shared" si="21"/>
        <v>Rancho Landero No. 70</v>
      </c>
      <c r="D263" s="129" t="str">
        <f t="shared" si="22"/>
        <v>Olguín</v>
      </c>
      <c r="E263" s="90">
        <f t="shared" si="23"/>
        <v>100</v>
      </c>
      <c r="F263" s="91">
        <f>DSUM(SEP_2013_A,AA,LD_70_)</f>
        <v>300</v>
      </c>
      <c r="G263" s="90">
        <f t="shared" si="24"/>
        <v>500</v>
      </c>
      <c r="H263" s="90">
        <f>DSUM(SEP_2013_A,importe,LD_70_)</f>
        <v>800</v>
      </c>
      <c r="I263" s="17">
        <f t="shared" si="27"/>
        <v>5</v>
      </c>
      <c r="J263" s="6" t="s">
        <v>1280</v>
      </c>
      <c r="K263" s="137">
        <f>DSUM(SEP_2013_A,23,LD_70_)</f>
        <v>0</v>
      </c>
      <c r="L263" s="137">
        <f>DSUM(SEP_2013_A,24,LD_70_)</f>
        <v>100</v>
      </c>
      <c r="M263" s="137">
        <f>DSUM(SEP_2013_A,25,LD_70_)</f>
        <v>0</v>
      </c>
      <c r="N263" s="137">
        <f>DSUM(SEP_2013_A,26,LD_70_)</f>
        <v>0</v>
      </c>
      <c r="O263" s="137">
        <f>DSUM(SEP_2013_A,27,LD_70_)</f>
        <v>100</v>
      </c>
      <c r="P263" s="137">
        <f>DSUM(SEP_2013_A,28,LD_70_)</f>
        <v>100</v>
      </c>
      <c r="Q263" s="137">
        <f>DSUM(SEP_2013_A,29,LD_70_)</f>
        <v>100</v>
      </c>
      <c r="R263" s="137">
        <f>DSUM(SEP_2013_A,30,LD_70_)</f>
        <v>100</v>
      </c>
      <c r="S263" s="137">
        <f>DSUM(SEP_2013_A,31,LD_70_)</f>
        <v>0</v>
      </c>
      <c r="T263" s="137">
        <f>DSUM(SEP_2013_A,32,LD_70_)</f>
        <v>0</v>
      </c>
      <c r="U263" s="137">
        <f>DSUM(SEP_2013_A,33,LD_70_)</f>
        <v>0</v>
      </c>
      <c r="V263" s="137">
        <f>DSUM(SEP_2013_A,34,LD_70_)</f>
        <v>0</v>
      </c>
    </row>
    <row r="264" spans="2:22" ht="15.95" customHeight="1" x14ac:dyDescent="0.2">
      <c r="B264" s="1" t="s">
        <v>1025</v>
      </c>
      <c r="C264" s="129" t="str">
        <f t="shared" ref="C264:C327" si="28">VLOOKUP(B264,BASE_A,6,FALSE)</f>
        <v>Rancho Landero No. 71</v>
      </c>
      <c r="D264" s="129" t="str">
        <f t="shared" ref="D264:D327" si="29">VLOOKUP(B264,BASE_A,8,FALSE)</f>
        <v>Cabrera Balcázar</v>
      </c>
      <c r="E264" s="90">
        <f t="shared" ref="E264:E327" si="30">VLOOKUP(B264,BASE_A,9,FALSE)</f>
        <v>300</v>
      </c>
      <c r="F264" s="91">
        <f>DSUM(SEP_2013_A,AA,LD_71_)</f>
        <v>300</v>
      </c>
      <c r="G264" s="90">
        <f t="shared" ref="G264:G327" si="31">H264-F264</f>
        <v>2400</v>
      </c>
      <c r="H264" s="90">
        <f>DSUM(SEP_2013_A,importe,LD_71_)</f>
        <v>2700</v>
      </c>
      <c r="I264" s="17">
        <f t="shared" si="27"/>
        <v>8</v>
      </c>
      <c r="J264" s="6" t="s">
        <v>1280</v>
      </c>
      <c r="K264" s="137">
        <f>DSUM(SEP_2013_A,23,LD_71_)</f>
        <v>300</v>
      </c>
      <c r="L264" s="137">
        <f>DSUM(SEP_2013_A,24,LD_71_)</f>
        <v>300</v>
      </c>
      <c r="M264" s="137">
        <f>DSUM(SEP_2013_A,25,LD_71_)</f>
        <v>300</v>
      </c>
      <c r="N264" s="137">
        <f>DSUM(SEP_2013_A,26,LD_71_)</f>
        <v>0</v>
      </c>
      <c r="O264" s="137">
        <f>DSUM(SEP_2013_A,27,LD_71_)</f>
        <v>300</v>
      </c>
      <c r="P264" s="137">
        <f>DSUM(SEP_2013_A,28,LD_71_)</f>
        <v>300</v>
      </c>
      <c r="Q264" s="137">
        <f>DSUM(SEP_2013_A,29,LD_71_)</f>
        <v>300</v>
      </c>
      <c r="R264" s="137">
        <f>DSUM(SEP_2013_A,30,LD_71_)</f>
        <v>300</v>
      </c>
      <c r="S264" s="137">
        <f>DSUM(SEP_2013_A,31,LD_71_)</f>
        <v>300</v>
      </c>
      <c r="T264" s="137">
        <f>DSUM(SEP_2013_A,32,LD_71_)</f>
        <v>0</v>
      </c>
      <c r="U264" s="137">
        <f>DSUM(SEP_2013_A,33,LD_71_)</f>
        <v>0</v>
      </c>
      <c r="V264" s="137">
        <f>DSUM(SEP_2013_A,34,LD_71_)</f>
        <v>0</v>
      </c>
    </row>
    <row r="265" spans="2:22" ht="15.95" customHeight="1" x14ac:dyDescent="0.2">
      <c r="B265" s="1" t="s">
        <v>1026</v>
      </c>
      <c r="C265" s="129" t="str">
        <f t="shared" si="28"/>
        <v>Rancho Landero No. 72</v>
      </c>
      <c r="D265" s="129" t="str">
        <f t="shared" si="29"/>
        <v>Olguín</v>
      </c>
      <c r="E265" s="90">
        <f t="shared" si="30"/>
        <v>300</v>
      </c>
      <c r="F265" s="91">
        <f>DSUM(SEP_2013_A,AA,LD_72_)</f>
        <v>0</v>
      </c>
      <c r="G265" s="90">
        <f t="shared" si="31"/>
        <v>0</v>
      </c>
      <c r="H265" s="90">
        <f>DSUM(SEP_2013_A,importe,LD_72_)</f>
        <v>0</v>
      </c>
      <c r="I265" s="17">
        <f t="shared" si="27"/>
        <v>0</v>
      </c>
      <c r="J265" s="6" t="s">
        <v>1280</v>
      </c>
      <c r="K265" s="137">
        <f>DSUM(SEP_2013_A,23,LD_72_)</f>
        <v>0</v>
      </c>
      <c r="L265" s="137">
        <f>DSUM(SEP_2013_A,24,LD_72_)</f>
        <v>0</v>
      </c>
      <c r="M265" s="137">
        <f>DSUM(SEP_2013_A,25,LD_72_)</f>
        <v>0</v>
      </c>
      <c r="N265" s="137">
        <f>DSUM(SEP_2013_A,26,LD_72_)</f>
        <v>0</v>
      </c>
      <c r="O265" s="137">
        <f>DSUM(SEP_2013_A,27,LD_72_)</f>
        <v>0</v>
      </c>
      <c r="P265" s="137">
        <f>DSUM(SEP_2013_A,28,LD_72_)</f>
        <v>0</v>
      </c>
      <c r="Q265" s="137">
        <f>DSUM(SEP_2013_A,29,LD_72_)</f>
        <v>0</v>
      </c>
      <c r="R265" s="137">
        <f>DSUM(SEP_2013_A,30,LD_72_)</f>
        <v>0</v>
      </c>
      <c r="S265" s="137">
        <f>DSUM(SEP_2013_A,31,LD_72_)</f>
        <v>0</v>
      </c>
      <c r="T265" s="137">
        <f>DSUM(SEP_2013_A,32,LD_72_)</f>
        <v>0</v>
      </c>
      <c r="U265" s="137">
        <f>DSUM(SEP_2013_A,33,LD_72_)</f>
        <v>0</v>
      </c>
      <c r="V265" s="137">
        <f>DSUM(SEP_2013_A,34,LD_72_)</f>
        <v>0</v>
      </c>
    </row>
    <row r="266" spans="2:22" ht="15.95" customHeight="1" x14ac:dyDescent="0.2">
      <c r="B266" s="1" t="s">
        <v>1027</v>
      </c>
      <c r="C266" s="129" t="str">
        <f t="shared" si="28"/>
        <v>Rancho Landero No. 73</v>
      </c>
      <c r="D266" s="129" t="str">
        <f t="shared" si="29"/>
        <v>Islas Palacios</v>
      </c>
      <c r="E266" s="90">
        <f t="shared" si="30"/>
        <v>300</v>
      </c>
      <c r="F266" s="91">
        <f>DSUM(SEP_2013_A,AA,LD_73_)</f>
        <v>300</v>
      </c>
      <c r="G266" s="90">
        <f t="shared" si="31"/>
        <v>2700</v>
      </c>
      <c r="H266" s="90">
        <f>DSUM(SEP_2013_A,importe,LD_73_)</f>
        <v>3000</v>
      </c>
      <c r="I266" s="17">
        <f t="shared" si="27"/>
        <v>9</v>
      </c>
      <c r="J266" s="6" t="s">
        <v>1280</v>
      </c>
      <c r="K266" s="137">
        <f>DSUM(SEP_2013_A,23,LD_73_)</f>
        <v>300</v>
      </c>
      <c r="L266" s="137">
        <f>DSUM(SEP_2013_A,24,LD_73_)</f>
        <v>300</v>
      </c>
      <c r="M266" s="137">
        <f>DSUM(SEP_2013_A,25,LD_73_)</f>
        <v>300</v>
      </c>
      <c r="N266" s="137">
        <f>DSUM(SEP_2013_A,26,LD_73_)</f>
        <v>300</v>
      </c>
      <c r="O266" s="137">
        <f>DSUM(SEP_2013_A,27,LD_73_)</f>
        <v>300</v>
      </c>
      <c r="P266" s="137">
        <f>DSUM(SEP_2013_A,28,LD_73_)</f>
        <v>300</v>
      </c>
      <c r="Q266" s="137">
        <f>DSUM(SEP_2013_A,29,LD_73_)</f>
        <v>300</v>
      </c>
      <c r="R266" s="137">
        <f>DSUM(SEP_2013_A,30,LD_73_)</f>
        <v>300</v>
      </c>
      <c r="S266" s="137">
        <f>DSUM(SEP_2013_A,31,LD_73_)</f>
        <v>300</v>
      </c>
      <c r="T266" s="137">
        <f>DSUM(SEP_2013_A,32,LD_73_)</f>
        <v>0</v>
      </c>
      <c r="U266" s="137">
        <f>DSUM(SEP_2013_A,33,LD_73_)</f>
        <v>0</v>
      </c>
      <c r="V266" s="137">
        <f>DSUM(SEP_2013_A,34,LD_73_)</f>
        <v>0</v>
      </c>
    </row>
    <row r="267" spans="2:22" ht="15.95" customHeight="1" x14ac:dyDescent="0.2">
      <c r="B267" s="1" t="s">
        <v>1341</v>
      </c>
      <c r="C267" s="129" t="str">
        <f t="shared" si="28"/>
        <v>Rancho Landero No. 74</v>
      </c>
      <c r="D267" s="129">
        <f t="shared" si="29"/>
        <v>0</v>
      </c>
      <c r="E267" s="90">
        <f t="shared" si="30"/>
        <v>300</v>
      </c>
      <c r="F267" s="91">
        <f>DSUM(SEP_2013_A,AA,LD_74_)</f>
        <v>0</v>
      </c>
      <c r="G267" s="90">
        <f t="shared" si="31"/>
        <v>0</v>
      </c>
      <c r="H267" s="90">
        <f>DSUM(SEP_2013_A,importe,LD_74_)</f>
        <v>0</v>
      </c>
      <c r="I267" s="17">
        <f t="shared" si="27"/>
        <v>0</v>
      </c>
      <c r="J267" s="6" t="s">
        <v>1280</v>
      </c>
      <c r="K267" s="137">
        <f>DSUM(SEP_2013_A,23,LD_74_)</f>
        <v>0</v>
      </c>
      <c r="L267" s="137">
        <f>DSUM(SEP_2013_A,24,LD_74_)</f>
        <v>0</v>
      </c>
      <c r="M267" s="137">
        <f>DSUM(SEP_2013_A,25,LD_74_)</f>
        <v>0</v>
      </c>
      <c r="N267" s="137">
        <f>DSUM(SEP_2013_A,26,LD_74_)</f>
        <v>0</v>
      </c>
      <c r="O267" s="137">
        <f>DSUM(SEP_2013_A,27,LD_74_)</f>
        <v>0</v>
      </c>
      <c r="P267" s="137">
        <f>DSUM(SEP_2013_A,28,LD_74_)</f>
        <v>0</v>
      </c>
      <c r="Q267" s="137">
        <f>DSUM(SEP_2013_A,29,LD_74_)</f>
        <v>0</v>
      </c>
      <c r="R267" s="137">
        <f>DSUM(SEP_2013_A,30,LD_74_)</f>
        <v>0</v>
      </c>
      <c r="S267" s="137">
        <f>DSUM(SEP_2013_A,31,LD_74_)</f>
        <v>0</v>
      </c>
      <c r="T267" s="137">
        <f>DSUM(SEP_2013_A,32,LD_74_)</f>
        <v>0</v>
      </c>
      <c r="U267" s="137">
        <f>DSUM(SEP_2013_A,33,LD_74_)</f>
        <v>0</v>
      </c>
      <c r="V267" s="137">
        <f>DSUM(SEP_2013_A,34,LD_74_)</f>
        <v>0</v>
      </c>
    </row>
    <row r="268" spans="2:22" ht="15.95" customHeight="1" x14ac:dyDescent="0.2">
      <c r="B268" s="1" t="s">
        <v>1028</v>
      </c>
      <c r="C268" s="129" t="str">
        <f t="shared" si="28"/>
        <v>Rancho Landero No. 75</v>
      </c>
      <c r="D268" s="129" t="str">
        <f t="shared" si="29"/>
        <v>Villaseñor Hernández</v>
      </c>
      <c r="E268" s="90">
        <f t="shared" si="30"/>
        <v>300</v>
      </c>
      <c r="F268" s="91">
        <f>DSUM(SEP_2013_A,AA,LD_75_)</f>
        <v>600</v>
      </c>
      <c r="G268" s="90">
        <f t="shared" si="31"/>
        <v>2700</v>
      </c>
      <c r="H268" s="90">
        <f>DSUM(SEP_2013_A,importe,LD_75_)</f>
        <v>3300</v>
      </c>
      <c r="I268" s="17">
        <f t="shared" si="27"/>
        <v>9</v>
      </c>
      <c r="J268" s="6" t="s">
        <v>1280</v>
      </c>
      <c r="K268" s="137">
        <f>DSUM(SEP_2013_A,23,LD_75_)</f>
        <v>300</v>
      </c>
      <c r="L268" s="137">
        <f>DSUM(SEP_2013_A,24,LD_75_)</f>
        <v>300</v>
      </c>
      <c r="M268" s="137">
        <f>DSUM(SEP_2013_A,25,LD_75_)</f>
        <v>300</v>
      </c>
      <c r="N268" s="137">
        <f>DSUM(SEP_2013_A,26,LD_75_)</f>
        <v>300</v>
      </c>
      <c r="O268" s="137">
        <f>DSUM(SEP_2013_A,27,LD_75_)</f>
        <v>300</v>
      </c>
      <c r="P268" s="137">
        <f>DSUM(SEP_2013_A,28,LD_75_)</f>
        <v>300</v>
      </c>
      <c r="Q268" s="137">
        <f>DSUM(SEP_2013_A,29,LD_75_)</f>
        <v>300</v>
      </c>
      <c r="R268" s="137">
        <f>DSUM(SEP_2013_A,30,LD_75_)</f>
        <v>300</v>
      </c>
      <c r="S268" s="137">
        <f>DSUM(SEP_2013_A,31,LD_75_)</f>
        <v>300</v>
      </c>
      <c r="T268" s="137">
        <f>DSUM(SEP_2013_A,32,LD_75_)</f>
        <v>0</v>
      </c>
      <c r="U268" s="137">
        <f>DSUM(SEP_2013_A,33,LD_75_)</f>
        <v>0</v>
      </c>
      <c r="V268" s="137">
        <f>DSUM(SEP_2013_A,34,LD_75_)</f>
        <v>0</v>
      </c>
    </row>
    <row r="269" spans="2:22" ht="15.95" customHeight="1" x14ac:dyDescent="0.2">
      <c r="B269" s="1" t="s">
        <v>1029</v>
      </c>
      <c r="C269" s="129" t="str">
        <f t="shared" si="28"/>
        <v>Rancho Landero No. 76</v>
      </c>
      <c r="D269" s="129" t="str">
        <f t="shared" si="29"/>
        <v>Ugarte</v>
      </c>
      <c r="E269" s="90">
        <f t="shared" si="30"/>
        <v>300</v>
      </c>
      <c r="F269" s="91">
        <f>DSUM(SEP_2013_A,AA,LD_76_)</f>
        <v>300</v>
      </c>
      <c r="G269" s="90">
        <f t="shared" si="31"/>
        <v>2400</v>
      </c>
      <c r="H269" s="90">
        <f>DSUM(SEP_2013_A,importe,LD_76_)</f>
        <v>2700</v>
      </c>
      <c r="I269" s="17">
        <f t="shared" si="27"/>
        <v>8</v>
      </c>
      <c r="J269" s="6" t="s">
        <v>1280</v>
      </c>
      <c r="K269" s="137">
        <f>DSUM(SEP_2013_A,23,LD_76_)</f>
        <v>300</v>
      </c>
      <c r="L269" s="137">
        <f>DSUM(SEP_2013_A,24,LD_76_)</f>
        <v>300</v>
      </c>
      <c r="M269" s="137">
        <f>DSUM(SEP_2013_A,25,LD_76_)</f>
        <v>300</v>
      </c>
      <c r="N269" s="137">
        <f>DSUM(SEP_2013_A,26,LD_76_)</f>
        <v>300</v>
      </c>
      <c r="O269" s="137">
        <f>DSUM(SEP_2013_A,27,LD_76_)</f>
        <v>300</v>
      </c>
      <c r="P269" s="137">
        <f>DSUM(SEP_2013_A,28,LD_76_)</f>
        <v>300</v>
      </c>
      <c r="Q269" s="137">
        <f>DSUM(SEP_2013_A,29,LD_76_)</f>
        <v>300</v>
      </c>
      <c r="R269" s="137">
        <f>DSUM(SEP_2013_A,30,LD_76_)</f>
        <v>300</v>
      </c>
      <c r="S269" s="137">
        <f>DSUM(SEP_2013_A,31,LD_76_)</f>
        <v>0</v>
      </c>
      <c r="T269" s="137">
        <f>DSUM(SEP_2013_A,32,LD_76_)</f>
        <v>0</v>
      </c>
      <c r="U269" s="137">
        <f>DSUM(SEP_2013_A,33,LD_76_)</f>
        <v>0</v>
      </c>
      <c r="V269" s="137">
        <f>DSUM(SEP_2013_A,34,LD_76_)</f>
        <v>0</v>
      </c>
    </row>
    <row r="270" spans="2:22" ht="15.95" customHeight="1" x14ac:dyDescent="0.2">
      <c r="B270" s="1" t="s">
        <v>1030</v>
      </c>
      <c r="C270" s="129" t="str">
        <f t="shared" si="28"/>
        <v>Rancho Landero No. 77</v>
      </c>
      <c r="D270" s="129" t="str">
        <f t="shared" si="29"/>
        <v>Muñoz</v>
      </c>
      <c r="E270" s="90">
        <f t="shared" si="30"/>
        <v>300</v>
      </c>
      <c r="F270" s="91">
        <f>DSUM(SEP_2013_A,AA,LD_77_)</f>
        <v>300</v>
      </c>
      <c r="G270" s="90">
        <f t="shared" si="31"/>
        <v>1800</v>
      </c>
      <c r="H270" s="90">
        <f>DSUM(SEP_2013_A,importe,LD_77_)</f>
        <v>2100</v>
      </c>
      <c r="I270" s="17">
        <f t="shared" si="27"/>
        <v>6</v>
      </c>
      <c r="J270" s="6" t="s">
        <v>1280</v>
      </c>
      <c r="K270" s="137">
        <f>DSUM(SEP_2013_A,23,LD_77_)</f>
        <v>300</v>
      </c>
      <c r="L270" s="137">
        <f>DSUM(SEP_2013_A,24,LD_77_)</f>
        <v>300</v>
      </c>
      <c r="M270" s="137">
        <f>DSUM(SEP_2013_A,25,LD_77_)</f>
        <v>300</v>
      </c>
      <c r="N270" s="137">
        <f>DSUM(SEP_2013_A,26,LD_77_)</f>
        <v>300</v>
      </c>
      <c r="O270" s="137">
        <f>DSUM(SEP_2013_A,27,LD_77_)</f>
        <v>300</v>
      </c>
      <c r="P270" s="137">
        <f>DSUM(SEP_2013_A,28,LD_77_)</f>
        <v>300</v>
      </c>
      <c r="Q270" s="137">
        <f>DSUM(SEP_2013_A,29,LD_77_)</f>
        <v>0</v>
      </c>
      <c r="R270" s="137">
        <f>DSUM(SEP_2013_A,30,LD_77_)</f>
        <v>0</v>
      </c>
      <c r="S270" s="137">
        <f>DSUM(SEP_2013_A,31,LD_77_)</f>
        <v>0</v>
      </c>
      <c r="T270" s="137">
        <f>DSUM(SEP_2013_A,32,LD_77_)</f>
        <v>0</v>
      </c>
      <c r="U270" s="137">
        <f>DSUM(SEP_2013_A,33,LD_77_)</f>
        <v>0</v>
      </c>
      <c r="V270" s="137">
        <f>DSUM(SEP_2013_A,34,LD_77_)</f>
        <v>0</v>
      </c>
    </row>
    <row r="271" spans="2:22" ht="15.95" customHeight="1" x14ac:dyDescent="0.2">
      <c r="B271" s="1" t="s">
        <v>787</v>
      </c>
      <c r="C271" s="129" t="str">
        <f t="shared" si="28"/>
        <v>Rancho Landero No. 80</v>
      </c>
      <c r="D271" s="129" t="str">
        <f t="shared" si="29"/>
        <v>Villaseñor Sánchez</v>
      </c>
      <c r="E271" s="90">
        <f t="shared" si="30"/>
        <v>300</v>
      </c>
      <c r="F271" s="91">
        <f>DSUM(SEP_2013_A,AA,LD_80_)</f>
        <v>300</v>
      </c>
      <c r="G271" s="90">
        <f t="shared" si="31"/>
        <v>2800</v>
      </c>
      <c r="H271" s="90">
        <f>DSUM(SEP_2013_A,importe,LD_80_)</f>
        <v>3100</v>
      </c>
      <c r="I271" s="17">
        <f t="shared" si="27"/>
        <v>9.3333333333333339</v>
      </c>
      <c r="J271" s="6" t="s">
        <v>1280</v>
      </c>
      <c r="K271" s="137">
        <f>DSUM(SEP_2013_A,23,LD_80_)</f>
        <v>300</v>
      </c>
      <c r="L271" s="137">
        <f>DSUM(SEP_2013_A,24,LD_80_)</f>
        <v>300</v>
      </c>
      <c r="M271" s="137">
        <f>DSUM(SEP_2013_A,25,LD_80_)</f>
        <v>300</v>
      </c>
      <c r="N271" s="137">
        <f>DSUM(SEP_2013_A,26,LD_80_)</f>
        <v>300</v>
      </c>
      <c r="O271" s="137">
        <f>DSUM(SEP_2013_A,27,LD_80_)</f>
        <v>300</v>
      </c>
      <c r="P271" s="137">
        <f>DSUM(SEP_2013_A,28,LD_80_)</f>
        <v>300</v>
      </c>
      <c r="Q271" s="137">
        <f>DSUM(SEP_2013_A,29,LD_80_)</f>
        <v>0</v>
      </c>
      <c r="R271" s="137">
        <f>DSUM(SEP_2013_A,30,LD_80_)</f>
        <v>300</v>
      </c>
      <c r="S271" s="137">
        <f>DSUM(SEP_2013_A,31,LD_80_)</f>
        <v>300</v>
      </c>
      <c r="T271" s="137">
        <f>DSUM(SEP_2013_A,32,LD_80_)</f>
        <v>400</v>
      </c>
      <c r="U271" s="137">
        <f>DSUM(SEP_2013_A,33,LD_80_)</f>
        <v>0</v>
      </c>
      <c r="V271" s="137">
        <f>DSUM(SEP_2013_A,34,LD_80_)</f>
        <v>0</v>
      </c>
    </row>
    <row r="272" spans="2:22" ht="15.95" customHeight="1" x14ac:dyDescent="0.2">
      <c r="B272" s="1" t="s">
        <v>1031</v>
      </c>
      <c r="C272" s="129" t="str">
        <f t="shared" si="28"/>
        <v>Rancho Landero No. 81</v>
      </c>
      <c r="D272" s="129" t="str">
        <f t="shared" si="29"/>
        <v>Cebrían Saldaña</v>
      </c>
      <c r="E272" s="90">
        <f t="shared" si="30"/>
        <v>300</v>
      </c>
      <c r="F272" s="91">
        <f>DSUM(SEP_2013_A,AA,LD_81_)</f>
        <v>0</v>
      </c>
      <c r="G272" s="90">
        <f t="shared" si="31"/>
        <v>0</v>
      </c>
      <c r="H272" s="90">
        <f>DSUM(SEP_2013_A,importe,LD_81_)</f>
        <v>0</v>
      </c>
      <c r="I272" s="17">
        <f t="shared" si="27"/>
        <v>0</v>
      </c>
      <c r="J272" s="6" t="s">
        <v>1280</v>
      </c>
      <c r="K272" s="137">
        <f>DSUM(SEP_2013_A,23,LD_81_)</f>
        <v>0</v>
      </c>
      <c r="L272" s="137">
        <f>DSUM(SEP_2013_A,24,LD_81_)</f>
        <v>0</v>
      </c>
      <c r="M272" s="137">
        <f>DSUM(SEP_2013_A,25,LD_81_)</f>
        <v>0</v>
      </c>
      <c r="N272" s="137">
        <f>DSUM(SEP_2013_A,26,LD_81_)</f>
        <v>0</v>
      </c>
      <c r="O272" s="137">
        <f>DSUM(SEP_2013_A,27,LD_81_)</f>
        <v>0</v>
      </c>
      <c r="P272" s="137">
        <f>DSUM(SEP_2013_A,28,LD_81_)</f>
        <v>0</v>
      </c>
      <c r="Q272" s="137">
        <f>DSUM(SEP_2013_A,29,LD_81_)</f>
        <v>0</v>
      </c>
      <c r="R272" s="137">
        <f>DSUM(SEP_2013_A,30,LD_81_)</f>
        <v>0</v>
      </c>
      <c r="S272" s="137">
        <f>DSUM(SEP_2013_A,31,LD_81_)</f>
        <v>0</v>
      </c>
      <c r="T272" s="137">
        <f>DSUM(SEP_2013_A,32,LD_81_)</f>
        <v>0</v>
      </c>
      <c r="U272" s="137">
        <f>DSUM(SEP_2013_A,33,LD_81_)</f>
        <v>0</v>
      </c>
      <c r="V272" s="137">
        <f>DSUM(SEP_2013_A,34,LD_81_)</f>
        <v>0</v>
      </c>
    </row>
    <row r="273" spans="2:22" ht="15.95" customHeight="1" x14ac:dyDescent="0.2">
      <c r="B273" s="1" t="s">
        <v>770</v>
      </c>
      <c r="C273" s="129" t="str">
        <f t="shared" si="28"/>
        <v>Rancho Landero No. 83</v>
      </c>
      <c r="D273" s="129" t="str">
        <f t="shared" si="29"/>
        <v>Aguilar</v>
      </c>
      <c r="E273" s="90">
        <f t="shared" si="30"/>
        <v>300</v>
      </c>
      <c r="F273" s="91">
        <f>DSUM(SEP_2013_A,AA,LD_83_)</f>
        <v>300</v>
      </c>
      <c r="G273" s="90">
        <f t="shared" si="31"/>
        <v>2700</v>
      </c>
      <c r="H273" s="90">
        <f>DSUM(SEP_2013_A,importe,LD_83_)</f>
        <v>3000</v>
      </c>
      <c r="I273" s="17">
        <f t="shared" si="27"/>
        <v>9</v>
      </c>
      <c r="J273" s="6" t="s">
        <v>1280</v>
      </c>
      <c r="K273" s="137">
        <f>DSUM(SEP_2013_A,23,LD_83_)</f>
        <v>300</v>
      </c>
      <c r="L273" s="137">
        <f>DSUM(SEP_2013_A,24,LD_83_)</f>
        <v>300</v>
      </c>
      <c r="M273" s="137">
        <f>DSUM(SEP_2013_A,25,LD_83_)</f>
        <v>300</v>
      </c>
      <c r="N273" s="137">
        <f>DSUM(SEP_2013_A,26,LD_83_)</f>
        <v>300</v>
      </c>
      <c r="O273" s="137">
        <f>DSUM(SEP_2013_A,27,LD_83_)</f>
        <v>300</v>
      </c>
      <c r="P273" s="137">
        <f>DSUM(SEP_2013_A,28,LD_83_)</f>
        <v>300</v>
      </c>
      <c r="Q273" s="137">
        <f>DSUM(SEP_2013_A,29,LD_83_)</f>
        <v>300</v>
      </c>
      <c r="R273" s="137">
        <f>DSUM(SEP_2013_A,30,LD_83_)</f>
        <v>300</v>
      </c>
      <c r="S273" s="137">
        <f>DSUM(SEP_2013_A,31,LD_83_)</f>
        <v>300</v>
      </c>
      <c r="T273" s="137">
        <f>DSUM(SEP_2013_A,32,LD_83_)</f>
        <v>0</v>
      </c>
      <c r="U273" s="137">
        <f>DSUM(SEP_2013_A,33,LD_83_)</f>
        <v>0</v>
      </c>
      <c r="V273" s="137">
        <f>DSUM(SEP_2013_A,34,LD_83_)</f>
        <v>0</v>
      </c>
    </row>
    <row r="274" spans="2:22" ht="15.95" customHeight="1" x14ac:dyDescent="0.2">
      <c r="B274" s="1" t="s">
        <v>1032</v>
      </c>
      <c r="C274" s="129" t="str">
        <f t="shared" si="28"/>
        <v>Rancho Landero No. 84</v>
      </c>
      <c r="D274" s="129" t="str">
        <f t="shared" si="29"/>
        <v>Alcántara</v>
      </c>
      <c r="E274" s="90">
        <f t="shared" si="30"/>
        <v>300</v>
      </c>
      <c r="F274" s="91">
        <f>DSUM(SEP_2013_A,AA,LD_84_)</f>
        <v>300</v>
      </c>
      <c r="G274" s="90">
        <f t="shared" si="31"/>
        <v>2700</v>
      </c>
      <c r="H274" s="90">
        <f>DSUM(SEP_2013_A,importe,LD_84_)</f>
        <v>3000</v>
      </c>
      <c r="I274" s="17">
        <f t="shared" si="27"/>
        <v>9</v>
      </c>
      <c r="J274" s="6" t="s">
        <v>1280</v>
      </c>
      <c r="K274" s="137">
        <f>DSUM(SEP_2013_A,23,LD_84_)</f>
        <v>300</v>
      </c>
      <c r="L274" s="137">
        <f>DSUM(SEP_2013_A,24,LD_84_)</f>
        <v>300</v>
      </c>
      <c r="M274" s="137">
        <f>DSUM(SEP_2013_A,25,LD_84_)</f>
        <v>300</v>
      </c>
      <c r="N274" s="137">
        <f>DSUM(SEP_2013_A,26,LD_84_)</f>
        <v>300</v>
      </c>
      <c r="O274" s="137">
        <f>DSUM(SEP_2013_A,27,LD_84_)</f>
        <v>300</v>
      </c>
      <c r="P274" s="137">
        <f>DSUM(SEP_2013_A,28,LD_84_)</f>
        <v>300</v>
      </c>
      <c r="Q274" s="137">
        <f>DSUM(SEP_2013_A,29,LD_84_)</f>
        <v>300</v>
      </c>
      <c r="R274" s="137">
        <f>DSUM(SEP_2013_A,30,LD_84_)</f>
        <v>300</v>
      </c>
      <c r="S274" s="137">
        <f>DSUM(SEP_2013_A,31,LD_84_)</f>
        <v>300</v>
      </c>
      <c r="T274" s="137">
        <f>DSUM(SEP_2013_A,32,LD_84_)</f>
        <v>0</v>
      </c>
      <c r="U274" s="137">
        <f>DSUM(SEP_2013_A,33,LD_84_)</f>
        <v>0</v>
      </c>
      <c r="V274" s="137">
        <f>DSUM(SEP_2013_A,34,LD_84_)</f>
        <v>0</v>
      </c>
    </row>
    <row r="275" spans="2:22" ht="15.95" customHeight="1" x14ac:dyDescent="0.2">
      <c r="B275" s="1" t="s">
        <v>1033</v>
      </c>
      <c r="C275" s="129" t="str">
        <f t="shared" si="28"/>
        <v>Rancho Landero No. 85</v>
      </c>
      <c r="D275" s="129" t="str">
        <f t="shared" si="29"/>
        <v>Martínez Olague</v>
      </c>
      <c r="E275" s="90">
        <f t="shared" si="30"/>
        <v>300</v>
      </c>
      <c r="F275" s="91">
        <f>DSUM(SEP_2013_A,AA,LD_85_)</f>
        <v>300</v>
      </c>
      <c r="G275" s="90">
        <f t="shared" si="31"/>
        <v>2400</v>
      </c>
      <c r="H275" s="90">
        <f>DSUM(SEP_2013_A,importe,LD_85_)</f>
        <v>2700</v>
      </c>
      <c r="I275" s="17">
        <f t="shared" si="27"/>
        <v>8</v>
      </c>
      <c r="J275" s="6" t="s">
        <v>1280</v>
      </c>
      <c r="K275" s="137">
        <f>DSUM(SEP_2013_A,23,LD_85_)</f>
        <v>300</v>
      </c>
      <c r="L275" s="137">
        <f>DSUM(SEP_2013_A,24,LD_85_)</f>
        <v>300</v>
      </c>
      <c r="M275" s="137">
        <f>DSUM(SEP_2013_A,25,LD_85_)</f>
        <v>300</v>
      </c>
      <c r="N275" s="137">
        <f>DSUM(SEP_2013_A,26,LD_85_)</f>
        <v>0</v>
      </c>
      <c r="O275" s="137">
        <f>DSUM(SEP_2013_A,27,LD_85_)</f>
        <v>0</v>
      </c>
      <c r="P275" s="137">
        <f>DSUM(SEP_2013_A,28,LD_85_)</f>
        <v>600</v>
      </c>
      <c r="Q275" s="137">
        <f>DSUM(SEP_2013_A,29,LD_85_)</f>
        <v>300</v>
      </c>
      <c r="R275" s="137">
        <f>DSUM(SEP_2013_A,30,LD_85_)</f>
        <v>300</v>
      </c>
      <c r="S275" s="137">
        <f>DSUM(SEP_2013_A,31,LD_85_)</f>
        <v>300</v>
      </c>
      <c r="T275" s="137">
        <f>DSUM(SEP_2013_A,32,LD_85_)</f>
        <v>0</v>
      </c>
      <c r="U275" s="137">
        <f>DSUM(SEP_2013_A,33,LD_85_)</f>
        <v>0</v>
      </c>
      <c r="V275" s="137">
        <f>DSUM(SEP_2013_A,34,LD_85_)</f>
        <v>0</v>
      </c>
    </row>
    <row r="276" spans="2:22" ht="15.95" customHeight="1" x14ac:dyDescent="0.2">
      <c r="B276" s="1" t="s">
        <v>1034</v>
      </c>
      <c r="C276" s="129" t="str">
        <f t="shared" si="28"/>
        <v>Rancho Landero No. 86</v>
      </c>
      <c r="D276" s="129" t="str">
        <f t="shared" si="29"/>
        <v>Cuervo</v>
      </c>
      <c r="E276" s="90">
        <f t="shared" si="30"/>
        <v>300</v>
      </c>
      <c r="F276" s="91">
        <f>DSUM(SEP_2013_A,AA,LD_86_)</f>
        <v>0</v>
      </c>
      <c r="G276" s="90">
        <f t="shared" si="31"/>
        <v>3300</v>
      </c>
      <c r="H276" s="90">
        <f>DSUM(SEP_2013_A,importe,LD_86_)</f>
        <v>3300</v>
      </c>
      <c r="I276" s="17">
        <f>IF(VLOOKUP(B276,BASE_A,9,FALSE)=0,0,(G276/VLOOKUP(B276,BASE_A,9,FALSE)))+1</f>
        <v>12</v>
      </c>
      <c r="J276" s="6" t="s">
        <v>1280</v>
      </c>
      <c r="K276" s="137">
        <f>DSUM(SEP_2013_A,23,LD_86_)</f>
        <v>300</v>
      </c>
      <c r="L276" s="137">
        <f>DSUM(SEP_2013_A,24,LD_86_)</f>
        <v>300</v>
      </c>
      <c r="M276" s="137">
        <f>DSUM(SEP_2013_A,25,LD_86_)</f>
        <v>300</v>
      </c>
      <c r="N276" s="137">
        <f>DSUM(SEP_2013_A,26,LD_86_)</f>
        <v>300</v>
      </c>
      <c r="O276" s="137">
        <f>DSUM(SEP_2013_A,27,LD_86_)</f>
        <v>300</v>
      </c>
      <c r="P276" s="137">
        <f>DSUM(SEP_2013_A,28,LD_86_)</f>
        <v>300</v>
      </c>
      <c r="Q276" s="137">
        <f>DSUM(SEP_2013_A,29,LD_86_)</f>
        <v>300</v>
      </c>
      <c r="R276" s="137">
        <f>DSUM(SEP_2013_A,30,LD_86_)</f>
        <v>300</v>
      </c>
      <c r="S276" s="137">
        <f>DSUM(SEP_2013_A,31,LD_86_)</f>
        <v>300</v>
      </c>
      <c r="T276" s="137">
        <f>DSUM(SEP_2013_A,32,LD_86_)</f>
        <v>300</v>
      </c>
      <c r="U276" s="137">
        <f>DSUM(SEP_2013_A,33,LD_86_)</f>
        <v>300</v>
      </c>
      <c r="V276" s="137">
        <f>DSUM(SEP_2013_A,34,LD_86_)</f>
        <v>0</v>
      </c>
    </row>
    <row r="277" spans="2:22" ht="15.95" customHeight="1" x14ac:dyDescent="0.2">
      <c r="B277" s="1" t="s">
        <v>1035</v>
      </c>
      <c r="C277" s="129" t="str">
        <f t="shared" si="28"/>
        <v>Rancho Landero No. 87</v>
      </c>
      <c r="D277" s="129" t="str">
        <f t="shared" si="29"/>
        <v>Fey Lafferla</v>
      </c>
      <c r="E277" s="90">
        <f t="shared" si="30"/>
        <v>300</v>
      </c>
      <c r="F277" s="91">
        <f>DSUM(SEP_2013_A,AA,LD_87_)</f>
        <v>300</v>
      </c>
      <c r="G277" s="90">
        <f t="shared" si="31"/>
        <v>2400</v>
      </c>
      <c r="H277" s="90">
        <f>DSUM(SEP_2013_A,importe,LD_87_)</f>
        <v>2700</v>
      </c>
      <c r="I277" s="17">
        <f t="shared" ref="I277:I308" si="32">IF(VLOOKUP(B277,BASE_A,9,FALSE)=0,0,G277/VLOOKUP(B277,BASE_A,9,FALSE))</f>
        <v>8</v>
      </c>
      <c r="J277" s="6" t="s">
        <v>1280</v>
      </c>
      <c r="K277" s="137">
        <f>DSUM(SEP_2013_A,23,LD_87_)</f>
        <v>300</v>
      </c>
      <c r="L277" s="137">
        <f>DSUM(SEP_2013_A,24,LD_87_)</f>
        <v>300</v>
      </c>
      <c r="M277" s="137">
        <f>DSUM(SEP_2013_A,25,LD_87_)</f>
        <v>300</v>
      </c>
      <c r="N277" s="137">
        <f>DSUM(SEP_2013_A,26,LD_87_)</f>
        <v>300</v>
      </c>
      <c r="O277" s="137">
        <f>DSUM(SEP_2013_A,27,LD_87_)</f>
        <v>300</v>
      </c>
      <c r="P277" s="137">
        <f>DSUM(SEP_2013_A,28,LD_87_)</f>
        <v>300</v>
      </c>
      <c r="Q277" s="137">
        <f>DSUM(SEP_2013_A,29,LD_87_)</f>
        <v>300</v>
      </c>
      <c r="R277" s="137">
        <f>DSUM(SEP_2013_A,30,LD_87_)</f>
        <v>300</v>
      </c>
      <c r="S277" s="137">
        <f>DSUM(SEP_2013_A,31,LD_87_)</f>
        <v>0</v>
      </c>
      <c r="T277" s="137">
        <f>DSUM(SEP_2013_A,32,LD_87_)</f>
        <v>0</v>
      </c>
      <c r="U277" s="137">
        <f>DSUM(SEP_2013_A,33,LD_87_)</f>
        <v>0</v>
      </c>
      <c r="V277" s="137">
        <f>DSUM(SEP_2013_A,34,LD_87_)</f>
        <v>0</v>
      </c>
    </row>
    <row r="278" spans="2:22" ht="15.95" customHeight="1" x14ac:dyDescent="0.2">
      <c r="B278" s="1" t="s">
        <v>1036</v>
      </c>
      <c r="C278" s="129" t="str">
        <f t="shared" si="28"/>
        <v>Rancho Landero No. 88</v>
      </c>
      <c r="D278" s="129" t="str">
        <f t="shared" si="29"/>
        <v>Torres Raúl</v>
      </c>
      <c r="E278" s="90">
        <f t="shared" si="30"/>
        <v>300</v>
      </c>
      <c r="F278" s="91">
        <f>DSUM(SEP_2013_A,AA,LD_88_)</f>
        <v>600</v>
      </c>
      <c r="G278" s="90">
        <f t="shared" si="31"/>
        <v>300</v>
      </c>
      <c r="H278" s="90">
        <f>DSUM(SEP_2013_A,importe,LD_88_)</f>
        <v>900</v>
      </c>
      <c r="I278" s="17">
        <f t="shared" si="32"/>
        <v>1</v>
      </c>
      <c r="J278" s="6" t="s">
        <v>1280</v>
      </c>
      <c r="K278" s="137">
        <f>DSUM(SEP_2013_A,23,LD_88_)</f>
        <v>300</v>
      </c>
      <c r="L278" s="137">
        <f>DSUM(SEP_2013_A,24,LD_88_)</f>
        <v>0</v>
      </c>
      <c r="M278" s="137">
        <f>DSUM(SEP_2013_A,25,LD_88_)</f>
        <v>0</v>
      </c>
      <c r="N278" s="137">
        <f>DSUM(SEP_2013_A,26,LD_88_)</f>
        <v>0</v>
      </c>
      <c r="O278" s="137">
        <f>DSUM(SEP_2013_A,27,LD_88_)</f>
        <v>0</v>
      </c>
      <c r="P278" s="137">
        <f>DSUM(SEP_2013_A,28,LD_88_)</f>
        <v>0</v>
      </c>
      <c r="Q278" s="137">
        <f>DSUM(SEP_2013_A,29,LD_88_)</f>
        <v>0</v>
      </c>
      <c r="R278" s="137">
        <f>DSUM(SEP_2013_A,30,LD_88_)</f>
        <v>0</v>
      </c>
      <c r="S278" s="137">
        <f>DSUM(SEP_2013_A,31,LD_88_)</f>
        <v>0</v>
      </c>
      <c r="T278" s="137">
        <f>DSUM(SEP_2013_A,32,LD_88_)</f>
        <v>0</v>
      </c>
      <c r="U278" s="137">
        <f>DSUM(SEP_2013_A,33,LD_88_)</f>
        <v>0</v>
      </c>
      <c r="V278" s="137">
        <f>DSUM(SEP_2013_A,34,LD_88_)</f>
        <v>0</v>
      </c>
    </row>
    <row r="279" spans="2:22" ht="15.95" customHeight="1" x14ac:dyDescent="0.2">
      <c r="B279" s="1" t="s">
        <v>1037</v>
      </c>
      <c r="C279" s="129" t="str">
        <f t="shared" si="28"/>
        <v>Rancho Landero No. 89</v>
      </c>
      <c r="D279" s="129" t="str">
        <f t="shared" si="29"/>
        <v>Del Pozo Solís</v>
      </c>
      <c r="E279" s="90">
        <f t="shared" si="30"/>
        <v>300</v>
      </c>
      <c r="F279" s="91">
        <f>DSUM(SEP_2013_A,AA,LD_89_)</f>
        <v>300</v>
      </c>
      <c r="G279" s="90">
        <f t="shared" si="31"/>
        <v>2700</v>
      </c>
      <c r="H279" s="90">
        <f>DSUM(SEP_2013_A,importe,LD_89_)</f>
        <v>3000</v>
      </c>
      <c r="I279" s="17">
        <f t="shared" si="32"/>
        <v>9</v>
      </c>
      <c r="J279" s="6" t="s">
        <v>1280</v>
      </c>
      <c r="K279" s="137">
        <f>DSUM(SEP_2013_A,23,LD_89_)</f>
        <v>300</v>
      </c>
      <c r="L279" s="137">
        <f>DSUM(SEP_2013_A,24,LD_89_)</f>
        <v>300</v>
      </c>
      <c r="M279" s="137">
        <f>DSUM(SEP_2013_A,25,LD_89_)</f>
        <v>300</v>
      </c>
      <c r="N279" s="137">
        <f>DSUM(SEP_2013_A,26,LD_89_)</f>
        <v>300</v>
      </c>
      <c r="O279" s="137">
        <f>DSUM(SEP_2013_A,27,LD_89_)</f>
        <v>300</v>
      </c>
      <c r="P279" s="137">
        <f>DSUM(SEP_2013_A,28,LD_89_)</f>
        <v>300</v>
      </c>
      <c r="Q279" s="137">
        <f>DSUM(SEP_2013_A,29,LD_89_)</f>
        <v>300</v>
      </c>
      <c r="R279" s="137">
        <f>DSUM(SEP_2013_A,30,LD_89_)</f>
        <v>300</v>
      </c>
      <c r="S279" s="137">
        <f>DSUM(SEP_2013_A,31,LD_89_)</f>
        <v>300</v>
      </c>
      <c r="T279" s="137">
        <f>DSUM(SEP_2013_A,32,LD_89_)</f>
        <v>0</v>
      </c>
      <c r="U279" s="137">
        <f>DSUM(SEP_2013_A,33,LD_89_)</f>
        <v>0</v>
      </c>
      <c r="V279" s="137">
        <f>DSUM(SEP_2013_A,34,LD_89_)</f>
        <v>0</v>
      </c>
    </row>
    <row r="280" spans="2:22" ht="15.95" customHeight="1" x14ac:dyDescent="0.2">
      <c r="B280" s="1" t="s">
        <v>1038</v>
      </c>
      <c r="C280" s="129" t="str">
        <f t="shared" si="28"/>
        <v>Rancho Landero No. 90</v>
      </c>
      <c r="D280" s="129" t="str">
        <f t="shared" si="29"/>
        <v>Córdova Reséndiz</v>
      </c>
      <c r="E280" s="90">
        <f t="shared" si="30"/>
        <v>300</v>
      </c>
      <c r="F280" s="91">
        <f>DSUM(SEP_2013_A,AA,LD_90_)</f>
        <v>1500</v>
      </c>
      <c r="G280" s="90">
        <f t="shared" si="31"/>
        <v>2700</v>
      </c>
      <c r="H280" s="90">
        <f>DSUM(SEP_2013_A,importe,LD_90_)</f>
        <v>4200</v>
      </c>
      <c r="I280" s="17">
        <f t="shared" si="32"/>
        <v>9</v>
      </c>
      <c r="J280" s="6" t="s">
        <v>1280</v>
      </c>
      <c r="K280" s="137">
        <f>DSUM(SEP_2013_A,23,LD_90_)</f>
        <v>300</v>
      </c>
      <c r="L280" s="137">
        <f>DSUM(SEP_2013_A,24,LD_90_)</f>
        <v>300</v>
      </c>
      <c r="M280" s="137">
        <f>DSUM(SEP_2013_A,25,LD_90_)</f>
        <v>300</v>
      </c>
      <c r="N280" s="137">
        <f>DSUM(SEP_2013_A,26,LD_90_)</f>
        <v>300</v>
      </c>
      <c r="O280" s="137">
        <f>DSUM(SEP_2013_A,27,LD_90_)</f>
        <v>300</v>
      </c>
      <c r="P280" s="137">
        <f>DSUM(SEP_2013_A,28,LD_90_)</f>
        <v>300</v>
      </c>
      <c r="Q280" s="137">
        <f>DSUM(SEP_2013_A,29,LD_90_)</f>
        <v>300</v>
      </c>
      <c r="R280" s="137">
        <f>DSUM(SEP_2013_A,30,LD_90_)</f>
        <v>300</v>
      </c>
      <c r="S280" s="137">
        <f>DSUM(SEP_2013_A,31,LD_90_)</f>
        <v>300</v>
      </c>
      <c r="T280" s="137">
        <f>DSUM(SEP_2013_A,32,LD_90_)</f>
        <v>0</v>
      </c>
      <c r="U280" s="137">
        <f>DSUM(SEP_2013_A,33,LD_90_)</f>
        <v>0</v>
      </c>
      <c r="V280" s="137">
        <f>DSUM(SEP_2013_A,34,LD_90_)</f>
        <v>0</v>
      </c>
    </row>
    <row r="281" spans="2:22" ht="15.95" customHeight="1" x14ac:dyDescent="0.2">
      <c r="B281" s="1" t="s">
        <v>769</v>
      </c>
      <c r="C281" s="129" t="str">
        <f t="shared" si="28"/>
        <v>Rancho Landero No. 91</v>
      </c>
      <c r="D281" s="129" t="str">
        <f t="shared" si="29"/>
        <v>Llaca</v>
      </c>
      <c r="E281" s="90">
        <f t="shared" si="30"/>
        <v>300</v>
      </c>
      <c r="F281" s="91">
        <f>DSUM(SEP_2013_A,AA,LD_91_)</f>
        <v>300</v>
      </c>
      <c r="G281" s="90">
        <f t="shared" si="31"/>
        <v>3000</v>
      </c>
      <c r="H281" s="90">
        <f>DSUM(SEP_2013_A,importe,LD_91_)</f>
        <v>3300</v>
      </c>
      <c r="I281" s="17">
        <f t="shared" si="32"/>
        <v>10</v>
      </c>
      <c r="J281" s="6" t="s">
        <v>1280</v>
      </c>
      <c r="K281" s="137">
        <f>DSUM(SEP_2013_A,23,LD_91_)</f>
        <v>300</v>
      </c>
      <c r="L281" s="137">
        <f>DSUM(SEP_2013_A,24,LD_91_)</f>
        <v>300</v>
      </c>
      <c r="M281" s="137">
        <f>DSUM(SEP_2013_A,25,LD_91_)</f>
        <v>300</v>
      </c>
      <c r="N281" s="137">
        <f>DSUM(SEP_2013_A,26,LD_91_)</f>
        <v>300</v>
      </c>
      <c r="O281" s="137">
        <f>DSUM(SEP_2013_A,27,LD_91_)</f>
        <v>300</v>
      </c>
      <c r="P281" s="137">
        <f>DSUM(SEP_2013_A,28,LD_91_)</f>
        <v>300</v>
      </c>
      <c r="Q281" s="137">
        <f>DSUM(SEP_2013_A,29,LD_91_)</f>
        <v>300</v>
      </c>
      <c r="R281" s="137">
        <f>DSUM(SEP_2013_A,30,LD_91_)</f>
        <v>300</v>
      </c>
      <c r="S281" s="137">
        <f>DSUM(SEP_2013_A,31,LD_91_)</f>
        <v>300</v>
      </c>
      <c r="T281" s="137">
        <f>DSUM(SEP_2013_A,32,LD_91_)</f>
        <v>300</v>
      </c>
      <c r="U281" s="137">
        <f>DSUM(SEP_2013_A,33,LD_91_)</f>
        <v>0</v>
      </c>
      <c r="V281" s="137">
        <f>DSUM(SEP_2013_A,34,LD_91_)</f>
        <v>0</v>
      </c>
    </row>
    <row r="282" spans="2:22" ht="15.95" customHeight="1" x14ac:dyDescent="0.2">
      <c r="B282" s="1" t="s">
        <v>1039</v>
      </c>
      <c r="C282" s="129" t="str">
        <f t="shared" si="28"/>
        <v>Rancho Landero No. 92</v>
      </c>
      <c r="D282" s="129" t="str">
        <f t="shared" si="29"/>
        <v>Ruiz Velasco</v>
      </c>
      <c r="E282" s="90">
        <f t="shared" si="30"/>
        <v>300</v>
      </c>
      <c r="F282" s="91">
        <f>DSUM(SEP_2013_A,AA,LD_92_)</f>
        <v>300</v>
      </c>
      <c r="G282" s="90">
        <f t="shared" si="31"/>
        <v>900</v>
      </c>
      <c r="H282" s="90">
        <f>DSUM(SEP_2013_A,importe,LD_92_)</f>
        <v>1200</v>
      </c>
      <c r="I282" s="17">
        <f t="shared" si="32"/>
        <v>3</v>
      </c>
      <c r="J282" s="6" t="s">
        <v>1280</v>
      </c>
      <c r="K282" s="137">
        <f>DSUM(SEP_2013_A,23,LD_92_)</f>
        <v>300</v>
      </c>
      <c r="L282" s="137">
        <f>DSUM(SEP_2013_A,24,LD_92_)</f>
        <v>300</v>
      </c>
      <c r="M282" s="137">
        <f>DSUM(SEP_2013_A,25,LD_92_)</f>
        <v>300</v>
      </c>
      <c r="N282" s="137">
        <f>DSUM(SEP_2013_A,26,LD_92_)</f>
        <v>0</v>
      </c>
      <c r="O282" s="137">
        <f>DSUM(SEP_2013_A,27,LD_92_)</f>
        <v>0</v>
      </c>
      <c r="P282" s="137">
        <f>DSUM(SEP_2013_A,28,LD_92_)</f>
        <v>0</v>
      </c>
      <c r="Q282" s="137">
        <f>DSUM(SEP_2013_A,29,LD_92_)</f>
        <v>0</v>
      </c>
      <c r="R282" s="137">
        <f>DSUM(SEP_2013_A,30,LD_92_)</f>
        <v>0</v>
      </c>
      <c r="S282" s="137">
        <f>DSUM(SEP_2013_A,31,LD_92_)</f>
        <v>0</v>
      </c>
      <c r="T282" s="137">
        <f>DSUM(SEP_2013_A,32,LD_92_)</f>
        <v>0</v>
      </c>
      <c r="U282" s="137">
        <f>DSUM(SEP_2013_A,33,LD_92_)</f>
        <v>0</v>
      </c>
      <c r="V282" s="137">
        <f>DSUM(SEP_2013_A,34,LD_92_)</f>
        <v>0</v>
      </c>
    </row>
    <row r="283" spans="2:22" ht="15.95" customHeight="1" x14ac:dyDescent="0.2">
      <c r="B283" s="1" t="s">
        <v>1040</v>
      </c>
      <c r="C283" s="129" t="str">
        <f t="shared" si="28"/>
        <v>Rancho Landero No. 93</v>
      </c>
      <c r="D283" s="129" t="str">
        <f t="shared" si="29"/>
        <v>Ortega López</v>
      </c>
      <c r="E283" s="90">
        <f t="shared" si="30"/>
        <v>300</v>
      </c>
      <c r="F283" s="91">
        <f>DSUM(SEP_2013_A,AA,LD_93_)</f>
        <v>300</v>
      </c>
      <c r="G283" s="90">
        <f t="shared" si="31"/>
        <v>1800</v>
      </c>
      <c r="H283" s="90">
        <f>DSUM(SEP_2013_A,importe,LD_93_)</f>
        <v>2100</v>
      </c>
      <c r="I283" s="17">
        <f t="shared" si="32"/>
        <v>6</v>
      </c>
      <c r="J283" s="6" t="s">
        <v>1280</v>
      </c>
      <c r="K283" s="137">
        <f>DSUM(SEP_2013_A,23,LD_93_)</f>
        <v>300</v>
      </c>
      <c r="L283" s="137">
        <f>DSUM(SEP_2013_A,24,LD_93_)</f>
        <v>300</v>
      </c>
      <c r="M283" s="137">
        <f>DSUM(SEP_2013_A,25,LD_93_)</f>
        <v>300</v>
      </c>
      <c r="N283" s="137">
        <f>DSUM(SEP_2013_A,26,LD_93_)</f>
        <v>300</v>
      </c>
      <c r="O283" s="137">
        <f>DSUM(SEP_2013_A,27,LD_93_)</f>
        <v>300</v>
      </c>
      <c r="P283" s="137">
        <f>DSUM(SEP_2013_A,28,LD_93_)</f>
        <v>300</v>
      </c>
      <c r="Q283" s="137">
        <f>DSUM(SEP_2013_A,29,LD_93_)</f>
        <v>0</v>
      </c>
      <c r="R283" s="137">
        <f>DSUM(SEP_2013_A,30,LD_93_)</f>
        <v>0</v>
      </c>
      <c r="S283" s="137">
        <f>DSUM(SEP_2013_A,31,LD_93_)</f>
        <v>0</v>
      </c>
      <c r="T283" s="137">
        <f>DSUM(SEP_2013_A,32,LD_93_)</f>
        <v>0</v>
      </c>
      <c r="U283" s="137">
        <f>DSUM(SEP_2013_A,33,LD_93_)</f>
        <v>0</v>
      </c>
      <c r="V283" s="137">
        <f>DSUM(SEP_2013_A,34,LD_93_)</f>
        <v>0</v>
      </c>
    </row>
    <row r="284" spans="2:22" ht="15.95" customHeight="1" x14ac:dyDescent="0.2">
      <c r="B284" s="1" t="s">
        <v>1041</v>
      </c>
      <c r="C284" s="129" t="str">
        <f t="shared" si="28"/>
        <v>Rancho Landero No. 94</v>
      </c>
      <c r="D284" s="129" t="str">
        <f t="shared" si="29"/>
        <v>Medina</v>
      </c>
      <c r="E284" s="90">
        <f t="shared" si="30"/>
        <v>150</v>
      </c>
      <c r="F284" s="91">
        <f>DSUM(SEP_2013_A,AA,LD_94_)</f>
        <v>0</v>
      </c>
      <c r="G284" s="90">
        <f t="shared" si="31"/>
        <v>900</v>
      </c>
      <c r="H284" s="90">
        <f>DSUM(SEP_2013_A,importe,LD_94_)</f>
        <v>900</v>
      </c>
      <c r="I284" s="17">
        <f t="shared" si="32"/>
        <v>6</v>
      </c>
      <c r="J284" s="6" t="s">
        <v>1280</v>
      </c>
      <c r="K284" s="137">
        <f>DSUM(SEP_2013_A,23,LD_94_)</f>
        <v>150</v>
      </c>
      <c r="L284" s="137">
        <f>DSUM(SEP_2013_A,24,LD_94_)</f>
        <v>150</v>
      </c>
      <c r="M284" s="137">
        <f>DSUM(SEP_2013_A,25,LD_94_)</f>
        <v>0</v>
      </c>
      <c r="N284" s="137">
        <f>DSUM(SEP_2013_A,26,LD_94_)</f>
        <v>0</v>
      </c>
      <c r="O284" s="137">
        <f>DSUM(SEP_2013_A,27,LD_94_)</f>
        <v>0</v>
      </c>
      <c r="P284" s="137">
        <f>DSUM(SEP_2013_A,28,LD_94_)</f>
        <v>150</v>
      </c>
      <c r="Q284" s="137">
        <f>DSUM(SEP_2013_A,29,LD_94_)</f>
        <v>150</v>
      </c>
      <c r="R284" s="137">
        <f>DSUM(SEP_2013_A,30,LD_94_)</f>
        <v>150</v>
      </c>
      <c r="S284" s="137">
        <f>DSUM(SEP_2013_A,31,LD_94_)</f>
        <v>150</v>
      </c>
      <c r="T284" s="137">
        <f>DSUM(SEP_2013_A,32,LD_94_)</f>
        <v>0</v>
      </c>
      <c r="U284" s="137">
        <f>DSUM(SEP_2013_A,33,LD_94_)</f>
        <v>0</v>
      </c>
      <c r="V284" s="137">
        <f>DSUM(SEP_2013_A,34,LD_94_)</f>
        <v>0</v>
      </c>
    </row>
    <row r="285" spans="2:22" ht="15.95" customHeight="1" x14ac:dyDescent="0.2">
      <c r="B285" s="1" t="s">
        <v>1042</v>
      </c>
      <c r="C285" s="129" t="str">
        <f t="shared" si="28"/>
        <v>Rancho Landero No. 95</v>
      </c>
      <c r="D285" s="129" t="str">
        <f t="shared" si="29"/>
        <v>Rivas Rangel</v>
      </c>
      <c r="E285" s="90">
        <f t="shared" si="30"/>
        <v>300</v>
      </c>
      <c r="F285" s="91">
        <f>DSUM(SEP_2013_A,AA,LD_95_)</f>
        <v>900</v>
      </c>
      <c r="G285" s="90">
        <f t="shared" si="31"/>
        <v>0</v>
      </c>
      <c r="H285" s="90">
        <f>DSUM(SEP_2013_A,importe,LD_95_)</f>
        <v>900</v>
      </c>
      <c r="I285" s="17">
        <f t="shared" si="32"/>
        <v>0</v>
      </c>
      <c r="J285" s="6" t="s">
        <v>1280</v>
      </c>
      <c r="K285" s="137">
        <f>DSUM(SEP_2013_A,23,LD_95_)</f>
        <v>0</v>
      </c>
      <c r="L285" s="137">
        <f>DSUM(SEP_2013_A,24,LD_95_)</f>
        <v>0</v>
      </c>
      <c r="M285" s="137">
        <f>DSUM(SEP_2013_A,25,LD_95_)</f>
        <v>0</v>
      </c>
      <c r="N285" s="137">
        <f>DSUM(SEP_2013_A,26,LD_95_)</f>
        <v>0</v>
      </c>
      <c r="O285" s="137">
        <f>DSUM(SEP_2013_A,27,LD_95_)</f>
        <v>0</v>
      </c>
      <c r="P285" s="137">
        <f>DSUM(SEP_2013_A,28,LD_95_)</f>
        <v>0</v>
      </c>
      <c r="Q285" s="137">
        <f>DSUM(SEP_2013_A,29,LD_95_)</f>
        <v>0</v>
      </c>
      <c r="R285" s="137">
        <f>DSUM(SEP_2013_A,30,LD_95_)</f>
        <v>0</v>
      </c>
      <c r="S285" s="137">
        <f>DSUM(SEP_2013_A,31,LD_95_)</f>
        <v>0</v>
      </c>
      <c r="T285" s="137">
        <f>DSUM(SEP_2013_A,32,LD_95_)</f>
        <v>0</v>
      </c>
      <c r="U285" s="137">
        <f>DSUM(SEP_2013_A,33,LD_95_)</f>
        <v>0</v>
      </c>
      <c r="V285" s="137">
        <f>DSUM(SEP_2013_A,34,LD_95_)</f>
        <v>0</v>
      </c>
    </row>
    <row r="286" spans="2:22" ht="15.95" customHeight="1" x14ac:dyDescent="0.2">
      <c r="B286" s="1" t="s">
        <v>765</v>
      </c>
      <c r="C286" s="129" t="str">
        <f t="shared" si="28"/>
        <v>Rancho Landero No. 96</v>
      </c>
      <c r="D286" s="129" t="str">
        <f t="shared" si="29"/>
        <v>Espinoza Aguirre</v>
      </c>
      <c r="E286" s="90">
        <f t="shared" si="30"/>
        <v>300</v>
      </c>
      <c r="F286" s="91">
        <f>DSUM(SEP_2013_A,AA,LD_96_)</f>
        <v>300</v>
      </c>
      <c r="G286" s="90">
        <f t="shared" si="31"/>
        <v>2100</v>
      </c>
      <c r="H286" s="90">
        <f>DSUM(SEP_2013_A,importe,LD_96_)</f>
        <v>2400</v>
      </c>
      <c r="I286" s="17">
        <f t="shared" si="32"/>
        <v>7</v>
      </c>
      <c r="J286" s="6" t="s">
        <v>1280</v>
      </c>
      <c r="K286" s="137">
        <f>DSUM(SEP_2013_A,23,LD_96_)</f>
        <v>300</v>
      </c>
      <c r="L286" s="137">
        <f>DSUM(SEP_2013_A,24,LD_96_)</f>
        <v>300</v>
      </c>
      <c r="M286" s="137">
        <f>DSUM(SEP_2013_A,25,LD_96_)</f>
        <v>300</v>
      </c>
      <c r="N286" s="137">
        <f>DSUM(SEP_2013_A,26,LD_96_)</f>
        <v>300</v>
      </c>
      <c r="O286" s="137">
        <f>DSUM(SEP_2013_A,27,LD_96_)</f>
        <v>300</v>
      </c>
      <c r="P286" s="137">
        <f>DSUM(SEP_2013_A,28,LD_96_)</f>
        <v>300</v>
      </c>
      <c r="Q286" s="137">
        <f>DSUM(SEP_2013_A,29,LD_96_)</f>
        <v>300</v>
      </c>
      <c r="R286" s="137">
        <f>DSUM(SEP_2013_A,30,LD_96_)</f>
        <v>0</v>
      </c>
      <c r="S286" s="137">
        <f>DSUM(SEP_2013_A,31,LD_96_)</f>
        <v>0</v>
      </c>
      <c r="T286" s="137">
        <f>DSUM(SEP_2013_A,32,LD_96_)</f>
        <v>0</v>
      </c>
      <c r="U286" s="137">
        <f>DSUM(SEP_2013_A,33,LD_96_)</f>
        <v>0</v>
      </c>
      <c r="V286" s="137">
        <f>DSUM(SEP_2013_A,34,LD_96_)</f>
        <v>0</v>
      </c>
    </row>
    <row r="287" spans="2:22" ht="15.95" customHeight="1" x14ac:dyDescent="0.2">
      <c r="B287" s="1" t="s">
        <v>1043</v>
      </c>
      <c r="C287" s="129" t="str">
        <f t="shared" si="28"/>
        <v>Rancho Landero No. 99</v>
      </c>
      <c r="D287" s="129" t="str">
        <f t="shared" si="29"/>
        <v>Rangel</v>
      </c>
      <c r="E287" s="90">
        <f t="shared" si="30"/>
        <v>300</v>
      </c>
      <c r="F287" s="91">
        <f>DSUM(SEP_2013_A,AA,LD_99_)</f>
        <v>300</v>
      </c>
      <c r="G287" s="90">
        <f t="shared" si="31"/>
        <v>2100</v>
      </c>
      <c r="H287" s="90">
        <f>DSUM(SEP_2013_A,importe,LD_99_)</f>
        <v>2400</v>
      </c>
      <c r="I287" s="17">
        <f t="shared" si="32"/>
        <v>7</v>
      </c>
      <c r="J287" s="6" t="s">
        <v>1280</v>
      </c>
      <c r="K287" s="137">
        <f>DSUM(SEP_2013_A,23,LD_99_)</f>
        <v>300</v>
      </c>
      <c r="L287" s="137">
        <f>DSUM(SEP_2013_A,24,LD_99_)</f>
        <v>300</v>
      </c>
      <c r="M287" s="137">
        <f>DSUM(SEP_2013_A,25,LD_99_)</f>
        <v>300</v>
      </c>
      <c r="N287" s="137">
        <f>DSUM(SEP_2013_A,26,LD_99_)</f>
        <v>300</v>
      </c>
      <c r="O287" s="137">
        <f>DSUM(SEP_2013_A,27,LD_99_)</f>
        <v>300</v>
      </c>
      <c r="P287" s="137">
        <f>DSUM(SEP_2013_A,28,LD_99_)</f>
        <v>300</v>
      </c>
      <c r="Q287" s="137">
        <f>DSUM(SEP_2013_A,29,LD_99_)</f>
        <v>0</v>
      </c>
      <c r="R287" s="137">
        <f>DSUM(SEP_2013_A,30,LD_99_)</f>
        <v>300</v>
      </c>
      <c r="S287" s="137">
        <f>DSUM(SEP_2013_A,31,LD_99_)</f>
        <v>0</v>
      </c>
      <c r="T287" s="137">
        <f>DSUM(SEP_2013_A,32,LD_99_)</f>
        <v>0</v>
      </c>
      <c r="U287" s="137">
        <f>DSUM(SEP_2013_A,33,LD_99_)</f>
        <v>0</v>
      </c>
      <c r="V287" s="137">
        <f>DSUM(SEP_2013_A,34,LD_99_)</f>
        <v>0</v>
      </c>
    </row>
    <row r="288" spans="2:22" ht="15.95" customHeight="1" x14ac:dyDescent="0.2">
      <c r="B288" s="1" t="s">
        <v>1044</v>
      </c>
      <c r="C288" s="129" t="str">
        <f t="shared" si="28"/>
        <v>Rancho Landero No. 100</v>
      </c>
      <c r="D288" s="129" t="str">
        <f t="shared" si="29"/>
        <v>Meingüer Gómez</v>
      </c>
      <c r="E288" s="90">
        <f t="shared" si="30"/>
        <v>300</v>
      </c>
      <c r="F288" s="91">
        <f>DSUM(SEP_2013_A,AA,LD_100_)</f>
        <v>300</v>
      </c>
      <c r="G288" s="90">
        <f t="shared" si="31"/>
        <v>600</v>
      </c>
      <c r="H288" s="90">
        <f>DSUM(SEP_2013_A,importe,LD_100_)</f>
        <v>900</v>
      </c>
      <c r="I288" s="17">
        <f t="shared" si="32"/>
        <v>2</v>
      </c>
      <c r="J288" s="6" t="s">
        <v>1280</v>
      </c>
      <c r="K288" s="137">
        <f>DSUM(SEP_2013_A,23,LD_100_)</f>
        <v>300</v>
      </c>
      <c r="L288" s="137">
        <f>DSUM(SEP_2013_A,24,LD_100_)</f>
        <v>300</v>
      </c>
      <c r="M288" s="137">
        <f>DSUM(SEP_2013_A,25,LD_100_)</f>
        <v>0</v>
      </c>
      <c r="N288" s="137">
        <f>DSUM(SEP_2013_A,26,LD_100_)</f>
        <v>0</v>
      </c>
      <c r="O288" s="137">
        <f>DSUM(SEP_2013_A,27,LD_100_)</f>
        <v>0</v>
      </c>
      <c r="P288" s="137">
        <f>DSUM(SEP_2013_A,28,LD_100_)</f>
        <v>0</v>
      </c>
      <c r="Q288" s="137">
        <f>DSUM(SEP_2013_A,29,LD_100_)</f>
        <v>0</v>
      </c>
      <c r="R288" s="137">
        <f>DSUM(SEP_2013_A,30,LD_100_)</f>
        <v>0</v>
      </c>
      <c r="S288" s="137">
        <f>DSUM(SEP_2013_A,31,LD_100_)</f>
        <v>0</v>
      </c>
      <c r="T288" s="137">
        <f>DSUM(SEP_2013_A,32,LD_100_)</f>
        <v>0</v>
      </c>
      <c r="U288" s="137">
        <f>DSUM(SEP_2013_A,33,LD_100_)</f>
        <v>0</v>
      </c>
      <c r="V288" s="137">
        <f>DSUM(SEP_2013_A,34,LD_100_)</f>
        <v>0</v>
      </c>
    </row>
    <row r="289" spans="2:22" ht="15.95" customHeight="1" x14ac:dyDescent="0.2">
      <c r="B289" s="1" t="s">
        <v>1045</v>
      </c>
      <c r="C289" s="129" t="str">
        <f t="shared" si="28"/>
        <v>Rancho Landero No. 101</v>
      </c>
      <c r="D289" s="129" t="str">
        <f t="shared" si="29"/>
        <v>Ramírez</v>
      </c>
      <c r="E289" s="90">
        <f t="shared" si="30"/>
        <v>300</v>
      </c>
      <c r="F289" s="91">
        <f>DSUM(SEP_2013_A,AA,LD_101_)</f>
        <v>0</v>
      </c>
      <c r="G289" s="90">
        <f t="shared" si="31"/>
        <v>2700</v>
      </c>
      <c r="H289" s="90">
        <f>DSUM(SEP_2013_A,importe,LD_101_)</f>
        <v>2700</v>
      </c>
      <c r="I289" s="17">
        <f t="shared" si="32"/>
        <v>9</v>
      </c>
      <c r="J289" s="6" t="s">
        <v>1280</v>
      </c>
      <c r="K289" s="137">
        <f>DSUM(SEP_2013_A,23,LD_101_)</f>
        <v>300</v>
      </c>
      <c r="L289" s="137">
        <f>DSUM(SEP_2013_A,24,LD_101_)</f>
        <v>300</v>
      </c>
      <c r="M289" s="137">
        <f>DSUM(SEP_2013_A,25,LD_101_)</f>
        <v>300</v>
      </c>
      <c r="N289" s="137">
        <f>DSUM(SEP_2013_A,26,LD_101_)</f>
        <v>300</v>
      </c>
      <c r="O289" s="137">
        <f>DSUM(SEP_2013_A,27,LD_101_)</f>
        <v>300</v>
      </c>
      <c r="P289" s="137">
        <f>DSUM(SEP_2013_A,28,LD_101_)</f>
        <v>300</v>
      </c>
      <c r="Q289" s="137">
        <f>DSUM(SEP_2013_A,29,LD_101_)</f>
        <v>300</v>
      </c>
      <c r="R289" s="137">
        <f>DSUM(SEP_2013_A,30,LD_101_)</f>
        <v>300</v>
      </c>
      <c r="S289" s="137">
        <f>DSUM(SEP_2013_A,31,LD_101_)</f>
        <v>300</v>
      </c>
      <c r="T289" s="137">
        <f>DSUM(SEP_2013_A,32,LD_101_)</f>
        <v>0</v>
      </c>
      <c r="U289" s="137">
        <f>DSUM(SEP_2013_A,33,LD_101_)</f>
        <v>0</v>
      </c>
      <c r="V289" s="137">
        <f>DSUM(SEP_2013_A,34,LD_101_)</f>
        <v>0</v>
      </c>
    </row>
    <row r="290" spans="2:22" ht="15.95" customHeight="1" x14ac:dyDescent="0.2">
      <c r="B290" s="1" t="s">
        <v>1048</v>
      </c>
      <c r="C290" s="129" t="str">
        <f t="shared" si="28"/>
        <v>Rancho Romeral No. 9, A</v>
      </c>
      <c r="D290" s="129" t="str">
        <f t="shared" si="29"/>
        <v>Quiñones Hernández</v>
      </c>
      <c r="E290" s="90">
        <f t="shared" si="30"/>
        <v>300</v>
      </c>
      <c r="F290" s="91">
        <f>DSUM(SEP_2013_A,AA,RM_9_A)</f>
        <v>600</v>
      </c>
      <c r="G290" s="90">
        <f t="shared" si="31"/>
        <v>2700</v>
      </c>
      <c r="H290" s="90">
        <f>DSUM(SEP_2013_A,importe,RM_9_A)</f>
        <v>3300</v>
      </c>
      <c r="I290" s="17">
        <f t="shared" si="32"/>
        <v>9</v>
      </c>
      <c r="J290" s="6" t="s">
        <v>1281</v>
      </c>
      <c r="K290" s="137">
        <f>DSUM(SEP_2013_A,23,RM_9_A)</f>
        <v>300</v>
      </c>
      <c r="L290" s="137">
        <f>DSUM(SEP_2013_A,24,RM_9_A)</f>
        <v>300</v>
      </c>
      <c r="M290" s="137">
        <f>DSUM(SEP_2013_A,25,RM_9_A)</f>
        <v>300</v>
      </c>
      <c r="N290" s="137">
        <f>DSUM(SEP_2013_A,26,RM_9_A)</f>
        <v>300</v>
      </c>
      <c r="O290" s="137">
        <f>DSUM(SEP_2013_A,27,RM_9_A)</f>
        <v>300</v>
      </c>
      <c r="P290" s="137">
        <f>DSUM(SEP_2013_A,28,RM_9_A)</f>
        <v>300</v>
      </c>
      <c r="Q290" s="137">
        <f>DSUM(SEP_2013_A,29,RM_9_A)</f>
        <v>300</v>
      </c>
      <c r="R290" s="137">
        <f>DSUM(SEP_2013_A,30,RM_9_A)</f>
        <v>300</v>
      </c>
      <c r="S290" s="137">
        <f>DSUM(SEP_2013_A,31,RM_9_A)</f>
        <v>300</v>
      </c>
      <c r="T290" s="137">
        <f>DSUM(SEP_2013_A,32,RM_9_A)</f>
        <v>0</v>
      </c>
      <c r="U290" s="137">
        <f>DSUM(SEP_2013_A,33,RM_9_A)</f>
        <v>0</v>
      </c>
      <c r="V290" s="137">
        <f>DSUM(SEP_2013_A,34,RM_9_A)</f>
        <v>0</v>
      </c>
    </row>
    <row r="291" spans="2:22" ht="15.95" customHeight="1" x14ac:dyDescent="0.2">
      <c r="B291" s="1" t="s">
        <v>1049</v>
      </c>
      <c r="C291" s="129" t="str">
        <f t="shared" si="28"/>
        <v>Rancho Romeral No. 9, B</v>
      </c>
      <c r="D291" s="129" t="str">
        <f t="shared" si="29"/>
        <v>Morales Macías</v>
      </c>
      <c r="E291" s="90">
        <f t="shared" si="30"/>
        <v>100</v>
      </c>
      <c r="F291" s="91">
        <f>DSUM(SEP_2013_A,AA,RM_9_B)</f>
        <v>100</v>
      </c>
      <c r="G291" s="90">
        <f t="shared" si="31"/>
        <v>700</v>
      </c>
      <c r="H291" s="90">
        <f>DSUM(SEP_2013_A,importe,RM_9_B)</f>
        <v>800</v>
      </c>
      <c r="I291" s="17">
        <f t="shared" si="32"/>
        <v>7</v>
      </c>
      <c r="J291" s="6" t="s">
        <v>1281</v>
      </c>
      <c r="K291" s="137">
        <f>DSUM(SEP_2013_A,23,RM_9_B)</f>
        <v>100</v>
      </c>
      <c r="L291" s="137">
        <f>DSUM(SEP_2013_A,24,RM_9_B)</f>
        <v>100</v>
      </c>
      <c r="M291" s="137">
        <f>DSUM(SEP_2013_A,25,RM_9_B)</f>
        <v>100</v>
      </c>
      <c r="N291" s="137">
        <f>DSUM(SEP_2013_A,26,RM_9_B)</f>
        <v>0</v>
      </c>
      <c r="O291" s="137">
        <f>DSUM(SEP_2013_A,27,RM_9_B)</f>
        <v>0</v>
      </c>
      <c r="P291" s="137">
        <f>DSUM(SEP_2013_A,28,RM_9_B)</f>
        <v>100</v>
      </c>
      <c r="Q291" s="137">
        <f>DSUM(SEP_2013_A,29,RM_9_B)</f>
        <v>100</v>
      </c>
      <c r="R291" s="137">
        <f>DSUM(SEP_2013_A,30,RM_9_B)</f>
        <v>100</v>
      </c>
      <c r="S291" s="137">
        <f>DSUM(SEP_2013_A,31,RM_9_B)</f>
        <v>100</v>
      </c>
      <c r="T291" s="137">
        <f>DSUM(SEP_2013_A,32,RM_9_B)</f>
        <v>0</v>
      </c>
      <c r="U291" s="137">
        <f>DSUM(SEP_2013_A,33,RM_9_B)</f>
        <v>0</v>
      </c>
      <c r="V291" s="137">
        <f>DSUM(SEP_2013_A,34,RM_9_B)</f>
        <v>0</v>
      </c>
    </row>
    <row r="292" spans="2:22" ht="15.95" customHeight="1" x14ac:dyDescent="0.2">
      <c r="B292" s="1" t="s">
        <v>1050</v>
      </c>
      <c r="C292" s="129" t="str">
        <f t="shared" si="28"/>
        <v>Rancho Romeral No. 10, A</v>
      </c>
      <c r="D292" s="129" t="str">
        <f t="shared" si="29"/>
        <v>Casillas Álvarez</v>
      </c>
      <c r="E292" s="90">
        <f t="shared" si="30"/>
        <v>150</v>
      </c>
      <c r="F292" s="91">
        <f>DSUM(SEP_2013_A,AA,RM_10_A)</f>
        <v>0</v>
      </c>
      <c r="G292" s="90">
        <f t="shared" si="31"/>
        <v>1550</v>
      </c>
      <c r="H292" s="90">
        <f>DSUM(SEP_2013_A,importe,RM_10_A)</f>
        <v>1550</v>
      </c>
      <c r="I292" s="17">
        <f t="shared" si="32"/>
        <v>10.333333333333334</v>
      </c>
      <c r="J292" s="6" t="s">
        <v>1281</v>
      </c>
      <c r="K292" s="137">
        <f>DSUM(SEP_2013_A,23,RM_10_A)</f>
        <v>150</v>
      </c>
      <c r="L292" s="137">
        <f>DSUM(SEP_2013_A,24,RM_10_A)</f>
        <v>150</v>
      </c>
      <c r="M292" s="137">
        <f>DSUM(SEP_2013_A,25,RM_10_A)</f>
        <v>150</v>
      </c>
      <c r="N292" s="137">
        <f>DSUM(SEP_2013_A,26,RM_10_A)</f>
        <v>150</v>
      </c>
      <c r="O292" s="137">
        <f>DSUM(SEP_2013_A,27,RM_10_A)</f>
        <v>150</v>
      </c>
      <c r="P292" s="137">
        <f>DSUM(SEP_2013_A,28,RM_10_A)</f>
        <v>150</v>
      </c>
      <c r="Q292" s="137">
        <f>DSUM(SEP_2013_A,29,RM_10_A)</f>
        <v>150</v>
      </c>
      <c r="R292" s="137">
        <f>DSUM(SEP_2013_A,30,RM_10_A)</f>
        <v>150</v>
      </c>
      <c r="S292" s="137">
        <f>DSUM(SEP_2013_A,31,RM_10_A)</f>
        <v>150</v>
      </c>
      <c r="T292" s="137">
        <f>DSUM(SEP_2013_A,32,RM_10_A)</f>
        <v>200</v>
      </c>
      <c r="U292" s="137">
        <f>DSUM(SEP_2013_A,33,RM_10_A)</f>
        <v>0</v>
      </c>
      <c r="V292" s="137">
        <f>DSUM(SEP_2013_A,34,RM_10_A)</f>
        <v>0</v>
      </c>
    </row>
    <row r="293" spans="2:22" ht="15.95" customHeight="1" x14ac:dyDescent="0.2">
      <c r="B293" s="1" t="s">
        <v>1051</v>
      </c>
      <c r="C293" s="129" t="str">
        <f t="shared" si="28"/>
        <v>Rancho Romeral No. 10, B</v>
      </c>
      <c r="D293" s="129" t="str">
        <f t="shared" si="29"/>
        <v>López Castellano</v>
      </c>
      <c r="E293" s="90">
        <f t="shared" si="30"/>
        <v>300</v>
      </c>
      <c r="F293" s="91">
        <f>DSUM(SEP_2013_A,AA,RM_10_B)</f>
        <v>300</v>
      </c>
      <c r="G293" s="90">
        <f t="shared" si="31"/>
        <v>2700</v>
      </c>
      <c r="H293" s="90">
        <f>DSUM(SEP_2013_A,importe,RM_10_B)</f>
        <v>3000</v>
      </c>
      <c r="I293" s="17">
        <f t="shared" si="32"/>
        <v>9</v>
      </c>
      <c r="J293" s="6" t="s">
        <v>1281</v>
      </c>
      <c r="K293" s="137">
        <f>DSUM(SEP_2013_A,23,RM_10_B)</f>
        <v>300</v>
      </c>
      <c r="L293" s="137">
        <f>DSUM(SEP_2013_A,24,RM_10_B)</f>
        <v>300</v>
      </c>
      <c r="M293" s="137">
        <f>DSUM(SEP_2013_A,25,RM_10_B)</f>
        <v>300</v>
      </c>
      <c r="N293" s="137">
        <f>DSUM(SEP_2013_A,26,RM_10_B)</f>
        <v>300</v>
      </c>
      <c r="O293" s="137">
        <f>DSUM(SEP_2013_A,27,RM_10_B)</f>
        <v>300</v>
      </c>
      <c r="P293" s="137">
        <f>DSUM(SEP_2013_A,28,RM_10_B)</f>
        <v>300</v>
      </c>
      <c r="Q293" s="137">
        <f>DSUM(SEP_2013_A,29,RM_10_B)</f>
        <v>300</v>
      </c>
      <c r="R293" s="137">
        <f>DSUM(SEP_2013_A,30,RM_10_B)</f>
        <v>300</v>
      </c>
      <c r="S293" s="137">
        <f>DSUM(SEP_2013_A,31,RM_10_B)</f>
        <v>300</v>
      </c>
      <c r="T293" s="137">
        <f>DSUM(SEP_2013_A,32,RM_10_B)</f>
        <v>0</v>
      </c>
      <c r="U293" s="137">
        <f>DSUM(SEP_2013_A,33,RM_10_B)</f>
        <v>0</v>
      </c>
      <c r="V293" s="137">
        <f>DSUM(SEP_2013_A,34,RM_10_B)</f>
        <v>0</v>
      </c>
    </row>
    <row r="294" spans="2:22" ht="15.95" customHeight="1" x14ac:dyDescent="0.2">
      <c r="B294" s="1" t="s">
        <v>1052</v>
      </c>
      <c r="C294" s="129" t="str">
        <f t="shared" si="28"/>
        <v>Rancho Romeral No. 17</v>
      </c>
      <c r="D294" s="129" t="str">
        <f t="shared" si="29"/>
        <v>Aguilar Lomelí</v>
      </c>
      <c r="E294" s="90">
        <f t="shared" si="30"/>
        <v>300</v>
      </c>
      <c r="F294" s="91">
        <f>DSUM(SEP_2013_A,AA,RM_17_)</f>
        <v>900</v>
      </c>
      <c r="G294" s="90">
        <f t="shared" si="31"/>
        <v>1800</v>
      </c>
      <c r="H294" s="90">
        <f>DSUM(SEP_2013_A,importe,RM_17_)</f>
        <v>2700</v>
      </c>
      <c r="I294" s="17">
        <f t="shared" si="32"/>
        <v>6</v>
      </c>
      <c r="J294" s="6" t="s">
        <v>1281</v>
      </c>
      <c r="K294" s="137">
        <f>DSUM(SEP_2013_A,23,RM_17_)</f>
        <v>300</v>
      </c>
      <c r="L294" s="137">
        <f>DSUM(SEP_2013_A,24,RM_17_)</f>
        <v>300</v>
      </c>
      <c r="M294" s="137">
        <f>DSUM(SEP_2013_A,25,RM_17_)</f>
        <v>0</v>
      </c>
      <c r="N294" s="137">
        <f>DSUM(SEP_2013_A,26,RM_17_)</f>
        <v>300</v>
      </c>
      <c r="O294" s="137">
        <f>DSUM(SEP_2013_A,27,RM_17_)</f>
        <v>300</v>
      </c>
      <c r="P294" s="137">
        <f>DSUM(SEP_2013_A,28,RM_17_)</f>
        <v>300</v>
      </c>
      <c r="Q294" s="137">
        <f>DSUM(SEP_2013_A,29,RM_17_)</f>
        <v>300</v>
      </c>
      <c r="R294" s="137">
        <f>DSUM(SEP_2013_A,30,RM_17_)</f>
        <v>0</v>
      </c>
      <c r="S294" s="137">
        <f>DSUM(SEP_2013_A,31,RM_17_)</f>
        <v>0</v>
      </c>
      <c r="T294" s="137">
        <f>DSUM(SEP_2013_A,32,RM_17_)</f>
        <v>0</v>
      </c>
      <c r="U294" s="137">
        <f>DSUM(SEP_2013_A,33,RM_17_)</f>
        <v>0</v>
      </c>
      <c r="V294" s="137">
        <f>DSUM(SEP_2013_A,34,RM_17_)</f>
        <v>0</v>
      </c>
    </row>
    <row r="295" spans="2:22" ht="15.95" customHeight="1" x14ac:dyDescent="0.2">
      <c r="B295" s="1" t="s">
        <v>1342</v>
      </c>
      <c r="C295" s="129" t="str">
        <f t="shared" si="28"/>
        <v>Rancho Romeral No. 23, A</v>
      </c>
      <c r="D295" s="129" t="str">
        <f t="shared" si="29"/>
        <v>Miranda</v>
      </c>
      <c r="E295" s="90">
        <f t="shared" si="30"/>
        <v>300</v>
      </c>
      <c r="F295" s="91">
        <f>DSUM(SEP_2013_A,AA,RM_23_A)</f>
        <v>0</v>
      </c>
      <c r="G295" s="90">
        <f t="shared" si="31"/>
        <v>0</v>
      </c>
      <c r="H295" s="90">
        <f>DSUM(SEP_2013_A,importe,RM_23_A)</f>
        <v>0</v>
      </c>
      <c r="I295" s="17">
        <f t="shared" si="32"/>
        <v>0</v>
      </c>
      <c r="J295" s="6" t="s">
        <v>1281</v>
      </c>
      <c r="K295" s="137">
        <f>DSUM(SEP_2013_A,23,RM_23_A)</f>
        <v>0</v>
      </c>
      <c r="L295" s="137">
        <f>DSUM(SEP_2013_A,24,RM_23_A)</f>
        <v>0</v>
      </c>
      <c r="M295" s="137">
        <f>DSUM(SEP_2013_A,25,RM_23_A)</f>
        <v>0</v>
      </c>
      <c r="N295" s="137">
        <f>DSUM(SEP_2013_A,26,RM_23_A)</f>
        <v>0</v>
      </c>
      <c r="O295" s="137">
        <f>DSUM(SEP_2013_A,27,RM_23_A)</f>
        <v>0</v>
      </c>
      <c r="P295" s="137">
        <f>DSUM(SEP_2013_A,28,RM_23_A)</f>
        <v>0</v>
      </c>
      <c r="Q295" s="137">
        <f>DSUM(SEP_2013_A,29,RM_23_A)</f>
        <v>0</v>
      </c>
      <c r="R295" s="137">
        <f>DSUM(SEP_2013_A,30,RM_23_A)</f>
        <v>0</v>
      </c>
      <c r="S295" s="137">
        <f>DSUM(SEP_2013_A,31,RM_23_A)</f>
        <v>0</v>
      </c>
      <c r="T295" s="137">
        <f>DSUM(SEP_2013_A,32,RM_23_A)</f>
        <v>0</v>
      </c>
      <c r="U295" s="137">
        <f>DSUM(SEP_2013_A,33,RM_23_A)</f>
        <v>0</v>
      </c>
      <c r="V295" s="137">
        <f>DSUM(SEP_2013_A,34,RM_23_A)</f>
        <v>0</v>
      </c>
    </row>
    <row r="296" spans="2:22" ht="15.95" customHeight="1" x14ac:dyDescent="0.2">
      <c r="B296" s="1" t="s">
        <v>1343</v>
      </c>
      <c r="C296" s="129" t="str">
        <f t="shared" si="28"/>
        <v>Rancho Romeral No. 23, B</v>
      </c>
      <c r="D296" s="129">
        <f t="shared" si="29"/>
        <v>0</v>
      </c>
      <c r="E296" s="90">
        <f t="shared" si="30"/>
        <v>300</v>
      </c>
      <c r="F296" s="91">
        <f>DSUM(SEP_2013_A,AA,RM_23_B)</f>
        <v>0</v>
      </c>
      <c r="G296" s="90">
        <f t="shared" si="31"/>
        <v>0</v>
      </c>
      <c r="H296" s="90">
        <f>DSUM(SEP_2013_A,importe,RM_23_B)</f>
        <v>0</v>
      </c>
      <c r="I296" s="17">
        <f t="shared" si="32"/>
        <v>0</v>
      </c>
      <c r="J296" s="6" t="s">
        <v>1281</v>
      </c>
      <c r="K296" s="137">
        <f>DSUM(SEP_2013_A,23,RM_23_B)</f>
        <v>0</v>
      </c>
      <c r="L296" s="137">
        <f>DSUM(SEP_2013_A,24,RM_23_B)</f>
        <v>0</v>
      </c>
      <c r="M296" s="137">
        <f>DSUM(SEP_2013_A,25,RM_23_B)</f>
        <v>0</v>
      </c>
      <c r="N296" s="137">
        <f>DSUM(SEP_2013_A,26,RM_23_B)</f>
        <v>0</v>
      </c>
      <c r="O296" s="137">
        <f>DSUM(SEP_2013_A,27,RM_23_B)</f>
        <v>0</v>
      </c>
      <c r="P296" s="137">
        <f>DSUM(SEP_2013_A,28,RM_23_B)</f>
        <v>0</v>
      </c>
      <c r="Q296" s="137">
        <f>DSUM(SEP_2013_A,29,RM_23_B)</f>
        <v>0</v>
      </c>
      <c r="R296" s="137">
        <f>DSUM(SEP_2013_A,30,RM_23_B)</f>
        <v>0</v>
      </c>
      <c r="S296" s="137">
        <f>DSUM(SEP_2013_A,31,RM_23_B)</f>
        <v>0</v>
      </c>
      <c r="T296" s="137">
        <f>DSUM(SEP_2013_A,32,RM_23_B)</f>
        <v>0</v>
      </c>
      <c r="U296" s="137">
        <f>DSUM(SEP_2013_A,33,RM_23_B)</f>
        <v>0</v>
      </c>
      <c r="V296" s="137">
        <f>DSUM(SEP_2013_A,34,RM_23_B)</f>
        <v>0</v>
      </c>
    </row>
    <row r="297" spans="2:22" ht="15.95" customHeight="1" x14ac:dyDescent="0.2">
      <c r="B297" s="1" t="s">
        <v>1053</v>
      </c>
      <c r="C297" s="129" t="str">
        <f t="shared" si="28"/>
        <v>Rancho Romeral No. 30</v>
      </c>
      <c r="D297" s="129" t="str">
        <f t="shared" si="29"/>
        <v>Osorio</v>
      </c>
      <c r="E297" s="90">
        <f t="shared" si="30"/>
        <v>200</v>
      </c>
      <c r="F297" s="91">
        <f>DSUM(SEP_2013_A,AA,RM_30_)</f>
        <v>200</v>
      </c>
      <c r="G297" s="90">
        <f t="shared" si="31"/>
        <v>1800</v>
      </c>
      <c r="H297" s="90">
        <f>DSUM(SEP_2013_A,importe,RM_30_)</f>
        <v>2000</v>
      </c>
      <c r="I297" s="17">
        <f t="shared" si="32"/>
        <v>9</v>
      </c>
      <c r="J297" s="6" t="s">
        <v>1281</v>
      </c>
      <c r="K297" s="137">
        <f>DSUM(SEP_2013_A,23,RM_30_)</f>
        <v>200</v>
      </c>
      <c r="L297" s="137">
        <f>DSUM(SEP_2013_A,24,RM_30_)</f>
        <v>200</v>
      </c>
      <c r="M297" s="137">
        <f>DSUM(SEP_2013_A,25,RM_30_)</f>
        <v>200</v>
      </c>
      <c r="N297" s="137">
        <f>DSUM(SEP_2013_A,26,RM_30_)</f>
        <v>200</v>
      </c>
      <c r="O297" s="137">
        <f>DSUM(SEP_2013_A,27,RM_30_)</f>
        <v>200</v>
      </c>
      <c r="P297" s="137">
        <f>DSUM(SEP_2013_A,28,RM_30_)</f>
        <v>200</v>
      </c>
      <c r="Q297" s="137">
        <f>DSUM(SEP_2013_A,29,RM_30_)</f>
        <v>200</v>
      </c>
      <c r="R297" s="137">
        <f>DSUM(SEP_2013_A,30,RM_30_)</f>
        <v>200</v>
      </c>
      <c r="S297" s="137">
        <f>DSUM(SEP_2013_A,31,RM_30_)</f>
        <v>200</v>
      </c>
      <c r="T297" s="137">
        <f>DSUM(SEP_2013_A,32,RM_30_)</f>
        <v>0</v>
      </c>
      <c r="U297" s="137">
        <f>DSUM(SEP_2013_A,33,RM_30_)</f>
        <v>0</v>
      </c>
      <c r="V297" s="137">
        <f>DSUM(SEP_2013_A,34,RM_30_)</f>
        <v>0</v>
      </c>
    </row>
    <row r="298" spans="2:22" ht="15.95" customHeight="1" x14ac:dyDescent="0.2">
      <c r="B298" s="1" t="s">
        <v>1054</v>
      </c>
      <c r="C298" s="129" t="str">
        <f t="shared" si="28"/>
        <v>Rancho Romeral No. 33</v>
      </c>
      <c r="D298" s="129" t="str">
        <f t="shared" si="29"/>
        <v>Juárez Alva</v>
      </c>
      <c r="E298" s="90">
        <f t="shared" si="30"/>
        <v>300</v>
      </c>
      <c r="F298" s="91">
        <f>DSUM(SEP_2013_A,AA,RM_33_)</f>
        <v>600</v>
      </c>
      <c r="G298" s="90">
        <f t="shared" si="31"/>
        <v>2400</v>
      </c>
      <c r="H298" s="90">
        <f>DSUM(SEP_2013_A,importe,RM_33_)</f>
        <v>3000</v>
      </c>
      <c r="I298" s="17">
        <f t="shared" si="32"/>
        <v>8</v>
      </c>
      <c r="J298" s="6" t="s">
        <v>1281</v>
      </c>
      <c r="K298" s="137">
        <f>DSUM(SEP_2013_A,23,RM_33_)</f>
        <v>300</v>
      </c>
      <c r="L298" s="137">
        <f>DSUM(SEP_2013_A,24,RM_33_)</f>
        <v>300</v>
      </c>
      <c r="M298" s="137">
        <f>DSUM(SEP_2013_A,25,RM_33_)</f>
        <v>300</v>
      </c>
      <c r="N298" s="137">
        <f>DSUM(SEP_2013_A,26,RM_33_)</f>
        <v>300</v>
      </c>
      <c r="O298" s="137">
        <f>DSUM(SEP_2013_A,27,RM_33_)</f>
        <v>300</v>
      </c>
      <c r="P298" s="137">
        <f>DSUM(SEP_2013_A,28,RM_33_)</f>
        <v>300</v>
      </c>
      <c r="Q298" s="137">
        <f>DSUM(SEP_2013_A,29,RM_33_)</f>
        <v>300</v>
      </c>
      <c r="R298" s="137">
        <f>DSUM(SEP_2013_A,30,RM_33_)</f>
        <v>300</v>
      </c>
      <c r="S298" s="137">
        <f>DSUM(SEP_2013_A,31,RM_33_)</f>
        <v>0</v>
      </c>
      <c r="T298" s="137">
        <f>DSUM(SEP_2013_A,32,RM_33_)</f>
        <v>0</v>
      </c>
      <c r="U298" s="137">
        <f>DSUM(SEP_2013_A,33,RM_33_)</f>
        <v>0</v>
      </c>
      <c r="V298" s="137">
        <f>DSUM(SEP_2013_A,34,RM_33_)</f>
        <v>0</v>
      </c>
    </row>
    <row r="299" spans="2:22" ht="15.95" customHeight="1" x14ac:dyDescent="0.2">
      <c r="B299" s="1" t="s">
        <v>1345</v>
      </c>
      <c r="C299" s="129" t="str">
        <f t="shared" si="28"/>
        <v>Rancho Romeral No. 58</v>
      </c>
      <c r="D299" s="129">
        <f t="shared" si="29"/>
        <v>0</v>
      </c>
      <c r="E299" s="90">
        <f t="shared" si="30"/>
        <v>300</v>
      </c>
      <c r="F299" s="91">
        <f>DSUM(SEP_2013_A,AA,RM_58_)</f>
        <v>0</v>
      </c>
      <c r="G299" s="90">
        <f t="shared" si="31"/>
        <v>0</v>
      </c>
      <c r="H299" s="90">
        <f>DSUM(SEP_2013_A,importe,RM_58_)</f>
        <v>0</v>
      </c>
      <c r="I299" s="17">
        <f t="shared" si="32"/>
        <v>0</v>
      </c>
      <c r="J299" s="6" t="s">
        <v>1281</v>
      </c>
      <c r="K299" s="137">
        <f>DSUM(SEP_2013_A,23,RM_58_)</f>
        <v>0</v>
      </c>
      <c r="L299" s="137">
        <f>DSUM(SEP_2013_A,24,RM_58_)</f>
        <v>0</v>
      </c>
      <c r="M299" s="137">
        <f>DSUM(SEP_2013_A,25,RM_58_)</f>
        <v>0</v>
      </c>
      <c r="N299" s="137">
        <f>DSUM(SEP_2013_A,26,RM_58_)</f>
        <v>0</v>
      </c>
      <c r="O299" s="137">
        <f>DSUM(SEP_2013_A,27,RM_58_)</f>
        <v>0</v>
      </c>
      <c r="P299" s="137">
        <f>DSUM(SEP_2013_A,28,RM_58_)</f>
        <v>0</v>
      </c>
      <c r="Q299" s="137">
        <f>DSUM(SEP_2013_A,29,RM_58_)</f>
        <v>0</v>
      </c>
      <c r="R299" s="137">
        <f>DSUM(SEP_2013_A,30,RM_58_)</f>
        <v>0</v>
      </c>
      <c r="S299" s="137">
        <f>DSUM(SEP_2013_A,31,RM_58_)</f>
        <v>0</v>
      </c>
      <c r="T299" s="137">
        <f>DSUM(SEP_2013_A,32,RM_58_)</f>
        <v>0</v>
      </c>
      <c r="U299" s="137">
        <f>DSUM(SEP_2013_A,33,RM_58_)</f>
        <v>0</v>
      </c>
      <c r="V299" s="137">
        <f>DSUM(SEP_2013_A,34,RM_58_)</f>
        <v>0</v>
      </c>
    </row>
    <row r="300" spans="2:22" ht="15.95" customHeight="1" x14ac:dyDescent="0.2">
      <c r="B300" s="1" t="s">
        <v>1055</v>
      </c>
      <c r="C300" s="129" t="str">
        <f t="shared" si="28"/>
        <v>Rancho Recoveco No. 1</v>
      </c>
      <c r="D300" s="129" t="str">
        <f t="shared" si="29"/>
        <v>Díaz</v>
      </c>
      <c r="E300" s="90">
        <f t="shared" si="30"/>
        <v>300</v>
      </c>
      <c r="F300" s="91">
        <f>DSUM(SEP_2013_A,AA,RV_1_)</f>
        <v>300</v>
      </c>
      <c r="G300" s="90">
        <f t="shared" si="31"/>
        <v>2700</v>
      </c>
      <c r="H300" s="90">
        <f>DSUM(SEP_2013_A,importe,RV_1_)</f>
        <v>3000</v>
      </c>
      <c r="I300" s="17">
        <f t="shared" si="32"/>
        <v>9</v>
      </c>
      <c r="J300" s="6" t="s">
        <v>1282</v>
      </c>
      <c r="K300" s="137">
        <f>DSUM(SEP_2013_A,23,RV_1_)</f>
        <v>300</v>
      </c>
      <c r="L300" s="137">
        <f>DSUM(SEP_2013_A,24,RV_1_)</f>
        <v>300</v>
      </c>
      <c r="M300" s="137">
        <f>DSUM(SEP_2013_A,25,RV_1_)</f>
        <v>300</v>
      </c>
      <c r="N300" s="137">
        <f>DSUM(SEP_2013_A,26,RV_1_)</f>
        <v>300</v>
      </c>
      <c r="O300" s="137">
        <f>DSUM(SEP_2013_A,27,RV_1_)</f>
        <v>300</v>
      </c>
      <c r="P300" s="137">
        <f>DSUM(SEP_2013_A,28,RV_1_)</f>
        <v>300</v>
      </c>
      <c r="Q300" s="137">
        <f>DSUM(SEP_2013_A,29,RV_1_)</f>
        <v>300</v>
      </c>
      <c r="R300" s="137">
        <f>DSUM(SEP_2013_A,30,RV_1_)</f>
        <v>300</v>
      </c>
      <c r="S300" s="137">
        <f>DSUM(SEP_2013_A,31,RV_1_)</f>
        <v>300</v>
      </c>
      <c r="T300" s="137">
        <f>DSUM(SEP_2013_A,32,RV_1_)</f>
        <v>0</v>
      </c>
      <c r="U300" s="137">
        <f>DSUM(SEP_2013_A,33,RV_1_)</f>
        <v>0</v>
      </c>
      <c r="V300" s="137">
        <f>DSUM(SEP_2013_A,34,RV_1_)</f>
        <v>0</v>
      </c>
    </row>
    <row r="301" spans="2:22" ht="15.95" customHeight="1" x14ac:dyDescent="0.2">
      <c r="B301" s="1" t="s">
        <v>1056</v>
      </c>
      <c r="C301" s="129" t="str">
        <f t="shared" si="28"/>
        <v>Rancho Recoveco No. 2</v>
      </c>
      <c r="D301" s="129">
        <f t="shared" si="29"/>
        <v>0</v>
      </c>
      <c r="E301" s="90">
        <f t="shared" si="30"/>
        <v>300</v>
      </c>
      <c r="F301" s="91">
        <f>DSUM(SEP_2013_A,AA,RV_2_)</f>
        <v>0</v>
      </c>
      <c r="G301" s="90">
        <f t="shared" si="31"/>
        <v>0</v>
      </c>
      <c r="H301" s="90">
        <f>DSUM(SEP_2013_A,importe,RV_2_)</f>
        <v>0</v>
      </c>
      <c r="I301" s="17">
        <f t="shared" si="32"/>
        <v>0</v>
      </c>
      <c r="J301" s="6" t="s">
        <v>1282</v>
      </c>
      <c r="K301" s="137">
        <f>DSUM(SEP_2013_A,23,RV_2_)</f>
        <v>0</v>
      </c>
      <c r="L301" s="137">
        <f>DSUM(SEP_2013_A,24,RV_2_)</f>
        <v>0</v>
      </c>
      <c r="M301" s="137">
        <f>DSUM(SEP_2013_A,25,RV_2_)</f>
        <v>0</v>
      </c>
      <c r="N301" s="137">
        <f>DSUM(SEP_2013_A,26,RV_2_)</f>
        <v>0</v>
      </c>
      <c r="O301" s="137">
        <f>DSUM(SEP_2013_A,27,RV_2_)</f>
        <v>0</v>
      </c>
      <c r="P301" s="137">
        <f>DSUM(SEP_2013_A,28,RV_2_)</f>
        <v>0</v>
      </c>
      <c r="Q301" s="137">
        <f>DSUM(SEP_2013_A,29,RV_2_)</f>
        <v>0</v>
      </c>
      <c r="R301" s="137">
        <f>DSUM(SEP_2013_A,30,RV_2_)</f>
        <v>0</v>
      </c>
      <c r="S301" s="137">
        <f>DSUM(SEP_2013_A,31,RV_2_)</f>
        <v>0</v>
      </c>
      <c r="T301" s="137">
        <f>DSUM(SEP_2013_A,32,RV_2_)</f>
        <v>0</v>
      </c>
      <c r="U301" s="137">
        <f>DSUM(SEP_2013_A,33,RV_2_)</f>
        <v>0</v>
      </c>
      <c r="V301" s="137">
        <f>DSUM(SEP_2013_A,34,RV_2_)</f>
        <v>0</v>
      </c>
    </row>
    <row r="302" spans="2:22" ht="15.95" customHeight="1" x14ac:dyDescent="0.2">
      <c r="B302" s="1" t="s">
        <v>1057</v>
      </c>
      <c r="C302" s="129" t="str">
        <f t="shared" si="28"/>
        <v>Rancho Recoveco No. 3</v>
      </c>
      <c r="D302" s="129" t="str">
        <f t="shared" si="29"/>
        <v>Garduño</v>
      </c>
      <c r="E302" s="90">
        <f t="shared" si="30"/>
        <v>300</v>
      </c>
      <c r="F302" s="91">
        <f>DSUM(SEP_2013_A,AA,RV_3_)</f>
        <v>300</v>
      </c>
      <c r="G302" s="90">
        <f t="shared" si="31"/>
        <v>2700</v>
      </c>
      <c r="H302" s="90">
        <f>DSUM(SEP_2013_A,importe,RV_3_)</f>
        <v>3000</v>
      </c>
      <c r="I302" s="17">
        <f t="shared" si="32"/>
        <v>9</v>
      </c>
      <c r="J302" s="6" t="s">
        <v>1282</v>
      </c>
      <c r="K302" s="137">
        <f>DSUM(SEP_2013_A,23,RV_3_)</f>
        <v>300</v>
      </c>
      <c r="L302" s="137">
        <f>DSUM(SEP_2013_A,24,RV_3_)</f>
        <v>300</v>
      </c>
      <c r="M302" s="137">
        <f>DSUM(SEP_2013_A,25,RV_3_)</f>
        <v>300</v>
      </c>
      <c r="N302" s="137">
        <f>DSUM(SEP_2013_A,26,RV_3_)</f>
        <v>300</v>
      </c>
      <c r="O302" s="137">
        <f>DSUM(SEP_2013_A,27,RV_3_)</f>
        <v>300</v>
      </c>
      <c r="P302" s="137">
        <f>DSUM(SEP_2013_A,28,RV_3_)</f>
        <v>300</v>
      </c>
      <c r="Q302" s="137">
        <f>DSUM(SEP_2013_A,29,RV_3_)</f>
        <v>300</v>
      </c>
      <c r="R302" s="137">
        <f>DSUM(SEP_2013_A,30,RV_3_)</f>
        <v>300</v>
      </c>
      <c r="S302" s="137">
        <f>DSUM(SEP_2013_A,31,RV_3_)</f>
        <v>300</v>
      </c>
      <c r="T302" s="137">
        <f>DSUM(SEP_2013_A,32,RV_3_)</f>
        <v>0</v>
      </c>
      <c r="U302" s="137">
        <f>DSUM(SEP_2013_A,33,RV_3_)</f>
        <v>0</v>
      </c>
      <c r="V302" s="137">
        <f>DSUM(SEP_2013_A,34,RV_3_)</f>
        <v>0</v>
      </c>
    </row>
    <row r="303" spans="2:22" ht="15.95" customHeight="1" x14ac:dyDescent="0.2">
      <c r="B303" s="1" t="s">
        <v>776</v>
      </c>
      <c r="C303" s="129" t="str">
        <f t="shared" si="28"/>
        <v>Rancho Recoveco No. 173</v>
      </c>
      <c r="D303" s="129" t="str">
        <f t="shared" si="29"/>
        <v>Velarde</v>
      </c>
      <c r="E303" s="90">
        <f t="shared" si="30"/>
        <v>300</v>
      </c>
      <c r="F303" s="91">
        <f>DSUM(SEP_2013_A,AA,RV_173_)</f>
        <v>300</v>
      </c>
      <c r="G303" s="90">
        <f t="shared" si="31"/>
        <v>2700</v>
      </c>
      <c r="H303" s="90">
        <f>DSUM(SEP_2013_A,importe,RV_173_)</f>
        <v>3000</v>
      </c>
      <c r="I303" s="17">
        <f t="shared" si="32"/>
        <v>9</v>
      </c>
      <c r="J303" s="6" t="s">
        <v>1282</v>
      </c>
      <c r="K303" s="137">
        <f>DSUM(SEP_2013_A,23,RV_173_)</f>
        <v>300</v>
      </c>
      <c r="L303" s="137">
        <f>DSUM(SEP_2013_A,24,RV_173_)</f>
        <v>300</v>
      </c>
      <c r="M303" s="137">
        <f>DSUM(SEP_2013_A,25,RV_173_)</f>
        <v>300</v>
      </c>
      <c r="N303" s="137">
        <f>DSUM(SEP_2013_A,26,RV_173_)</f>
        <v>300</v>
      </c>
      <c r="O303" s="137">
        <f>DSUM(SEP_2013_A,27,RV_173_)</f>
        <v>300</v>
      </c>
      <c r="P303" s="137">
        <f>DSUM(SEP_2013_A,28,RV_173_)</f>
        <v>300</v>
      </c>
      <c r="Q303" s="137">
        <f>DSUM(SEP_2013_A,29,RV_173_)</f>
        <v>300</v>
      </c>
      <c r="R303" s="137">
        <f>DSUM(SEP_2013_A,30,RV_173_)</f>
        <v>300</v>
      </c>
      <c r="S303" s="137">
        <f>DSUM(SEP_2013_A,31,RV_173_)</f>
        <v>300</v>
      </c>
      <c r="T303" s="137">
        <f>DSUM(SEP_2013_A,32,RV_173_)</f>
        <v>0</v>
      </c>
      <c r="U303" s="137">
        <f>DSUM(SEP_2013_A,33,RV_173_)</f>
        <v>0</v>
      </c>
      <c r="V303" s="137">
        <f>DSUM(SEP_2013_A,34,RV_173_)</f>
        <v>0</v>
      </c>
    </row>
    <row r="304" spans="2:22" ht="15.95" customHeight="1" x14ac:dyDescent="0.2">
      <c r="B304" s="1" t="s">
        <v>1058</v>
      </c>
      <c r="C304" s="129" t="str">
        <f t="shared" si="28"/>
        <v>Rancho Recoveco No. 175, A</v>
      </c>
      <c r="D304" s="129" t="str">
        <f t="shared" si="29"/>
        <v>Pérez</v>
      </c>
      <c r="E304" s="90">
        <f t="shared" si="30"/>
        <v>300</v>
      </c>
      <c r="F304" s="91">
        <f>DSUM(SEP_2013_A,AA,RV_175_A)</f>
        <v>600</v>
      </c>
      <c r="G304" s="90">
        <f t="shared" si="31"/>
        <v>2700</v>
      </c>
      <c r="H304" s="90">
        <f>DSUM(SEP_2013_A,importe,RV_175_A)</f>
        <v>3300</v>
      </c>
      <c r="I304" s="17">
        <f t="shared" si="32"/>
        <v>9</v>
      </c>
      <c r="J304" s="6" t="s">
        <v>1282</v>
      </c>
      <c r="K304" s="137">
        <f>DSUM(SEP_2013_A,23,RV_175_A)</f>
        <v>300</v>
      </c>
      <c r="L304" s="137">
        <f>DSUM(SEP_2013_A,24,RV_175_A)</f>
        <v>300</v>
      </c>
      <c r="M304" s="137">
        <f>DSUM(SEP_2013_A,25,RV_175_A)</f>
        <v>300</v>
      </c>
      <c r="N304" s="137">
        <f>DSUM(SEP_2013_A,26,RV_175_A)</f>
        <v>300</v>
      </c>
      <c r="O304" s="137">
        <f>DSUM(SEP_2013_A,27,RV_175_A)</f>
        <v>300</v>
      </c>
      <c r="P304" s="137">
        <f>DSUM(SEP_2013_A,28,RV_175_A)</f>
        <v>300</v>
      </c>
      <c r="Q304" s="137">
        <f>DSUM(SEP_2013_A,29,RV_175_A)</f>
        <v>300</v>
      </c>
      <c r="R304" s="137">
        <f>DSUM(SEP_2013_A,30,RV_175_A)</f>
        <v>300</v>
      </c>
      <c r="S304" s="137">
        <f>DSUM(SEP_2013_A,31,RV_175_A)</f>
        <v>300</v>
      </c>
      <c r="T304" s="137">
        <f>DSUM(SEP_2013_A,32,RV_175_A)</f>
        <v>0</v>
      </c>
      <c r="U304" s="137">
        <f>DSUM(SEP_2013_A,33,RV_175_A)</f>
        <v>0</v>
      </c>
      <c r="V304" s="137">
        <f>DSUM(SEP_2013_A,34,RV_175_A)</f>
        <v>0</v>
      </c>
    </row>
    <row r="305" spans="2:22" ht="15.95" customHeight="1" x14ac:dyDescent="0.2">
      <c r="B305" s="1" t="s">
        <v>1059</v>
      </c>
      <c r="C305" s="129" t="str">
        <f t="shared" si="28"/>
        <v>Rancho Recoveco No. 175, B</v>
      </c>
      <c r="D305" s="129" t="str">
        <f t="shared" si="29"/>
        <v>García Calderón</v>
      </c>
      <c r="E305" s="90">
        <f t="shared" si="30"/>
        <v>150</v>
      </c>
      <c r="F305" s="91">
        <f>DSUM(SEP_2013_A,AA,RV_175_B)</f>
        <v>150</v>
      </c>
      <c r="G305" s="90">
        <f t="shared" si="31"/>
        <v>1400</v>
      </c>
      <c r="H305" s="90">
        <f>DSUM(SEP_2013_A,importe,RV_175_B)</f>
        <v>1550</v>
      </c>
      <c r="I305" s="17">
        <f t="shared" si="32"/>
        <v>9.3333333333333339</v>
      </c>
      <c r="J305" s="6" t="s">
        <v>1282</v>
      </c>
      <c r="K305" s="137">
        <f>DSUM(SEP_2013_A,23,RV_175_B)</f>
        <v>150</v>
      </c>
      <c r="L305" s="137">
        <f>DSUM(SEP_2013_A,24,RV_175_B)</f>
        <v>150</v>
      </c>
      <c r="M305" s="137">
        <f>DSUM(SEP_2013_A,25,RV_175_B)</f>
        <v>150</v>
      </c>
      <c r="N305" s="137">
        <f>DSUM(SEP_2013_A,26,RV_175_B)</f>
        <v>150</v>
      </c>
      <c r="O305" s="137">
        <f>DSUM(SEP_2013_A,27,RV_175_B)</f>
        <v>150</v>
      </c>
      <c r="P305" s="137">
        <f>DSUM(SEP_2013_A,28,RV_175_B)</f>
        <v>150</v>
      </c>
      <c r="Q305" s="137">
        <f>DSUM(SEP_2013_A,29,RV_175_B)</f>
        <v>150</v>
      </c>
      <c r="R305" s="137">
        <f>DSUM(SEP_2013_A,30,RV_175_B)</f>
        <v>150</v>
      </c>
      <c r="S305" s="137">
        <f>DSUM(SEP_2013_A,31,RV_175_B)</f>
        <v>200</v>
      </c>
      <c r="T305" s="137">
        <f>DSUM(SEP_2013_A,32,RV_175_B)</f>
        <v>0</v>
      </c>
      <c r="U305" s="137">
        <f>DSUM(SEP_2013_A,33,RV_175_B)</f>
        <v>0</v>
      </c>
      <c r="V305" s="137">
        <f>DSUM(SEP_2013_A,34,RV_175_B)</f>
        <v>0</v>
      </c>
    </row>
    <row r="306" spans="2:22" ht="15.95" customHeight="1" x14ac:dyDescent="0.2">
      <c r="B306" s="1" t="s">
        <v>1181</v>
      </c>
      <c r="C306" s="129" t="str">
        <f t="shared" si="28"/>
        <v>Rancho Recoveco No. 175</v>
      </c>
      <c r="D306" s="129" t="str">
        <f t="shared" si="29"/>
        <v>Ramírez</v>
      </c>
      <c r="E306" s="90">
        <f t="shared" si="30"/>
        <v>300</v>
      </c>
      <c r="F306" s="91">
        <f>DSUM(SEP_2013_A,AA,RV_175_0)</f>
        <v>300</v>
      </c>
      <c r="G306" s="90">
        <f t="shared" si="31"/>
        <v>3000</v>
      </c>
      <c r="H306" s="90">
        <f>DSUM(SEP_2013_A,importe,RV_175_0)</f>
        <v>3300</v>
      </c>
      <c r="I306" s="17">
        <f t="shared" si="32"/>
        <v>10</v>
      </c>
      <c r="J306" s="6" t="s">
        <v>1282</v>
      </c>
      <c r="K306" s="137">
        <f>DSUM(SEP_2013_A,23,RV_175_0)</f>
        <v>300</v>
      </c>
      <c r="L306" s="137">
        <f>DSUM(SEP_2013_A,24,RV_175_0)</f>
        <v>300</v>
      </c>
      <c r="M306" s="137">
        <f>DSUM(SEP_2013_A,25,RV_175_0)</f>
        <v>300</v>
      </c>
      <c r="N306" s="137">
        <f>DSUM(SEP_2013_A,26,RV_175_0)</f>
        <v>300</v>
      </c>
      <c r="O306" s="137">
        <f>DSUM(SEP_2013_A,27,RV_175_0)</f>
        <v>300</v>
      </c>
      <c r="P306" s="137">
        <f>DSUM(SEP_2013_A,28,RV_175_0)</f>
        <v>300</v>
      </c>
      <c r="Q306" s="137">
        <f>DSUM(SEP_2013_A,29,RV_175_0)</f>
        <v>300</v>
      </c>
      <c r="R306" s="137">
        <f>DSUM(SEP_2013_A,30,RV_175_0)</f>
        <v>300</v>
      </c>
      <c r="S306" s="137">
        <f>DSUM(SEP_2013_A,31,RV_175_0)</f>
        <v>300</v>
      </c>
      <c r="T306" s="137">
        <f>DSUM(SEP_2013_A,32,RV_175_0)</f>
        <v>300</v>
      </c>
      <c r="U306" s="137">
        <f>DSUM(SEP_2013_A,33,RV_175_0)</f>
        <v>0</v>
      </c>
      <c r="V306" s="137">
        <f>DSUM(SEP_2013_A,34,RV_175_0)</f>
        <v>0</v>
      </c>
    </row>
    <row r="307" spans="2:22" ht="15.95" customHeight="1" x14ac:dyDescent="0.2">
      <c r="B307" s="1" t="s">
        <v>1060</v>
      </c>
      <c r="C307" s="129" t="str">
        <f t="shared" si="28"/>
        <v>Rancho Recoveco No. 179</v>
      </c>
      <c r="D307" s="129" t="str">
        <f t="shared" si="29"/>
        <v>Flores Delgado</v>
      </c>
      <c r="E307" s="90">
        <f t="shared" si="30"/>
        <v>300</v>
      </c>
      <c r="F307" s="91">
        <f>DSUM(SEP_2013_A,AA,RV_179_)</f>
        <v>300</v>
      </c>
      <c r="G307" s="90">
        <f t="shared" si="31"/>
        <v>3100</v>
      </c>
      <c r="H307" s="90">
        <f>DSUM(SEP_2013_A,importe,RV_179_)</f>
        <v>3400</v>
      </c>
      <c r="I307" s="17">
        <f t="shared" si="32"/>
        <v>10.333333333333334</v>
      </c>
      <c r="J307" s="6" t="s">
        <v>1282</v>
      </c>
      <c r="K307" s="137">
        <f>DSUM(SEP_2013_A,23,RV_179_)</f>
        <v>300</v>
      </c>
      <c r="L307" s="137">
        <f>DSUM(SEP_2013_A,24,RV_179_)</f>
        <v>300</v>
      </c>
      <c r="M307" s="137">
        <f>DSUM(SEP_2013_A,25,RV_179_)</f>
        <v>300</v>
      </c>
      <c r="N307" s="137">
        <f>DSUM(SEP_2013_A,26,RV_179_)</f>
        <v>300</v>
      </c>
      <c r="O307" s="137">
        <f>DSUM(SEP_2013_A,27,RV_179_)</f>
        <v>300</v>
      </c>
      <c r="P307" s="137">
        <f>DSUM(SEP_2013_A,28,RV_179_)</f>
        <v>300</v>
      </c>
      <c r="Q307" s="137">
        <f>DSUM(SEP_2013_A,29,RV_179_)</f>
        <v>300</v>
      </c>
      <c r="R307" s="137">
        <f>DSUM(SEP_2013_A,30,RV_179_)</f>
        <v>300</v>
      </c>
      <c r="S307" s="137">
        <f>DSUM(SEP_2013_A,31,RV_179_)</f>
        <v>300</v>
      </c>
      <c r="T307" s="137">
        <f>DSUM(SEP_2013_A,32,RV_179_)</f>
        <v>400</v>
      </c>
      <c r="U307" s="137">
        <f>DSUM(SEP_2013_A,33,RV_179_)</f>
        <v>0</v>
      </c>
      <c r="V307" s="137">
        <f>DSUM(SEP_2013_A,34,RV_179_)</f>
        <v>0</v>
      </c>
    </row>
    <row r="308" spans="2:22" ht="15.95" customHeight="1" x14ac:dyDescent="0.2">
      <c r="B308" s="1" t="s">
        <v>1061</v>
      </c>
      <c r="C308" s="129" t="str">
        <f t="shared" si="28"/>
        <v>Rancho Recoveco No. 181</v>
      </c>
      <c r="D308" s="129" t="str">
        <f t="shared" si="29"/>
        <v>Paredes</v>
      </c>
      <c r="E308" s="90">
        <f t="shared" si="30"/>
        <v>300</v>
      </c>
      <c r="F308" s="91">
        <f>DSUM(SEP_2013_A,AA,RV_181_)</f>
        <v>0</v>
      </c>
      <c r="G308" s="90">
        <f t="shared" si="31"/>
        <v>900</v>
      </c>
      <c r="H308" s="90">
        <f>DSUM(SEP_2013_A,importe,RV_181_)</f>
        <v>900</v>
      </c>
      <c r="I308" s="17">
        <f t="shared" si="32"/>
        <v>3</v>
      </c>
      <c r="J308" s="6" t="s">
        <v>1282</v>
      </c>
      <c r="K308" s="137">
        <f>DSUM(SEP_2013_A,23,RV_181_)</f>
        <v>0</v>
      </c>
      <c r="L308" s="137">
        <f>DSUM(SEP_2013_A,24,RV_181_)</f>
        <v>0</v>
      </c>
      <c r="M308" s="137">
        <f>DSUM(SEP_2013_A,25,RV_181_)</f>
        <v>0</v>
      </c>
      <c r="N308" s="137">
        <f>DSUM(SEP_2013_A,26,RV_181_)</f>
        <v>0</v>
      </c>
      <c r="O308" s="137">
        <f>DSUM(SEP_2013_A,27,RV_181_)</f>
        <v>0</v>
      </c>
      <c r="P308" s="137">
        <f>DSUM(SEP_2013_A,28,RV_181_)</f>
        <v>0</v>
      </c>
      <c r="Q308" s="137">
        <f>DSUM(SEP_2013_A,29,RV_181_)</f>
        <v>300</v>
      </c>
      <c r="R308" s="137">
        <f>DSUM(SEP_2013_A,30,RV_181_)</f>
        <v>300</v>
      </c>
      <c r="S308" s="137">
        <f>DSUM(SEP_2013_A,31,RV_181_)</f>
        <v>300</v>
      </c>
      <c r="T308" s="137">
        <f>DSUM(SEP_2013_A,32,RV_181_)</f>
        <v>0</v>
      </c>
      <c r="U308" s="137">
        <f>DSUM(SEP_2013_A,33,RV_181_)</f>
        <v>0</v>
      </c>
      <c r="V308" s="137">
        <f>DSUM(SEP_2013_A,34,RV_181_)</f>
        <v>0</v>
      </c>
    </row>
    <row r="309" spans="2:22" ht="15.95" customHeight="1" x14ac:dyDescent="0.2">
      <c r="B309" s="1" t="s">
        <v>1062</v>
      </c>
      <c r="C309" s="129" t="str">
        <f t="shared" si="28"/>
        <v>Rancho Recoveco No. 183</v>
      </c>
      <c r="D309" s="129" t="str">
        <f t="shared" si="29"/>
        <v>Atilano Limón</v>
      </c>
      <c r="E309" s="90">
        <f t="shared" si="30"/>
        <v>300</v>
      </c>
      <c r="F309" s="91">
        <f>DSUM(SEP_2013_A,AA,RV_183_)</f>
        <v>0</v>
      </c>
      <c r="G309" s="90">
        <f t="shared" si="31"/>
        <v>3300</v>
      </c>
      <c r="H309" s="90">
        <f>DSUM(SEP_2013_A,importe,RV_183_)</f>
        <v>3300</v>
      </c>
      <c r="I309" s="17">
        <f>IF(VLOOKUP(B309,BASE_A,9,FALSE)=0,0,(G309/VLOOKUP(B309,BASE_A,9,FALSE)))+1</f>
        <v>12</v>
      </c>
      <c r="J309" s="6" t="s">
        <v>1282</v>
      </c>
      <c r="K309" s="137">
        <f>DSUM(SEP_2013_A,23,RV_183_)</f>
        <v>300</v>
      </c>
      <c r="L309" s="137">
        <f>DSUM(SEP_2013_A,24,RV_183_)</f>
        <v>300</v>
      </c>
      <c r="M309" s="137">
        <f>DSUM(SEP_2013_A,25,RV_183_)</f>
        <v>300</v>
      </c>
      <c r="N309" s="137">
        <f>DSUM(SEP_2013_A,26,RV_183_)</f>
        <v>300</v>
      </c>
      <c r="O309" s="137">
        <f>DSUM(SEP_2013_A,27,RV_183_)</f>
        <v>300</v>
      </c>
      <c r="P309" s="137">
        <f>DSUM(SEP_2013_A,28,RV_183_)</f>
        <v>300</v>
      </c>
      <c r="Q309" s="137">
        <f>DSUM(SEP_2013_A,29,RV_183_)</f>
        <v>300</v>
      </c>
      <c r="R309" s="137">
        <f>DSUM(SEP_2013_A,30,RV_183_)</f>
        <v>300</v>
      </c>
      <c r="S309" s="137">
        <f>DSUM(SEP_2013_A,31,RV_183_)</f>
        <v>300</v>
      </c>
      <c r="T309" s="137">
        <f>DSUM(SEP_2013_A,32,RV_183_)</f>
        <v>300</v>
      </c>
      <c r="U309" s="137">
        <f>DSUM(SEP_2013_A,33,RV_183_)</f>
        <v>300</v>
      </c>
      <c r="V309" s="137">
        <f>DSUM(SEP_2013_A,34,RV_183_)</f>
        <v>0</v>
      </c>
    </row>
    <row r="310" spans="2:22" ht="15.95" customHeight="1" x14ac:dyDescent="0.2">
      <c r="B310" s="1" t="s">
        <v>1063</v>
      </c>
      <c r="C310" s="129" t="str">
        <f t="shared" si="28"/>
        <v>Rancho Recoveco No. 187</v>
      </c>
      <c r="D310" s="129" t="str">
        <f t="shared" si="29"/>
        <v>Moreno</v>
      </c>
      <c r="E310" s="90">
        <f t="shared" si="30"/>
        <v>300</v>
      </c>
      <c r="F310" s="91">
        <f>DSUM(SEP_2013_A,AA,RV_187_)</f>
        <v>0</v>
      </c>
      <c r="G310" s="90">
        <f t="shared" si="31"/>
        <v>2400</v>
      </c>
      <c r="H310" s="90">
        <f>DSUM(SEP_2013_A,importe,RV_187_)</f>
        <v>2400</v>
      </c>
      <c r="I310" s="17">
        <f t="shared" ref="I310:I315" si="33">IF(VLOOKUP(B310,BASE_A,9,FALSE)=0,0,G310/VLOOKUP(B310,BASE_A,9,FALSE))</f>
        <v>8</v>
      </c>
      <c r="J310" s="6" t="s">
        <v>1282</v>
      </c>
      <c r="K310" s="137">
        <f>DSUM(SEP_2013_A,23,RV_187_)</f>
        <v>300</v>
      </c>
      <c r="L310" s="137">
        <f>DSUM(SEP_2013_A,24,RV_187_)</f>
        <v>300</v>
      </c>
      <c r="M310" s="137">
        <f>DSUM(SEP_2013_A,25,RV_187_)</f>
        <v>300</v>
      </c>
      <c r="N310" s="137">
        <f>DSUM(SEP_2013_A,26,RV_187_)</f>
        <v>300</v>
      </c>
      <c r="O310" s="137">
        <f>DSUM(SEP_2013_A,27,RV_187_)</f>
        <v>300</v>
      </c>
      <c r="P310" s="137">
        <f>DSUM(SEP_2013_A,28,RV_187_)</f>
        <v>300</v>
      </c>
      <c r="Q310" s="137">
        <f>DSUM(SEP_2013_A,29,RV_187_)</f>
        <v>300</v>
      </c>
      <c r="R310" s="137">
        <f>DSUM(SEP_2013_A,30,RV_187_)</f>
        <v>300</v>
      </c>
      <c r="S310" s="137">
        <f>DSUM(SEP_2013_A,31,RV_187_)</f>
        <v>0</v>
      </c>
      <c r="T310" s="137">
        <f>DSUM(SEP_2013_A,32,RV_187_)</f>
        <v>0</v>
      </c>
      <c r="U310" s="137">
        <f>DSUM(SEP_2013_A,33,RV_187_)</f>
        <v>0</v>
      </c>
      <c r="V310" s="137">
        <f>DSUM(SEP_2013_A,34,RV_187_)</f>
        <v>0</v>
      </c>
    </row>
    <row r="311" spans="2:22" ht="15.95" customHeight="1" x14ac:dyDescent="0.2">
      <c r="B311" s="1" t="s">
        <v>1064</v>
      </c>
      <c r="C311" s="129" t="str">
        <f t="shared" si="28"/>
        <v>Rancho Recoveco No. 189</v>
      </c>
      <c r="D311" s="129" t="str">
        <f t="shared" si="29"/>
        <v>Vidal García</v>
      </c>
      <c r="E311" s="90">
        <f t="shared" si="30"/>
        <v>300</v>
      </c>
      <c r="F311" s="91">
        <f>DSUM(SEP_2013_A,AA,RV_189_)</f>
        <v>0</v>
      </c>
      <c r="G311" s="90">
        <f t="shared" si="31"/>
        <v>0</v>
      </c>
      <c r="H311" s="90">
        <f>DSUM(SEP_2013_A,importe,RV_189_)</f>
        <v>0</v>
      </c>
      <c r="I311" s="17">
        <f t="shared" si="33"/>
        <v>0</v>
      </c>
      <c r="J311" s="6" t="s">
        <v>1282</v>
      </c>
      <c r="K311" s="137">
        <f>DSUM(SEP_2013_A,23,RV_189_)</f>
        <v>0</v>
      </c>
      <c r="L311" s="137">
        <f>DSUM(SEP_2013_A,24,RV_189_)</f>
        <v>0</v>
      </c>
      <c r="M311" s="137">
        <f>DSUM(SEP_2013_A,25,RV_189_)</f>
        <v>0</v>
      </c>
      <c r="N311" s="137">
        <f>DSUM(SEP_2013_A,26,RV_189_)</f>
        <v>0</v>
      </c>
      <c r="O311" s="137">
        <f>DSUM(SEP_2013_A,27,RV_189_)</f>
        <v>0</v>
      </c>
      <c r="P311" s="137">
        <f>DSUM(SEP_2013_A,28,RV_189_)</f>
        <v>0</v>
      </c>
      <c r="Q311" s="137">
        <f>DSUM(SEP_2013_A,29,RV_189_)</f>
        <v>0</v>
      </c>
      <c r="R311" s="137">
        <f>DSUM(SEP_2013_A,30,RV_189_)</f>
        <v>0</v>
      </c>
      <c r="S311" s="137">
        <f>DSUM(SEP_2013_A,31,RV_189_)</f>
        <v>0</v>
      </c>
      <c r="T311" s="137">
        <f>DSUM(SEP_2013_A,32,RV_189_)</f>
        <v>0</v>
      </c>
      <c r="U311" s="137">
        <f>DSUM(SEP_2013_A,33,RV_189_)</f>
        <v>0</v>
      </c>
      <c r="V311" s="137">
        <f>DSUM(SEP_2013_A,34,RV_189_)</f>
        <v>0</v>
      </c>
    </row>
    <row r="312" spans="2:22" ht="15.95" customHeight="1" x14ac:dyDescent="0.2">
      <c r="B312" s="1" t="s">
        <v>1065</v>
      </c>
      <c r="C312" s="129" t="str">
        <f t="shared" si="28"/>
        <v>Rancho Recoveco No. 193</v>
      </c>
      <c r="D312" s="129" t="str">
        <f t="shared" si="29"/>
        <v>Salazar Pérez</v>
      </c>
      <c r="E312" s="90">
        <f t="shared" si="30"/>
        <v>300</v>
      </c>
      <c r="F312" s="91">
        <f>DSUM(SEP_2013_A,AA,RV_193_)</f>
        <v>0</v>
      </c>
      <c r="G312" s="90">
        <f t="shared" si="31"/>
        <v>2100</v>
      </c>
      <c r="H312" s="90">
        <f>DSUM(SEP_2013_A,importe,RV_193_)</f>
        <v>2100</v>
      </c>
      <c r="I312" s="17">
        <f t="shared" si="33"/>
        <v>7</v>
      </c>
      <c r="J312" s="6" t="s">
        <v>1282</v>
      </c>
      <c r="K312" s="137">
        <f>DSUM(SEP_2013_A,23,RV_193_)</f>
        <v>0</v>
      </c>
      <c r="L312" s="137">
        <f>DSUM(SEP_2013_A,24,RV_193_)</f>
        <v>0</v>
      </c>
      <c r="M312" s="137">
        <f>DSUM(SEP_2013_A,25,RV_193_)</f>
        <v>300</v>
      </c>
      <c r="N312" s="137">
        <f>DSUM(SEP_2013_A,26,RV_193_)</f>
        <v>300</v>
      </c>
      <c r="O312" s="137">
        <f>DSUM(SEP_2013_A,27,RV_193_)</f>
        <v>300</v>
      </c>
      <c r="P312" s="137">
        <f>DSUM(SEP_2013_A,28,RV_193_)</f>
        <v>300</v>
      </c>
      <c r="Q312" s="137">
        <f>DSUM(SEP_2013_A,29,RV_193_)</f>
        <v>300</v>
      </c>
      <c r="R312" s="137">
        <f>DSUM(SEP_2013_A,30,RV_193_)</f>
        <v>300</v>
      </c>
      <c r="S312" s="137">
        <f>DSUM(SEP_2013_A,31,RV_193_)</f>
        <v>300</v>
      </c>
      <c r="T312" s="137">
        <f>DSUM(SEP_2013_A,32,RV_193_)</f>
        <v>0</v>
      </c>
      <c r="U312" s="137">
        <f>DSUM(SEP_2013_A,33,RV_193_)</f>
        <v>0</v>
      </c>
      <c r="V312" s="137">
        <f>DSUM(SEP_2013_A,34,RV_193_)</f>
        <v>0</v>
      </c>
    </row>
    <row r="313" spans="2:22" ht="15.95" customHeight="1" x14ac:dyDescent="0.2">
      <c r="B313" s="1" t="s">
        <v>782</v>
      </c>
      <c r="C313" s="129" t="str">
        <f t="shared" si="28"/>
        <v>Rancho Recoveco No. 195</v>
      </c>
      <c r="D313" s="129" t="str">
        <f t="shared" si="29"/>
        <v>Sandoval</v>
      </c>
      <c r="E313" s="90">
        <f t="shared" si="30"/>
        <v>300</v>
      </c>
      <c r="F313" s="91">
        <f>DSUM(SEP_2013_A,AA,RV_195_)</f>
        <v>600</v>
      </c>
      <c r="G313" s="90">
        <f t="shared" si="31"/>
        <v>2400</v>
      </c>
      <c r="H313" s="90">
        <f>DSUM(SEP_2013_A,importe,RV_195_)</f>
        <v>3000</v>
      </c>
      <c r="I313" s="17">
        <f t="shared" si="33"/>
        <v>8</v>
      </c>
      <c r="J313" s="6" t="s">
        <v>1282</v>
      </c>
      <c r="K313" s="137">
        <f>DSUM(SEP_2013_A,23,RV_195_)</f>
        <v>300</v>
      </c>
      <c r="L313" s="137">
        <f>DSUM(SEP_2013_A,24,RV_195_)</f>
        <v>300</v>
      </c>
      <c r="M313" s="137">
        <f>DSUM(SEP_2013_A,25,RV_195_)</f>
        <v>300</v>
      </c>
      <c r="N313" s="137">
        <f>DSUM(SEP_2013_A,26,RV_195_)</f>
        <v>300</v>
      </c>
      <c r="O313" s="137">
        <f>DSUM(SEP_2013_A,27,RV_195_)</f>
        <v>300</v>
      </c>
      <c r="P313" s="137">
        <f>DSUM(SEP_2013_A,28,RV_195_)</f>
        <v>300</v>
      </c>
      <c r="Q313" s="137">
        <f>DSUM(SEP_2013_A,29,RV_195_)</f>
        <v>300</v>
      </c>
      <c r="R313" s="137">
        <f>DSUM(SEP_2013_A,30,RV_195_)</f>
        <v>300</v>
      </c>
      <c r="S313" s="137">
        <f>DSUM(SEP_2013_A,31,RV_195_)</f>
        <v>0</v>
      </c>
      <c r="T313" s="137">
        <f>DSUM(SEP_2013_A,32,RV_195_)</f>
        <v>0</v>
      </c>
      <c r="U313" s="137">
        <f>DSUM(SEP_2013_A,33,RV_195_)</f>
        <v>0</v>
      </c>
      <c r="V313" s="137">
        <f>DSUM(SEP_2013_A,34,RV_195_)</f>
        <v>0</v>
      </c>
    </row>
    <row r="314" spans="2:22" ht="15.95" customHeight="1" x14ac:dyDescent="0.2">
      <c r="B314" s="1" t="s">
        <v>1066</v>
      </c>
      <c r="C314" s="129" t="str">
        <f t="shared" si="28"/>
        <v>Rancho Recoveco No. 197</v>
      </c>
      <c r="D314" s="129" t="str">
        <f t="shared" si="29"/>
        <v>Colín González</v>
      </c>
      <c r="E314" s="90">
        <f t="shared" si="30"/>
        <v>300</v>
      </c>
      <c r="F314" s="91">
        <f>DSUM(SEP_2013_A,AA,RV_197_)</f>
        <v>300</v>
      </c>
      <c r="G314" s="90">
        <f t="shared" si="31"/>
        <v>2700</v>
      </c>
      <c r="H314" s="90">
        <f>DSUM(SEP_2013_A,importe,RV_197_)</f>
        <v>3000</v>
      </c>
      <c r="I314" s="17">
        <f t="shared" si="33"/>
        <v>9</v>
      </c>
      <c r="J314" s="6" t="s">
        <v>1282</v>
      </c>
      <c r="K314" s="137">
        <f>DSUM(SEP_2013_A,23,RV_197_)</f>
        <v>0</v>
      </c>
      <c r="L314" s="137">
        <f>DSUM(SEP_2013_A,24,RV_197_)</f>
        <v>300</v>
      </c>
      <c r="M314" s="137">
        <f>DSUM(SEP_2013_A,25,RV_197_)</f>
        <v>600</v>
      </c>
      <c r="N314" s="137">
        <f>DSUM(SEP_2013_A,26,RV_197_)</f>
        <v>300</v>
      </c>
      <c r="O314" s="137">
        <f>DSUM(SEP_2013_A,27,RV_197_)</f>
        <v>300</v>
      </c>
      <c r="P314" s="137">
        <f>DSUM(SEP_2013_A,28,RV_197_)</f>
        <v>600</v>
      </c>
      <c r="Q314" s="137">
        <f>DSUM(SEP_2013_A,29,RV_197_)</f>
        <v>0</v>
      </c>
      <c r="R314" s="137">
        <f>DSUM(SEP_2013_A,30,RV_197_)</f>
        <v>300</v>
      </c>
      <c r="S314" s="137">
        <f>DSUM(SEP_2013_A,31,RV_197_)</f>
        <v>300</v>
      </c>
      <c r="T314" s="137">
        <f>DSUM(SEP_2013_A,32,RV_197_)</f>
        <v>0</v>
      </c>
      <c r="U314" s="137">
        <f>DSUM(SEP_2013_A,33,RV_197_)</f>
        <v>0</v>
      </c>
      <c r="V314" s="137">
        <f>DSUM(SEP_2013_A,34,RV_197_)</f>
        <v>0</v>
      </c>
    </row>
    <row r="315" spans="2:22" ht="15.95" customHeight="1" x14ac:dyDescent="0.2">
      <c r="B315" s="1" t="s">
        <v>1067</v>
      </c>
      <c r="C315" s="129" t="str">
        <f t="shared" si="28"/>
        <v>Rancho Upácuaro No. 5, B</v>
      </c>
      <c r="D315" s="129" t="str">
        <f t="shared" si="29"/>
        <v>Velázquez Marisol</v>
      </c>
      <c r="E315" s="90">
        <f t="shared" si="30"/>
        <v>300</v>
      </c>
      <c r="F315" s="91">
        <f>DSUM(SEP_2013_A,AA,UP_5_B)</f>
        <v>0</v>
      </c>
      <c r="G315" s="90">
        <f t="shared" si="31"/>
        <v>0</v>
      </c>
      <c r="H315" s="90">
        <f>DSUM(SEP_2013_A,importe,UP_5_B)</f>
        <v>0</v>
      </c>
      <c r="I315" s="17">
        <f t="shared" si="33"/>
        <v>0</v>
      </c>
      <c r="J315" s="6" t="s">
        <v>1283</v>
      </c>
      <c r="K315" s="137">
        <f>DSUM(SEP_2013_A,23,UP_5_B)</f>
        <v>0</v>
      </c>
      <c r="L315" s="137">
        <f>DSUM(SEP_2013_A,24,UP_5_B)</f>
        <v>0</v>
      </c>
      <c r="M315" s="137">
        <f>DSUM(SEP_2013_A,25,UP_5_B)</f>
        <v>0</v>
      </c>
      <c r="N315" s="137">
        <f>DSUM(SEP_2013_A,26,UP_5_B)</f>
        <v>0</v>
      </c>
      <c r="O315" s="137">
        <f>DSUM(SEP_2013_A,27,UP_5_B)</f>
        <v>0</v>
      </c>
      <c r="P315" s="137">
        <f>DSUM(SEP_2013_A,28,UP_5_B)</f>
        <v>0</v>
      </c>
      <c r="Q315" s="137">
        <f>DSUM(SEP_2013_A,29,UP_5_B)</f>
        <v>0</v>
      </c>
      <c r="R315" s="137">
        <f>DSUM(SEP_2013_A,30,UP_5_B)</f>
        <v>0</v>
      </c>
      <c r="S315" s="137">
        <f>DSUM(SEP_2013_A,31,UP_5_B)</f>
        <v>0</v>
      </c>
      <c r="T315" s="137">
        <f>DSUM(SEP_2013_A,32,UP_5_B)</f>
        <v>0</v>
      </c>
      <c r="U315" s="137">
        <f>DSUM(SEP_2013_A,33,UP_5_B)</f>
        <v>0</v>
      </c>
      <c r="V315" s="137">
        <f>DSUM(SEP_2013_A,34,UP_5_B)</f>
        <v>0</v>
      </c>
    </row>
    <row r="316" spans="2:22" ht="15.95" customHeight="1" x14ac:dyDescent="0.2">
      <c r="B316" s="1" t="s">
        <v>1068</v>
      </c>
      <c r="C316" s="129" t="str">
        <f t="shared" si="28"/>
        <v>Rancho Upácuaro No. 7</v>
      </c>
      <c r="D316" s="129" t="str">
        <f t="shared" si="29"/>
        <v xml:space="preserve">Troncoso </v>
      </c>
      <c r="E316" s="90">
        <f t="shared" si="30"/>
        <v>300</v>
      </c>
      <c r="F316" s="91">
        <f>DSUM(SEP_2013_A,AA,UP_7_)</f>
        <v>0</v>
      </c>
      <c r="G316" s="90">
        <f t="shared" si="31"/>
        <v>3300</v>
      </c>
      <c r="H316" s="90">
        <f>DSUM(SEP_2013_A,importe,UP_7_)</f>
        <v>3300</v>
      </c>
      <c r="I316" s="17">
        <f>IF(VLOOKUP(B316,BASE_A,9,FALSE)=0,0,(G316/VLOOKUP(B316,BASE_A,9,FALSE)))+1</f>
        <v>12</v>
      </c>
      <c r="J316" s="6" t="s">
        <v>1283</v>
      </c>
      <c r="K316" s="137">
        <f>DSUM(SEP_2013_A,23,UP_7_)</f>
        <v>300</v>
      </c>
      <c r="L316" s="137">
        <f>DSUM(SEP_2013_A,24,UP_7_)</f>
        <v>300</v>
      </c>
      <c r="M316" s="137">
        <f>DSUM(SEP_2013_A,25,UP_7_)</f>
        <v>300</v>
      </c>
      <c r="N316" s="137">
        <f>DSUM(SEP_2013_A,26,UP_7_)</f>
        <v>300</v>
      </c>
      <c r="O316" s="137">
        <f>DSUM(SEP_2013_A,27,UP_7_)</f>
        <v>300</v>
      </c>
      <c r="P316" s="137">
        <f>DSUM(SEP_2013_A,28,UP_7_)</f>
        <v>300</v>
      </c>
      <c r="Q316" s="137">
        <f>DSUM(SEP_2013_A,29,UP_7_)</f>
        <v>300</v>
      </c>
      <c r="R316" s="137">
        <f>DSUM(SEP_2013_A,30,UP_7_)</f>
        <v>300</v>
      </c>
      <c r="S316" s="137">
        <f>DSUM(SEP_2013_A,31,UP_7_)</f>
        <v>300</v>
      </c>
      <c r="T316" s="137">
        <f>DSUM(SEP_2013_A,32,UP_7_)</f>
        <v>300</v>
      </c>
      <c r="U316" s="137">
        <f>DSUM(SEP_2013_A,33,UP_7_)</f>
        <v>300</v>
      </c>
      <c r="V316" s="137">
        <f>DSUM(SEP_2013_A,34,UP_7_)</f>
        <v>0</v>
      </c>
    </row>
    <row r="317" spans="2:22" ht="15.95" customHeight="1" x14ac:dyDescent="0.2">
      <c r="B317" s="1" t="s">
        <v>1069</v>
      </c>
      <c r="C317" s="129" t="str">
        <f t="shared" si="28"/>
        <v>Rancho Upácuaro No. 8</v>
      </c>
      <c r="D317" s="129" t="str">
        <f t="shared" si="29"/>
        <v>Ibarra</v>
      </c>
      <c r="E317" s="90">
        <f t="shared" si="30"/>
        <v>250</v>
      </c>
      <c r="F317" s="91">
        <f>DSUM(SEP_2013_A,AA,UP_8_)</f>
        <v>0</v>
      </c>
      <c r="G317" s="90">
        <f t="shared" si="31"/>
        <v>2750</v>
      </c>
      <c r="H317" s="90">
        <f>DSUM(SEP_2013_A,importe,UP_8_)</f>
        <v>2750</v>
      </c>
      <c r="I317" s="17">
        <f>IF(VLOOKUP(B317,BASE_A,9,FALSE)=0,0,(G317/VLOOKUP(B317,BASE_A,9,FALSE)))+1</f>
        <v>12</v>
      </c>
      <c r="J317" s="6" t="s">
        <v>1283</v>
      </c>
      <c r="K317" s="137">
        <f>DSUM(SEP_2013_A,23,UP_8_)</f>
        <v>250</v>
      </c>
      <c r="L317" s="137">
        <f>DSUM(SEP_2013_A,24,UP_8_)</f>
        <v>250</v>
      </c>
      <c r="M317" s="137">
        <f>DSUM(SEP_2013_A,25,UP_8_)</f>
        <v>250</v>
      </c>
      <c r="N317" s="137">
        <f>DSUM(SEP_2013_A,26,UP_8_)</f>
        <v>250</v>
      </c>
      <c r="O317" s="137">
        <f>DSUM(SEP_2013_A,27,UP_8_)</f>
        <v>250</v>
      </c>
      <c r="P317" s="137">
        <f>DSUM(SEP_2013_A,28,UP_8_)</f>
        <v>250</v>
      </c>
      <c r="Q317" s="137">
        <f>DSUM(SEP_2013_A,29,UP_8_)</f>
        <v>250</v>
      </c>
      <c r="R317" s="137">
        <f>DSUM(SEP_2013_A,30,UP_8_)</f>
        <v>250</v>
      </c>
      <c r="S317" s="137">
        <f>DSUM(SEP_2013_A,31,UP_8_)</f>
        <v>250</v>
      </c>
      <c r="T317" s="137">
        <f>DSUM(SEP_2013_A,32,UP_8_)</f>
        <v>250</v>
      </c>
      <c r="U317" s="137">
        <f>DSUM(SEP_2013_A,33,UP_8_)</f>
        <v>250</v>
      </c>
      <c r="V317" s="137">
        <f>DSUM(SEP_2013_A,34,UP_8_)</f>
        <v>0</v>
      </c>
    </row>
    <row r="318" spans="2:22" ht="15.95" customHeight="1" x14ac:dyDescent="0.2">
      <c r="B318" s="1" t="s">
        <v>1070</v>
      </c>
      <c r="C318" s="129" t="str">
        <f t="shared" si="28"/>
        <v>Rancho Upácuaro No. 9</v>
      </c>
      <c r="D318" s="129" t="str">
        <f t="shared" si="29"/>
        <v>Núñez</v>
      </c>
      <c r="E318" s="90">
        <f t="shared" si="30"/>
        <v>300</v>
      </c>
      <c r="F318" s="91">
        <f>DSUM(SEP_2013_A,AA,UP_9_)</f>
        <v>0</v>
      </c>
      <c r="G318" s="90">
        <f t="shared" si="31"/>
        <v>0</v>
      </c>
      <c r="H318" s="90">
        <f>DSUM(SEP_2013_A,importe,UP_9_)</f>
        <v>0</v>
      </c>
      <c r="I318" s="17">
        <f>IF(VLOOKUP(B318,BASE_A,9,FALSE)=0,0,G318/VLOOKUP(B318,BASE_A,9,FALSE))</f>
        <v>0</v>
      </c>
      <c r="J318" s="6" t="s">
        <v>1283</v>
      </c>
      <c r="K318" s="137">
        <f>DSUM(SEP_2013_A,23,UP_9_)</f>
        <v>0</v>
      </c>
      <c r="L318" s="137">
        <f>DSUM(SEP_2013_A,24,UP_9_)</f>
        <v>0</v>
      </c>
      <c r="M318" s="137">
        <f>DSUM(SEP_2013_A,25,UP_9_)</f>
        <v>0</v>
      </c>
      <c r="N318" s="137">
        <f>DSUM(SEP_2013_A,26,UP_9_)</f>
        <v>0</v>
      </c>
      <c r="O318" s="137">
        <f>DSUM(SEP_2013_A,27,UP_9_)</f>
        <v>0</v>
      </c>
      <c r="P318" s="137">
        <f>DSUM(SEP_2013_A,28,UP_9_)</f>
        <v>0</v>
      </c>
      <c r="Q318" s="137">
        <f>DSUM(SEP_2013_A,29,UP_9_)</f>
        <v>0</v>
      </c>
      <c r="R318" s="137">
        <f>DSUM(SEP_2013_A,30,UP_9_)</f>
        <v>0</v>
      </c>
      <c r="S318" s="137">
        <f>DSUM(SEP_2013_A,31,UP_9_)</f>
        <v>0</v>
      </c>
      <c r="T318" s="137">
        <f>DSUM(SEP_2013_A,32,UP_9_)</f>
        <v>0</v>
      </c>
      <c r="U318" s="137">
        <f>DSUM(SEP_2013_A,33,UP_9_)</f>
        <v>0</v>
      </c>
      <c r="V318" s="137">
        <f>DSUM(SEP_2013_A,34,UP_9_)</f>
        <v>0</v>
      </c>
    </row>
    <row r="319" spans="2:22" ht="15.95" customHeight="1" x14ac:dyDescent="0.2">
      <c r="B319" s="1" t="s">
        <v>1071</v>
      </c>
      <c r="C319" s="129" t="str">
        <f t="shared" si="28"/>
        <v>Rancho Upácuaro No. 10</v>
      </c>
      <c r="D319" s="129" t="str">
        <f t="shared" si="29"/>
        <v>Fernández García</v>
      </c>
      <c r="E319" s="90">
        <f t="shared" si="30"/>
        <v>300</v>
      </c>
      <c r="F319" s="91">
        <f>DSUM(SEP_2013_A,AA,UP_10_)</f>
        <v>300</v>
      </c>
      <c r="G319" s="90">
        <f t="shared" si="31"/>
        <v>900</v>
      </c>
      <c r="H319" s="90">
        <f>DSUM(SEP_2013_A,importe,UP_10_)</f>
        <v>1200</v>
      </c>
      <c r="I319" s="17">
        <f>IF(VLOOKUP(B319,BASE_A,9,FALSE)=0,0,G319/VLOOKUP(B319,BASE_A,9,FALSE))</f>
        <v>3</v>
      </c>
      <c r="J319" s="6" t="s">
        <v>1283</v>
      </c>
      <c r="K319" s="137">
        <f>DSUM(SEP_2013_A,23,UP_10_)</f>
        <v>300</v>
      </c>
      <c r="L319" s="137">
        <f>DSUM(SEP_2013_A,24,UP_10_)</f>
        <v>300</v>
      </c>
      <c r="M319" s="137">
        <f>DSUM(SEP_2013_A,25,UP_10_)</f>
        <v>300</v>
      </c>
      <c r="N319" s="137">
        <f>DSUM(SEP_2013_A,26,UP_10_)</f>
        <v>0</v>
      </c>
      <c r="O319" s="137">
        <f>DSUM(SEP_2013_A,27,UP_10_)</f>
        <v>0</v>
      </c>
      <c r="P319" s="137">
        <f>DSUM(SEP_2013_A,28,UP_10_)</f>
        <v>0</v>
      </c>
      <c r="Q319" s="137">
        <f>DSUM(SEP_2013_A,29,UP_10_)</f>
        <v>0</v>
      </c>
      <c r="R319" s="137">
        <f>DSUM(SEP_2013_A,30,UP_10_)</f>
        <v>0</v>
      </c>
      <c r="S319" s="137">
        <f>DSUM(SEP_2013_A,31,UP_10_)</f>
        <v>0</v>
      </c>
      <c r="T319" s="137">
        <f>DSUM(SEP_2013_A,32,UP_10_)</f>
        <v>0</v>
      </c>
      <c r="U319" s="137">
        <f>DSUM(SEP_2013_A,33,UP_10_)</f>
        <v>0</v>
      </c>
      <c r="V319" s="137">
        <f>DSUM(SEP_2013_A,34,UP_10_)</f>
        <v>0</v>
      </c>
    </row>
    <row r="320" spans="2:22" ht="15.95" customHeight="1" x14ac:dyDescent="0.2">
      <c r="B320" s="1" t="s">
        <v>1346</v>
      </c>
      <c r="C320" s="129" t="str">
        <f t="shared" si="28"/>
        <v>Rancho Upácuaro No. 11</v>
      </c>
      <c r="D320" s="129" t="str">
        <f t="shared" si="29"/>
        <v>Partida</v>
      </c>
      <c r="E320" s="90">
        <f t="shared" si="30"/>
        <v>300</v>
      </c>
      <c r="F320" s="91">
        <f>DSUM(SEP_2013_A,AA,UP_11_)</f>
        <v>0</v>
      </c>
      <c r="G320" s="90">
        <f t="shared" si="31"/>
        <v>0</v>
      </c>
      <c r="H320" s="90">
        <f>DSUM(SEP_2013_A,importe,UP_11_)</f>
        <v>0</v>
      </c>
      <c r="I320" s="17">
        <f>IF(VLOOKUP(B320,BASE_A,9,FALSE)=0,0,G320/VLOOKUP(B320,BASE_A,9,FALSE))</f>
        <v>0</v>
      </c>
      <c r="J320" s="6" t="s">
        <v>1283</v>
      </c>
      <c r="K320" s="137">
        <f>DSUM(SEP_2013_A,23,UP_11_)</f>
        <v>0</v>
      </c>
      <c r="L320" s="137">
        <f>DSUM(SEP_2013_A,24,UP_11_)</f>
        <v>0</v>
      </c>
      <c r="M320" s="137">
        <f>DSUM(SEP_2013_A,25,UP_11_)</f>
        <v>0</v>
      </c>
      <c r="N320" s="137">
        <f>DSUM(SEP_2013_A,26,UP_11_)</f>
        <v>0</v>
      </c>
      <c r="O320" s="137">
        <f>DSUM(SEP_2013_A,27,UP_11_)</f>
        <v>0</v>
      </c>
      <c r="P320" s="137">
        <f>DSUM(SEP_2013_A,28,UP_11_)</f>
        <v>0</v>
      </c>
      <c r="Q320" s="137">
        <f>DSUM(SEP_2013_A,29,UP_11_)</f>
        <v>0</v>
      </c>
      <c r="R320" s="137">
        <f>DSUM(SEP_2013_A,30,UP_11_)</f>
        <v>0</v>
      </c>
      <c r="S320" s="137">
        <f>DSUM(SEP_2013_A,31,UP_11_)</f>
        <v>0</v>
      </c>
      <c r="T320" s="137">
        <f>DSUM(SEP_2013_A,32,UP_11_)</f>
        <v>0</v>
      </c>
      <c r="U320" s="137">
        <f>DSUM(SEP_2013_A,33,UP_11_)</f>
        <v>0</v>
      </c>
      <c r="V320" s="137">
        <f>DSUM(SEP_2013_A,34,UP_11_)</f>
        <v>0</v>
      </c>
    </row>
    <row r="321" spans="2:22" ht="15.95" customHeight="1" x14ac:dyDescent="0.2">
      <c r="B321" s="1" t="s">
        <v>1072</v>
      </c>
      <c r="C321" s="129" t="str">
        <f t="shared" si="28"/>
        <v>Rancho Upácuaro No. 12</v>
      </c>
      <c r="D321" s="129" t="str">
        <f t="shared" si="29"/>
        <v>Moreno Chávez</v>
      </c>
      <c r="E321" s="90">
        <f t="shared" si="30"/>
        <v>300</v>
      </c>
      <c r="F321" s="91">
        <f>DSUM(SEP_2013_A,AA,UP_12_)</f>
        <v>0</v>
      </c>
      <c r="G321" s="90">
        <f t="shared" si="31"/>
        <v>3300</v>
      </c>
      <c r="H321" s="90">
        <f>DSUM(SEP_2013_A,importe,UP_12_)</f>
        <v>3300</v>
      </c>
      <c r="I321" s="17">
        <f>IF(VLOOKUP(B321,BASE_A,9,FALSE)=0,0,(G321/VLOOKUP(B321,BASE_A,9,FALSE)))+1</f>
        <v>12</v>
      </c>
      <c r="J321" s="6" t="s">
        <v>1283</v>
      </c>
      <c r="K321" s="137">
        <f>DSUM(SEP_2013_A,23,UP_12_)</f>
        <v>300</v>
      </c>
      <c r="L321" s="137">
        <f>DSUM(SEP_2013_A,24,UP_12_)</f>
        <v>300</v>
      </c>
      <c r="M321" s="137">
        <f>DSUM(SEP_2013_A,25,UP_12_)</f>
        <v>300</v>
      </c>
      <c r="N321" s="137">
        <f>DSUM(SEP_2013_A,26,UP_12_)</f>
        <v>300</v>
      </c>
      <c r="O321" s="137">
        <f>DSUM(SEP_2013_A,27,UP_12_)</f>
        <v>300</v>
      </c>
      <c r="P321" s="137">
        <f>DSUM(SEP_2013_A,28,UP_12_)</f>
        <v>300</v>
      </c>
      <c r="Q321" s="137">
        <f>DSUM(SEP_2013_A,29,UP_12_)</f>
        <v>300</v>
      </c>
      <c r="R321" s="137">
        <f>DSUM(SEP_2013_A,30,UP_12_)</f>
        <v>300</v>
      </c>
      <c r="S321" s="137">
        <f>DSUM(SEP_2013_A,31,UP_12_)</f>
        <v>300</v>
      </c>
      <c r="T321" s="137">
        <f>DSUM(SEP_2013_A,32,UP_12_)</f>
        <v>300</v>
      </c>
      <c r="U321" s="137">
        <f>DSUM(SEP_2013_A,33,UP_12_)</f>
        <v>300</v>
      </c>
      <c r="V321" s="137">
        <f>DSUM(SEP_2013_A,34,UP_12_)</f>
        <v>0</v>
      </c>
    </row>
    <row r="322" spans="2:22" ht="15.95" customHeight="1" x14ac:dyDescent="0.2">
      <c r="B322" s="1" t="s">
        <v>1073</v>
      </c>
      <c r="C322" s="129" t="str">
        <f t="shared" si="28"/>
        <v>Rancho Upácuaro No. 14</v>
      </c>
      <c r="D322" s="129" t="str">
        <f t="shared" si="29"/>
        <v>Guerrero</v>
      </c>
      <c r="E322" s="90">
        <f t="shared" si="30"/>
        <v>300</v>
      </c>
      <c r="F322" s="91">
        <f>DSUM(SEP_2013_A,AA,UP_14_)</f>
        <v>600</v>
      </c>
      <c r="G322" s="90">
        <f t="shared" si="31"/>
        <v>1500</v>
      </c>
      <c r="H322" s="90">
        <f>DSUM(SEP_2013_A,importe,UP_14_)</f>
        <v>2100</v>
      </c>
      <c r="I322" s="17">
        <f t="shared" ref="I322:I358" si="34">IF(VLOOKUP(B322,BASE_A,9,FALSE)=0,0,G322/VLOOKUP(B322,BASE_A,9,FALSE))</f>
        <v>5</v>
      </c>
      <c r="J322" s="6" t="s">
        <v>1283</v>
      </c>
      <c r="K322" s="137">
        <f>DSUM(SEP_2013_A,23,UP_14_)</f>
        <v>300</v>
      </c>
      <c r="L322" s="137">
        <f>DSUM(SEP_2013_A,24,UP_14_)</f>
        <v>300</v>
      </c>
      <c r="M322" s="137">
        <f>DSUM(SEP_2013_A,25,UP_14_)</f>
        <v>300</v>
      </c>
      <c r="N322" s="137">
        <f>DSUM(SEP_2013_A,26,UP_14_)</f>
        <v>300</v>
      </c>
      <c r="O322" s="137">
        <f>DSUM(SEP_2013_A,27,UP_14_)</f>
        <v>300</v>
      </c>
      <c r="P322" s="137">
        <f>DSUM(SEP_2013_A,28,UP_14_)</f>
        <v>0</v>
      </c>
      <c r="Q322" s="137">
        <f>DSUM(SEP_2013_A,29,UP_14_)</f>
        <v>0</v>
      </c>
      <c r="R322" s="137">
        <f>DSUM(SEP_2013_A,30,UP_14_)</f>
        <v>0</v>
      </c>
      <c r="S322" s="137">
        <f>DSUM(SEP_2013_A,31,UP_14_)</f>
        <v>0</v>
      </c>
      <c r="T322" s="137">
        <f>DSUM(SEP_2013_A,32,UP_14_)</f>
        <v>0</v>
      </c>
      <c r="U322" s="137">
        <f>DSUM(SEP_2013_A,33,UP_14_)</f>
        <v>0</v>
      </c>
      <c r="V322" s="137">
        <f>DSUM(SEP_2013_A,34,UP_14_)</f>
        <v>0</v>
      </c>
    </row>
    <row r="323" spans="2:22" ht="15.95" customHeight="1" x14ac:dyDescent="0.2">
      <c r="B323" s="1" t="s">
        <v>1074</v>
      </c>
      <c r="C323" s="129" t="str">
        <f t="shared" si="28"/>
        <v>Rancho Upácuaro No. 15</v>
      </c>
      <c r="D323" s="129" t="str">
        <f t="shared" si="29"/>
        <v>Chávez Miranda</v>
      </c>
      <c r="E323" s="90">
        <f t="shared" si="30"/>
        <v>300</v>
      </c>
      <c r="F323" s="91">
        <f>DSUM(SEP_2013_A,AA,UP_15_)</f>
        <v>0</v>
      </c>
      <c r="G323" s="90">
        <f t="shared" si="31"/>
        <v>0</v>
      </c>
      <c r="H323" s="90">
        <f>DSUM(SEP_2013_A,importe,UP_15_)</f>
        <v>0</v>
      </c>
      <c r="I323" s="17">
        <f t="shared" si="34"/>
        <v>0</v>
      </c>
      <c r="J323" s="6" t="s">
        <v>1283</v>
      </c>
      <c r="K323" s="137">
        <f>DSUM(SEP_2013_A,23,UP_15_)</f>
        <v>0</v>
      </c>
      <c r="L323" s="137">
        <f>DSUM(SEP_2013_A,24,UP_15_)</f>
        <v>0</v>
      </c>
      <c r="M323" s="137">
        <f>DSUM(SEP_2013_A,25,UP_15_)</f>
        <v>0</v>
      </c>
      <c r="N323" s="137">
        <f>DSUM(SEP_2013_A,26,UP_15_)</f>
        <v>0</v>
      </c>
      <c r="O323" s="137">
        <f>DSUM(SEP_2013_A,27,UP_15_)</f>
        <v>0</v>
      </c>
      <c r="P323" s="137">
        <f>DSUM(SEP_2013_A,28,UP_15_)</f>
        <v>0</v>
      </c>
      <c r="Q323" s="137">
        <f>DSUM(SEP_2013_A,29,UP_15_)</f>
        <v>0</v>
      </c>
      <c r="R323" s="137">
        <f>DSUM(SEP_2013_A,30,UP_15_)</f>
        <v>0</v>
      </c>
      <c r="S323" s="137">
        <f>DSUM(SEP_2013_A,31,UP_15_)</f>
        <v>0</v>
      </c>
      <c r="T323" s="137">
        <f>DSUM(SEP_2013_A,32,UP_15_)</f>
        <v>0</v>
      </c>
      <c r="U323" s="137">
        <f>DSUM(SEP_2013_A,33,UP_15_)</f>
        <v>0</v>
      </c>
      <c r="V323" s="137">
        <f>DSUM(SEP_2013_A,34,UP_15_)</f>
        <v>0</v>
      </c>
    </row>
    <row r="324" spans="2:22" ht="15.95" customHeight="1" x14ac:dyDescent="0.2">
      <c r="B324" s="1" t="s">
        <v>1075</v>
      </c>
      <c r="C324" s="129" t="str">
        <f t="shared" si="28"/>
        <v>Rancho Upácuaro No. 16</v>
      </c>
      <c r="D324" s="129" t="str">
        <f t="shared" si="29"/>
        <v>Rodríguez</v>
      </c>
      <c r="E324" s="90">
        <f t="shared" si="30"/>
        <v>300</v>
      </c>
      <c r="F324" s="91">
        <f>DSUM(SEP_2013_A,AA,UP_16_)</f>
        <v>0</v>
      </c>
      <c r="G324" s="90">
        <f t="shared" si="31"/>
        <v>0</v>
      </c>
      <c r="H324" s="90">
        <f>DSUM(SEP_2013_A,importe,UP_16_)</f>
        <v>0</v>
      </c>
      <c r="I324" s="17">
        <f t="shared" si="34"/>
        <v>0</v>
      </c>
      <c r="J324" s="6" t="s">
        <v>1283</v>
      </c>
      <c r="K324" s="137">
        <f>DSUM(SEP_2013_A,23,UP_16_)</f>
        <v>0</v>
      </c>
      <c r="L324" s="137">
        <f>DSUM(SEP_2013_A,24,UP_16_)</f>
        <v>0</v>
      </c>
      <c r="M324" s="137">
        <f>DSUM(SEP_2013_A,25,UP_16_)</f>
        <v>0</v>
      </c>
      <c r="N324" s="137">
        <f>DSUM(SEP_2013_A,26,UP_16_)</f>
        <v>0</v>
      </c>
      <c r="O324" s="137">
        <f>DSUM(SEP_2013_A,27,UP_16_)</f>
        <v>0</v>
      </c>
      <c r="P324" s="137">
        <f>DSUM(SEP_2013_A,28,UP_16_)</f>
        <v>0</v>
      </c>
      <c r="Q324" s="137">
        <f>DSUM(SEP_2013_A,29,UP_16_)</f>
        <v>0</v>
      </c>
      <c r="R324" s="137">
        <f>DSUM(SEP_2013_A,30,UP_16_)</f>
        <v>0</v>
      </c>
      <c r="S324" s="137">
        <f>DSUM(SEP_2013_A,31,UP_16_)</f>
        <v>0</v>
      </c>
      <c r="T324" s="137">
        <f>DSUM(SEP_2013_A,32,UP_16_)</f>
        <v>0</v>
      </c>
      <c r="U324" s="137">
        <f>DSUM(SEP_2013_A,33,UP_16_)</f>
        <v>0</v>
      </c>
      <c r="V324" s="137">
        <f>DSUM(SEP_2013_A,34,UP_16_)</f>
        <v>0</v>
      </c>
    </row>
    <row r="325" spans="2:22" ht="15.95" customHeight="1" x14ac:dyDescent="0.2">
      <c r="B325" s="1" t="s">
        <v>1076</v>
      </c>
      <c r="C325" s="129" t="str">
        <f t="shared" si="28"/>
        <v>Rancho Upácuaro No. 18</v>
      </c>
      <c r="D325" s="129" t="str">
        <f t="shared" si="29"/>
        <v>Guzmán</v>
      </c>
      <c r="E325" s="90">
        <f t="shared" si="30"/>
        <v>300</v>
      </c>
      <c r="F325" s="91">
        <f>DSUM(SEP_2013_A,AA,UP_18_)</f>
        <v>300</v>
      </c>
      <c r="G325" s="90">
        <f t="shared" si="31"/>
        <v>2700</v>
      </c>
      <c r="H325" s="90">
        <f>DSUM(SEP_2013_A,importe,UP_18_)</f>
        <v>3000</v>
      </c>
      <c r="I325" s="17">
        <f t="shared" si="34"/>
        <v>9</v>
      </c>
      <c r="J325" s="6" t="s">
        <v>1283</v>
      </c>
      <c r="K325" s="137">
        <f>DSUM(SEP_2013_A,23,UP_18_)</f>
        <v>300</v>
      </c>
      <c r="L325" s="137">
        <f>DSUM(SEP_2013_A,24,UP_18_)</f>
        <v>300</v>
      </c>
      <c r="M325" s="137">
        <f>DSUM(SEP_2013_A,25,UP_18_)</f>
        <v>300</v>
      </c>
      <c r="N325" s="137">
        <f>DSUM(SEP_2013_A,26,UP_18_)</f>
        <v>300</v>
      </c>
      <c r="O325" s="137">
        <f>DSUM(SEP_2013_A,27,UP_18_)</f>
        <v>300</v>
      </c>
      <c r="P325" s="137">
        <f>DSUM(SEP_2013_A,28,UP_18_)</f>
        <v>300</v>
      </c>
      <c r="Q325" s="137">
        <f>DSUM(SEP_2013_A,29,UP_18_)</f>
        <v>300</v>
      </c>
      <c r="R325" s="137">
        <f>DSUM(SEP_2013_A,30,UP_18_)</f>
        <v>300</v>
      </c>
      <c r="S325" s="137">
        <f>DSUM(SEP_2013_A,31,UP_18_)</f>
        <v>300</v>
      </c>
      <c r="T325" s="137">
        <f>DSUM(SEP_2013_A,32,UP_18_)</f>
        <v>0</v>
      </c>
      <c r="U325" s="137">
        <f>DSUM(SEP_2013_A,33,UP_18_)</f>
        <v>0</v>
      </c>
      <c r="V325" s="137">
        <f>DSUM(SEP_2013_A,34,UP_18_)</f>
        <v>0</v>
      </c>
    </row>
    <row r="326" spans="2:22" ht="15.95" customHeight="1" x14ac:dyDescent="0.2">
      <c r="B326" s="1" t="s">
        <v>1077</v>
      </c>
      <c r="C326" s="129" t="str">
        <f t="shared" si="28"/>
        <v>Rancho Upácuaro No. 19</v>
      </c>
      <c r="D326" s="129" t="str">
        <f t="shared" si="29"/>
        <v>Peña Inclán</v>
      </c>
      <c r="E326" s="90">
        <f t="shared" si="30"/>
        <v>200</v>
      </c>
      <c r="F326" s="91">
        <f>DSUM(SEP_2013_A,AA,UP_19_)</f>
        <v>200</v>
      </c>
      <c r="G326" s="90">
        <f t="shared" si="31"/>
        <v>2000</v>
      </c>
      <c r="H326" s="90">
        <f>DSUM(SEP_2013_A,importe,UP_19_)</f>
        <v>2200</v>
      </c>
      <c r="I326" s="17">
        <f t="shared" si="34"/>
        <v>10</v>
      </c>
      <c r="J326" s="6" t="s">
        <v>1283</v>
      </c>
      <c r="K326" s="137">
        <f>DSUM(SEP_2013_A,23,UP_19_)</f>
        <v>200</v>
      </c>
      <c r="L326" s="137">
        <f>DSUM(SEP_2013_A,24,UP_19_)</f>
        <v>200</v>
      </c>
      <c r="M326" s="137">
        <f>DSUM(SEP_2013_A,25,UP_19_)</f>
        <v>200</v>
      </c>
      <c r="N326" s="137">
        <f>DSUM(SEP_2013_A,26,UP_19_)</f>
        <v>200</v>
      </c>
      <c r="O326" s="137">
        <f>DSUM(SEP_2013_A,27,UP_19_)</f>
        <v>200</v>
      </c>
      <c r="P326" s="137">
        <f>DSUM(SEP_2013_A,28,UP_19_)</f>
        <v>200</v>
      </c>
      <c r="Q326" s="137">
        <f>DSUM(SEP_2013_A,29,UP_19_)</f>
        <v>200</v>
      </c>
      <c r="R326" s="137">
        <f>DSUM(SEP_2013_A,30,UP_19_)</f>
        <v>400</v>
      </c>
      <c r="S326" s="137">
        <f>DSUM(SEP_2013_A,31,UP_19_)</f>
        <v>200</v>
      </c>
      <c r="T326" s="137">
        <f>DSUM(SEP_2013_A,32,UP_19_)</f>
        <v>0</v>
      </c>
      <c r="U326" s="137">
        <f>DSUM(SEP_2013_A,33,UP_19_)</f>
        <v>0</v>
      </c>
      <c r="V326" s="137">
        <f>DSUM(SEP_2013_A,34,UP_19_)</f>
        <v>0</v>
      </c>
    </row>
    <row r="327" spans="2:22" ht="15.95" customHeight="1" x14ac:dyDescent="0.2">
      <c r="B327" s="1" t="s">
        <v>1078</v>
      </c>
      <c r="C327" s="129" t="str">
        <f t="shared" si="28"/>
        <v>Rancho Upácuaro No. 20</v>
      </c>
      <c r="D327" s="129" t="str">
        <f t="shared" si="29"/>
        <v>Villaseñor Jorge</v>
      </c>
      <c r="E327" s="90">
        <f t="shared" si="30"/>
        <v>150</v>
      </c>
      <c r="F327" s="91">
        <f>DSUM(SEP_2013_A,AA,UP_20_)</f>
        <v>300</v>
      </c>
      <c r="G327" s="90">
        <f t="shared" si="31"/>
        <v>150</v>
      </c>
      <c r="H327" s="90">
        <f>DSUM(SEP_2013_A,importe,UP_20_)</f>
        <v>450</v>
      </c>
      <c r="I327" s="17">
        <f t="shared" si="34"/>
        <v>1</v>
      </c>
      <c r="J327" s="6" t="s">
        <v>1283</v>
      </c>
      <c r="K327" s="137">
        <f>DSUM(SEP_2013_A,23,UP_20_)</f>
        <v>150</v>
      </c>
      <c r="L327" s="137">
        <f>DSUM(SEP_2013_A,24,UP_20_)</f>
        <v>0</v>
      </c>
      <c r="M327" s="137">
        <f>DSUM(SEP_2013_A,25,UP_20_)</f>
        <v>0</v>
      </c>
      <c r="N327" s="137">
        <f>DSUM(SEP_2013_A,26,UP_20_)</f>
        <v>0</v>
      </c>
      <c r="O327" s="137">
        <f>DSUM(SEP_2013_A,27,UP_20_)</f>
        <v>0</v>
      </c>
      <c r="P327" s="137">
        <f>DSUM(SEP_2013_A,28,UP_20_)</f>
        <v>0</v>
      </c>
      <c r="Q327" s="137">
        <f>DSUM(SEP_2013_A,29,UP_20_)</f>
        <v>0</v>
      </c>
      <c r="R327" s="137">
        <f>DSUM(SEP_2013_A,30,UP_20_)</f>
        <v>0</v>
      </c>
      <c r="S327" s="137">
        <f>DSUM(SEP_2013_A,31,UP_20_)</f>
        <v>0</v>
      </c>
      <c r="T327" s="137">
        <f>DSUM(SEP_2013_A,32,UP_20_)</f>
        <v>0</v>
      </c>
      <c r="U327" s="137">
        <f>DSUM(SEP_2013_A,33,UP_20_)</f>
        <v>0</v>
      </c>
      <c r="V327" s="137">
        <f>DSUM(SEP_2013_A,34,UP_20_)</f>
        <v>0</v>
      </c>
    </row>
    <row r="328" spans="2:22" ht="15.95" customHeight="1" x14ac:dyDescent="0.2">
      <c r="B328" s="1" t="s">
        <v>1079</v>
      </c>
      <c r="C328" s="129" t="str">
        <f t="shared" ref="C328:C391" si="35">VLOOKUP(B328,BASE_A,6,FALSE)</f>
        <v>Rancho Upácuaro No. 21</v>
      </c>
      <c r="D328" s="129" t="str">
        <f t="shared" ref="D328:D391" si="36">VLOOKUP(B328,BASE_A,8,FALSE)</f>
        <v>Fierro Betancourt</v>
      </c>
      <c r="E328" s="90">
        <f t="shared" ref="E328:E391" si="37">VLOOKUP(B328,BASE_A,9,FALSE)</f>
        <v>150</v>
      </c>
      <c r="F328" s="91">
        <f>DSUM(SEP_2013_A,AA,UP_21_)</f>
        <v>150</v>
      </c>
      <c r="G328" s="90">
        <f t="shared" ref="G328:G391" si="38">H328-F328</f>
        <v>1200</v>
      </c>
      <c r="H328" s="90">
        <f>DSUM(SEP_2013_A,importe,UP_21_)</f>
        <v>1350</v>
      </c>
      <c r="I328" s="17">
        <f t="shared" si="34"/>
        <v>8</v>
      </c>
      <c r="J328" s="6" t="s">
        <v>1283</v>
      </c>
      <c r="K328" s="137">
        <f>DSUM(SEP_2013_A,23,UP_21_)</f>
        <v>150</v>
      </c>
      <c r="L328" s="137">
        <f>DSUM(SEP_2013_A,24,UP_21_)</f>
        <v>150</v>
      </c>
      <c r="M328" s="137">
        <f>DSUM(SEP_2013_A,25,UP_21_)</f>
        <v>150</v>
      </c>
      <c r="N328" s="137">
        <f>DSUM(SEP_2013_A,26,UP_21_)</f>
        <v>150</v>
      </c>
      <c r="O328" s="137">
        <f>DSUM(SEP_2013_A,27,UP_21_)</f>
        <v>150</v>
      </c>
      <c r="P328" s="137">
        <f>DSUM(SEP_2013_A,28,UP_21_)</f>
        <v>150</v>
      </c>
      <c r="Q328" s="137">
        <f>DSUM(SEP_2013_A,29,UP_21_)</f>
        <v>150</v>
      </c>
      <c r="R328" s="137">
        <f>DSUM(SEP_2013_A,30,UP_21_)</f>
        <v>150</v>
      </c>
      <c r="S328" s="137">
        <f>DSUM(SEP_2013_A,31,UP_21_)</f>
        <v>0</v>
      </c>
      <c r="T328" s="137">
        <f>DSUM(SEP_2013_A,32,UP_21_)</f>
        <v>0</v>
      </c>
      <c r="U328" s="137">
        <f>DSUM(SEP_2013_A,33,UP_21_)</f>
        <v>0</v>
      </c>
      <c r="V328" s="137">
        <f>DSUM(SEP_2013_A,34,UP_21_)</f>
        <v>0</v>
      </c>
    </row>
    <row r="329" spans="2:22" ht="15.95" customHeight="1" x14ac:dyDescent="0.2">
      <c r="B329" s="1" t="s">
        <v>1080</v>
      </c>
      <c r="C329" s="129" t="str">
        <f t="shared" si="35"/>
        <v>Rancho Upácuaro No. 23</v>
      </c>
      <c r="D329" s="129" t="str">
        <f t="shared" si="36"/>
        <v>Arredondo</v>
      </c>
      <c r="E329" s="90">
        <f t="shared" si="37"/>
        <v>300</v>
      </c>
      <c r="F329" s="91">
        <f>DSUM(SEP_2013_A,AA,UP_23_)</f>
        <v>0</v>
      </c>
      <c r="G329" s="90">
        <f t="shared" si="38"/>
        <v>2700</v>
      </c>
      <c r="H329" s="90">
        <f>DSUM(SEP_2013_A,importe,UP_23_)</f>
        <v>2700</v>
      </c>
      <c r="I329" s="17">
        <f t="shared" si="34"/>
        <v>9</v>
      </c>
      <c r="J329" s="6" t="s">
        <v>1283</v>
      </c>
      <c r="K329" s="137">
        <f>DSUM(SEP_2013_A,23,UP_23_)</f>
        <v>300</v>
      </c>
      <c r="L329" s="137">
        <f>DSUM(SEP_2013_A,24,UP_23_)</f>
        <v>300</v>
      </c>
      <c r="M329" s="137">
        <f>DSUM(SEP_2013_A,25,UP_23_)</f>
        <v>300</v>
      </c>
      <c r="N329" s="137">
        <f>DSUM(SEP_2013_A,26,UP_23_)</f>
        <v>300</v>
      </c>
      <c r="O329" s="137">
        <f>DSUM(SEP_2013_A,27,UP_23_)</f>
        <v>300</v>
      </c>
      <c r="P329" s="137">
        <f>DSUM(SEP_2013_A,28,UP_23_)</f>
        <v>300</v>
      </c>
      <c r="Q329" s="137">
        <f>DSUM(SEP_2013_A,29,UP_23_)</f>
        <v>300</v>
      </c>
      <c r="R329" s="137">
        <f>DSUM(SEP_2013_A,30,UP_23_)</f>
        <v>300</v>
      </c>
      <c r="S329" s="137">
        <f>DSUM(SEP_2013_A,31,UP_23_)</f>
        <v>300</v>
      </c>
      <c r="T329" s="137">
        <f>DSUM(SEP_2013_A,32,UP_23_)</f>
        <v>0</v>
      </c>
      <c r="U329" s="137">
        <f>DSUM(SEP_2013_A,33,UP_23_)</f>
        <v>0</v>
      </c>
      <c r="V329" s="137">
        <f>DSUM(SEP_2013_A,34,UP_23_)</f>
        <v>0</v>
      </c>
    </row>
    <row r="330" spans="2:22" ht="15.95" customHeight="1" x14ac:dyDescent="0.2">
      <c r="B330" s="1" t="s">
        <v>1081</v>
      </c>
      <c r="C330" s="129" t="str">
        <f t="shared" si="35"/>
        <v>Rancho Upácuaro No. 24</v>
      </c>
      <c r="D330" s="129" t="str">
        <f t="shared" si="36"/>
        <v>Parra</v>
      </c>
      <c r="E330" s="90">
        <f t="shared" si="37"/>
        <v>300</v>
      </c>
      <c r="F330" s="91">
        <f>DSUM(SEP_2013_A,AA,UP_24_)</f>
        <v>1800</v>
      </c>
      <c r="G330" s="90">
        <f t="shared" si="38"/>
        <v>1800</v>
      </c>
      <c r="H330" s="90">
        <f>DSUM(SEP_2013_A,importe,UP_24_)</f>
        <v>3600</v>
      </c>
      <c r="I330" s="17">
        <f t="shared" si="34"/>
        <v>6</v>
      </c>
      <c r="J330" s="6" t="s">
        <v>1283</v>
      </c>
      <c r="K330" s="137">
        <f>DSUM(SEP_2013_A,23,UP_24_)</f>
        <v>300</v>
      </c>
      <c r="L330" s="137">
        <f>DSUM(SEP_2013_A,24,UP_24_)</f>
        <v>300</v>
      </c>
      <c r="M330" s="137">
        <f>DSUM(SEP_2013_A,25,UP_24_)</f>
        <v>300</v>
      </c>
      <c r="N330" s="137">
        <f>DSUM(SEP_2013_A,26,UP_24_)</f>
        <v>300</v>
      </c>
      <c r="O330" s="137">
        <f>DSUM(SEP_2013_A,27,UP_24_)</f>
        <v>300</v>
      </c>
      <c r="P330" s="137">
        <f>DSUM(SEP_2013_A,28,UP_24_)</f>
        <v>300</v>
      </c>
      <c r="Q330" s="137">
        <f>DSUM(SEP_2013_A,29,UP_24_)</f>
        <v>0</v>
      </c>
      <c r="R330" s="137">
        <f>DSUM(SEP_2013_A,30,UP_24_)</f>
        <v>0</v>
      </c>
      <c r="S330" s="137">
        <f>DSUM(SEP_2013_A,31,UP_24_)</f>
        <v>0</v>
      </c>
      <c r="T330" s="137">
        <f>DSUM(SEP_2013_A,32,UP_24_)</f>
        <v>0</v>
      </c>
      <c r="U330" s="137">
        <f>DSUM(SEP_2013_A,33,UP_24_)</f>
        <v>0</v>
      </c>
      <c r="V330" s="137">
        <f>DSUM(SEP_2013_A,34,UP_24_)</f>
        <v>0</v>
      </c>
    </row>
    <row r="331" spans="2:22" ht="15.95" customHeight="1" x14ac:dyDescent="0.2">
      <c r="B331" s="1" t="s">
        <v>1082</v>
      </c>
      <c r="C331" s="129" t="str">
        <f t="shared" si="35"/>
        <v>Rancho Upácuaro No. 26</v>
      </c>
      <c r="D331" s="129" t="str">
        <f t="shared" si="36"/>
        <v>Salazar</v>
      </c>
      <c r="E331" s="90">
        <f t="shared" si="37"/>
        <v>300</v>
      </c>
      <c r="F331" s="91">
        <f>DSUM(SEP_2013_A,AA,UP_26_)</f>
        <v>300</v>
      </c>
      <c r="G331" s="90">
        <f t="shared" si="38"/>
        <v>2100</v>
      </c>
      <c r="H331" s="90">
        <f>DSUM(SEP_2013_A,importe,UP_26_)</f>
        <v>2400</v>
      </c>
      <c r="I331" s="17">
        <f t="shared" si="34"/>
        <v>7</v>
      </c>
      <c r="J331" s="6" t="s">
        <v>1283</v>
      </c>
      <c r="K331" s="137">
        <f>DSUM(SEP_2013_A,23,UP_26_)</f>
        <v>300</v>
      </c>
      <c r="L331" s="137">
        <f>DSUM(SEP_2013_A,24,UP_26_)</f>
        <v>300</v>
      </c>
      <c r="M331" s="137">
        <f>DSUM(SEP_2013_A,25,UP_26_)</f>
        <v>300</v>
      </c>
      <c r="N331" s="137">
        <f>DSUM(SEP_2013_A,26,UP_26_)</f>
        <v>300</v>
      </c>
      <c r="O331" s="137">
        <f>DSUM(SEP_2013_A,27,UP_26_)</f>
        <v>300</v>
      </c>
      <c r="P331" s="137">
        <f>DSUM(SEP_2013_A,28,UP_26_)</f>
        <v>300</v>
      </c>
      <c r="Q331" s="137">
        <f>DSUM(SEP_2013_A,29,UP_26_)</f>
        <v>300</v>
      </c>
      <c r="R331" s="137">
        <f>DSUM(SEP_2013_A,30,UP_26_)</f>
        <v>0</v>
      </c>
      <c r="S331" s="137">
        <f>DSUM(SEP_2013_A,31,UP_26_)</f>
        <v>0</v>
      </c>
      <c r="T331" s="137">
        <f>DSUM(SEP_2013_A,32,UP_26_)</f>
        <v>0</v>
      </c>
      <c r="U331" s="137">
        <f>DSUM(SEP_2013_A,33,UP_26_)</f>
        <v>0</v>
      </c>
      <c r="V331" s="137">
        <f>DSUM(SEP_2013_A,34,UP_26_)</f>
        <v>0</v>
      </c>
    </row>
    <row r="332" spans="2:22" ht="15.95" customHeight="1" x14ac:dyDescent="0.2">
      <c r="B332" s="1" t="s">
        <v>1083</v>
      </c>
      <c r="C332" s="129" t="str">
        <f t="shared" si="35"/>
        <v>Rancho Upácuaro No. 30</v>
      </c>
      <c r="D332" s="129" t="str">
        <f t="shared" si="36"/>
        <v>Dorantes</v>
      </c>
      <c r="E332" s="90">
        <f t="shared" si="37"/>
        <v>300</v>
      </c>
      <c r="F332" s="91">
        <f>DSUM(SEP_2013_A,AA,UP_30_)</f>
        <v>300</v>
      </c>
      <c r="G332" s="90">
        <f t="shared" si="38"/>
        <v>900</v>
      </c>
      <c r="H332" s="90">
        <f>DSUM(SEP_2013_A,importe,UP_30_)</f>
        <v>1200</v>
      </c>
      <c r="I332" s="17">
        <f t="shared" si="34"/>
        <v>3</v>
      </c>
      <c r="J332" s="6" t="s">
        <v>1283</v>
      </c>
      <c r="K332" s="137">
        <f>DSUM(SEP_2013_A,23,UP_30_)</f>
        <v>300</v>
      </c>
      <c r="L332" s="137">
        <f>DSUM(SEP_2013_A,24,UP_30_)</f>
        <v>300</v>
      </c>
      <c r="M332" s="137">
        <f>DSUM(SEP_2013_A,25,UP_30_)</f>
        <v>300</v>
      </c>
      <c r="N332" s="137">
        <f>DSUM(SEP_2013_A,26,UP_30_)</f>
        <v>0</v>
      </c>
      <c r="O332" s="137">
        <f>DSUM(SEP_2013_A,27,UP_30_)</f>
        <v>0</v>
      </c>
      <c r="P332" s="137">
        <f>DSUM(SEP_2013_A,28,UP_30_)</f>
        <v>0</v>
      </c>
      <c r="Q332" s="137">
        <f>DSUM(SEP_2013_A,29,UP_30_)</f>
        <v>0</v>
      </c>
      <c r="R332" s="137">
        <f>DSUM(SEP_2013_A,30,UP_30_)</f>
        <v>0</v>
      </c>
      <c r="S332" s="137">
        <f>DSUM(SEP_2013_A,31,UP_30_)</f>
        <v>0</v>
      </c>
      <c r="T332" s="137">
        <f>DSUM(SEP_2013_A,32,UP_30_)</f>
        <v>0</v>
      </c>
      <c r="U332" s="137">
        <f>DSUM(SEP_2013_A,33,UP_30_)</f>
        <v>0</v>
      </c>
      <c r="V332" s="137">
        <f>DSUM(SEP_2013_A,34,UP_30_)</f>
        <v>0</v>
      </c>
    </row>
    <row r="333" spans="2:22" ht="15.95" customHeight="1" x14ac:dyDescent="0.2">
      <c r="B333" s="1" t="s">
        <v>1084</v>
      </c>
      <c r="C333" s="129" t="str">
        <f t="shared" si="35"/>
        <v>Rancho Upácuaro No. 31</v>
      </c>
      <c r="D333" s="129" t="str">
        <f t="shared" si="36"/>
        <v>Gallardo Ávila</v>
      </c>
      <c r="E333" s="90">
        <f t="shared" si="37"/>
        <v>300</v>
      </c>
      <c r="F333" s="91">
        <f>DSUM(SEP_2013_A,AA,UP_31_)</f>
        <v>0</v>
      </c>
      <c r="G333" s="90">
        <f t="shared" si="38"/>
        <v>0</v>
      </c>
      <c r="H333" s="90">
        <f>DSUM(SEP_2013_A,importe,UP_31_)</f>
        <v>0</v>
      </c>
      <c r="I333" s="17">
        <f t="shared" si="34"/>
        <v>0</v>
      </c>
      <c r="J333" s="6" t="s">
        <v>1283</v>
      </c>
      <c r="K333" s="137">
        <f>DSUM(SEP_2013_A,23,UP_31_)</f>
        <v>0</v>
      </c>
      <c r="L333" s="137">
        <f>DSUM(SEP_2013_A,24,UP_31_)</f>
        <v>0</v>
      </c>
      <c r="M333" s="137">
        <f>DSUM(SEP_2013_A,25,UP_31_)</f>
        <v>0</v>
      </c>
      <c r="N333" s="137">
        <f>DSUM(SEP_2013_A,26,UP_31_)</f>
        <v>0</v>
      </c>
      <c r="O333" s="137">
        <f>DSUM(SEP_2013_A,27,UP_31_)</f>
        <v>0</v>
      </c>
      <c r="P333" s="137">
        <f>DSUM(SEP_2013_A,28,UP_31_)</f>
        <v>0</v>
      </c>
      <c r="Q333" s="137">
        <f>DSUM(SEP_2013_A,29,UP_31_)</f>
        <v>0</v>
      </c>
      <c r="R333" s="137">
        <f>DSUM(SEP_2013_A,30,UP_31_)</f>
        <v>0</v>
      </c>
      <c r="S333" s="137">
        <f>DSUM(SEP_2013_A,31,UP_31_)</f>
        <v>0</v>
      </c>
      <c r="T333" s="137">
        <f>DSUM(SEP_2013_A,32,UP_31_)</f>
        <v>0</v>
      </c>
      <c r="U333" s="137">
        <f>DSUM(SEP_2013_A,33,UP_31_)</f>
        <v>0</v>
      </c>
      <c r="V333" s="137">
        <f>DSUM(SEP_2013_A,34,UP_31_)</f>
        <v>0</v>
      </c>
    </row>
    <row r="334" spans="2:22" ht="15.95" customHeight="1" x14ac:dyDescent="0.2">
      <c r="B334" s="1" t="s">
        <v>779</v>
      </c>
      <c r="C334" s="129" t="str">
        <f t="shared" si="35"/>
        <v>Rancho Upácuaro No. 32</v>
      </c>
      <c r="D334" s="129" t="str">
        <f t="shared" si="36"/>
        <v>Sairafi Carmen</v>
      </c>
      <c r="E334" s="90">
        <f t="shared" si="37"/>
        <v>300</v>
      </c>
      <c r="F334" s="91">
        <f>DSUM(SEP_2013_A,AA,UP_32_)</f>
        <v>300</v>
      </c>
      <c r="G334" s="90">
        <f t="shared" si="38"/>
        <v>2700</v>
      </c>
      <c r="H334" s="90">
        <f>DSUM(SEP_2013_A,importe,UP_32_)</f>
        <v>3000</v>
      </c>
      <c r="I334" s="17">
        <f t="shared" si="34"/>
        <v>9</v>
      </c>
      <c r="J334" s="6" t="s">
        <v>1283</v>
      </c>
      <c r="K334" s="137">
        <f>DSUM(SEP_2013_A,23,UP_32_)</f>
        <v>300</v>
      </c>
      <c r="L334" s="137">
        <f>DSUM(SEP_2013_A,24,UP_32_)</f>
        <v>300</v>
      </c>
      <c r="M334" s="137">
        <f>DSUM(SEP_2013_A,25,UP_32_)</f>
        <v>300</v>
      </c>
      <c r="N334" s="137">
        <f>DSUM(SEP_2013_A,26,UP_32_)</f>
        <v>300</v>
      </c>
      <c r="O334" s="137">
        <f>DSUM(SEP_2013_A,27,UP_32_)</f>
        <v>300</v>
      </c>
      <c r="P334" s="137">
        <f>DSUM(SEP_2013_A,28,UP_32_)</f>
        <v>300</v>
      </c>
      <c r="Q334" s="137">
        <f>DSUM(SEP_2013_A,29,UP_32_)</f>
        <v>300</v>
      </c>
      <c r="R334" s="137">
        <f>DSUM(SEP_2013_A,30,UP_32_)</f>
        <v>300</v>
      </c>
      <c r="S334" s="137">
        <f>DSUM(SEP_2013_A,31,UP_32_)</f>
        <v>300</v>
      </c>
      <c r="T334" s="137">
        <f>DSUM(SEP_2013_A,32,UP_32_)</f>
        <v>0</v>
      </c>
      <c r="U334" s="137">
        <f>DSUM(SEP_2013_A,33,UP_32_)</f>
        <v>0</v>
      </c>
      <c r="V334" s="137">
        <f>DSUM(SEP_2013_A,34,UP_32_)</f>
        <v>0</v>
      </c>
    </row>
    <row r="335" spans="2:22" ht="15.95" customHeight="1" x14ac:dyDescent="0.2">
      <c r="B335" s="1" t="s">
        <v>1085</v>
      </c>
      <c r="C335" s="129" t="str">
        <f t="shared" si="35"/>
        <v>Rancho Upácuaro No. 33</v>
      </c>
      <c r="D335" s="129" t="str">
        <f t="shared" si="36"/>
        <v>Ulloa Miranda</v>
      </c>
      <c r="E335" s="90">
        <f t="shared" si="37"/>
        <v>300</v>
      </c>
      <c r="F335" s="91">
        <f>DSUM(SEP_2013_A,AA,UP_33_)</f>
        <v>300</v>
      </c>
      <c r="G335" s="90">
        <f t="shared" si="38"/>
        <v>3000</v>
      </c>
      <c r="H335" s="90">
        <f>DSUM(SEP_2013_A,importe,UP_33_)</f>
        <v>3300</v>
      </c>
      <c r="I335" s="17">
        <f t="shared" si="34"/>
        <v>10</v>
      </c>
      <c r="J335" s="6" t="s">
        <v>1283</v>
      </c>
      <c r="K335" s="137">
        <f>DSUM(SEP_2013_A,23,UP_33_)</f>
        <v>300</v>
      </c>
      <c r="L335" s="137">
        <f>DSUM(SEP_2013_A,24,UP_33_)</f>
        <v>300</v>
      </c>
      <c r="M335" s="137">
        <f>DSUM(SEP_2013_A,25,UP_33_)</f>
        <v>300</v>
      </c>
      <c r="N335" s="137">
        <f>DSUM(SEP_2013_A,26,UP_33_)</f>
        <v>300</v>
      </c>
      <c r="O335" s="137">
        <f>DSUM(SEP_2013_A,27,UP_33_)</f>
        <v>300</v>
      </c>
      <c r="P335" s="137">
        <f>DSUM(SEP_2013_A,28,UP_33_)</f>
        <v>300</v>
      </c>
      <c r="Q335" s="137">
        <f>DSUM(SEP_2013_A,29,UP_33_)</f>
        <v>300</v>
      </c>
      <c r="R335" s="137">
        <f>DSUM(SEP_2013_A,30,UP_33_)</f>
        <v>300</v>
      </c>
      <c r="S335" s="137">
        <f>DSUM(SEP_2013_A,31,UP_33_)</f>
        <v>300</v>
      </c>
      <c r="T335" s="137">
        <f>DSUM(SEP_2013_A,32,UP_33_)</f>
        <v>300</v>
      </c>
      <c r="U335" s="137">
        <f>DSUM(SEP_2013_A,33,UP_33_)</f>
        <v>0</v>
      </c>
      <c r="V335" s="137">
        <f>DSUM(SEP_2013_A,34,UP_33_)</f>
        <v>0</v>
      </c>
    </row>
    <row r="336" spans="2:22" ht="15.95" customHeight="1" x14ac:dyDescent="0.2">
      <c r="B336" s="1" t="s">
        <v>1086</v>
      </c>
      <c r="C336" s="129" t="str">
        <f t="shared" si="35"/>
        <v>Rancho Upácuaro No. 34</v>
      </c>
      <c r="D336" s="129" t="str">
        <f t="shared" si="36"/>
        <v>Gómez González</v>
      </c>
      <c r="E336" s="90">
        <f t="shared" si="37"/>
        <v>300</v>
      </c>
      <c r="F336" s="91">
        <f>DSUM(SEP_2013_A,AA,UP_34_)</f>
        <v>300</v>
      </c>
      <c r="G336" s="90">
        <f t="shared" si="38"/>
        <v>2400</v>
      </c>
      <c r="H336" s="90">
        <f>DSUM(SEP_2013_A,importe,UP_34_)</f>
        <v>2700</v>
      </c>
      <c r="I336" s="17">
        <f t="shared" si="34"/>
        <v>8</v>
      </c>
      <c r="J336" s="6" t="s">
        <v>1283</v>
      </c>
      <c r="K336" s="137">
        <f>DSUM(SEP_2013_A,23,UP_34_)</f>
        <v>300</v>
      </c>
      <c r="L336" s="137">
        <f>DSUM(SEP_2013_A,24,UP_34_)</f>
        <v>300</v>
      </c>
      <c r="M336" s="137">
        <f>DSUM(SEP_2013_A,25,UP_34_)</f>
        <v>300</v>
      </c>
      <c r="N336" s="137">
        <f>DSUM(SEP_2013_A,26,UP_34_)</f>
        <v>0</v>
      </c>
      <c r="O336" s="137">
        <f>DSUM(SEP_2013_A,27,UP_34_)</f>
        <v>300</v>
      </c>
      <c r="P336" s="137">
        <f>DSUM(SEP_2013_A,28,UP_34_)</f>
        <v>300</v>
      </c>
      <c r="Q336" s="137">
        <f>DSUM(SEP_2013_A,29,UP_34_)</f>
        <v>300</v>
      </c>
      <c r="R336" s="137">
        <f>DSUM(SEP_2013_A,30,UP_34_)</f>
        <v>300</v>
      </c>
      <c r="S336" s="137">
        <f>DSUM(SEP_2013_A,31,UP_34_)</f>
        <v>300</v>
      </c>
      <c r="T336" s="137">
        <f>DSUM(SEP_2013_A,32,UP_34_)</f>
        <v>0</v>
      </c>
      <c r="U336" s="137">
        <f>DSUM(SEP_2013_A,33,UP_34_)</f>
        <v>0</v>
      </c>
      <c r="V336" s="137">
        <f>DSUM(SEP_2013_A,34,UP_34_)</f>
        <v>0</v>
      </c>
    </row>
    <row r="337" spans="1:22" ht="15.95" customHeight="1" x14ac:dyDescent="0.2">
      <c r="B337" s="1" t="s">
        <v>1087</v>
      </c>
      <c r="C337" s="129" t="str">
        <f t="shared" si="35"/>
        <v>Rancho Upácuaro No. 35</v>
      </c>
      <c r="D337" s="129" t="str">
        <f t="shared" si="36"/>
        <v>García</v>
      </c>
      <c r="E337" s="90">
        <f t="shared" si="37"/>
        <v>300</v>
      </c>
      <c r="F337" s="91">
        <f>DSUM(SEP_2013_A,AA,UP_35_)</f>
        <v>0</v>
      </c>
      <c r="G337" s="90">
        <f t="shared" si="38"/>
        <v>0</v>
      </c>
      <c r="H337" s="90">
        <f>DSUM(SEP_2013_A,importe,UP_35_)</f>
        <v>0</v>
      </c>
      <c r="I337" s="17">
        <f t="shared" si="34"/>
        <v>0</v>
      </c>
      <c r="J337" s="6" t="s">
        <v>1283</v>
      </c>
      <c r="K337" s="137">
        <f>DSUM(SEP_2013_A,23,UP_35_)</f>
        <v>0</v>
      </c>
      <c r="L337" s="137">
        <f>DSUM(SEP_2013_A,24,UP_35_)</f>
        <v>0</v>
      </c>
      <c r="M337" s="137">
        <f>DSUM(SEP_2013_A,25,UP_35_)</f>
        <v>0</v>
      </c>
      <c r="N337" s="137">
        <f>DSUM(SEP_2013_A,26,UP_35_)</f>
        <v>0</v>
      </c>
      <c r="O337" s="137">
        <f>DSUM(SEP_2013_A,27,UP_35_)</f>
        <v>0</v>
      </c>
      <c r="P337" s="137">
        <f>DSUM(SEP_2013_A,28,UP_35_)</f>
        <v>0</v>
      </c>
      <c r="Q337" s="137">
        <f>DSUM(SEP_2013_A,29,UP_35_)</f>
        <v>0</v>
      </c>
      <c r="R337" s="137">
        <f>DSUM(SEP_2013_A,30,UP_35_)</f>
        <v>0</v>
      </c>
      <c r="S337" s="137">
        <f>DSUM(SEP_2013_A,31,UP_35_)</f>
        <v>0</v>
      </c>
      <c r="T337" s="137">
        <f>DSUM(SEP_2013_A,32,UP_35_)</f>
        <v>0</v>
      </c>
      <c r="U337" s="137">
        <f>DSUM(SEP_2013_A,33,UP_35_)</f>
        <v>0</v>
      </c>
      <c r="V337" s="137">
        <f>DSUM(SEP_2013_A,34,UP_35_)</f>
        <v>0</v>
      </c>
    </row>
    <row r="338" spans="1:22" ht="15.95" customHeight="1" x14ac:dyDescent="0.2">
      <c r="B338" s="1" t="s">
        <v>1088</v>
      </c>
      <c r="C338" s="129" t="str">
        <f t="shared" si="35"/>
        <v>Rancho Upácuaro No. 36</v>
      </c>
      <c r="D338" s="129" t="str">
        <f t="shared" si="36"/>
        <v>Araiza</v>
      </c>
      <c r="E338" s="90">
        <f t="shared" si="37"/>
        <v>300</v>
      </c>
      <c r="F338" s="91">
        <f>DSUM(SEP_2013_A,AA,UP_36_)</f>
        <v>0</v>
      </c>
      <c r="G338" s="90">
        <f t="shared" si="38"/>
        <v>0</v>
      </c>
      <c r="H338" s="90">
        <f>DSUM(SEP_2013_A,importe,UP_36_)</f>
        <v>0</v>
      </c>
      <c r="I338" s="17">
        <f t="shared" si="34"/>
        <v>0</v>
      </c>
      <c r="J338" s="6" t="s">
        <v>1283</v>
      </c>
      <c r="K338" s="137">
        <f>DSUM(SEP_2013_A,23,UP_36_)</f>
        <v>0</v>
      </c>
      <c r="L338" s="137">
        <f>DSUM(SEP_2013_A,24,UP_36_)</f>
        <v>0</v>
      </c>
      <c r="M338" s="137">
        <f>DSUM(SEP_2013_A,25,UP_36_)</f>
        <v>0</v>
      </c>
      <c r="N338" s="137">
        <f>DSUM(SEP_2013_A,26,UP_36_)</f>
        <v>0</v>
      </c>
      <c r="O338" s="137">
        <f>DSUM(SEP_2013_A,27,UP_36_)</f>
        <v>0</v>
      </c>
      <c r="P338" s="137">
        <f>DSUM(SEP_2013_A,28,UP_36_)</f>
        <v>0</v>
      </c>
      <c r="Q338" s="137">
        <f>DSUM(SEP_2013_A,29,UP_36_)</f>
        <v>0</v>
      </c>
      <c r="R338" s="137">
        <f>DSUM(SEP_2013_A,30,UP_36_)</f>
        <v>0</v>
      </c>
      <c r="S338" s="137">
        <f>DSUM(SEP_2013_A,31,UP_36_)</f>
        <v>0</v>
      </c>
      <c r="T338" s="137">
        <f>DSUM(SEP_2013_A,32,UP_36_)</f>
        <v>0</v>
      </c>
      <c r="U338" s="137">
        <f>DSUM(SEP_2013_A,33,UP_36_)</f>
        <v>0</v>
      </c>
      <c r="V338" s="137">
        <f>DSUM(SEP_2013_A,34,UP_36_)</f>
        <v>0</v>
      </c>
    </row>
    <row r="339" spans="1:22" ht="15.95" customHeight="1" x14ac:dyDescent="0.2">
      <c r="B339" s="1" t="s">
        <v>1089</v>
      </c>
      <c r="C339" s="129" t="str">
        <f t="shared" si="35"/>
        <v>Rancho Upácuaro No. 37</v>
      </c>
      <c r="D339" s="129" t="str">
        <f t="shared" si="36"/>
        <v>García Valdés</v>
      </c>
      <c r="E339" s="90">
        <f t="shared" si="37"/>
        <v>300</v>
      </c>
      <c r="F339" s="91">
        <f>DSUM(SEP_2013_A,AA,UP_37_)</f>
        <v>600</v>
      </c>
      <c r="G339" s="90">
        <f t="shared" si="38"/>
        <v>2700</v>
      </c>
      <c r="H339" s="90">
        <f>DSUM(SEP_2013_A,importe,UP_37_)</f>
        <v>3300</v>
      </c>
      <c r="I339" s="17">
        <f t="shared" si="34"/>
        <v>9</v>
      </c>
      <c r="J339" s="6" t="s">
        <v>1283</v>
      </c>
      <c r="K339" s="137">
        <f>DSUM(SEP_2013_A,23,UP_37_)</f>
        <v>300</v>
      </c>
      <c r="L339" s="137">
        <f>DSUM(SEP_2013_A,24,UP_37_)</f>
        <v>300</v>
      </c>
      <c r="M339" s="137">
        <f>DSUM(SEP_2013_A,25,UP_37_)</f>
        <v>300</v>
      </c>
      <c r="N339" s="137">
        <f>DSUM(SEP_2013_A,26,UP_37_)</f>
        <v>300</v>
      </c>
      <c r="O339" s="137">
        <f>DSUM(SEP_2013_A,27,UP_37_)</f>
        <v>300</v>
      </c>
      <c r="P339" s="137">
        <f>DSUM(SEP_2013_A,28,UP_37_)</f>
        <v>300</v>
      </c>
      <c r="Q339" s="137">
        <f>DSUM(SEP_2013_A,29,UP_37_)</f>
        <v>300</v>
      </c>
      <c r="R339" s="137">
        <f>DSUM(SEP_2013_A,30,UP_37_)</f>
        <v>300</v>
      </c>
      <c r="S339" s="137">
        <f>DSUM(SEP_2013_A,31,UP_37_)</f>
        <v>300</v>
      </c>
      <c r="T339" s="137">
        <f>DSUM(SEP_2013_A,32,UP_37_)</f>
        <v>0</v>
      </c>
      <c r="U339" s="137">
        <f>DSUM(SEP_2013_A,33,UP_37_)</f>
        <v>0</v>
      </c>
      <c r="V339" s="137">
        <f>DSUM(SEP_2013_A,34,UP_37_)</f>
        <v>0</v>
      </c>
    </row>
    <row r="340" spans="1:22" ht="15.95" customHeight="1" x14ac:dyDescent="0.2">
      <c r="B340" s="1" t="s">
        <v>1090</v>
      </c>
      <c r="C340" s="129" t="str">
        <f t="shared" si="35"/>
        <v>Rancho Upácuaro No. 39</v>
      </c>
      <c r="D340" s="129" t="str">
        <f t="shared" si="36"/>
        <v>Valdez</v>
      </c>
      <c r="E340" s="90">
        <f t="shared" si="37"/>
        <v>300</v>
      </c>
      <c r="F340" s="91">
        <f>DSUM(SEP_2013_A,AA,UP_39_)</f>
        <v>0</v>
      </c>
      <c r="G340" s="90">
        <f t="shared" si="38"/>
        <v>0</v>
      </c>
      <c r="H340" s="90">
        <f>DSUM(SEP_2013_A,importe,UP_39_)</f>
        <v>0</v>
      </c>
      <c r="I340" s="17">
        <f t="shared" si="34"/>
        <v>0</v>
      </c>
      <c r="J340" s="6" t="s">
        <v>1283</v>
      </c>
      <c r="K340" s="137">
        <f>DSUM(SEP_2013_A,23,UP_39_)</f>
        <v>0</v>
      </c>
      <c r="L340" s="137">
        <f>DSUM(SEP_2013_A,24,UP_39_)</f>
        <v>0</v>
      </c>
      <c r="M340" s="137">
        <f>DSUM(SEP_2013_A,25,UP_39_)</f>
        <v>0</v>
      </c>
      <c r="N340" s="137">
        <f>DSUM(SEP_2013_A,26,UP_39_)</f>
        <v>0</v>
      </c>
      <c r="O340" s="137">
        <f>DSUM(SEP_2013_A,27,UP_39_)</f>
        <v>0</v>
      </c>
      <c r="P340" s="137">
        <f>DSUM(SEP_2013_A,28,UP_39_)</f>
        <v>0</v>
      </c>
      <c r="Q340" s="137">
        <f>DSUM(SEP_2013_A,29,UP_39_)</f>
        <v>0</v>
      </c>
      <c r="R340" s="137">
        <f>DSUM(SEP_2013_A,30,UP_39_)</f>
        <v>0</v>
      </c>
      <c r="S340" s="137">
        <f>DSUM(SEP_2013_A,31,UP_39_)</f>
        <v>0</v>
      </c>
      <c r="T340" s="137">
        <f>DSUM(SEP_2013_A,32,UP_39_)</f>
        <v>0</v>
      </c>
      <c r="U340" s="137">
        <f>DSUM(SEP_2013_A,33,UP_39_)</f>
        <v>0</v>
      </c>
      <c r="V340" s="137">
        <f>DSUM(SEP_2013_A,34,UP_39_)</f>
        <v>0</v>
      </c>
    </row>
    <row r="341" spans="1:22" ht="15.95" customHeight="1" x14ac:dyDescent="0.2">
      <c r="B341" s="1" t="s">
        <v>1091</v>
      </c>
      <c r="C341" s="129" t="str">
        <f t="shared" si="35"/>
        <v>Rancho Upácuaro No. 40</v>
      </c>
      <c r="D341" s="129" t="str">
        <f t="shared" si="36"/>
        <v>López Ramírez</v>
      </c>
      <c r="E341" s="90">
        <f t="shared" si="37"/>
        <v>300</v>
      </c>
      <c r="F341" s="91">
        <f>DSUM(SEP_2013_A,AA,UP_40_)</f>
        <v>0</v>
      </c>
      <c r="G341" s="90">
        <f t="shared" si="38"/>
        <v>1800</v>
      </c>
      <c r="H341" s="90">
        <f>DSUM(SEP_2013_A,importe,UP_40_)</f>
        <v>1800</v>
      </c>
      <c r="I341" s="17">
        <f t="shared" si="34"/>
        <v>6</v>
      </c>
      <c r="J341" s="6" t="s">
        <v>1283</v>
      </c>
      <c r="K341" s="137">
        <f>DSUM(SEP_2013_A,23,UP_40_)</f>
        <v>300</v>
      </c>
      <c r="L341" s="137">
        <f>DSUM(SEP_2013_A,24,UP_40_)</f>
        <v>300</v>
      </c>
      <c r="M341" s="137">
        <f>DSUM(SEP_2013_A,25,UP_40_)</f>
        <v>0</v>
      </c>
      <c r="N341" s="137">
        <f>DSUM(SEP_2013_A,26,UP_40_)</f>
        <v>300</v>
      </c>
      <c r="O341" s="137">
        <f>DSUM(SEP_2013_A,27,UP_40_)</f>
        <v>300</v>
      </c>
      <c r="P341" s="137">
        <f>DSUM(SEP_2013_A,28,UP_40_)</f>
        <v>300</v>
      </c>
      <c r="Q341" s="137">
        <f>DSUM(SEP_2013_A,29,UP_40_)</f>
        <v>300</v>
      </c>
      <c r="R341" s="137">
        <f>DSUM(SEP_2013_A,30,UP_40_)</f>
        <v>0</v>
      </c>
      <c r="S341" s="137">
        <f>DSUM(SEP_2013_A,31,UP_40_)</f>
        <v>0</v>
      </c>
      <c r="T341" s="137">
        <f>DSUM(SEP_2013_A,32,UP_40_)</f>
        <v>0</v>
      </c>
      <c r="U341" s="137">
        <f>DSUM(SEP_2013_A,33,UP_40_)</f>
        <v>0</v>
      </c>
      <c r="V341" s="137">
        <f>DSUM(SEP_2013_A,34,UP_40_)</f>
        <v>0</v>
      </c>
    </row>
    <row r="342" spans="1:22" ht="15.95" customHeight="1" x14ac:dyDescent="0.2">
      <c r="B342" s="1" t="s">
        <v>1092</v>
      </c>
      <c r="C342" s="129" t="str">
        <f t="shared" si="35"/>
        <v>Rancho Upácuaro No. 42</v>
      </c>
      <c r="D342" s="129" t="str">
        <f t="shared" si="36"/>
        <v>García Ramírez</v>
      </c>
      <c r="E342" s="90">
        <f t="shared" si="37"/>
        <v>300</v>
      </c>
      <c r="F342" s="91">
        <f>DSUM(SEP_2013_A,AA,UP_42_)</f>
        <v>300</v>
      </c>
      <c r="G342" s="90">
        <f t="shared" si="38"/>
        <v>2400</v>
      </c>
      <c r="H342" s="90">
        <f>DSUM(SEP_2013_A,importe,UP_42_)</f>
        <v>2700</v>
      </c>
      <c r="I342" s="17">
        <f t="shared" si="34"/>
        <v>8</v>
      </c>
      <c r="J342" s="6" t="s">
        <v>1283</v>
      </c>
      <c r="K342" s="137">
        <f>DSUM(SEP_2013_A,23,UP_42_)</f>
        <v>300</v>
      </c>
      <c r="L342" s="137">
        <f>DSUM(SEP_2013_A,24,UP_42_)</f>
        <v>300</v>
      </c>
      <c r="M342" s="137">
        <f>DSUM(SEP_2013_A,25,UP_42_)</f>
        <v>300</v>
      </c>
      <c r="N342" s="137">
        <f>DSUM(SEP_2013_A,26,UP_42_)</f>
        <v>300</v>
      </c>
      <c r="O342" s="137">
        <f>DSUM(SEP_2013_A,27,UP_42_)</f>
        <v>300</v>
      </c>
      <c r="P342" s="137">
        <f>DSUM(SEP_2013_A,28,UP_42_)</f>
        <v>300</v>
      </c>
      <c r="Q342" s="137">
        <f>DSUM(SEP_2013_A,29,UP_42_)</f>
        <v>300</v>
      </c>
      <c r="R342" s="137">
        <f>DSUM(SEP_2013_A,30,UP_42_)</f>
        <v>300</v>
      </c>
      <c r="S342" s="137">
        <f>DSUM(SEP_2013_A,31,UP_42_)</f>
        <v>0</v>
      </c>
      <c r="T342" s="137">
        <f>DSUM(SEP_2013_A,32,UP_42_)</f>
        <v>0</v>
      </c>
      <c r="U342" s="137">
        <f>DSUM(SEP_2013_A,33,UP_42_)</f>
        <v>0</v>
      </c>
      <c r="V342" s="137">
        <f>DSUM(SEP_2013_A,34,UP_42_)</f>
        <v>0</v>
      </c>
    </row>
    <row r="343" spans="1:22" ht="15.95" customHeight="1" x14ac:dyDescent="0.2">
      <c r="B343" s="1" t="s">
        <v>1347</v>
      </c>
      <c r="C343" s="129" t="str">
        <f t="shared" si="35"/>
        <v>Rancho Upácuaro No. 43</v>
      </c>
      <c r="D343" s="129" t="str">
        <f t="shared" si="36"/>
        <v>Yolanda</v>
      </c>
      <c r="E343" s="90">
        <f t="shared" si="37"/>
        <v>300</v>
      </c>
      <c r="F343" s="91">
        <f>DSUM(SEP_2013_A,AA,UP_43_)</f>
        <v>0</v>
      </c>
      <c r="G343" s="90">
        <f t="shared" si="38"/>
        <v>0</v>
      </c>
      <c r="H343" s="90">
        <f>DSUM(SEP_2013_A,importe,UP_43_)</f>
        <v>0</v>
      </c>
      <c r="I343" s="17">
        <f t="shared" si="34"/>
        <v>0</v>
      </c>
      <c r="J343" s="6" t="s">
        <v>1283</v>
      </c>
      <c r="K343" s="137">
        <f>DSUM(SEP_2013_A,23,UP_43_)</f>
        <v>0</v>
      </c>
      <c r="L343" s="137">
        <f>DSUM(SEP_2013_A,24,UP_43_)</f>
        <v>0</v>
      </c>
      <c r="M343" s="137">
        <f>DSUM(SEP_2013_A,25,UP_43_)</f>
        <v>0</v>
      </c>
      <c r="N343" s="137">
        <f>DSUM(SEP_2013_A,26,UP_43_)</f>
        <v>0</v>
      </c>
      <c r="O343" s="137">
        <f>DSUM(SEP_2013_A,27,UP_43_)</f>
        <v>0</v>
      </c>
      <c r="P343" s="137">
        <f>DSUM(SEP_2013_A,28,UP_43_)</f>
        <v>0</v>
      </c>
      <c r="Q343" s="137">
        <f>DSUM(SEP_2013_A,29,UP_43_)</f>
        <v>0</v>
      </c>
      <c r="R343" s="137">
        <f>DSUM(SEP_2013_A,30,UP_43_)</f>
        <v>0</v>
      </c>
      <c r="S343" s="137">
        <f>DSUM(SEP_2013_A,31,UP_43_)</f>
        <v>0</v>
      </c>
      <c r="T343" s="137">
        <f>DSUM(SEP_2013_A,32,UP_43_)</f>
        <v>0</v>
      </c>
      <c r="U343" s="137">
        <f>DSUM(SEP_2013_A,33,UP_43_)</f>
        <v>0</v>
      </c>
      <c r="V343" s="137">
        <f>DSUM(SEP_2013_A,34,UP_43_)</f>
        <v>0</v>
      </c>
    </row>
    <row r="344" spans="1:22" ht="15.95" customHeight="1" x14ac:dyDescent="0.2">
      <c r="B344" s="1" t="s">
        <v>1093</v>
      </c>
      <c r="C344" s="129" t="str">
        <f t="shared" si="35"/>
        <v>Rancho Upácuaro No. 44</v>
      </c>
      <c r="D344" s="129" t="str">
        <f t="shared" si="36"/>
        <v>Basurto</v>
      </c>
      <c r="E344" s="90">
        <f t="shared" si="37"/>
        <v>300</v>
      </c>
      <c r="F344" s="91">
        <f>DSUM(SEP_2013_A,AA,UP_44_)</f>
        <v>0</v>
      </c>
      <c r="G344" s="90">
        <f t="shared" si="38"/>
        <v>0</v>
      </c>
      <c r="H344" s="90">
        <f>DSUM(SEP_2013_A,importe,UP_44_)</f>
        <v>0</v>
      </c>
      <c r="I344" s="17">
        <f t="shared" si="34"/>
        <v>0</v>
      </c>
      <c r="J344" s="6" t="s">
        <v>1283</v>
      </c>
      <c r="K344" s="137">
        <f>DSUM(SEP_2013_A,23,UP_44_)</f>
        <v>0</v>
      </c>
      <c r="L344" s="137">
        <f>DSUM(SEP_2013_A,24,UP_44_)</f>
        <v>0</v>
      </c>
      <c r="M344" s="137">
        <f>DSUM(SEP_2013_A,25,UP_44_)</f>
        <v>0</v>
      </c>
      <c r="N344" s="137">
        <f>DSUM(SEP_2013_A,26,UP_44_)</f>
        <v>0</v>
      </c>
      <c r="O344" s="137">
        <f>DSUM(SEP_2013_A,27,UP_44_)</f>
        <v>0</v>
      </c>
      <c r="P344" s="137">
        <f>DSUM(SEP_2013_A,28,UP_44_)</f>
        <v>0</v>
      </c>
      <c r="Q344" s="137">
        <f>DSUM(SEP_2013_A,29,UP_44_)</f>
        <v>0</v>
      </c>
      <c r="R344" s="137">
        <f>DSUM(SEP_2013_A,30,UP_44_)</f>
        <v>0</v>
      </c>
      <c r="S344" s="137">
        <f>DSUM(SEP_2013_A,31,UP_44_)</f>
        <v>0</v>
      </c>
      <c r="T344" s="137">
        <f>DSUM(SEP_2013_A,32,UP_44_)</f>
        <v>0</v>
      </c>
      <c r="U344" s="137">
        <f>DSUM(SEP_2013_A,33,UP_44_)</f>
        <v>0</v>
      </c>
      <c r="V344" s="137">
        <f>DSUM(SEP_2013_A,34,UP_44_)</f>
        <v>0</v>
      </c>
    </row>
    <row r="345" spans="1:22" ht="15.95" customHeight="1" x14ac:dyDescent="0.2">
      <c r="B345" s="1" t="s">
        <v>774</v>
      </c>
      <c r="C345" s="129" t="str">
        <f t="shared" si="35"/>
        <v>Rancho Upácuaro No. 45</v>
      </c>
      <c r="D345" s="129" t="str">
        <f t="shared" si="36"/>
        <v>Enrique Vázquez</v>
      </c>
      <c r="E345" s="90">
        <f t="shared" si="37"/>
        <v>300</v>
      </c>
      <c r="F345" s="91">
        <f>DSUM(SEP_2013_A,AA,UP_45_)</f>
        <v>0</v>
      </c>
      <c r="G345" s="90">
        <f t="shared" si="38"/>
        <v>300</v>
      </c>
      <c r="H345" s="90">
        <f>DSUM(SEP_2013_A,importe,UP_45_)</f>
        <v>300</v>
      </c>
      <c r="I345" s="17">
        <f t="shared" si="34"/>
        <v>1</v>
      </c>
      <c r="J345" s="6" t="s">
        <v>1283</v>
      </c>
      <c r="K345" s="137">
        <f>DSUM(SEP_2013_A,23,UP_45_)</f>
        <v>100</v>
      </c>
      <c r="L345" s="137">
        <f>DSUM(SEP_2013_A,24,UP_45_)</f>
        <v>100</v>
      </c>
      <c r="M345" s="137">
        <f>DSUM(SEP_2013_A,25,UP_45_)</f>
        <v>100</v>
      </c>
      <c r="N345" s="137">
        <f>DSUM(SEP_2013_A,26,UP_45_)</f>
        <v>0</v>
      </c>
      <c r="O345" s="137">
        <f>DSUM(SEP_2013_A,27,UP_45_)</f>
        <v>0</v>
      </c>
      <c r="P345" s="137">
        <f>DSUM(SEP_2013_A,28,UP_45_)</f>
        <v>0</v>
      </c>
      <c r="Q345" s="137">
        <f>DSUM(SEP_2013_A,29,UP_45_)</f>
        <v>0</v>
      </c>
      <c r="R345" s="137">
        <f>DSUM(SEP_2013_A,30,UP_45_)</f>
        <v>0</v>
      </c>
      <c r="S345" s="137">
        <f>DSUM(SEP_2013_A,31,UP_45_)</f>
        <v>0</v>
      </c>
      <c r="T345" s="137">
        <f>DSUM(SEP_2013_A,32,UP_45_)</f>
        <v>0</v>
      </c>
      <c r="U345" s="137">
        <f>DSUM(SEP_2013_A,33,UP_45_)</f>
        <v>0</v>
      </c>
      <c r="V345" s="137">
        <f>DSUM(SEP_2013_A,34,UP_45_)</f>
        <v>0</v>
      </c>
    </row>
    <row r="346" spans="1:22" ht="15.95" customHeight="1" x14ac:dyDescent="0.2">
      <c r="A346" s="158"/>
      <c r="B346" s="111" t="s">
        <v>1094</v>
      </c>
      <c r="C346" s="130" t="str">
        <f t="shared" si="35"/>
        <v>Rancho Upácuaro No. 46</v>
      </c>
      <c r="D346" s="130" t="str">
        <f t="shared" si="36"/>
        <v>Fuentes</v>
      </c>
      <c r="E346" s="91">
        <f t="shared" si="37"/>
        <v>300</v>
      </c>
      <c r="F346" s="91">
        <f>DSUM(SEP_2013_A,AA,UP_46_)</f>
        <v>0</v>
      </c>
      <c r="G346" s="91">
        <f t="shared" si="38"/>
        <v>2400</v>
      </c>
      <c r="H346" s="91">
        <f>DSUM(BCO_SEP13_A,7,UP_46_)</f>
        <v>2400</v>
      </c>
      <c r="I346" s="159">
        <f t="shared" si="34"/>
        <v>8</v>
      </c>
      <c r="J346" s="6" t="s">
        <v>1283</v>
      </c>
      <c r="K346" s="137">
        <f>DSUM(BCO_ENE13,7,UP_46_)</f>
        <v>300</v>
      </c>
      <c r="L346" s="137">
        <f>DSUM(BCO_FEB13,7,UP_46_)</f>
        <v>300</v>
      </c>
      <c r="M346" s="137">
        <f>DSUM(BCO_MAR13,7,UP_46_)</f>
        <v>300</v>
      </c>
      <c r="N346" s="137">
        <f>DSUM(BCO_ABR13,7,UP_46_)</f>
        <v>300</v>
      </c>
      <c r="O346" s="137">
        <f>DSUM(BCO_MAY13,7,UP_46_)</f>
        <v>300</v>
      </c>
      <c r="P346" s="137">
        <f>DSUM(BCO_JUN13,7,UP_46_)</f>
        <v>300</v>
      </c>
      <c r="Q346" s="137">
        <f>DSUM(BCO_JUL13,7,UP_46_)</f>
        <v>300</v>
      </c>
      <c r="R346" s="137">
        <f>DSUM(BCO_AGO13,7,UP_46_)</f>
        <v>300</v>
      </c>
      <c r="S346" s="137">
        <f>DSUM(BCO_SEP13,7,UP_46_)</f>
        <v>0</v>
      </c>
      <c r="T346" s="137"/>
      <c r="U346" s="137"/>
      <c r="V346" s="137"/>
    </row>
    <row r="347" spans="1:22" ht="15.95" customHeight="1" x14ac:dyDescent="0.2">
      <c r="B347" s="1" t="s">
        <v>777</v>
      </c>
      <c r="C347" s="129" t="str">
        <f t="shared" si="35"/>
        <v>Rancho Upácuaro No. 47</v>
      </c>
      <c r="D347" s="129" t="str">
        <f t="shared" si="36"/>
        <v>Flores Muñoz</v>
      </c>
      <c r="E347" s="90">
        <f t="shared" si="37"/>
        <v>300</v>
      </c>
      <c r="F347" s="91">
        <f>DSUM(SEP_2013_A,AA,UP_47_)</f>
        <v>600</v>
      </c>
      <c r="G347" s="90">
        <f t="shared" si="38"/>
        <v>2700</v>
      </c>
      <c r="H347" s="90">
        <f>DSUM(SEP_2013_A,importe,UP_47_)</f>
        <v>3300</v>
      </c>
      <c r="I347" s="17">
        <f t="shared" si="34"/>
        <v>9</v>
      </c>
      <c r="J347" s="6" t="s">
        <v>1283</v>
      </c>
      <c r="K347" s="137">
        <f>DSUM(SEP_2013_A,23,UP_47_)</f>
        <v>300</v>
      </c>
      <c r="L347" s="137">
        <f>DSUM(SEP_2013_A,24,UP_47_)</f>
        <v>300</v>
      </c>
      <c r="M347" s="137">
        <f>DSUM(SEP_2013_A,25,UP_47_)</f>
        <v>300</v>
      </c>
      <c r="N347" s="137">
        <f>DSUM(SEP_2013_A,26,UP_47_)</f>
        <v>300</v>
      </c>
      <c r="O347" s="137">
        <f>DSUM(SEP_2013_A,27,UP_47_)</f>
        <v>300</v>
      </c>
      <c r="P347" s="137">
        <f>DSUM(SEP_2013_A,28,UP_47_)</f>
        <v>300</v>
      </c>
      <c r="Q347" s="137">
        <f>DSUM(SEP_2013_A,29,UP_47_)</f>
        <v>300</v>
      </c>
      <c r="R347" s="137">
        <f>DSUM(SEP_2013_A,30,UP_47_)</f>
        <v>300</v>
      </c>
      <c r="S347" s="137">
        <f>DSUM(SEP_2013_A,31,UP_47_)</f>
        <v>300</v>
      </c>
      <c r="T347" s="137">
        <f>DSUM(SEP_2013_A,32,UP_47_)</f>
        <v>0</v>
      </c>
      <c r="U347" s="137">
        <f>DSUM(SEP_2013_A,33,UP_47_)</f>
        <v>0</v>
      </c>
      <c r="V347" s="137">
        <f>DSUM(SEP_2013_A,34,UP_47_)</f>
        <v>0</v>
      </c>
    </row>
    <row r="348" spans="1:22" ht="15.95" customHeight="1" x14ac:dyDescent="0.2">
      <c r="B348" s="1" t="s">
        <v>1095</v>
      </c>
      <c r="C348" s="129" t="str">
        <f t="shared" si="35"/>
        <v>Rancho Upácuaro No. 48</v>
      </c>
      <c r="D348" s="129" t="str">
        <f t="shared" si="36"/>
        <v>Bernal</v>
      </c>
      <c r="E348" s="90">
        <f t="shared" si="37"/>
        <v>200</v>
      </c>
      <c r="F348" s="91">
        <f>DSUM(SEP_2013_A,AA,UP_48_)</f>
        <v>200</v>
      </c>
      <c r="G348" s="90">
        <f t="shared" si="38"/>
        <v>1200</v>
      </c>
      <c r="H348" s="90">
        <f>DSUM(SEP_2013_A,importe,UP_48_)</f>
        <v>1400</v>
      </c>
      <c r="I348" s="17">
        <f t="shared" si="34"/>
        <v>6</v>
      </c>
      <c r="J348" s="6" t="s">
        <v>1283</v>
      </c>
      <c r="K348" s="137">
        <f>DSUM(SEP_2013_A,23,UP_48_)</f>
        <v>200</v>
      </c>
      <c r="L348" s="137">
        <f>DSUM(SEP_2013_A,24,UP_48_)</f>
        <v>200</v>
      </c>
      <c r="M348" s="137">
        <f>DSUM(SEP_2013_A,25,UP_48_)</f>
        <v>200</v>
      </c>
      <c r="N348" s="137">
        <f>DSUM(SEP_2013_A,26,UP_48_)</f>
        <v>200</v>
      </c>
      <c r="O348" s="137">
        <f>DSUM(SEP_2013_A,27,UP_48_)</f>
        <v>200</v>
      </c>
      <c r="P348" s="137">
        <f>DSUM(SEP_2013_A,28,UP_48_)</f>
        <v>200</v>
      </c>
      <c r="Q348" s="137">
        <f>DSUM(SEP_2013_A,29,UP_48_)</f>
        <v>0</v>
      </c>
      <c r="R348" s="137">
        <f>DSUM(SEP_2013_A,30,UP_48_)</f>
        <v>0</v>
      </c>
      <c r="S348" s="137">
        <f>DSUM(SEP_2013_A,31,UP_48_)</f>
        <v>0</v>
      </c>
      <c r="T348" s="137">
        <f>DSUM(SEP_2013_A,32,UP_48_)</f>
        <v>0</v>
      </c>
      <c r="U348" s="137">
        <f>DSUM(SEP_2013_A,33,UP_48_)</f>
        <v>0</v>
      </c>
      <c r="V348" s="137">
        <f>DSUM(SEP_2013_A,34,UP_48_)</f>
        <v>0</v>
      </c>
    </row>
    <row r="349" spans="1:22" ht="15.95" customHeight="1" x14ac:dyDescent="0.2">
      <c r="B349" s="1" t="s">
        <v>1096</v>
      </c>
      <c r="C349" s="129" t="str">
        <f t="shared" si="35"/>
        <v>Rancho Upácuaro No. 49</v>
      </c>
      <c r="D349" s="129" t="str">
        <f t="shared" si="36"/>
        <v>Sánchez Romano</v>
      </c>
      <c r="E349" s="90">
        <f t="shared" si="37"/>
        <v>300</v>
      </c>
      <c r="F349" s="91">
        <f>DSUM(SEP_2013_A,AA,UP_49_)</f>
        <v>0</v>
      </c>
      <c r="G349" s="90">
        <f t="shared" si="38"/>
        <v>0</v>
      </c>
      <c r="H349" s="90">
        <f>DSUM(SEP_2013_A,importe,UP_49_)</f>
        <v>0</v>
      </c>
      <c r="I349" s="17">
        <f t="shared" si="34"/>
        <v>0</v>
      </c>
      <c r="J349" s="6" t="s">
        <v>1283</v>
      </c>
      <c r="K349" s="137">
        <f>DSUM(SEP_2013_A,23,UP_49_)</f>
        <v>0</v>
      </c>
      <c r="L349" s="137">
        <f>DSUM(SEP_2013_A,24,UP_49_)</f>
        <v>0</v>
      </c>
      <c r="M349" s="137">
        <f>DSUM(SEP_2013_A,25,UP_49_)</f>
        <v>0</v>
      </c>
      <c r="N349" s="137">
        <f>DSUM(SEP_2013_A,26,UP_49_)</f>
        <v>0</v>
      </c>
      <c r="O349" s="137">
        <f>DSUM(SEP_2013_A,27,UP_49_)</f>
        <v>0</v>
      </c>
      <c r="P349" s="137">
        <f>DSUM(SEP_2013_A,28,UP_49_)</f>
        <v>0</v>
      </c>
      <c r="Q349" s="137">
        <f>DSUM(SEP_2013_A,29,UP_49_)</f>
        <v>0</v>
      </c>
      <c r="R349" s="137">
        <f>DSUM(SEP_2013_A,30,UP_49_)</f>
        <v>0</v>
      </c>
      <c r="S349" s="137">
        <f>DSUM(SEP_2013_A,31,UP_49_)</f>
        <v>0</v>
      </c>
      <c r="T349" s="137">
        <f>DSUM(SEP_2013_A,32,UP_49_)</f>
        <v>0</v>
      </c>
      <c r="U349" s="137">
        <f>DSUM(SEP_2013_A,33,UP_49_)</f>
        <v>0</v>
      </c>
      <c r="V349" s="137">
        <f>DSUM(SEP_2013_A,34,UP_49_)</f>
        <v>0</v>
      </c>
    </row>
    <row r="350" spans="1:22" ht="15.95" customHeight="1" x14ac:dyDescent="0.2">
      <c r="B350" s="1" t="s">
        <v>1097</v>
      </c>
      <c r="C350" s="129" t="str">
        <f t="shared" si="35"/>
        <v>Rancho Upácuaro No. 50</v>
      </c>
      <c r="D350" s="129" t="str">
        <f t="shared" si="36"/>
        <v>Rivera Rodríguez</v>
      </c>
      <c r="E350" s="90">
        <f t="shared" si="37"/>
        <v>300</v>
      </c>
      <c r="F350" s="91">
        <f>DSUM(SEP_2013_A,AA,UP_50_)</f>
        <v>0</v>
      </c>
      <c r="G350" s="90">
        <f t="shared" si="38"/>
        <v>0</v>
      </c>
      <c r="H350" s="90">
        <f>DSUM(SEP_2013_A,importe,UP_50_)</f>
        <v>0</v>
      </c>
      <c r="I350" s="17">
        <f t="shared" si="34"/>
        <v>0</v>
      </c>
      <c r="J350" s="6" t="s">
        <v>1283</v>
      </c>
      <c r="K350" s="137">
        <f>DSUM(SEP_2013_A,23,UP_50_)</f>
        <v>0</v>
      </c>
      <c r="L350" s="137">
        <f>DSUM(SEP_2013_A,24,UP_50_)</f>
        <v>0</v>
      </c>
      <c r="M350" s="137">
        <f>DSUM(SEP_2013_A,25,UP_50_)</f>
        <v>0</v>
      </c>
      <c r="N350" s="137">
        <f>DSUM(SEP_2013_A,26,UP_50_)</f>
        <v>0</v>
      </c>
      <c r="O350" s="137">
        <f>DSUM(SEP_2013_A,27,UP_50_)</f>
        <v>0</v>
      </c>
      <c r="P350" s="137">
        <f>DSUM(SEP_2013_A,28,UP_50_)</f>
        <v>0</v>
      </c>
      <c r="Q350" s="137">
        <f>DSUM(SEP_2013_A,29,UP_50_)</f>
        <v>0</v>
      </c>
      <c r="R350" s="137">
        <f>DSUM(SEP_2013_A,30,UP_50_)</f>
        <v>0</v>
      </c>
      <c r="S350" s="137">
        <f>DSUM(SEP_2013_A,31,UP_50_)</f>
        <v>0</v>
      </c>
      <c r="T350" s="137">
        <f>DSUM(SEP_2013_A,32,UP_50_)</f>
        <v>0</v>
      </c>
      <c r="U350" s="137">
        <f>DSUM(SEP_2013_A,33,UP_50_)</f>
        <v>0</v>
      </c>
      <c r="V350" s="137">
        <f>DSUM(SEP_2013_A,34,UP_50_)</f>
        <v>0</v>
      </c>
    </row>
    <row r="351" spans="1:22" ht="15.95" customHeight="1" x14ac:dyDescent="0.2">
      <c r="B351" s="1" t="s">
        <v>1098</v>
      </c>
      <c r="C351" s="129" t="str">
        <f t="shared" si="35"/>
        <v>Rancho Upácuaro No. 51, 1</v>
      </c>
      <c r="D351" s="129" t="str">
        <f t="shared" si="36"/>
        <v>Casas Nájera</v>
      </c>
      <c r="E351" s="90">
        <f t="shared" si="37"/>
        <v>300</v>
      </c>
      <c r="F351" s="91">
        <f>DSUM(SEP_2013_A,AA,UP_51_1)</f>
        <v>0</v>
      </c>
      <c r="G351" s="90">
        <f t="shared" si="38"/>
        <v>0</v>
      </c>
      <c r="H351" s="90">
        <f>DSUM(SEP_2013_A,importe,UP_51_1)</f>
        <v>0</v>
      </c>
      <c r="I351" s="17">
        <f t="shared" si="34"/>
        <v>0</v>
      </c>
      <c r="J351" s="6" t="s">
        <v>1283</v>
      </c>
      <c r="K351" s="137">
        <f>DSUM(SEP_2013_A,23,UP_51_1)</f>
        <v>0</v>
      </c>
      <c r="L351" s="137">
        <f>DSUM(SEP_2013_A,24,UP_51_1)</f>
        <v>0</v>
      </c>
      <c r="M351" s="137">
        <f>DSUM(SEP_2013_A,25,UP_51_1)</f>
        <v>0</v>
      </c>
      <c r="N351" s="137">
        <f>DSUM(SEP_2013_A,26,UP_51_1)</f>
        <v>0</v>
      </c>
      <c r="O351" s="137">
        <f>DSUM(SEP_2013_A,27,UP_51_1)</f>
        <v>0</v>
      </c>
      <c r="P351" s="137">
        <f>DSUM(SEP_2013_A,28,UP_51_1)</f>
        <v>0</v>
      </c>
      <c r="Q351" s="137">
        <f>DSUM(SEP_2013_A,29,UP_51_1)</f>
        <v>0</v>
      </c>
      <c r="R351" s="137">
        <f>DSUM(SEP_2013_A,30,UP_51_1)</f>
        <v>0</v>
      </c>
      <c r="S351" s="137">
        <f>DSUM(SEP_2013_A,31,UP_51_1)</f>
        <v>0</v>
      </c>
      <c r="T351" s="137">
        <f>DSUM(SEP_2013_A,32,UP_51_1)</f>
        <v>0</v>
      </c>
      <c r="U351" s="137">
        <f>DSUM(SEP_2013_A,33,UP_51_1)</f>
        <v>0</v>
      </c>
      <c r="V351" s="137">
        <f>DSUM(SEP_2013_A,34,UP_51_1)</f>
        <v>0</v>
      </c>
    </row>
    <row r="352" spans="1:22" ht="15.95" customHeight="1" x14ac:dyDescent="0.2">
      <c r="B352" s="1" t="s">
        <v>1099</v>
      </c>
      <c r="C352" s="129" t="str">
        <f t="shared" si="35"/>
        <v>Rancho Upácuaro No. 51, 2</v>
      </c>
      <c r="D352" s="129" t="str">
        <f t="shared" si="36"/>
        <v>Santoyo</v>
      </c>
      <c r="E352" s="90">
        <f t="shared" si="37"/>
        <v>300</v>
      </c>
      <c r="F352" s="91">
        <f>DSUM(SEP_2013_A,AA,UP_51_2)</f>
        <v>300</v>
      </c>
      <c r="G352" s="90">
        <f t="shared" si="38"/>
        <v>300</v>
      </c>
      <c r="H352" s="90">
        <f>DSUM(SEP_2013_A,importe,UP_51_2)</f>
        <v>600</v>
      </c>
      <c r="I352" s="17">
        <f t="shared" si="34"/>
        <v>1</v>
      </c>
      <c r="J352" s="6" t="s">
        <v>1283</v>
      </c>
      <c r="K352" s="137">
        <f>DSUM(SEP_2013_A,23,UP_51_2)</f>
        <v>300</v>
      </c>
      <c r="L352" s="137">
        <f>DSUM(SEP_2013_A,24,UP_51_2)</f>
        <v>0</v>
      </c>
      <c r="M352" s="137">
        <f>DSUM(SEP_2013_A,25,UP_51_2)</f>
        <v>0</v>
      </c>
      <c r="N352" s="137">
        <f>DSUM(SEP_2013_A,26,UP_51_2)</f>
        <v>0</v>
      </c>
      <c r="O352" s="137">
        <f>DSUM(SEP_2013_A,27,UP_51_2)</f>
        <v>0</v>
      </c>
      <c r="P352" s="137">
        <f>DSUM(SEP_2013_A,28,UP_51_2)</f>
        <v>0</v>
      </c>
      <c r="Q352" s="137">
        <f>DSUM(SEP_2013_A,29,UP_51_2)</f>
        <v>0</v>
      </c>
      <c r="R352" s="137">
        <f>DSUM(SEP_2013_A,30,UP_51_2)</f>
        <v>0</v>
      </c>
      <c r="S352" s="137">
        <f>DSUM(SEP_2013_A,31,UP_51_2)</f>
        <v>0</v>
      </c>
      <c r="T352" s="137">
        <f>DSUM(SEP_2013_A,32,UP_51_2)</f>
        <v>0</v>
      </c>
      <c r="U352" s="137">
        <f>DSUM(SEP_2013_A,33,UP_51_2)</f>
        <v>0</v>
      </c>
      <c r="V352" s="137">
        <f>DSUM(SEP_2013_A,34,UP_51_2)</f>
        <v>0</v>
      </c>
    </row>
    <row r="353" spans="2:22" ht="15.95" customHeight="1" x14ac:dyDescent="0.2">
      <c r="B353" s="1" t="s">
        <v>1100</v>
      </c>
      <c r="C353" s="129" t="str">
        <f t="shared" si="35"/>
        <v>Rancho Upácuaro No. 52</v>
      </c>
      <c r="D353" s="129" t="str">
        <f t="shared" si="36"/>
        <v>Velázquez V.</v>
      </c>
      <c r="E353" s="90">
        <f t="shared" si="37"/>
        <v>300</v>
      </c>
      <c r="F353" s="91">
        <f>DSUM(SEP_2013_A,AA,UP_52_)</f>
        <v>0</v>
      </c>
      <c r="G353" s="90">
        <f t="shared" si="38"/>
        <v>0</v>
      </c>
      <c r="H353" s="90">
        <f>DSUM(SEP_2013_A,importe,UP_52_)</f>
        <v>0</v>
      </c>
      <c r="I353" s="17">
        <f t="shared" si="34"/>
        <v>0</v>
      </c>
      <c r="J353" s="6" t="s">
        <v>1283</v>
      </c>
      <c r="K353" s="137">
        <f>DSUM(SEP_2013_A,23,UP_52_)</f>
        <v>0</v>
      </c>
      <c r="L353" s="137">
        <f>DSUM(SEP_2013_A,24,UP_52_)</f>
        <v>0</v>
      </c>
      <c r="M353" s="137">
        <f>DSUM(SEP_2013_A,25,UP_52_)</f>
        <v>0</v>
      </c>
      <c r="N353" s="137">
        <f>DSUM(SEP_2013_A,26,UP_52_)</f>
        <v>0</v>
      </c>
      <c r="O353" s="137">
        <f>DSUM(SEP_2013_A,27,UP_52_)</f>
        <v>0</v>
      </c>
      <c r="P353" s="137">
        <f>DSUM(SEP_2013_A,28,UP_52_)</f>
        <v>0</v>
      </c>
      <c r="Q353" s="137">
        <f>DSUM(SEP_2013_A,29,UP_52_)</f>
        <v>0</v>
      </c>
      <c r="R353" s="137">
        <f>DSUM(SEP_2013_A,30,UP_52_)</f>
        <v>0</v>
      </c>
      <c r="S353" s="137">
        <f>DSUM(SEP_2013_A,31,UP_52_)</f>
        <v>0</v>
      </c>
      <c r="T353" s="137">
        <f>DSUM(SEP_2013_A,32,UP_52_)</f>
        <v>0</v>
      </c>
      <c r="U353" s="137">
        <f>DSUM(SEP_2013_A,33,UP_52_)</f>
        <v>0</v>
      </c>
      <c r="V353" s="137">
        <f>DSUM(SEP_2013_A,34,UP_52_)</f>
        <v>0</v>
      </c>
    </row>
    <row r="354" spans="2:22" ht="15.95" customHeight="1" x14ac:dyDescent="0.2">
      <c r="B354" s="1" t="s">
        <v>1101</v>
      </c>
      <c r="C354" s="129" t="str">
        <f t="shared" si="35"/>
        <v>Rancho Upácuaro No. 54</v>
      </c>
      <c r="D354" s="129" t="str">
        <f t="shared" si="36"/>
        <v>García Rueda</v>
      </c>
      <c r="E354" s="90">
        <f t="shared" si="37"/>
        <v>200</v>
      </c>
      <c r="F354" s="91">
        <f>DSUM(SEP_2013_A,AA,UP_54_)</f>
        <v>200</v>
      </c>
      <c r="G354" s="90">
        <f t="shared" si="38"/>
        <v>1800</v>
      </c>
      <c r="H354" s="90">
        <f>DSUM(SEP_2013_A,importe,UP_54_)</f>
        <v>2000</v>
      </c>
      <c r="I354" s="17">
        <f t="shared" si="34"/>
        <v>9</v>
      </c>
      <c r="J354" s="6" t="s">
        <v>1283</v>
      </c>
      <c r="K354" s="137">
        <f>DSUM(SEP_2013_A,23,UP_54_)</f>
        <v>200</v>
      </c>
      <c r="L354" s="137">
        <f>DSUM(SEP_2013_A,24,UP_54_)</f>
        <v>200</v>
      </c>
      <c r="M354" s="137">
        <f>DSUM(SEP_2013_A,25,UP_54_)</f>
        <v>200</v>
      </c>
      <c r="N354" s="137">
        <f>DSUM(SEP_2013_A,26,UP_54_)</f>
        <v>200</v>
      </c>
      <c r="O354" s="137">
        <f>DSUM(SEP_2013_A,27,UP_54_)</f>
        <v>200</v>
      </c>
      <c r="P354" s="137">
        <f>DSUM(SEP_2013_A,28,UP_54_)</f>
        <v>200</v>
      </c>
      <c r="Q354" s="137">
        <f>DSUM(SEP_2013_A,29,UP_54_)</f>
        <v>200</v>
      </c>
      <c r="R354" s="137">
        <f>DSUM(SEP_2013_A,30,UP_54_)</f>
        <v>200</v>
      </c>
      <c r="S354" s="137">
        <f>DSUM(SEP_2013_A,31,UP_54_)</f>
        <v>200</v>
      </c>
      <c r="T354" s="137">
        <f>DSUM(SEP_2013_A,32,UP_54_)</f>
        <v>0</v>
      </c>
      <c r="U354" s="137">
        <f>DSUM(SEP_2013_A,33,UP_54_)</f>
        <v>0</v>
      </c>
      <c r="V354" s="137">
        <f>DSUM(SEP_2013_A,34,UP_54_)</f>
        <v>0</v>
      </c>
    </row>
    <row r="355" spans="2:22" ht="15.95" customHeight="1" x14ac:dyDescent="0.2">
      <c r="B355" s="1" t="s">
        <v>1102</v>
      </c>
      <c r="C355" s="129" t="str">
        <f t="shared" si="35"/>
        <v>Rancho Upácuaro No. 55</v>
      </c>
      <c r="D355" s="129" t="str">
        <f t="shared" si="36"/>
        <v>Ávila</v>
      </c>
      <c r="E355" s="90">
        <f t="shared" si="37"/>
        <v>300</v>
      </c>
      <c r="F355" s="91">
        <f>DSUM(SEP_2013_A,AA,UP_55_)</f>
        <v>0</v>
      </c>
      <c r="G355" s="90">
        <f t="shared" si="38"/>
        <v>0</v>
      </c>
      <c r="H355" s="90">
        <f>DSUM(SEP_2013_A,importe,UP_55_)</f>
        <v>0</v>
      </c>
      <c r="I355" s="17">
        <f t="shared" si="34"/>
        <v>0</v>
      </c>
      <c r="J355" s="6" t="s">
        <v>1283</v>
      </c>
      <c r="K355" s="137">
        <f>DSUM(SEP_2013_A,23,UP_55_)</f>
        <v>0</v>
      </c>
      <c r="L355" s="137">
        <f>DSUM(SEP_2013_A,24,UP_55_)</f>
        <v>0</v>
      </c>
      <c r="M355" s="137">
        <f>DSUM(SEP_2013_A,25,UP_55_)</f>
        <v>0</v>
      </c>
      <c r="N355" s="137">
        <f>DSUM(SEP_2013_A,26,UP_55_)</f>
        <v>0</v>
      </c>
      <c r="O355" s="137">
        <f>DSUM(SEP_2013_A,27,UP_55_)</f>
        <v>0</v>
      </c>
      <c r="P355" s="137">
        <f>DSUM(SEP_2013_A,28,UP_55_)</f>
        <v>0</v>
      </c>
      <c r="Q355" s="137">
        <f>DSUM(SEP_2013_A,29,UP_55_)</f>
        <v>0</v>
      </c>
      <c r="R355" s="137">
        <f>DSUM(SEP_2013_A,30,UP_55_)</f>
        <v>0</v>
      </c>
      <c r="S355" s="137">
        <f>DSUM(SEP_2013_A,31,UP_55_)</f>
        <v>0</v>
      </c>
      <c r="T355" s="137">
        <f>DSUM(SEP_2013_A,32,UP_55_)</f>
        <v>0</v>
      </c>
      <c r="U355" s="137">
        <f>DSUM(SEP_2013_A,33,UP_55_)</f>
        <v>0</v>
      </c>
      <c r="V355" s="137">
        <f>DSUM(SEP_2013_A,34,UP_55_)</f>
        <v>0</v>
      </c>
    </row>
    <row r="356" spans="2:22" ht="15.95" customHeight="1" x14ac:dyDescent="0.2">
      <c r="B356" s="1" t="s">
        <v>1348</v>
      </c>
      <c r="C356" s="129" t="str">
        <f t="shared" si="35"/>
        <v>Rancho Upácuaro No. 56</v>
      </c>
      <c r="D356" s="129">
        <f t="shared" si="36"/>
        <v>0</v>
      </c>
      <c r="E356" s="90">
        <f t="shared" si="37"/>
        <v>300</v>
      </c>
      <c r="F356" s="91">
        <f>DSUM(SEP_2013_A,AA,UP_56_)</f>
        <v>0</v>
      </c>
      <c r="G356" s="90">
        <f t="shared" si="38"/>
        <v>0</v>
      </c>
      <c r="H356" s="90">
        <f>DSUM(SEP_2013_A,importe,UP_56_)</f>
        <v>0</v>
      </c>
      <c r="I356" s="17">
        <f t="shared" si="34"/>
        <v>0</v>
      </c>
      <c r="J356" s="6" t="s">
        <v>1283</v>
      </c>
      <c r="K356" s="137">
        <f>DSUM(SEP_2013_A,23,UP_56_)</f>
        <v>0</v>
      </c>
      <c r="L356" s="137">
        <f>DSUM(SEP_2013_A,24,UP_56_)</f>
        <v>0</v>
      </c>
      <c r="M356" s="137">
        <f>DSUM(SEP_2013_A,25,UP_56_)</f>
        <v>0</v>
      </c>
      <c r="N356" s="137">
        <f>DSUM(SEP_2013_A,26,UP_56_)</f>
        <v>0</v>
      </c>
      <c r="O356" s="137">
        <f>DSUM(SEP_2013_A,27,UP_56_)</f>
        <v>0</v>
      </c>
      <c r="P356" s="137">
        <f>DSUM(SEP_2013_A,28,UP_56_)</f>
        <v>0</v>
      </c>
      <c r="Q356" s="137">
        <f>DSUM(SEP_2013_A,29,UP_56_)</f>
        <v>0</v>
      </c>
      <c r="R356" s="137">
        <f>DSUM(SEP_2013_A,30,UP_56_)</f>
        <v>0</v>
      </c>
      <c r="S356" s="137">
        <f>DSUM(SEP_2013_A,31,UP_56_)</f>
        <v>0</v>
      </c>
      <c r="T356" s="137">
        <f>DSUM(SEP_2013_A,32,UP_56_)</f>
        <v>0</v>
      </c>
      <c r="U356" s="137">
        <f>DSUM(SEP_2013_A,33,UP_56_)</f>
        <v>0</v>
      </c>
      <c r="V356" s="137">
        <f>DSUM(SEP_2013_A,34,UP_56_)</f>
        <v>0</v>
      </c>
    </row>
    <row r="357" spans="2:22" ht="15.95" customHeight="1" x14ac:dyDescent="0.2">
      <c r="B357" s="1" t="s">
        <v>1349</v>
      </c>
      <c r="C357" s="129" t="str">
        <f t="shared" si="35"/>
        <v>Rancho Upácuaro No. 57</v>
      </c>
      <c r="D357" s="129">
        <f t="shared" si="36"/>
        <v>0</v>
      </c>
      <c r="E357" s="90">
        <f t="shared" si="37"/>
        <v>300</v>
      </c>
      <c r="F357" s="91">
        <f>DSUM(SEP_2013_A,AA,UP_57_)</f>
        <v>0</v>
      </c>
      <c r="G357" s="90">
        <f t="shared" si="38"/>
        <v>0</v>
      </c>
      <c r="H357" s="90">
        <f>DSUM(SEP_2013_A,importe,UP_57_)</f>
        <v>0</v>
      </c>
      <c r="I357" s="17">
        <f t="shared" si="34"/>
        <v>0</v>
      </c>
      <c r="J357" s="6" t="s">
        <v>1283</v>
      </c>
      <c r="K357" s="137">
        <f>DSUM(SEP_2013_A,23,UP_57_)</f>
        <v>0</v>
      </c>
      <c r="L357" s="137">
        <f>DSUM(SEP_2013_A,24,UP_57_)</f>
        <v>0</v>
      </c>
      <c r="M357" s="137">
        <f>DSUM(SEP_2013_A,25,UP_57_)</f>
        <v>0</v>
      </c>
      <c r="N357" s="137">
        <f>DSUM(SEP_2013_A,26,UP_57_)</f>
        <v>0</v>
      </c>
      <c r="O357" s="137">
        <f>DSUM(SEP_2013_A,27,UP_57_)</f>
        <v>0</v>
      </c>
      <c r="P357" s="137">
        <f>DSUM(SEP_2013_A,28,UP_57_)</f>
        <v>0</v>
      </c>
      <c r="Q357" s="137">
        <f>DSUM(SEP_2013_A,29,UP_57_)</f>
        <v>0</v>
      </c>
      <c r="R357" s="137">
        <f>DSUM(SEP_2013_A,30,UP_57_)</f>
        <v>0</v>
      </c>
      <c r="S357" s="137">
        <f>DSUM(SEP_2013_A,31,UP_57_)</f>
        <v>0</v>
      </c>
      <c r="T357" s="137">
        <f>DSUM(SEP_2013_A,32,UP_57_)</f>
        <v>0</v>
      </c>
      <c r="U357" s="137">
        <f>DSUM(SEP_2013_A,33,UP_57_)</f>
        <v>0</v>
      </c>
      <c r="V357" s="137">
        <f>DSUM(SEP_2013_A,34,UP_57_)</f>
        <v>0</v>
      </c>
    </row>
    <row r="358" spans="2:22" ht="15.95" customHeight="1" x14ac:dyDescent="0.2">
      <c r="B358" s="1" t="s">
        <v>1103</v>
      </c>
      <c r="C358" s="129" t="str">
        <f t="shared" si="35"/>
        <v>Rancho Upácuaro No. 60</v>
      </c>
      <c r="D358" s="129" t="str">
        <f t="shared" si="36"/>
        <v>Zavala</v>
      </c>
      <c r="E358" s="90">
        <f t="shared" si="37"/>
        <v>300</v>
      </c>
      <c r="F358" s="91">
        <f>DSUM(SEP_2013_A,AA,UP_60_)</f>
        <v>300</v>
      </c>
      <c r="G358" s="90">
        <f t="shared" si="38"/>
        <v>2400</v>
      </c>
      <c r="H358" s="90">
        <f>DSUM(SEP_2013_A,importe,UP_60_)</f>
        <v>2700</v>
      </c>
      <c r="I358" s="17">
        <f t="shared" si="34"/>
        <v>8</v>
      </c>
      <c r="J358" s="6" t="s">
        <v>1283</v>
      </c>
      <c r="K358" s="137">
        <f>DSUM(SEP_2013_A,23,UP_60_)</f>
        <v>300</v>
      </c>
      <c r="L358" s="137">
        <f>DSUM(SEP_2013_A,24,UP_60_)</f>
        <v>300</v>
      </c>
      <c r="M358" s="137">
        <f>DSUM(SEP_2013_A,25,UP_60_)</f>
        <v>300</v>
      </c>
      <c r="N358" s="137">
        <f>DSUM(SEP_2013_A,26,UP_60_)</f>
        <v>300</v>
      </c>
      <c r="O358" s="137">
        <f>DSUM(SEP_2013_A,27,UP_60_)</f>
        <v>300</v>
      </c>
      <c r="P358" s="137">
        <f>DSUM(SEP_2013_A,28,UP_60_)</f>
        <v>300</v>
      </c>
      <c r="Q358" s="137">
        <f>DSUM(SEP_2013_A,29,UP_60_)</f>
        <v>300</v>
      </c>
      <c r="R358" s="137">
        <f>DSUM(SEP_2013_A,30,UP_60_)</f>
        <v>300</v>
      </c>
      <c r="S358" s="137">
        <f>DSUM(SEP_2013_A,31,UP_60_)</f>
        <v>0</v>
      </c>
      <c r="T358" s="137">
        <f>DSUM(SEP_2013_A,32,UP_60_)</f>
        <v>0</v>
      </c>
      <c r="U358" s="137">
        <f>DSUM(SEP_2013_A,33,UP_60_)</f>
        <v>0</v>
      </c>
      <c r="V358" s="137">
        <f>DSUM(SEP_2013_A,34,UP_60_)</f>
        <v>0</v>
      </c>
    </row>
    <row r="359" spans="2:22" ht="15.95" customHeight="1" x14ac:dyDescent="0.2">
      <c r="B359" s="1" t="s">
        <v>1104</v>
      </c>
      <c r="C359" s="129" t="str">
        <f t="shared" si="35"/>
        <v>Rancho Upácuaro No. 61</v>
      </c>
      <c r="D359" s="129" t="str">
        <f t="shared" si="36"/>
        <v>Campos Granados</v>
      </c>
      <c r="E359" s="90">
        <f t="shared" si="37"/>
        <v>300</v>
      </c>
      <c r="F359" s="91">
        <f>DSUM(SEP_2013_A,AA,UP_61_)</f>
        <v>0</v>
      </c>
      <c r="G359" s="90">
        <f t="shared" si="38"/>
        <v>3300</v>
      </c>
      <c r="H359" s="90">
        <f>DSUM(SEP_2013_A,importe,UP_61_)</f>
        <v>3300</v>
      </c>
      <c r="I359" s="17">
        <f>IF(VLOOKUP(B359,BASE_A,9,FALSE)=0,0,(G359/VLOOKUP(B359,BASE_A,9,FALSE)))+1</f>
        <v>12</v>
      </c>
      <c r="J359" s="6" t="s">
        <v>1283</v>
      </c>
      <c r="K359" s="137">
        <f>DSUM(SEP_2013_A,23,UP_61_)</f>
        <v>300</v>
      </c>
      <c r="L359" s="137">
        <f>DSUM(SEP_2013_A,24,UP_61_)</f>
        <v>300</v>
      </c>
      <c r="M359" s="137">
        <f>DSUM(SEP_2013_A,25,UP_61_)</f>
        <v>300</v>
      </c>
      <c r="N359" s="137">
        <f>DSUM(SEP_2013_A,26,UP_61_)</f>
        <v>300</v>
      </c>
      <c r="O359" s="137">
        <f>DSUM(SEP_2013_A,27,UP_61_)</f>
        <v>300</v>
      </c>
      <c r="P359" s="137">
        <f>DSUM(SEP_2013_A,28,UP_61_)</f>
        <v>300</v>
      </c>
      <c r="Q359" s="137">
        <f>DSUM(SEP_2013_A,29,UP_61_)</f>
        <v>300</v>
      </c>
      <c r="R359" s="137">
        <f>DSUM(SEP_2013_A,30,UP_61_)</f>
        <v>300</v>
      </c>
      <c r="S359" s="137">
        <f>DSUM(SEP_2013_A,31,UP_61_)</f>
        <v>300</v>
      </c>
      <c r="T359" s="137">
        <f>DSUM(SEP_2013_A,32,UP_61_)</f>
        <v>300</v>
      </c>
      <c r="U359" s="137">
        <f>DSUM(SEP_2013_A,33,UP_61_)</f>
        <v>300</v>
      </c>
      <c r="V359" s="137">
        <f>DSUM(SEP_2013_A,34,UP_61_)</f>
        <v>0</v>
      </c>
    </row>
    <row r="360" spans="2:22" ht="15.95" customHeight="1" x14ac:dyDescent="0.2">
      <c r="B360" s="1" t="s">
        <v>1105</v>
      </c>
      <c r="C360" s="129" t="str">
        <f t="shared" si="35"/>
        <v>Rancho Upácuaro No. 62</v>
      </c>
      <c r="D360" s="129" t="str">
        <f t="shared" si="36"/>
        <v>Jiménez Escutia</v>
      </c>
      <c r="E360" s="90">
        <f t="shared" si="37"/>
        <v>300</v>
      </c>
      <c r="F360" s="91">
        <f>DSUM(SEP_2013_A,AA,UP_62_)</f>
        <v>0</v>
      </c>
      <c r="G360" s="90">
        <f t="shared" si="38"/>
        <v>1800</v>
      </c>
      <c r="H360" s="90">
        <f>DSUM(SEP_2013_A,importe,UP_62_)</f>
        <v>1800</v>
      </c>
      <c r="I360" s="17">
        <f t="shared" ref="I360:I365" si="39">IF(VLOOKUP(B360,BASE_A,9,FALSE)=0,0,G360/VLOOKUP(B360,BASE_A,9,FALSE))</f>
        <v>6</v>
      </c>
      <c r="J360" s="6" t="s">
        <v>1283</v>
      </c>
      <c r="K360" s="137">
        <f>DSUM(SEP_2013_A,23,UP_62_)</f>
        <v>300</v>
      </c>
      <c r="L360" s="137">
        <f>DSUM(SEP_2013_A,24,UP_62_)</f>
        <v>300</v>
      </c>
      <c r="M360" s="137">
        <f>DSUM(SEP_2013_A,25,UP_62_)</f>
        <v>300</v>
      </c>
      <c r="N360" s="137">
        <f>DSUM(SEP_2013_A,26,UP_62_)</f>
        <v>300</v>
      </c>
      <c r="O360" s="137">
        <f>DSUM(SEP_2013_A,27,UP_62_)</f>
        <v>300</v>
      </c>
      <c r="P360" s="137">
        <f>DSUM(SEP_2013_A,28,UP_62_)</f>
        <v>300</v>
      </c>
      <c r="Q360" s="137">
        <f>DSUM(SEP_2013_A,29,UP_62_)</f>
        <v>0</v>
      </c>
      <c r="R360" s="137">
        <f>DSUM(SEP_2013_A,30,UP_62_)</f>
        <v>0</v>
      </c>
      <c r="S360" s="137">
        <f>DSUM(SEP_2013_A,31,UP_62_)</f>
        <v>0</v>
      </c>
      <c r="T360" s="137">
        <f>DSUM(SEP_2013_A,32,UP_62_)</f>
        <v>0</v>
      </c>
      <c r="U360" s="137">
        <f>DSUM(SEP_2013_A,33,UP_62_)</f>
        <v>0</v>
      </c>
      <c r="V360" s="137">
        <f>DSUM(SEP_2013_A,34,UP_62_)</f>
        <v>0</v>
      </c>
    </row>
    <row r="361" spans="2:22" ht="15.95" customHeight="1" x14ac:dyDescent="0.2">
      <c r="B361" s="1" t="s">
        <v>1106</v>
      </c>
      <c r="C361" s="129" t="str">
        <f t="shared" si="35"/>
        <v>Rancho Upácuaro No. 63</v>
      </c>
      <c r="D361" s="129" t="str">
        <f t="shared" si="36"/>
        <v>González Benavides</v>
      </c>
      <c r="E361" s="90">
        <f t="shared" si="37"/>
        <v>300</v>
      </c>
      <c r="F361" s="91">
        <f>DSUM(SEP_2013_A,AA,UP_63_)</f>
        <v>0</v>
      </c>
      <c r="G361" s="90">
        <f t="shared" si="38"/>
        <v>3000</v>
      </c>
      <c r="H361" s="90">
        <f>DSUM(SEP_2013_A,importe,UP_63_)</f>
        <v>3000</v>
      </c>
      <c r="I361" s="17">
        <f t="shared" si="39"/>
        <v>10</v>
      </c>
      <c r="J361" s="6" t="s">
        <v>1283</v>
      </c>
      <c r="K361" s="137">
        <f>DSUM(SEP_2013_A,23,UP_63_)</f>
        <v>300</v>
      </c>
      <c r="L361" s="137">
        <f>DSUM(SEP_2013_A,24,UP_63_)</f>
        <v>300</v>
      </c>
      <c r="M361" s="137">
        <f>DSUM(SEP_2013_A,25,UP_63_)</f>
        <v>300</v>
      </c>
      <c r="N361" s="137">
        <f>DSUM(SEP_2013_A,26,UP_63_)</f>
        <v>300</v>
      </c>
      <c r="O361" s="137">
        <f>DSUM(SEP_2013_A,27,UP_63_)</f>
        <v>300</v>
      </c>
      <c r="P361" s="137">
        <f>DSUM(SEP_2013_A,28,UP_63_)</f>
        <v>300</v>
      </c>
      <c r="Q361" s="137">
        <f>DSUM(SEP_2013_A,29,UP_63_)</f>
        <v>300</v>
      </c>
      <c r="R361" s="137">
        <f>DSUM(SEP_2013_A,30,UP_63_)</f>
        <v>300</v>
      </c>
      <c r="S361" s="137">
        <f>DSUM(SEP_2013_A,31,UP_63_)</f>
        <v>300</v>
      </c>
      <c r="T361" s="137">
        <f>DSUM(SEP_2013_A,32,UP_63_)</f>
        <v>300</v>
      </c>
      <c r="U361" s="137">
        <f>DSUM(SEP_2013_A,33,UP_63_)</f>
        <v>0</v>
      </c>
      <c r="V361" s="137">
        <f>DSUM(SEP_2013_A,34,UP_63_)</f>
        <v>0</v>
      </c>
    </row>
    <row r="362" spans="2:22" ht="15.95" customHeight="1" x14ac:dyDescent="0.2">
      <c r="B362" s="1" t="s">
        <v>1107</v>
      </c>
      <c r="C362" s="129" t="str">
        <f t="shared" si="35"/>
        <v>Rancho Upácuaro No. 64</v>
      </c>
      <c r="D362" s="129" t="str">
        <f t="shared" si="36"/>
        <v>Méndez Oliva</v>
      </c>
      <c r="E362" s="90">
        <f t="shared" si="37"/>
        <v>300</v>
      </c>
      <c r="F362" s="91">
        <f>DSUM(SEP_2013_A,AA,UP_64_)</f>
        <v>300</v>
      </c>
      <c r="G362" s="90">
        <f t="shared" si="38"/>
        <v>2100</v>
      </c>
      <c r="H362" s="90">
        <f>DSUM(SEP_2013_A,importe,UP_64_)</f>
        <v>2400</v>
      </c>
      <c r="I362" s="17">
        <f t="shared" si="39"/>
        <v>7</v>
      </c>
      <c r="J362" s="6" t="s">
        <v>1283</v>
      </c>
      <c r="K362" s="137">
        <f>DSUM(SEP_2013_A,23,UP_64_)</f>
        <v>300</v>
      </c>
      <c r="L362" s="137">
        <f>DSUM(SEP_2013_A,24,UP_64_)</f>
        <v>300</v>
      </c>
      <c r="M362" s="137">
        <f>DSUM(SEP_2013_A,25,UP_64_)</f>
        <v>0</v>
      </c>
      <c r="N362" s="137">
        <f>DSUM(SEP_2013_A,26,UP_64_)</f>
        <v>300</v>
      </c>
      <c r="O362" s="137">
        <f>DSUM(SEP_2013_A,27,UP_64_)</f>
        <v>300</v>
      </c>
      <c r="P362" s="137">
        <f>DSUM(SEP_2013_A,28,UP_64_)</f>
        <v>300</v>
      </c>
      <c r="Q362" s="137">
        <f>DSUM(SEP_2013_A,29,UP_64_)</f>
        <v>0</v>
      </c>
      <c r="R362" s="137">
        <f>DSUM(SEP_2013_A,30,UP_64_)</f>
        <v>300</v>
      </c>
      <c r="S362" s="137">
        <f>DSUM(SEP_2013_A,31,UP_64_)</f>
        <v>300</v>
      </c>
      <c r="T362" s="137">
        <f>DSUM(SEP_2013_A,32,UP_64_)</f>
        <v>0</v>
      </c>
      <c r="U362" s="137">
        <f>DSUM(SEP_2013_A,33,UP_64_)</f>
        <v>0</v>
      </c>
      <c r="V362" s="137">
        <f>DSUM(SEP_2013_A,34,UP_64_)</f>
        <v>0</v>
      </c>
    </row>
    <row r="363" spans="2:22" ht="15.95" customHeight="1" x14ac:dyDescent="0.2">
      <c r="B363" s="1" t="s">
        <v>1108</v>
      </c>
      <c r="C363" s="129" t="str">
        <f t="shared" si="35"/>
        <v>Rancho Upácuaro No. 65</v>
      </c>
      <c r="D363" s="129" t="str">
        <f t="shared" si="36"/>
        <v>Olguín</v>
      </c>
      <c r="E363" s="90">
        <f t="shared" si="37"/>
        <v>300</v>
      </c>
      <c r="F363" s="91">
        <f>DSUM(SEP_2013_A,AA,UP_65_)</f>
        <v>300</v>
      </c>
      <c r="G363" s="90">
        <f t="shared" si="38"/>
        <v>2700</v>
      </c>
      <c r="H363" s="90">
        <f>DSUM(SEP_2013_A,importe,UP_65_)</f>
        <v>3000</v>
      </c>
      <c r="I363" s="17">
        <f t="shared" si="39"/>
        <v>9</v>
      </c>
      <c r="J363" s="6" t="s">
        <v>1283</v>
      </c>
      <c r="K363" s="137">
        <f>DSUM(SEP_2013_A,23,UP_65_)</f>
        <v>300</v>
      </c>
      <c r="L363" s="137">
        <f>DSUM(SEP_2013_A,24,UP_65_)</f>
        <v>300</v>
      </c>
      <c r="M363" s="137">
        <f>DSUM(SEP_2013_A,25,UP_65_)</f>
        <v>300</v>
      </c>
      <c r="N363" s="137">
        <f>DSUM(SEP_2013_A,26,UP_65_)</f>
        <v>300</v>
      </c>
      <c r="O363" s="137">
        <f>DSUM(SEP_2013_A,27,UP_65_)</f>
        <v>300</v>
      </c>
      <c r="P363" s="137">
        <f>DSUM(SEP_2013_A,28,UP_65_)</f>
        <v>300</v>
      </c>
      <c r="Q363" s="137">
        <f>DSUM(SEP_2013_A,29,UP_65_)</f>
        <v>300</v>
      </c>
      <c r="R363" s="137">
        <f>DSUM(SEP_2013_A,30,UP_65_)</f>
        <v>300</v>
      </c>
      <c r="S363" s="137">
        <f>DSUM(SEP_2013_A,31,UP_65_)</f>
        <v>300</v>
      </c>
      <c r="T363" s="137">
        <f>DSUM(SEP_2013_A,32,UP_65_)</f>
        <v>0</v>
      </c>
      <c r="U363" s="137">
        <f>DSUM(SEP_2013_A,33,UP_65_)</f>
        <v>0</v>
      </c>
      <c r="V363" s="137">
        <f>DSUM(SEP_2013_A,34,UP_65_)</f>
        <v>0</v>
      </c>
    </row>
    <row r="364" spans="2:22" ht="15.95" customHeight="1" x14ac:dyDescent="0.2">
      <c r="B364" s="1" t="s">
        <v>1109</v>
      </c>
      <c r="C364" s="129" t="str">
        <f t="shared" si="35"/>
        <v>Rancho Upácuaro No. 68</v>
      </c>
      <c r="D364" s="129" t="str">
        <f t="shared" si="36"/>
        <v>Romero o Lezama</v>
      </c>
      <c r="E364" s="90">
        <f t="shared" si="37"/>
        <v>300</v>
      </c>
      <c r="F364" s="91">
        <f>DSUM(SEP_2013_A,AA,UP_68_)</f>
        <v>300</v>
      </c>
      <c r="G364" s="90">
        <f t="shared" si="38"/>
        <v>2400</v>
      </c>
      <c r="H364" s="90">
        <f>DSUM(SEP_2013_A,importe,UP_68_)</f>
        <v>2700</v>
      </c>
      <c r="I364" s="17">
        <f t="shared" si="39"/>
        <v>8</v>
      </c>
      <c r="J364" s="6" t="s">
        <v>1283</v>
      </c>
      <c r="K364" s="137">
        <f>DSUM(SEP_2013_A,23,UP_68_)</f>
        <v>300</v>
      </c>
      <c r="L364" s="137">
        <f>DSUM(SEP_2013_A,24,UP_68_)</f>
        <v>300</v>
      </c>
      <c r="M364" s="137">
        <f>DSUM(SEP_2013_A,25,UP_68_)</f>
        <v>300</v>
      </c>
      <c r="N364" s="137">
        <f>DSUM(SEP_2013_A,26,UP_68_)</f>
        <v>300</v>
      </c>
      <c r="O364" s="137">
        <f>DSUM(SEP_2013_A,27,UP_68_)</f>
        <v>300</v>
      </c>
      <c r="P364" s="137">
        <f>DSUM(SEP_2013_A,28,UP_68_)</f>
        <v>300</v>
      </c>
      <c r="Q364" s="137">
        <f>DSUM(SEP_2013_A,29,UP_68_)</f>
        <v>300</v>
      </c>
      <c r="R364" s="137">
        <f>DSUM(SEP_2013_A,30,UP_68_)</f>
        <v>300</v>
      </c>
      <c r="S364" s="137">
        <f>DSUM(SEP_2013_A,31,UP_68_)</f>
        <v>0</v>
      </c>
      <c r="T364" s="137">
        <f>DSUM(SEP_2013_A,32,UP_68_)</f>
        <v>0</v>
      </c>
      <c r="U364" s="137">
        <f>DSUM(SEP_2013_A,33,UP_68_)</f>
        <v>0</v>
      </c>
      <c r="V364" s="137">
        <f>DSUM(SEP_2013_A,34,UP_68_)</f>
        <v>0</v>
      </c>
    </row>
    <row r="365" spans="2:22" ht="15.95" customHeight="1" x14ac:dyDescent="0.2">
      <c r="B365" s="1" t="s">
        <v>1110</v>
      </c>
      <c r="C365" s="129" t="str">
        <f t="shared" si="35"/>
        <v>Rancho Upácuaro No. 69</v>
      </c>
      <c r="D365" s="129" t="str">
        <f t="shared" si="36"/>
        <v>Gómez</v>
      </c>
      <c r="E365" s="90">
        <f t="shared" si="37"/>
        <v>300</v>
      </c>
      <c r="F365" s="91">
        <f>DSUM(SEP_2013_A,AA,UP_69_)</f>
        <v>0</v>
      </c>
      <c r="G365" s="90">
        <f t="shared" si="38"/>
        <v>2100</v>
      </c>
      <c r="H365" s="90">
        <f>DSUM(SEP_2013_A,importe,UP_69_)</f>
        <v>2100</v>
      </c>
      <c r="I365" s="17">
        <f t="shared" si="39"/>
        <v>7</v>
      </c>
      <c r="J365" s="6" t="s">
        <v>1283</v>
      </c>
      <c r="K365" s="137">
        <f>DSUM(SEP_2013_A,23,UP_69_)</f>
        <v>300</v>
      </c>
      <c r="L365" s="137">
        <f>DSUM(SEP_2013_A,24,UP_69_)</f>
        <v>300</v>
      </c>
      <c r="M365" s="137">
        <f>DSUM(SEP_2013_A,25,UP_69_)</f>
        <v>300</v>
      </c>
      <c r="N365" s="137">
        <f>DSUM(SEP_2013_A,26,UP_69_)</f>
        <v>300</v>
      </c>
      <c r="O365" s="137">
        <f>DSUM(SEP_2013_A,27,UP_69_)</f>
        <v>600</v>
      </c>
      <c r="P365" s="137">
        <f>DSUM(SEP_2013_A,28,UP_69_)</f>
        <v>0</v>
      </c>
      <c r="Q365" s="137">
        <f>DSUM(SEP_2013_A,29,UP_69_)</f>
        <v>300</v>
      </c>
      <c r="R365" s="137">
        <f>DSUM(SEP_2013_A,30,UP_69_)</f>
        <v>0</v>
      </c>
      <c r="S365" s="137">
        <f>DSUM(SEP_2013_A,31,UP_69_)</f>
        <v>0</v>
      </c>
      <c r="T365" s="137">
        <f>DSUM(SEP_2013_A,32,UP_69_)</f>
        <v>0</v>
      </c>
      <c r="U365" s="137">
        <f>DSUM(SEP_2013_A,33,UP_69_)</f>
        <v>0</v>
      </c>
      <c r="V365" s="137">
        <f>DSUM(SEP_2013_A,34,UP_69_)</f>
        <v>0</v>
      </c>
    </row>
    <row r="366" spans="2:22" ht="15.95" customHeight="1" x14ac:dyDescent="0.2">
      <c r="B366" s="1" t="s">
        <v>1111</v>
      </c>
      <c r="C366" s="129" t="str">
        <f t="shared" si="35"/>
        <v>Rancho Upácuaro No. 70</v>
      </c>
      <c r="D366" s="129" t="str">
        <f t="shared" si="36"/>
        <v>Ramírez Tejeda</v>
      </c>
      <c r="E366" s="90">
        <f t="shared" si="37"/>
        <v>300</v>
      </c>
      <c r="F366" s="91">
        <f>DSUM(SEP_2013_A,AA,UP_70_)</f>
        <v>0</v>
      </c>
      <c r="G366" s="90">
        <f t="shared" si="38"/>
        <v>3300</v>
      </c>
      <c r="H366" s="90">
        <f>DSUM(SEP_2013_A,importe,UP_70_)</f>
        <v>3300</v>
      </c>
      <c r="I366" s="17">
        <f>IF(VLOOKUP(B366,BASE_A,9,FALSE)=0,0,(G366/VLOOKUP(B366,BASE_A,9,FALSE)))+1</f>
        <v>12</v>
      </c>
      <c r="J366" s="6" t="s">
        <v>1283</v>
      </c>
      <c r="K366" s="137">
        <f>DSUM(SEP_2013_A,23,UP_70_)</f>
        <v>300</v>
      </c>
      <c r="L366" s="137">
        <f>DSUM(SEP_2013_A,24,UP_70_)</f>
        <v>0</v>
      </c>
      <c r="M366" s="137">
        <f>DSUM(SEP_2013_A,25,UP_70_)</f>
        <v>300</v>
      </c>
      <c r="N366" s="137">
        <f>DSUM(SEP_2013_A,26,UP_70_)</f>
        <v>300</v>
      </c>
      <c r="O366" s="137">
        <f>DSUM(SEP_2013_A,27,UP_70_)</f>
        <v>300</v>
      </c>
      <c r="P366" s="137">
        <f>DSUM(SEP_2013_A,28,UP_70_)</f>
        <v>300</v>
      </c>
      <c r="Q366" s="137">
        <f>DSUM(SEP_2013_A,29,UP_70_)</f>
        <v>300</v>
      </c>
      <c r="R366" s="137">
        <f>DSUM(SEP_2013_A,30,UP_70_)</f>
        <v>300</v>
      </c>
      <c r="S366" s="137">
        <f>DSUM(SEP_2013_A,31,UP_70_)</f>
        <v>300</v>
      </c>
      <c r="T366" s="137">
        <f>DSUM(SEP_2013_A,32,UP_70_)</f>
        <v>300</v>
      </c>
      <c r="U366" s="137">
        <f>DSUM(SEP_2013_A,33,UP_70_)</f>
        <v>600</v>
      </c>
      <c r="V366" s="137">
        <f>DSUM(SEP_2013_A,34,UP_70_)</f>
        <v>0</v>
      </c>
    </row>
    <row r="367" spans="2:22" ht="15.95" customHeight="1" x14ac:dyDescent="0.2">
      <c r="B367" s="1" t="s">
        <v>1112</v>
      </c>
      <c r="C367" s="129" t="str">
        <f t="shared" si="35"/>
        <v>Rancho Upácuaro No. 71</v>
      </c>
      <c r="D367" s="129" t="str">
        <f t="shared" si="36"/>
        <v>Trejo Méndez</v>
      </c>
      <c r="E367" s="90">
        <f t="shared" si="37"/>
        <v>300</v>
      </c>
      <c r="F367" s="91">
        <f>DSUM(SEP_2013_A,AA,UP_71_)</f>
        <v>300</v>
      </c>
      <c r="G367" s="90">
        <f t="shared" si="38"/>
        <v>2400</v>
      </c>
      <c r="H367" s="90">
        <f>DSUM(SEP_2013_A,importe,UP_71_)</f>
        <v>2700</v>
      </c>
      <c r="I367" s="17">
        <f t="shared" ref="I367:I374" si="40">IF(VLOOKUP(B367,BASE_A,9,FALSE)=0,0,G367/VLOOKUP(B367,BASE_A,9,FALSE))</f>
        <v>8</v>
      </c>
      <c r="J367" s="6" t="s">
        <v>1283</v>
      </c>
      <c r="K367" s="137">
        <f>DSUM(SEP_2013_A,23,UP_71_)</f>
        <v>0</v>
      </c>
      <c r="L367" s="137">
        <f>DSUM(SEP_2013_A,24,UP_71_)</f>
        <v>300</v>
      </c>
      <c r="M367" s="137">
        <f>DSUM(SEP_2013_A,25,UP_71_)</f>
        <v>300</v>
      </c>
      <c r="N367" s="137">
        <f>DSUM(SEP_2013_A,26,UP_71_)</f>
        <v>300</v>
      </c>
      <c r="O367" s="137">
        <f>DSUM(SEP_2013_A,27,UP_71_)</f>
        <v>600</v>
      </c>
      <c r="P367" s="137">
        <f>DSUM(SEP_2013_A,28,UP_71_)</f>
        <v>0</v>
      </c>
      <c r="Q367" s="137">
        <f>DSUM(SEP_2013_A,29,UP_71_)</f>
        <v>300</v>
      </c>
      <c r="R367" s="137">
        <f>DSUM(SEP_2013_A,30,UP_71_)</f>
        <v>300</v>
      </c>
      <c r="S367" s="137">
        <f>DSUM(SEP_2013_A,31,UP_71_)</f>
        <v>300</v>
      </c>
      <c r="T367" s="137">
        <f>DSUM(SEP_2013_A,32,UP_71_)</f>
        <v>0</v>
      </c>
      <c r="U367" s="137">
        <f>DSUM(SEP_2013_A,33,UP_71_)</f>
        <v>0</v>
      </c>
      <c r="V367" s="137">
        <f>DSUM(SEP_2013_A,34,UP_71_)</f>
        <v>0</v>
      </c>
    </row>
    <row r="368" spans="2:22" ht="15.95" customHeight="1" x14ac:dyDescent="0.2">
      <c r="B368" s="1" t="s">
        <v>1351</v>
      </c>
      <c r="C368" s="129" t="str">
        <f t="shared" si="35"/>
        <v>Rancho Upácuaro No. 72</v>
      </c>
      <c r="D368" s="129" t="str">
        <f t="shared" si="36"/>
        <v>De la Chica</v>
      </c>
      <c r="E368" s="90">
        <f t="shared" si="37"/>
        <v>300</v>
      </c>
      <c r="F368" s="91">
        <f>DSUM(SEP_2013_A,AA,UP_72_)</f>
        <v>0</v>
      </c>
      <c r="G368" s="90">
        <f t="shared" si="38"/>
        <v>0</v>
      </c>
      <c r="H368" s="90">
        <f>DSUM(SEP_2013_A,importe,UP_72_)</f>
        <v>0</v>
      </c>
      <c r="I368" s="17">
        <f t="shared" si="40"/>
        <v>0</v>
      </c>
      <c r="J368" s="6" t="s">
        <v>1283</v>
      </c>
      <c r="K368" s="137">
        <f>DSUM(SEP_2013_A,23,UP_72_)</f>
        <v>0</v>
      </c>
      <c r="L368" s="137">
        <f>DSUM(SEP_2013_A,24,UP_72_)</f>
        <v>0</v>
      </c>
      <c r="M368" s="137">
        <f>DSUM(SEP_2013_A,25,UP_72_)</f>
        <v>0</v>
      </c>
      <c r="N368" s="137">
        <f>DSUM(SEP_2013_A,26,UP_72_)</f>
        <v>0</v>
      </c>
      <c r="O368" s="137">
        <f>DSUM(SEP_2013_A,27,UP_72_)</f>
        <v>0</v>
      </c>
      <c r="P368" s="137">
        <f>DSUM(SEP_2013_A,28,UP_72_)</f>
        <v>0</v>
      </c>
      <c r="Q368" s="137">
        <f>DSUM(SEP_2013_A,29,UP_72_)</f>
        <v>0</v>
      </c>
      <c r="R368" s="137">
        <f>DSUM(SEP_2013_A,30,UP_72_)</f>
        <v>0</v>
      </c>
      <c r="S368" s="137">
        <f>DSUM(SEP_2013_A,31,UP_72_)</f>
        <v>0</v>
      </c>
      <c r="T368" s="137">
        <f>DSUM(SEP_2013_A,32,UP_72_)</f>
        <v>0</v>
      </c>
      <c r="U368" s="137">
        <f>DSUM(SEP_2013_A,33,UP_72_)</f>
        <v>0</v>
      </c>
      <c r="V368" s="137">
        <f>DSUM(SEP_2013_A,34,UP_72_)</f>
        <v>0</v>
      </c>
    </row>
    <row r="369" spans="1:22" ht="15.95" customHeight="1" x14ac:dyDescent="0.2">
      <c r="B369" s="1" t="s">
        <v>1113</v>
      </c>
      <c r="C369" s="129" t="str">
        <f t="shared" si="35"/>
        <v>Rancho Upácuaro No. 73, A</v>
      </c>
      <c r="D369" s="129" t="str">
        <f t="shared" si="36"/>
        <v>Ortega</v>
      </c>
      <c r="E369" s="90">
        <f t="shared" si="37"/>
        <v>150</v>
      </c>
      <c r="F369" s="91">
        <f>DSUM(SEP_2013_A,AA,UP_73_A)</f>
        <v>150</v>
      </c>
      <c r="G369" s="90">
        <f t="shared" si="38"/>
        <v>1050</v>
      </c>
      <c r="H369" s="90">
        <f>DSUM(SEP_2013_A,importe,UP_73_A)</f>
        <v>1200</v>
      </c>
      <c r="I369" s="17">
        <f t="shared" si="40"/>
        <v>7</v>
      </c>
      <c r="J369" s="6" t="s">
        <v>1283</v>
      </c>
      <c r="K369" s="137">
        <f>DSUM(SEP_2013_A,23,UP_73_A)</f>
        <v>150</v>
      </c>
      <c r="L369" s="137">
        <f>DSUM(SEP_2013_A,24,UP_73_A)</f>
        <v>150</v>
      </c>
      <c r="M369" s="137">
        <f>DSUM(SEP_2013_A,25,UP_73_A)</f>
        <v>150</v>
      </c>
      <c r="N369" s="137">
        <f>DSUM(SEP_2013_A,26,UP_73_A)</f>
        <v>0</v>
      </c>
      <c r="O369" s="137">
        <f>DSUM(SEP_2013_A,27,UP_73_A)</f>
        <v>150</v>
      </c>
      <c r="P369" s="137">
        <f>DSUM(SEP_2013_A,28,UP_73_A)</f>
        <v>0</v>
      </c>
      <c r="Q369" s="137">
        <f>DSUM(SEP_2013_A,29,UP_73_A)</f>
        <v>150</v>
      </c>
      <c r="R369" s="137">
        <f>DSUM(SEP_2013_A,30,UP_73_A)</f>
        <v>150</v>
      </c>
      <c r="S369" s="137">
        <f>DSUM(SEP_2013_A,31,UP_73_A)</f>
        <v>150</v>
      </c>
      <c r="T369" s="137">
        <f>DSUM(SEP_2013_A,32,UP_73_A)</f>
        <v>0</v>
      </c>
      <c r="U369" s="137">
        <f>DSUM(SEP_2013_A,33,UP_73_A)</f>
        <v>0</v>
      </c>
      <c r="V369" s="137">
        <f>DSUM(SEP_2013_A,34,UP_73_A)</f>
        <v>0</v>
      </c>
    </row>
    <row r="370" spans="1:22" ht="15.95" customHeight="1" x14ac:dyDescent="0.2">
      <c r="B370" s="1" t="s">
        <v>1114</v>
      </c>
      <c r="C370" s="129" t="str">
        <f t="shared" si="35"/>
        <v>Rancho Upácuaro No. 73, B</v>
      </c>
      <c r="D370" s="129" t="str">
        <f t="shared" si="36"/>
        <v>Chávez</v>
      </c>
      <c r="E370" s="90">
        <f t="shared" si="37"/>
        <v>200</v>
      </c>
      <c r="F370" s="91">
        <f>DSUM(SEP_2013_A,AA,UP_73_B)</f>
        <v>800</v>
      </c>
      <c r="G370" s="90">
        <f t="shared" si="38"/>
        <v>1800</v>
      </c>
      <c r="H370" s="90">
        <f>DSUM(SEP_2013_A,importe,UP_73_B)</f>
        <v>2600</v>
      </c>
      <c r="I370" s="17">
        <f t="shared" si="40"/>
        <v>9</v>
      </c>
      <c r="J370" s="6" t="s">
        <v>1283</v>
      </c>
      <c r="K370" s="137">
        <f>DSUM(SEP_2013_A,23,UP_73_B)</f>
        <v>200</v>
      </c>
      <c r="L370" s="137">
        <f>DSUM(SEP_2013_A,24,UP_73_B)</f>
        <v>200</v>
      </c>
      <c r="M370" s="137">
        <f>DSUM(SEP_2013_A,25,UP_73_B)</f>
        <v>200</v>
      </c>
      <c r="N370" s="137">
        <f>DSUM(SEP_2013_A,26,UP_73_B)</f>
        <v>200</v>
      </c>
      <c r="O370" s="137">
        <f>DSUM(SEP_2013_A,27,UP_73_B)</f>
        <v>200</v>
      </c>
      <c r="P370" s="137">
        <f>DSUM(SEP_2013_A,28,UP_73_B)</f>
        <v>200</v>
      </c>
      <c r="Q370" s="137">
        <f>DSUM(SEP_2013_A,29,UP_73_B)</f>
        <v>200</v>
      </c>
      <c r="R370" s="137">
        <f>DSUM(SEP_2013_A,30,UP_73_B)</f>
        <v>200</v>
      </c>
      <c r="S370" s="137">
        <f>DSUM(SEP_2013_A,31,UP_73_B)</f>
        <v>200</v>
      </c>
      <c r="T370" s="137">
        <f>DSUM(SEP_2013_A,32,UP_73_B)</f>
        <v>0</v>
      </c>
      <c r="U370" s="137">
        <f>DSUM(SEP_2013_A,33,UP_73_B)</f>
        <v>0</v>
      </c>
      <c r="V370" s="137">
        <f>DSUM(SEP_2013_A,34,UP_73_B)</f>
        <v>0</v>
      </c>
    </row>
    <row r="371" spans="1:22" ht="15.95" customHeight="1" x14ac:dyDescent="0.2">
      <c r="B371" s="1" t="s">
        <v>1115</v>
      </c>
      <c r="C371" s="129" t="str">
        <f t="shared" si="35"/>
        <v>Rancho Upácuaro No. 74</v>
      </c>
      <c r="D371" s="129" t="str">
        <f t="shared" si="36"/>
        <v>Flores</v>
      </c>
      <c r="E371" s="90">
        <f t="shared" si="37"/>
        <v>300</v>
      </c>
      <c r="F371" s="91">
        <f>DSUM(SEP_2013_A,AA,UP_74_)</f>
        <v>0</v>
      </c>
      <c r="G371" s="90">
        <f t="shared" si="38"/>
        <v>0</v>
      </c>
      <c r="H371" s="90">
        <f>DSUM(SEP_2013_A,importe,UP_74_)</f>
        <v>0</v>
      </c>
      <c r="I371" s="17">
        <f t="shared" si="40"/>
        <v>0</v>
      </c>
      <c r="J371" s="6" t="s">
        <v>1283</v>
      </c>
      <c r="K371" s="137">
        <f>DSUM(SEP_2013_A,23,UP_74_)</f>
        <v>0</v>
      </c>
      <c r="L371" s="137">
        <f>DSUM(SEP_2013_A,24,UP_74_)</f>
        <v>0</v>
      </c>
      <c r="M371" s="137">
        <f>DSUM(SEP_2013_A,25,UP_74_)</f>
        <v>0</v>
      </c>
      <c r="N371" s="137">
        <f>DSUM(SEP_2013_A,26,UP_74_)</f>
        <v>0</v>
      </c>
      <c r="O371" s="137">
        <f>DSUM(SEP_2013_A,27,UP_74_)</f>
        <v>0</v>
      </c>
      <c r="P371" s="137">
        <f>DSUM(SEP_2013_A,28,UP_74_)</f>
        <v>0</v>
      </c>
      <c r="Q371" s="137">
        <f>DSUM(SEP_2013_A,29,UP_74_)</f>
        <v>0</v>
      </c>
      <c r="R371" s="137">
        <f>DSUM(SEP_2013_A,30,UP_74_)</f>
        <v>0</v>
      </c>
      <c r="S371" s="137">
        <f>DSUM(SEP_2013_A,31,UP_74_)</f>
        <v>0</v>
      </c>
      <c r="T371" s="137">
        <f>DSUM(SEP_2013_A,32,UP_74_)</f>
        <v>0</v>
      </c>
      <c r="U371" s="137">
        <f>DSUM(SEP_2013_A,33,UP_74_)</f>
        <v>0</v>
      </c>
      <c r="V371" s="137">
        <f>DSUM(SEP_2013_A,34,UP_74_)</f>
        <v>0</v>
      </c>
    </row>
    <row r="372" spans="1:22" ht="15.95" customHeight="1" x14ac:dyDescent="0.2">
      <c r="B372" s="1" t="s">
        <v>1116</v>
      </c>
      <c r="C372" s="129" t="str">
        <f t="shared" si="35"/>
        <v>Rancho Upácuaro No. 75</v>
      </c>
      <c r="D372" s="129" t="str">
        <f t="shared" si="36"/>
        <v>Montaño Zetina</v>
      </c>
      <c r="E372" s="90">
        <f t="shared" si="37"/>
        <v>300</v>
      </c>
      <c r="F372" s="91">
        <f>DSUM(SEP_2013_A,AA,UP_75_)</f>
        <v>600</v>
      </c>
      <c r="G372" s="90">
        <f t="shared" si="38"/>
        <v>2400</v>
      </c>
      <c r="H372" s="90">
        <f>DSUM(SEP_2013_A,importe,UP_75_)</f>
        <v>3000</v>
      </c>
      <c r="I372" s="17">
        <f t="shared" si="40"/>
        <v>8</v>
      </c>
      <c r="J372" s="6" t="s">
        <v>1283</v>
      </c>
      <c r="K372" s="137">
        <f>DSUM(SEP_2013_A,23,UP_75_)</f>
        <v>300</v>
      </c>
      <c r="L372" s="137">
        <f>DSUM(SEP_2013_A,24,UP_75_)</f>
        <v>300</v>
      </c>
      <c r="M372" s="137">
        <f>DSUM(SEP_2013_A,25,UP_75_)</f>
        <v>300</v>
      </c>
      <c r="N372" s="137">
        <f>DSUM(SEP_2013_A,26,UP_75_)</f>
        <v>300</v>
      </c>
      <c r="O372" s="137">
        <f>DSUM(SEP_2013_A,27,UP_75_)</f>
        <v>300</v>
      </c>
      <c r="P372" s="137">
        <f>DSUM(SEP_2013_A,28,UP_75_)</f>
        <v>300</v>
      </c>
      <c r="Q372" s="137">
        <f>DSUM(SEP_2013_A,29,UP_75_)</f>
        <v>300</v>
      </c>
      <c r="R372" s="137">
        <f>DSUM(SEP_2013_A,30,UP_75_)</f>
        <v>300</v>
      </c>
      <c r="S372" s="137">
        <f>DSUM(SEP_2013_A,31,UP_75_)</f>
        <v>0</v>
      </c>
      <c r="T372" s="137">
        <f>DSUM(SEP_2013_A,32,UP_75_)</f>
        <v>0</v>
      </c>
      <c r="U372" s="137">
        <f>DSUM(SEP_2013_A,33,UP_75_)</f>
        <v>0</v>
      </c>
      <c r="V372" s="137">
        <f>DSUM(SEP_2013_A,34,UP_75_)</f>
        <v>0</v>
      </c>
    </row>
    <row r="373" spans="1:22" ht="15.95" customHeight="1" x14ac:dyDescent="0.2">
      <c r="B373" s="1" t="s">
        <v>1117</v>
      </c>
      <c r="C373" s="129" t="str">
        <f t="shared" si="35"/>
        <v>Rancho Upácuaro No. 76</v>
      </c>
      <c r="D373" s="129" t="str">
        <f t="shared" si="36"/>
        <v>Ruiz de San Pedro</v>
      </c>
      <c r="E373" s="90">
        <f t="shared" si="37"/>
        <v>300</v>
      </c>
      <c r="F373" s="91">
        <f>DSUM(SEP_2013_A,AA,UP_76_)</f>
        <v>300</v>
      </c>
      <c r="G373" s="90">
        <f t="shared" si="38"/>
        <v>2700</v>
      </c>
      <c r="H373" s="90">
        <f>DSUM(SEP_2013_A,importe,UP_76_)</f>
        <v>3000</v>
      </c>
      <c r="I373" s="17">
        <f t="shared" si="40"/>
        <v>9</v>
      </c>
      <c r="J373" s="6" t="s">
        <v>1283</v>
      </c>
      <c r="K373" s="137">
        <f>DSUM(SEP_2013_A,23,UP_76_)</f>
        <v>300</v>
      </c>
      <c r="L373" s="137">
        <f>DSUM(SEP_2013_A,24,UP_76_)</f>
        <v>300</v>
      </c>
      <c r="M373" s="137">
        <f>DSUM(SEP_2013_A,25,UP_76_)</f>
        <v>300</v>
      </c>
      <c r="N373" s="137">
        <f>DSUM(SEP_2013_A,26,UP_76_)</f>
        <v>300</v>
      </c>
      <c r="O373" s="137">
        <f>DSUM(SEP_2013_A,27,UP_76_)</f>
        <v>300</v>
      </c>
      <c r="P373" s="137">
        <f>DSUM(SEP_2013_A,28,UP_76_)</f>
        <v>300</v>
      </c>
      <c r="Q373" s="137">
        <f>DSUM(SEP_2013_A,29,UP_76_)</f>
        <v>300</v>
      </c>
      <c r="R373" s="137">
        <f>DSUM(SEP_2013_A,30,UP_76_)</f>
        <v>300</v>
      </c>
      <c r="S373" s="137">
        <f>DSUM(SEP_2013_A,31,UP_76_)</f>
        <v>300</v>
      </c>
      <c r="T373" s="137">
        <f>DSUM(SEP_2013_A,32,UP_76_)</f>
        <v>0</v>
      </c>
      <c r="U373" s="137">
        <f>DSUM(SEP_2013_A,33,UP_76_)</f>
        <v>0</v>
      </c>
      <c r="V373" s="137">
        <f>DSUM(SEP_2013_A,34,UP_76_)</f>
        <v>0</v>
      </c>
    </row>
    <row r="374" spans="1:22" ht="15.95" customHeight="1" x14ac:dyDescent="0.2">
      <c r="B374" s="1" t="s">
        <v>1118</v>
      </c>
      <c r="C374" s="129" t="str">
        <f t="shared" si="35"/>
        <v>Rancho Upácuaro No. 77</v>
      </c>
      <c r="D374" s="129" t="str">
        <f t="shared" si="36"/>
        <v>Alvarado</v>
      </c>
      <c r="E374" s="90">
        <f t="shared" si="37"/>
        <v>300</v>
      </c>
      <c r="F374" s="91">
        <f>DSUM(SEP_2013_A,AA,UP_77_)</f>
        <v>0</v>
      </c>
      <c r="G374" s="90">
        <f t="shared" si="38"/>
        <v>0</v>
      </c>
      <c r="H374" s="90">
        <f>DSUM(SEP_2013_A,importe,UP_77_)</f>
        <v>0</v>
      </c>
      <c r="I374" s="17">
        <f t="shared" si="40"/>
        <v>0</v>
      </c>
      <c r="J374" s="6" t="s">
        <v>1283</v>
      </c>
      <c r="K374" s="137">
        <f>DSUM(SEP_2013_A,23,UP_77_)</f>
        <v>0</v>
      </c>
      <c r="L374" s="137">
        <f>DSUM(SEP_2013_A,24,UP_77_)</f>
        <v>0</v>
      </c>
      <c r="M374" s="137">
        <f>DSUM(SEP_2013_A,25,UP_77_)</f>
        <v>0</v>
      </c>
      <c r="N374" s="137">
        <f>DSUM(SEP_2013_A,26,UP_77_)</f>
        <v>0</v>
      </c>
      <c r="O374" s="137">
        <f>DSUM(SEP_2013_A,27,UP_77_)</f>
        <v>0</v>
      </c>
      <c r="P374" s="137">
        <f>DSUM(SEP_2013_A,28,UP_77_)</f>
        <v>0</v>
      </c>
      <c r="Q374" s="137">
        <f>DSUM(SEP_2013_A,29,UP_77_)</f>
        <v>0</v>
      </c>
      <c r="R374" s="137">
        <f>DSUM(SEP_2013_A,30,UP_77_)</f>
        <v>0</v>
      </c>
      <c r="S374" s="137">
        <f>DSUM(SEP_2013_A,31,UP_77_)</f>
        <v>0</v>
      </c>
      <c r="T374" s="137">
        <f>DSUM(SEP_2013_A,32,UP_77_)</f>
        <v>0</v>
      </c>
      <c r="U374" s="137">
        <f>DSUM(SEP_2013_A,33,UP_77_)</f>
        <v>0</v>
      </c>
      <c r="V374" s="137">
        <f>DSUM(SEP_2013_A,34,UP_77_)</f>
        <v>0</v>
      </c>
    </row>
    <row r="375" spans="1:22" ht="15.95" customHeight="1" x14ac:dyDescent="0.2">
      <c r="B375" s="1" t="s">
        <v>1119</v>
      </c>
      <c r="C375" s="129" t="str">
        <f t="shared" si="35"/>
        <v>Rancho Upácuaro No. 78</v>
      </c>
      <c r="D375" s="129" t="str">
        <f t="shared" si="36"/>
        <v>Villaseñor Carranza</v>
      </c>
      <c r="E375" s="90">
        <f t="shared" si="37"/>
        <v>300</v>
      </c>
      <c r="F375" s="91">
        <f>DSUM(SEP_2013_A,AA,UP_78_)</f>
        <v>0</v>
      </c>
      <c r="G375" s="90">
        <f t="shared" si="38"/>
        <v>3300</v>
      </c>
      <c r="H375" s="90">
        <f>DSUM(SEP_2013_A,importe,UP_78_)</f>
        <v>3300</v>
      </c>
      <c r="I375" s="17">
        <f>IF(VLOOKUP(B375,BASE_A,9,FALSE)=0,0,(G375/VLOOKUP(B375,BASE_A,9,FALSE)))+1</f>
        <v>12</v>
      </c>
      <c r="J375" s="6" t="s">
        <v>1283</v>
      </c>
      <c r="K375" s="137">
        <f>DSUM(SEP_2013_A,23,UP_78_)</f>
        <v>300</v>
      </c>
      <c r="L375" s="137">
        <f>DSUM(SEP_2013_A,24,UP_78_)</f>
        <v>300</v>
      </c>
      <c r="M375" s="137">
        <f>DSUM(SEP_2013_A,25,UP_78_)</f>
        <v>300</v>
      </c>
      <c r="N375" s="137">
        <f>DSUM(SEP_2013_A,26,UP_78_)</f>
        <v>300</v>
      </c>
      <c r="O375" s="137">
        <f>DSUM(SEP_2013_A,27,UP_78_)</f>
        <v>300</v>
      </c>
      <c r="P375" s="137">
        <f>DSUM(SEP_2013_A,28,UP_78_)</f>
        <v>300</v>
      </c>
      <c r="Q375" s="137">
        <f>DSUM(SEP_2013_A,29,UP_78_)</f>
        <v>300</v>
      </c>
      <c r="R375" s="137">
        <f>DSUM(SEP_2013_A,30,UP_78_)</f>
        <v>300</v>
      </c>
      <c r="S375" s="137">
        <f>DSUM(SEP_2013_A,31,UP_78_)</f>
        <v>300</v>
      </c>
      <c r="T375" s="137">
        <f>DSUM(SEP_2013_A,32,UP_78_)</f>
        <v>300</v>
      </c>
      <c r="U375" s="137">
        <f>DSUM(SEP_2013_A,33,UP_78_)</f>
        <v>300</v>
      </c>
      <c r="V375" s="137">
        <f>DSUM(SEP_2013_A,34,UP_78_)</f>
        <v>0</v>
      </c>
    </row>
    <row r="376" spans="1:22" ht="15.95" customHeight="1" x14ac:dyDescent="0.2">
      <c r="B376" s="1" t="s">
        <v>1120</v>
      </c>
      <c r="C376" s="129" t="str">
        <f t="shared" si="35"/>
        <v>Rancho Upácuaro No. 79</v>
      </c>
      <c r="D376" s="129" t="str">
        <f t="shared" si="36"/>
        <v>Macías</v>
      </c>
      <c r="E376" s="90">
        <f t="shared" si="37"/>
        <v>300</v>
      </c>
      <c r="F376" s="91">
        <f>DSUM(SEP_2013_A,AA,UP_79_)</f>
        <v>300</v>
      </c>
      <c r="G376" s="90">
        <f t="shared" si="38"/>
        <v>3000</v>
      </c>
      <c r="H376" s="90">
        <f>DSUM(SEP_2013_A,importe,UP_79_)</f>
        <v>3300</v>
      </c>
      <c r="I376" s="17">
        <f t="shared" ref="I376:I393" si="41">IF(VLOOKUP(B376,BASE_A,9,FALSE)=0,0,G376/VLOOKUP(B376,BASE_A,9,FALSE))</f>
        <v>10</v>
      </c>
      <c r="J376" s="6" t="s">
        <v>1283</v>
      </c>
      <c r="K376" s="137">
        <f>DSUM(SEP_2013_A,23,UP_79_)</f>
        <v>300</v>
      </c>
      <c r="L376" s="137">
        <f>DSUM(SEP_2013_A,24,UP_79_)</f>
        <v>300</v>
      </c>
      <c r="M376" s="137">
        <f>DSUM(SEP_2013_A,25,UP_79_)</f>
        <v>300</v>
      </c>
      <c r="N376" s="137">
        <f>DSUM(SEP_2013_A,26,UP_79_)</f>
        <v>300</v>
      </c>
      <c r="O376" s="137">
        <f>DSUM(SEP_2013_A,27,UP_79_)</f>
        <v>300</v>
      </c>
      <c r="P376" s="137">
        <f>DSUM(SEP_2013_A,28,UP_79_)</f>
        <v>300</v>
      </c>
      <c r="Q376" s="137">
        <f>DSUM(SEP_2013_A,29,UP_79_)</f>
        <v>300</v>
      </c>
      <c r="R376" s="137">
        <f>DSUM(SEP_2013_A,30,UP_79_)</f>
        <v>300</v>
      </c>
      <c r="S376" s="137">
        <f>DSUM(SEP_2013_A,31,UP_79_)</f>
        <v>300</v>
      </c>
      <c r="T376" s="137">
        <f>DSUM(SEP_2013_A,32,UP_79_)</f>
        <v>300</v>
      </c>
      <c r="U376" s="137">
        <f>DSUM(SEP_2013_A,33,UP_79_)</f>
        <v>0</v>
      </c>
      <c r="V376" s="137">
        <f>DSUM(SEP_2013_A,34,UP_79_)</f>
        <v>0</v>
      </c>
    </row>
    <row r="377" spans="1:22" ht="15.95" customHeight="1" x14ac:dyDescent="0.2">
      <c r="B377" s="1" t="s">
        <v>1121</v>
      </c>
      <c r="C377" s="129" t="str">
        <f t="shared" si="35"/>
        <v>Rancho Upácuaro No. 80</v>
      </c>
      <c r="D377" s="129" t="str">
        <f t="shared" si="36"/>
        <v>De los Ríos</v>
      </c>
      <c r="E377" s="90">
        <f t="shared" si="37"/>
        <v>300</v>
      </c>
      <c r="F377" s="91">
        <f>DSUM(SEP_2013_A,AA,UP_80_)</f>
        <v>300</v>
      </c>
      <c r="G377" s="90">
        <f t="shared" si="38"/>
        <v>3000</v>
      </c>
      <c r="H377" s="90">
        <f>DSUM(SEP_2013_A,importe,UP_80_)</f>
        <v>3300</v>
      </c>
      <c r="I377" s="17">
        <f t="shared" si="41"/>
        <v>10</v>
      </c>
      <c r="J377" s="6" t="s">
        <v>1283</v>
      </c>
      <c r="K377" s="137">
        <f>DSUM(SEP_2013_A,23,UP_80_)</f>
        <v>300</v>
      </c>
      <c r="L377" s="137">
        <f>DSUM(SEP_2013_A,24,UP_80_)</f>
        <v>300</v>
      </c>
      <c r="M377" s="137">
        <f>DSUM(SEP_2013_A,25,UP_80_)</f>
        <v>300</v>
      </c>
      <c r="N377" s="137">
        <f>DSUM(SEP_2013_A,26,UP_80_)</f>
        <v>300</v>
      </c>
      <c r="O377" s="137">
        <f>DSUM(SEP_2013_A,27,UP_80_)</f>
        <v>300</v>
      </c>
      <c r="P377" s="137">
        <f>DSUM(SEP_2013_A,28,UP_80_)</f>
        <v>300</v>
      </c>
      <c r="Q377" s="137">
        <f>DSUM(SEP_2013_A,29,UP_80_)</f>
        <v>300</v>
      </c>
      <c r="R377" s="137">
        <f>DSUM(SEP_2013_A,30,UP_80_)</f>
        <v>300</v>
      </c>
      <c r="S377" s="137">
        <f>DSUM(SEP_2013_A,31,UP_80_)</f>
        <v>300</v>
      </c>
      <c r="T377" s="137">
        <f>DSUM(SEP_2013_A,32,UP_80_)</f>
        <v>300</v>
      </c>
      <c r="U377" s="137">
        <f>DSUM(SEP_2013_A,33,UP_80_)</f>
        <v>0</v>
      </c>
      <c r="V377" s="137">
        <f>DSUM(SEP_2013_A,34,UP_80_)</f>
        <v>0</v>
      </c>
    </row>
    <row r="378" spans="1:22" ht="15.95" customHeight="1" x14ac:dyDescent="0.2">
      <c r="B378" s="1" t="s">
        <v>1122</v>
      </c>
      <c r="C378" s="129" t="str">
        <f t="shared" si="35"/>
        <v>Rancho Upácuaro No. 85</v>
      </c>
      <c r="D378" s="129" t="str">
        <f t="shared" si="36"/>
        <v>Del Toro Huerta</v>
      </c>
      <c r="E378" s="90">
        <f t="shared" si="37"/>
        <v>300</v>
      </c>
      <c r="F378" s="91">
        <f>DSUM(SEP_2013_A,AA,UP_85_)</f>
        <v>300</v>
      </c>
      <c r="G378" s="90">
        <f t="shared" si="38"/>
        <v>2400</v>
      </c>
      <c r="H378" s="90">
        <f>DSUM(SEP_2013_A,importe,UP_85_)</f>
        <v>2700</v>
      </c>
      <c r="I378" s="17">
        <f t="shared" si="41"/>
        <v>8</v>
      </c>
      <c r="J378" s="6" t="s">
        <v>1283</v>
      </c>
      <c r="K378" s="137">
        <f>DSUM(SEP_2013_A,23,UP_85_)</f>
        <v>0</v>
      </c>
      <c r="L378" s="137">
        <f>DSUM(SEP_2013_A,24,UP_85_)</f>
        <v>300</v>
      </c>
      <c r="M378" s="137">
        <f>DSUM(SEP_2013_A,25,UP_85_)</f>
        <v>300</v>
      </c>
      <c r="N378" s="137">
        <f>DSUM(SEP_2013_A,26,UP_85_)</f>
        <v>300</v>
      </c>
      <c r="O378" s="137">
        <f>DSUM(SEP_2013_A,27,UP_85_)</f>
        <v>300</v>
      </c>
      <c r="P378" s="137">
        <f>DSUM(SEP_2013_A,28,UP_85_)</f>
        <v>300</v>
      </c>
      <c r="Q378" s="137">
        <f>DSUM(SEP_2013_A,29,UP_85_)</f>
        <v>300</v>
      </c>
      <c r="R378" s="137">
        <f>DSUM(SEP_2013_A,30,UP_85_)</f>
        <v>300</v>
      </c>
      <c r="S378" s="137">
        <f>DSUM(SEP_2013_A,31,UP_85_)</f>
        <v>300</v>
      </c>
      <c r="T378" s="137">
        <f>DSUM(SEP_2013_A,32,UP_85_)</f>
        <v>0</v>
      </c>
      <c r="U378" s="137">
        <f>DSUM(SEP_2013_A,33,UP_85_)</f>
        <v>0</v>
      </c>
      <c r="V378" s="137">
        <f>DSUM(SEP_2013_A,34,UP_85_)</f>
        <v>0</v>
      </c>
    </row>
    <row r="379" spans="1:22" ht="15.95" customHeight="1" x14ac:dyDescent="0.2">
      <c r="A379" s="158"/>
      <c r="B379" s="111" t="s">
        <v>1123</v>
      </c>
      <c r="C379" s="130" t="str">
        <f t="shared" si="35"/>
        <v>Rancho Upácuaro No. 86</v>
      </c>
      <c r="D379" s="130" t="str">
        <f t="shared" si="36"/>
        <v>López Canseco</v>
      </c>
      <c r="E379" s="91">
        <f t="shared" si="37"/>
        <v>300</v>
      </c>
      <c r="F379" s="91">
        <f>DSUM(SEP_2013_A,AA,UP_86_)</f>
        <v>0</v>
      </c>
      <c r="G379" s="91">
        <f t="shared" si="38"/>
        <v>3600</v>
      </c>
      <c r="H379" s="91">
        <f>DSUM(BCO_SEP13_A,7,UP_86_)+DSUM(SEP_2013_A,importe,UP_86_)</f>
        <v>3600</v>
      </c>
      <c r="I379" s="159">
        <f t="shared" si="41"/>
        <v>12</v>
      </c>
      <c r="J379" s="6" t="s">
        <v>1283</v>
      </c>
      <c r="K379" s="137">
        <f>DSUM(BCO_ENE13,7,UP_86_)</f>
        <v>0</v>
      </c>
      <c r="L379" s="137">
        <f>DSUM(BCO_FEB13,7,UP_86_)</f>
        <v>600</v>
      </c>
      <c r="M379" s="137">
        <f>DSUM(BCO_MAR13,7,UP_86_)</f>
        <v>300</v>
      </c>
      <c r="N379" s="137">
        <f>DSUM(BCO_ABR13,7,UP_86_)</f>
        <v>300</v>
      </c>
      <c r="O379" s="137">
        <f>DSUM(BCO_MAY13,7,UP_86_)</f>
        <v>300</v>
      </c>
      <c r="P379" s="137">
        <f>DSUM(SEP_2013_A,28,UP_86_)</f>
        <v>300</v>
      </c>
      <c r="Q379" s="137">
        <f>DSUM(SEP_2013_A,29,UP_86_)</f>
        <v>300</v>
      </c>
      <c r="R379" s="137">
        <f>DSUM(SEP_2013_A,30,UP_86_)</f>
        <v>300</v>
      </c>
      <c r="S379" s="137">
        <f>DSUM(SEP_2013_A,31,UP_86_)</f>
        <v>300</v>
      </c>
      <c r="T379" s="137">
        <f>DSUM(SEP_2013_A,32,UP_86_)</f>
        <v>300</v>
      </c>
      <c r="U379" s="137">
        <f>DSUM(SEP_2013_A,33,UP_86_)</f>
        <v>300</v>
      </c>
      <c r="V379" s="137">
        <f>DSUM(SEP_2013_A,34,UP_86_)</f>
        <v>300</v>
      </c>
    </row>
    <row r="380" spans="1:22" ht="15.95" customHeight="1" x14ac:dyDescent="0.2">
      <c r="B380" s="1" t="s">
        <v>1124</v>
      </c>
      <c r="C380" s="129" t="str">
        <f t="shared" si="35"/>
        <v>Rancho Upácuaro No. 87</v>
      </c>
      <c r="D380" s="129" t="str">
        <f t="shared" si="36"/>
        <v>Rodríguez Parés</v>
      </c>
      <c r="E380" s="90">
        <f t="shared" si="37"/>
        <v>300</v>
      </c>
      <c r="F380" s="91">
        <f>DSUM(SEP_2013_A,AA,UP_87_)</f>
        <v>300</v>
      </c>
      <c r="G380" s="90">
        <f t="shared" si="38"/>
        <v>2700</v>
      </c>
      <c r="H380" s="90">
        <f>DSUM(SEP_2013_A,importe,UP_87_)</f>
        <v>3000</v>
      </c>
      <c r="I380" s="17">
        <f t="shared" si="41"/>
        <v>9</v>
      </c>
      <c r="J380" s="6" t="s">
        <v>1283</v>
      </c>
      <c r="K380" s="137">
        <f>DSUM(SEP_2013_A,23,UP_87_)</f>
        <v>300</v>
      </c>
      <c r="L380" s="137">
        <f>DSUM(SEP_2013_A,24,UP_87_)</f>
        <v>300</v>
      </c>
      <c r="M380" s="137">
        <f>DSUM(SEP_2013_A,25,UP_87_)</f>
        <v>300</v>
      </c>
      <c r="N380" s="137">
        <f>DSUM(SEP_2013_A,26,UP_87_)</f>
        <v>300</v>
      </c>
      <c r="O380" s="137">
        <f>DSUM(SEP_2013_A,27,UP_87_)</f>
        <v>300</v>
      </c>
      <c r="P380" s="137">
        <f>DSUM(SEP_2013_A,28,UP_87_)</f>
        <v>300</v>
      </c>
      <c r="Q380" s="137">
        <f>DSUM(SEP_2013_A,29,UP_87_)</f>
        <v>300</v>
      </c>
      <c r="R380" s="137">
        <f>DSUM(SEP_2013_A,30,UP_87_)</f>
        <v>300</v>
      </c>
      <c r="S380" s="137">
        <f>DSUM(SEP_2013_A,31,UP_87_)</f>
        <v>300</v>
      </c>
      <c r="T380" s="137">
        <f>DSUM(SEP_2013_A,32,UP_87_)</f>
        <v>0</v>
      </c>
      <c r="U380" s="137">
        <f>DSUM(SEP_2013_A,33,UP_87_)</f>
        <v>0</v>
      </c>
      <c r="V380" s="137">
        <f>DSUM(SEP_2013_A,34,UP_87_)</f>
        <v>0</v>
      </c>
    </row>
    <row r="381" spans="1:22" ht="15.95" customHeight="1" x14ac:dyDescent="0.2">
      <c r="B381" s="1" t="s">
        <v>1125</v>
      </c>
      <c r="C381" s="129" t="str">
        <f t="shared" si="35"/>
        <v>Rancho Upácuaro No. 88</v>
      </c>
      <c r="D381" s="129" t="str">
        <f t="shared" si="36"/>
        <v>Millán Núñez</v>
      </c>
      <c r="E381" s="90">
        <f t="shared" si="37"/>
        <v>300</v>
      </c>
      <c r="F381" s="91">
        <f>DSUM(SEP_2013_A,AA,UP_88_)</f>
        <v>300</v>
      </c>
      <c r="G381" s="90">
        <f t="shared" si="38"/>
        <v>2700</v>
      </c>
      <c r="H381" s="90">
        <f>DSUM(SEP_2013_A,importe,UP_88_)</f>
        <v>3000</v>
      </c>
      <c r="I381" s="17">
        <f t="shared" si="41"/>
        <v>9</v>
      </c>
      <c r="J381" s="6" t="s">
        <v>1283</v>
      </c>
      <c r="K381" s="137">
        <f>DSUM(SEP_2013_A,23,UP_88_)</f>
        <v>300</v>
      </c>
      <c r="L381" s="137">
        <f>DSUM(SEP_2013_A,24,UP_88_)</f>
        <v>300</v>
      </c>
      <c r="M381" s="137">
        <f>DSUM(SEP_2013_A,25,UP_88_)</f>
        <v>300</v>
      </c>
      <c r="N381" s="137">
        <f>DSUM(SEP_2013_A,26,UP_88_)</f>
        <v>300</v>
      </c>
      <c r="O381" s="137">
        <f>DSUM(SEP_2013_A,27,UP_88_)</f>
        <v>300</v>
      </c>
      <c r="P381" s="137">
        <f>DSUM(SEP_2013_A,28,UP_88_)</f>
        <v>300</v>
      </c>
      <c r="Q381" s="137">
        <f>DSUM(SEP_2013_A,29,UP_88_)</f>
        <v>300</v>
      </c>
      <c r="R381" s="137">
        <f>DSUM(SEP_2013_A,30,UP_88_)</f>
        <v>300</v>
      </c>
      <c r="S381" s="137">
        <f>DSUM(SEP_2013_A,31,UP_88_)</f>
        <v>0</v>
      </c>
      <c r="T381" s="137">
        <f>DSUM(SEP_2013_A,32,UP_88_)</f>
        <v>300</v>
      </c>
      <c r="U381" s="137">
        <f>DSUM(SEP_2013_A,33,UP_88_)</f>
        <v>0</v>
      </c>
      <c r="V381" s="137">
        <f>DSUM(SEP_2013_A,34,UP_88_)</f>
        <v>0</v>
      </c>
    </row>
    <row r="382" spans="1:22" ht="15.95" customHeight="1" x14ac:dyDescent="0.2">
      <c r="B382" s="1" t="s">
        <v>1352</v>
      </c>
      <c r="C382" s="129" t="str">
        <f t="shared" si="35"/>
        <v>Rancho Upácuaro No. 89</v>
      </c>
      <c r="D382" s="129" t="str">
        <f t="shared" si="36"/>
        <v>Torres</v>
      </c>
      <c r="E382" s="90">
        <f t="shared" si="37"/>
        <v>300</v>
      </c>
      <c r="F382" s="91">
        <f>DSUM(SEP_2013_A,AA,UP_89_)</f>
        <v>0</v>
      </c>
      <c r="G382" s="90">
        <f t="shared" si="38"/>
        <v>0</v>
      </c>
      <c r="H382" s="90">
        <f>DSUM(SEP_2013_A,importe,UP_89_)</f>
        <v>0</v>
      </c>
      <c r="I382" s="17">
        <f t="shared" si="41"/>
        <v>0</v>
      </c>
      <c r="J382" s="6" t="s">
        <v>1283</v>
      </c>
      <c r="K382" s="137">
        <f>DSUM(SEP_2013_A,23,UP_89_)</f>
        <v>0</v>
      </c>
      <c r="L382" s="137">
        <f>DSUM(SEP_2013_A,24,UP_89_)</f>
        <v>0</v>
      </c>
      <c r="M382" s="137">
        <f>DSUM(SEP_2013_A,25,UP_89_)</f>
        <v>0</v>
      </c>
      <c r="N382" s="137">
        <f>DSUM(SEP_2013_A,26,UP_89_)</f>
        <v>0</v>
      </c>
      <c r="O382" s="137">
        <f>DSUM(SEP_2013_A,27,UP_89_)</f>
        <v>0</v>
      </c>
      <c r="P382" s="137">
        <f>DSUM(SEP_2013_A,28,UP_89_)</f>
        <v>0</v>
      </c>
      <c r="Q382" s="137">
        <f>DSUM(SEP_2013_A,29,UP_89_)</f>
        <v>0</v>
      </c>
      <c r="R382" s="137">
        <f>DSUM(SEP_2013_A,30,UP_89_)</f>
        <v>0</v>
      </c>
      <c r="S382" s="137">
        <f>DSUM(SEP_2013_A,31,UP_89_)</f>
        <v>0</v>
      </c>
      <c r="T382" s="137">
        <f>DSUM(SEP_2013_A,32,UP_89_)</f>
        <v>0</v>
      </c>
      <c r="U382" s="137">
        <f>DSUM(SEP_2013_A,33,UP_89_)</f>
        <v>0</v>
      </c>
      <c r="V382" s="137">
        <f>DSUM(SEP_2013_A,34,UP_89_)</f>
        <v>0</v>
      </c>
    </row>
    <row r="383" spans="1:22" ht="15.95" customHeight="1" x14ac:dyDescent="0.2">
      <c r="B383" s="1" t="s">
        <v>1126</v>
      </c>
      <c r="C383" s="129" t="str">
        <f t="shared" si="35"/>
        <v>Rancho Upácuaro No. 90</v>
      </c>
      <c r="D383" s="129" t="str">
        <f t="shared" si="36"/>
        <v>Moreno Calderón</v>
      </c>
      <c r="E383" s="90">
        <f t="shared" si="37"/>
        <v>150</v>
      </c>
      <c r="F383" s="91">
        <f>DSUM(SEP_2013_A,AA,UP_90_)</f>
        <v>0</v>
      </c>
      <c r="G383" s="90">
        <f t="shared" si="38"/>
        <v>900</v>
      </c>
      <c r="H383" s="90">
        <f>DSUM(SEP_2013_A,importe,UP_90_)</f>
        <v>900</v>
      </c>
      <c r="I383" s="17">
        <f t="shared" si="41"/>
        <v>6</v>
      </c>
      <c r="J383" s="6" t="s">
        <v>1283</v>
      </c>
      <c r="K383" s="137">
        <f>DSUM(SEP_2013_A,23,UP_90_)</f>
        <v>150</v>
      </c>
      <c r="L383" s="137">
        <f>DSUM(SEP_2013_A,24,UP_90_)</f>
        <v>150</v>
      </c>
      <c r="M383" s="137">
        <f>DSUM(SEP_2013_A,25,UP_90_)</f>
        <v>150</v>
      </c>
      <c r="N383" s="137">
        <f>DSUM(SEP_2013_A,26,UP_90_)</f>
        <v>150</v>
      </c>
      <c r="O383" s="137">
        <f>DSUM(SEP_2013_A,27,UP_90_)</f>
        <v>150</v>
      </c>
      <c r="P383" s="137">
        <f>DSUM(SEP_2013_A,28,UP_90_)</f>
        <v>150</v>
      </c>
      <c r="Q383" s="137">
        <f>DSUM(SEP_2013_A,29,UP_90_)</f>
        <v>0</v>
      </c>
      <c r="R383" s="137">
        <f>DSUM(SEP_2013_A,30,UP_90_)</f>
        <v>0</v>
      </c>
      <c r="S383" s="137">
        <f>DSUM(SEP_2013_A,31,UP_90_)</f>
        <v>0</v>
      </c>
      <c r="T383" s="137">
        <f>DSUM(SEP_2013_A,32,UP_90_)</f>
        <v>0</v>
      </c>
      <c r="U383" s="137">
        <f>DSUM(SEP_2013_A,33,UP_90_)</f>
        <v>0</v>
      </c>
      <c r="V383" s="137">
        <f>DSUM(SEP_2013_A,34,UP_90_)</f>
        <v>0</v>
      </c>
    </row>
    <row r="384" spans="1:22" ht="15.95" customHeight="1" x14ac:dyDescent="0.2">
      <c r="B384" s="1" t="s">
        <v>1127</v>
      </c>
      <c r="C384" s="129" t="str">
        <f t="shared" si="35"/>
        <v>Rancho Upácuaro No. 91</v>
      </c>
      <c r="D384" s="129" t="str">
        <f t="shared" si="36"/>
        <v>Mallen Aponte</v>
      </c>
      <c r="E384" s="90">
        <f t="shared" si="37"/>
        <v>300</v>
      </c>
      <c r="F384" s="91">
        <f>DSUM(SEP_2013_A,AA,UP_91_)</f>
        <v>0</v>
      </c>
      <c r="G384" s="90">
        <f t="shared" si="38"/>
        <v>0</v>
      </c>
      <c r="H384" s="90">
        <f>DSUM(SEP_2013_A,importe,UP_91_)</f>
        <v>0</v>
      </c>
      <c r="I384" s="17">
        <f t="shared" si="41"/>
        <v>0</v>
      </c>
      <c r="J384" s="6" t="s">
        <v>1283</v>
      </c>
      <c r="K384" s="137">
        <f>DSUM(SEP_2013_A,23,UP_91_)</f>
        <v>0</v>
      </c>
      <c r="L384" s="137">
        <f>DSUM(SEP_2013_A,24,UP_91_)</f>
        <v>0</v>
      </c>
      <c r="M384" s="137">
        <f>DSUM(SEP_2013_A,25,UP_91_)</f>
        <v>0</v>
      </c>
      <c r="N384" s="137">
        <f>DSUM(SEP_2013_A,26,UP_91_)</f>
        <v>0</v>
      </c>
      <c r="O384" s="137">
        <f>DSUM(SEP_2013_A,27,UP_91_)</f>
        <v>0</v>
      </c>
      <c r="P384" s="137">
        <f>DSUM(SEP_2013_A,28,UP_91_)</f>
        <v>0</v>
      </c>
      <c r="Q384" s="137">
        <f>DSUM(SEP_2013_A,29,UP_91_)</f>
        <v>0</v>
      </c>
      <c r="R384" s="137">
        <f>DSUM(SEP_2013_A,30,UP_91_)</f>
        <v>0</v>
      </c>
      <c r="S384" s="137">
        <f>DSUM(SEP_2013_A,31,UP_91_)</f>
        <v>0</v>
      </c>
      <c r="T384" s="137">
        <f>DSUM(SEP_2013_A,32,UP_91_)</f>
        <v>0</v>
      </c>
      <c r="U384" s="137">
        <f>DSUM(SEP_2013_A,33,UP_91_)</f>
        <v>0</v>
      </c>
      <c r="V384" s="137">
        <f>DSUM(SEP_2013_A,34,UP_91_)</f>
        <v>0</v>
      </c>
    </row>
    <row r="385" spans="2:22" ht="15.95" customHeight="1" x14ac:dyDescent="0.2">
      <c r="B385" s="1" t="s">
        <v>1128</v>
      </c>
      <c r="C385" s="129" t="str">
        <f t="shared" si="35"/>
        <v>Rancho Upácuaro No. 92</v>
      </c>
      <c r="D385" s="129" t="str">
        <f t="shared" si="36"/>
        <v>Díaz Jiménez</v>
      </c>
      <c r="E385" s="90">
        <f t="shared" si="37"/>
        <v>300</v>
      </c>
      <c r="F385" s="91">
        <f>DSUM(SEP_2013_A,AA,UP_92_)</f>
        <v>0</v>
      </c>
      <c r="G385" s="90">
        <f t="shared" si="38"/>
        <v>0</v>
      </c>
      <c r="H385" s="90">
        <f>DSUM(SEP_2013_A,importe,UP_92_)</f>
        <v>0</v>
      </c>
      <c r="I385" s="17">
        <f t="shared" si="41"/>
        <v>0</v>
      </c>
      <c r="J385" s="6" t="s">
        <v>1283</v>
      </c>
      <c r="K385" s="137">
        <f>DSUM(SEP_2013_A,23,UP_92_)</f>
        <v>0</v>
      </c>
      <c r="L385" s="137">
        <f>DSUM(SEP_2013_A,24,UP_92_)</f>
        <v>0</v>
      </c>
      <c r="M385" s="137">
        <f>DSUM(SEP_2013_A,25,UP_92_)</f>
        <v>0</v>
      </c>
      <c r="N385" s="137">
        <f>DSUM(SEP_2013_A,26,UP_92_)</f>
        <v>0</v>
      </c>
      <c r="O385" s="137">
        <f>DSUM(SEP_2013_A,27,UP_92_)</f>
        <v>0</v>
      </c>
      <c r="P385" s="137">
        <f>DSUM(SEP_2013_A,28,UP_92_)</f>
        <v>0</v>
      </c>
      <c r="Q385" s="137">
        <f>DSUM(SEP_2013_A,29,UP_92_)</f>
        <v>0</v>
      </c>
      <c r="R385" s="137">
        <f>DSUM(SEP_2013_A,30,UP_92_)</f>
        <v>0</v>
      </c>
      <c r="S385" s="137">
        <f>DSUM(SEP_2013_A,31,UP_92_)</f>
        <v>0</v>
      </c>
      <c r="T385" s="137">
        <f>DSUM(SEP_2013_A,32,UP_92_)</f>
        <v>0</v>
      </c>
      <c r="U385" s="137">
        <f>DSUM(SEP_2013_A,33,UP_92_)</f>
        <v>0</v>
      </c>
      <c r="V385" s="137">
        <f>DSUM(SEP_2013_A,34,UP_92_)</f>
        <v>0</v>
      </c>
    </row>
    <row r="386" spans="2:22" ht="15.95" customHeight="1" x14ac:dyDescent="0.2">
      <c r="B386" s="1" t="s">
        <v>780</v>
      </c>
      <c r="C386" s="129" t="str">
        <f t="shared" si="35"/>
        <v>Rancho Upácuaro No. 93</v>
      </c>
      <c r="D386" s="129" t="str">
        <f t="shared" si="36"/>
        <v>Valdés</v>
      </c>
      <c r="E386" s="90">
        <f t="shared" si="37"/>
        <v>300</v>
      </c>
      <c r="F386" s="91">
        <f>DSUM(SEP_2013_A,AA,UP_93_)</f>
        <v>300</v>
      </c>
      <c r="G386" s="90">
        <f t="shared" si="38"/>
        <v>2700</v>
      </c>
      <c r="H386" s="90">
        <f>DSUM(SEP_2013_A,importe,UP_93_)</f>
        <v>3000</v>
      </c>
      <c r="I386" s="17">
        <f t="shared" si="41"/>
        <v>9</v>
      </c>
      <c r="J386" s="6" t="s">
        <v>1283</v>
      </c>
      <c r="K386" s="137">
        <f>DSUM(SEP_2013_A,23,UP_93_)</f>
        <v>300</v>
      </c>
      <c r="L386" s="137">
        <f>DSUM(SEP_2013_A,24,UP_93_)</f>
        <v>300</v>
      </c>
      <c r="M386" s="137">
        <f>DSUM(SEP_2013_A,25,UP_93_)</f>
        <v>300</v>
      </c>
      <c r="N386" s="137">
        <f>DSUM(SEP_2013_A,26,UP_93_)</f>
        <v>300</v>
      </c>
      <c r="O386" s="137">
        <f>DSUM(SEP_2013_A,27,UP_93_)</f>
        <v>300</v>
      </c>
      <c r="P386" s="137">
        <f>DSUM(SEP_2013_A,28,UP_93_)</f>
        <v>300</v>
      </c>
      <c r="Q386" s="137">
        <f>DSUM(SEP_2013_A,29,UP_93_)</f>
        <v>300</v>
      </c>
      <c r="R386" s="137">
        <f>DSUM(SEP_2013_A,30,UP_93_)</f>
        <v>300</v>
      </c>
      <c r="S386" s="137">
        <f>DSUM(SEP_2013_A,31,UP_93_)</f>
        <v>300</v>
      </c>
      <c r="T386" s="137">
        <f>DSUM(SEP_2013_A,32,UP_93_)</f>
        <v>0</v>
      </c>
      <c r="U386" s="137">
        <f>DSUM(SEP_2013_A,33,UP_93_)</f>
        <v>0</v>
      </c>
      <c r="V386" s="137">
        <f>DSUM(SEP_2013_A,34,UP_93_)</f>
        <v>0</v>
      </c>
    </row>
    <row r="387" spans="2:22" ht="15.95" customHeight="1" x14ac:dyDescent="0.2">
      <c r="B387" s="1" t="s">
        <v>1129</v>
      </c>
      <c r="C387" s="129" t="str">
        <f t="shared" si="35"/>
        <v>Rancho Upácuaro No. 94</v>
      </c>
      <c r="D387" s="129" t="str">
        <f t="shared" si="36"/>
        <v>Juárez Patiño</v>
      </c>
      <c r="E387" s="90">
        <f t="shared" si="37"/>
        <v>300</v>
      </c>
      <c r="F387" s="91">
        <f>DSUM(SEP_2013_A,AA,UP_94_)</f>
        <v>300</v>
      </c>
      <c r="G387" s="90">
        <f t="shared" si="38"/>
        <v>1200</v>
      </c>
      <c r="H387" s="90">
        <f>DSUM(SEP_2013_A,importe,UP_94_)</f>
        <v>1500</v>
      </c>
      <c r="I387" s="17">
        <f t="shared" si="41"/>
        <v>4</v>
      </c>
      <c r="J387" s="6" t="s">
        <v>1283</v>
      </c>
      <c r="K387" s="137">
        <f>DSUM(SEP_2013_A,23,UP_94_)</f>
        <v>300</v>
      </c>
      <c r="L387" s="137">
        <f>DSUM(SEP_2013_A,24,UP_94_)</f>
        <v>0</v>
      </c>
      <c r="M387" s="137">
        <f>DSUM(SEP_2013_A,25,UP_94_)</f>
        <v>0</v>
      </c>
      <c r="N387" s="137">
        <f>DSUM(SEP_2013_A,26,UP_94_)</f>
        <v>0</v>
      </c>
      <c r="O387" s="137">
        <f>DSUM(SEP_2013_A,27,UP_94_)</f>
        <v>0</v>
      </c>
      <c r="P387" s="137">
        <f>DSUM(SEP_2013_A,28,UP_94_)</f>
        <v>0</v>
      </c>
      <c r="Q387" s="137">
        <f>DSUM(SEP_2013_A,29,UP_94_)</f>
        <v>0</v>
      </c>
      <c r="R387" s="137">
        <f>DSUM(SEP_2013_A,30,UP_94_)</f>
        <v>0</v>
      </c>
      <c r="S387" s="137">
        <f>DSUM(SEP_2013_A,31,UP_94_)</f>
        <v>0</v>
      </c>
      <c r="T387" s="137">
        <f>DSUM(SEP_2013_A,32,UP_94_)</f>
        <v>300</v>
      </c>
      <c r="U387" s="137">
        <f>DSUM(SEP_2013_A,33,UP_94_)</f>
        <v>300</v>
      </c>
      <c r="V387" s="137">
        <f>DSUM(SEP_2013_A,34,UP_94_)</f>
        <v>300</v>
      </c>
    </row>
    <row r="388" spans="2:22" ht="15.95" customHeight="1" x14ac:dyDescent="0.2">
      <c r="B388" s="1" t="s">
        <v>1130</v>
      </c>
      <c r="C388" s="129" t="str">
        <f t="shared" si="35"/>
        <v>Rancho Upácuaro No. 95</v>
      </c>
      <c r="D388" s="129" t="str">
        <f t="shared" si="36"/>
        <v>Flores</v>
      </c>
      <c r="E388" s="90">
        <f t="shared" si="37"/>
        <v>300</v>
      </c>
      <c r="F388" s="91">
        <f>DSUM(SEP_2013_A,AA,UP_95_)</f>
        <v>0</v>
      </c>
      <c r="G388" s="90">
        <f t="shared" si="38"/>
        <v>300</v>
      </c>
      <c r="H388" s="90">
        <f>DSUM(SEP_2013_A,importe,UP_95_)</f>
        <v>300</v>
      </c>
      <c r="I388" s="17">
        <f t="shared" si="41"/>
        <v>1</v>
      </c>
      <c r="J388" s="6" t="s">
        <v>1283</v>
      </c>
      <c r="K388" s="137">
        <f>DSUM(SEP_2013_A,23,UP_95_)</f>
        <v>0</v>
      </c>
      <c r="L388" s="137">
        <f>DSUM(SEP_2013_A,24,UP_95_)</f>
        <v>0</v>
      </c>
      <c r="M388" s="137">
        <f>DSUM(SEP_2013_A,25,UP_95_)</f>
        <v>0</v>
      </c>
      <c r="N388" s="137">
        <f>DSUM(SEP_2013_A,26,UP_95_)</f>
        <v>0</v>
      </c>
      <c r="O388" s="137">
        <f>DSUM(SEP_2013_A,27,UP_95_)</f>
        <v>0</v>
      </c>
      <c r="P388" s="137">
        <f>DSUM(SEP_2013_A,28,UP_95_)</f>
        <v>0</v>
      </c>
      <c r="Q388" s="137">
        <f>DSUM(SEP_2013_A,29,UP_95_)</f>
        <v>0</v>
      </c>
      <c r="R388" s="137">
        <f>DSUM(SEP_2013_A,30,UP_95_)</f>
        <v>0</v>
      </c>
      <c r="S388" s="137">
        <f>DSUM(SEP_2013_A,31,UP_95_)</f>
        <v>300</v>
      </c>
      <c r="T388" s="137">
        <f>DSUM(SEP_2013_A,32,UP_95_)</f>
        <v>0</v>
      </c>
      <c r="U388" s="137">
        <f>DSUM(SEP_2013_A,33,UP_95_)</f>
        <v>0</v>
      </c>
      <c r="V388" s="137">
        <f>DSUM(SEP_2013_A,34,UP_95_)</f>
        <v>0</v>
      </c>
    </row>
    <row r="389" spans="2:22" ht="15.95" customHeight="1" x14ac:dyDescent="0.2">
      <c r="B389" s="1" t="s">
        <v>1131</v>
      </c>
      <c r="C389" s="129" t="str">
        <f t="shared" si="35"/>
        <v>Rancho Upácuaro No. 96</v>
      </c>
      <c r="D389" s="129" t="str">
        <f t="shared" si="36"/>
        <v>Daza Gutiérrez</v>
      </c>
      <c r="E389" s="90">
        <f t="shared" si="37"/>
        <v>300</v>
      </c>
      <c r="F389" s="91">
        <f>DSUM(SEP_2013_A,AA,UP_96_)</f>
        <v>1200</v>
      </c>
      <c r="G389" s="90">
        <f t="shared" si="38"/>
        <v>2700</v>
      </c>
      <c r="H389" s="90">
        <f>DSUM(SEP_2013_A,importe,UP_96_)</f>
        <v>3900</v>
      </c>
      <c r="I389" s="17">
        <f t="shared" si="41"/>
        <v>9</v>
      </c>
      <c r="J389" s="6" t="s">
        <v>1283</v>
      </c>
      <c r="K389" s="137">
        <f>DSUM(SEP_2013_A,23,UP_96_)</f>
        <v>300</v>
      </c>
      <c r="L389" s="137">
        <f>DSUM(SEP_2013_A,24,UP_96_)</f>
        <v>300</v>
      </c>
      <c r="M389" s="137">
        <f>DSUM(SEP_2013_A,25,UP_96_)</f>
        <v>300</v>
      </c>
      <c r="N389" s="137">
        <f>DSUM(SEP_2013_A,26,UP_96_)</f>
        <v>300</v>
      </c>
      <c r="O389" s="137">
        <f>DSUM(SEP_2013_A,27,UP_96_)</f>
        <v>300</v>
      </c>
      <c r="P389" s="137">
        <f>DSUM(SEP_2013_A,28,UP_96_)</f>
        <v>300</v>
      </c>
      <c r="Q389" s="137">
        <f>DSUM(SEP_2013_A,29,UP_96_)</f>
        <v>300</v>
      </c>
      <c r="R389" s="137">
        <f>DSUM(SEP_2013_A,30,UP_96_)</f>
        <v>300</v>
      </c>
      <c r="S389" s="137">
        <f>DSUM(SEP_2013_A,31,UP_96_)</f>
        <v>300</v>
      </c>
      <c r="T389" s="137">
        <f>DSUM(SEP_2013_A,32,UP_96_)</f>
        <v>0</v>
      </c>
      <c r="U389" s="137">
        <f>DSUM(SEP_2013_A,33,UP_96_)</f>
        <v>0</v>
      </c>
      <c r="V389" s="137">
        <f>DSUM(SEP_2013_A,34,UP_96_)</f>
        <v>0</v>
      </c>
    </row>
    <row r="390" spans="2:22" ht="15.95" customHeight="1" x14ac:dyDescent="0.2">
      <c r="B390" s="1" t="s">
        <v>771</v>
      </c>
      <c r="C390" s="129" t="str">
        <f t="shared" si="35"/>
        <v>Rancho Upácuaro No. 99</v>
      </c>
      <c r="D390" s="129" t="str">
        <f t="shared" si="36"/>
        <v>Frías</v>
      </c>
      <c r="E390" s="90">
        <f t="shared" si="37"/>
        <v>300</v>
      </c>
      <c r="F390" s="91">
        <f>DSUM(SEP_2013_A,AA,UP_99_)</f>
        <v>0</v>
      </c>
      <c r="G390" s="90">
        <f t="shared" si="38"/>
        <v>2400</v>
      </c>
      <c r="H390" s="90">
        <f>DSUM(SEP_2013_A,importe,UP_99_)</f>
        <v>2400</v>
      </c>
      <c r="I390" s="17">
        <f t="shared" si="41"/>
        <v>8</v>
      </c>
      <c r="J390" s="6" t="s">
        <v>1283</v>
      </c>
      <c r="K390" s="137">
        <f>DSUM(SEP_2013_A,23,UP_99_)</f>
        <v>300</v>
      </c>
      <c r="L390" s="137">
        <f>DSUM(SEP_2013_A,24,UP_99_)</f>
        <v>300</v>
      </c>
      <c r="M390" s="137">
        <f>DSUM(SEP_2013_A,25,UP_99_)</f>
        <v>300</v>
      </c>
      <c r="N390" s="137">
        <f>DSUM(SEP_2013_A,26,UP_99_)</f>
        <v>0</v>
      </c>
      <c r="O390" s="137">
        <f>DSUM(SEP_2013_A,27,UP_99_)</f>
        <v>300</v>
      </c>
      <c r="P390" s="137">
        <f>DSUM(SEP_2013_A,28,UP_99_)</f>
        <v>0</v>
      </c>
      <c r="Q390" s="137">
        <f>DSUM(SEP_2013_A,29,UP_99_)</f>
        <v>0</v>
      </c>
      <c r="R390" s="137">
        <f>DSUM(SEP_2013_A,30,UP_99_)</f>
        <v>0</v>
      </c>
      <c r="S390" s="137">
        <f>DSUM(SEP_2013_A,31,UP_99_)</f>
        <v>300</v>
      </c>
      <c r="T390" s="137">
        <f>DSUM(SEP_2013_A,32,UP_99_)</f>
        <v>300</v>
      </c>
      <c r="U390" s="137">
        <f>DSUM(SEP_2013_A,33,UP_99_)</f>
        <v>300</v>
      </c>
      <c r="V390" s="137">
        <f>DSUM(SEP_2013_A,34,UP_99_)</f>
        <v>300</v>
      </c>
    </row>
    <row r="391" spans="2:22" ht="15.95" customHeight="1" x14ac:dyDescent="0.2">
      <c r="B391" s="1" t="s">
        <v>778</v>
      </c>
      <c r="C391" s="129" t="str">
        <f t="shared" si="35"/>
        <v>Rancho Upácuaro No. 100</v>
      </c>
      <c r="D391" s="129" t="str">
        <f t="shared" si="36"/>
        <v>Mancera Rodríguez</v>
      </c>
      <c r="E391" s="90">
        <f t="shared" si="37"/>
        <v>300</v>
      </c>
      <c r="F391" s="91">
        <f>DSUM(SEP_2013_A,AA,UP_100_)</f>
        <v>0</v>
      </c>
      <c r="G391" s="90">
        <f t="shared" si="38"/>
        <v>2700</v>
      </c>
      <c r="H391" s="90">
        <f>DSUM(SEP_2013_A,importe,UP_100_)</f>
        <v>2700</v>
      </c>
      <c r="I391" s="17">
        <f t="shared" si="41"/>
        <v>9</v>
      </c>
      <c r="J391" s="6" t="s">
        <v>1283</v>
      </c>
      <c r="K391" s="137">
        <f>DSUM(SEP_2013_A,23,UP_100_)</f>
        <v>300</v>
      </c>
      <c r="L391" s="137">
        <f>DSUM(SEP_2013_A,24,UP_100_)</f>
        <v>300</v>
      </c>
      <c r="M391" s="137">
        <f>DSUM(SEP_2013_A,25,UP_100_)</f>
        <v>300</v>
      </c>
      <c r="N391" s="137">
        <f>DSUM(SEP_2013_A,26,UP_100_)</f>
        <v>300</v>
      </c>
      <c r="O391" s="137">
        <f>DSUM(SEP_2013_A,27,UP_100_)</f>
        <v>300</v>
      </c>
      <c r="P391" s="137">
        <f>DSUM(SEP_2013_A,28,UP_100_)</f>
        <v>300</v>
      </c>
      <c r="Q391" s="137">
        <f>DSUM(SEP_2013_A,29,UP_100_)</f>
        <v>300</v>
      </c>
      <c r="R391" s="137">
        <f>DSUM(SEP_2013_A,30,UP_100_)</f>
        <v>300</v>
      </c>
      <c r="S391" s="137">
        <f>DSUM(SEP_2013_A,31,UP_100_)</f>
        <v>300</v>
      </c>
      <c r="T391" s="137">
        <f>DSUM(SEP_2013_A,32,UP_100_)</f>
        <v>0</v>
      </c>
      <c r="U391" s="137">
        <f>DSUM(SEP_2013_A,33,UP_100_)</f>
        <v>0</v>
      </c>
      <c r="V391" s="137">
        <f>DSUM(SEP_2013_A,34,UP_100_)</f>
        <v>0</v>
      </c>
    </row>
    <row r="392" spans="2:22" ht="15.95" customHeight="1" x14ac:dyDescent="0.2">
      <c r="B392" s="1" t="s">
        <v>1132</v>
      </c>
      <c r="C392" s="129" t="str">
        <f t="shared" ref="C392:C448" si="42">VLOOKUP(B392,BASE_A,6,FALSE)</f>
        <v>Rancho Upácuaro No. 101</v>
      </c>
      <c r="D392" s="129" t="str">
        <f t="shared" ref="D392:D448" si="43">VLOOKUP(B392,BASE_A,8,FALSE)</f>
        <v>Chávez, Arturo</v>
      </c>
      <c r="E392" s="90">
        <f t="shared" ref="E392:E448" si="44">VLOOKUP(B392,BASE_A,9,FALSE)</f>
        <v>300</v>
      </c>
      <c r="F392" s="91">
        <f>DSUM(SEP_2013_A,AA,UP_101_)</f>
        <v>0</v>
      </c>
      <c r="G392" s="90">
        <f t="shared" ref="G392:G448" si="45">H392-F392</f>
        <v>3000</v>
      </c>
      <c r="H392" s="90">
        <f>DSUM(SEP_2013_A,importe,UP_101_)</f>
        <v>3000</v>
      </c>
      <c r="I392" s="17">
        <f t="shared" si="41"/>
        <v>10</v>
      </c>
      <c r="J392" s="6" t="s">
        <v>1283</v>
      </c>
      <c r="K392" s="137">
        <f>DSUM(SEP_2013_A,23,UP_101_)</f>
        <v>300</v>
      </c>
      <c r="L392" s="137">
        <f>DSUM(SEP_2013_A,24,UP_101_)</f>
        <v>300</v>
      </c>
      <c r="M392" s="137">
        <f>DSUM(SEP_2013_A,25,UP_101_)</f>
        <v>300</v>
      </c>
      <c r="N392" s="137">
        <f>DSUM(SEP_2013_A,26,UP_101_)</f>
        <v>300</v>
      </c>
      <c r="O392" s="137">
        <f>DSUM(SEP_2013_A,27,UP_101_)</f>
        <v>300</v>
      </c>
      <c r="P392" s="137">
        <f>DSUM(SEP_2013_A,28,UP_101_)</f>
        <v>300</v>
      </c>
      <c r="Q392" s="137">
        <f>DSUM(SEP_2013_A,29,UP_101_)</f>
        <v>300</v>
      </c>
      <c r="R392" s="137">
        <f>DSUM(SEP_2013_A,30,UP_101_)</f>
        <v>300</v>
      </c>
      <c r="S392" s="137">
        <f>DSUM(SEP_2013_A,31,UP_101_)</f>
        <v>300</v>
      </c>
      <c r="T392" s="137">
        <f>DSUM(SEP_2013_A,32,UP_101_)</f>
        <v>300</v>
      </c>
      <c r="U392" s="137">
        <f>DSUM(SEP_2013_A,33,UP_101_)</f>
        <v>0</v>
      </c>
      <c r="V392" s="137">
        <f>DSUM(SEP_2013_A,34,UP_101_)</f>
        <v>0</v>
      </c>
    </row>
    <row r="393" spans="2:22" ht="15.95" customHeight="1" x14ac:dyDescent="0.2">
      <c r="B393" s="1" t="s">
        <v>1353</v>
      </c>
      <c r="C393" s="129" t="str">
        <f t="shared" si="42"/>
        <v>Rancho Upácuaro No. 102</v>
      </c>
      <c r="D393" s="129">
        <f t="shared" si="43"/>
        <v>0</v>
      </c>
      <c r="E393" s="90">
        <f t="shared" si="44"/>
        <v>300</v>
      </c>
      <c r="F393" s="91">
        <f>DSUM(SEP_2013_A,AA,UP_102_)</f>
        <v>0</v>
      </c>
      <c r="G393" s="90">
        <f t="shared" si="45"/>
        <v>0</v>
      </c>
      <c r="H393" s="90">
        <f>DSUM(SEP_2013_A,importe,UP_102_)</f>
        <v>0</v>
      </c>
      <c r="I393" s="17">
        <f t="shared" si="41"/>
        <v>0</v>
      </c>
      <c r="J393" s="6" t="s">
        <v>1283</v>
      </c>
      <c r="K393" s="137">
        <f>DSUM(SEP_2013_A,23,UP_102_)</f>
        <v>0</v>
      </c>
      <c r="L393" s="137">
        <f>DSUM(SEP_2013_A,24,UP_102_)</f>
        <v>0</v>
      </c>
      <c r="M393" s="137">
        <f>DSUM(SEP_2013_A,25,UP_102_)</f>
        <v>0</v>
      </c>
      <c r="N393" s="137">
        <f>DSUM(SEP_2013_A,26,UP_102_)</f>
        <v>0</v>
      </c>
      <c r="O393" s="137">
        <f>DSUM(SEP_2013_A,27,UP_102_)</f>
        <v>0</v>
      </c>
      <c r="P393" s="137">
        <f>DSUM(SEP_2013_A,28,UP_102_)</f>
        <v>0</v>
      </c>
      <c r="Q393" s="137">
        <f>DSUM(SEP_2013_A,29,UP_102_)</f>
        <v>0</v>
      </c>
      <c r="R393" s="137">
        <f>DSUM(SEP_2013_A,30,UP_102_)</f>
        <v>0</v>
      </c>
      <c r="S393" s="137">
        <f>DSUM(SEP_2013_A,31,UP_102_)</f>
        <v>0</v>
      </c>
      <c r="T393" s="137">
        <f>DSUM(SEP_2013_A,32,UP_102_)</f>
        <v>0</v>
      </c>
      <c r="U393" s="137">
        <f>DSUM(SEP_2013_A,33,UP_102_)</f>
        <v>0</v>
      </c>
      <c r="V393" s="137">
        <f>DSUM(SEP_2013_A,34,UP_102_)</f>
        <v>0</v>
      </c>
    </row>
    <row r="394" spans="2:22" ht="15.95" customHeight="1" x14ac:dyDescent="0.2">
      <c r="B394" s="1" t="s">
        <v>1133</v>
      </c>
      <c r="C394" s="129" t="str">
        <f t="shared" si="42"/>
        <v>Rancho Upácuaro No. 103</v>
      </c>
      <c r="D394" s="129" t="str">
        <f t="shared" si="43"/>
        <v>Alfaro</v>
      </c>
      <c r="E394" s="90">
        <f t="shared" si="44"/>
        <v>300</v>
      </c>
      <c r="F394" s="91">
        <f>DSUM(SEP_2013_A,AA,UP_103_)</f>
        <v>0</v>
      </c>
      <c r="G394" s="90">
        <f t="shared" si="45"/>
        <v>3300</v>
      </c>
      <c r="H394" s="90">
        <f>DSUM(SEP_2013_A,importe,UP_103_)</f>
        <v>3300</v>
      </c>
      <c r="I394" s="17">
        <f>IF(VLOOKUP(B394,BASE_A,9,FALSE)=0,0,(G394/VLOOKUP(B394,BASE_A,9,FALSE)))+1</f>
        <v>12</v>
      </c>
      <c r="J394" s="6" t="s">
        <v>1283</v>
      </c>
      <c r="K394" s="137">
        <f>DSUM(SEP_2013_A,23,UP_103_)</f>
        <v>300</v>
      </c>
      <c r="L394" s="137">
        <f>DSUM(SEP_2013_A,24,UP_103_)</f>
        <v>300</v>
      </c>
      <c r="M394" s="137">
        <f>DSUM(SEP_2013_A,25,UP_103_)</f>
        <v>300</v>
      </c>
      <c r="N394" s="137">
        <f>DSUM(SEP_2013_A,26,UP_103_)</f>
        <v>300</v>
      </c>
      <c r="O394" s="137">
        <f>DSUM(SEP_2013_A,27,UP_103_)</f>
        <v>300</v>
      </c>
      <c r="P394" s="137">
        <f>DSUM(SEP_2013_A,28,UP_103_)</f>
        <v>300</v>
      </c>
      <c r="Q394" s="137">
        <f>DSUM(SEP_2013_A,29,UP_103_)</f>
        <v>300</v>
      </c>
      <c r="R394" s="137">
        <f>DSUM(SEP_2013_A,30,UP_103_)</f>
        <v>300</v>
      </c>
      <c r="S394" s="137">
        <f>DSUM(SEP_2013_A,31,UP_103_)</f>
        <v>300</v>
      </c>
      <c r="T394" s="137">
        <f>DSUM(SEP_2013_A,32,UP_103_)</f>
        <v>300</v>
      </c>
      <c r="U394" s="137">
        <f>DSUM(SEP_2013_A,33,UP_103_)</f>
        <v>300</v>
      </c>
      <c r="V394" s="137">
        <f>DSUM(SEP_2013_A,34,UP_103_)</f>
        <v>0</v>
      </c>
    </row>
    <row r="395" spans="2:22" ht="15.95" customHeight="1" x14ac:dyDescent="0.2">
      <c r="B395" s="1" t="s">
        <v>1134</v>
      </c>
      <c r="C395" s="129" t="str">
        <f t="shared" si="42"/>
        <v>Rancho Upácuaro No. 104</v>
      </c>
      <c r="D395" s="129" t="str">
        <f t="shared" si="43"/>
        <v>Jiménez Almazo</v>
      </c>
      <c r="E395" s="90">
        <f t="shared" si="44"/>
        <v>300</v>
      </c>
      <c r="F395" s="91">
        <f>DSUM(SEP_2013_A,AA,UP_104_)</f>
        <v>300</v>
      </c>
      <c r="G395" s="90">
        <f t="shared" si="45"/>
        <v>2700</v>
      </c>
      <c r="H395" s="90">
        <f>DSUM(SEP_2013_A,importe,UP_104_)</f>
        <v>3000</v>
      </c>
      <c r="I395" s="17">
        <f t="shared" ref="I395:I406" si="46">IF(VLOOKUP(B395,BASE_A,9,FALSE)=0,0,G395/VLOOKUP(B395,BASE_A,9,FALSE))</f>
        <v>9</v>
      </c>
      <c r="J395" s="6" t="s">
        <v>1283</v>
      </c>
      <c r="K395" s="137">
        <f>DSUM(SEP_2013_A,23,UP_104_)</f>
        <v>300</v>
      </c>
      <c r="L395" s="137">
        <f>DSUM(SEP_2013_A,24,UP_104_)</f>
        <v>300</v>
      </c>
      <c r="M395" s="137">
        <f>DSUM(SEP_2013_A,25,UP_104_)</f>
        <v>300</v>
      </c>
      <c r="N395" s="137">
        <f>DSUM(SEP_2013_A,26,UP_104_)</f>
        <v>300</v>
      </c>
      <c r="O395" s="137">
        <f>DSUM(SEP_2013_A,27,UP_104_)</f>
        <v>300</v>
      </c>
      <c r="P395" s="137">
        <f>DSUM(SEP_2013_A,28,UP_104_)</f>
        <v>300</v>
      </c>
      <c r="Q395" s="137">
        <f>DSUM(SEP_2013_A,29,UP_104_)</f>
        <v>300</v>
      </c>
      <c r="R395" s="137">
        <f>DSUM(SEP_2013_A,30,UP_104_)</f>
        <v>300</v>
      </c>
      <c r="S395" s="137">
        <f>DSUM(SEP_2013_A,31,UP_104_)</f>
        <v>300</v>
      </c>
      <c r="T395" s="137">
        <f>DSUM(SEP_2013_A,32,UP_104_)</f>
        <v>0</v>
      </c>
      <c r="U395" s="137">
        <f>DSUM(SEP_2013_A,33,UP_104_)</f>
        <v>0</v>
      </c>
      <c r="V395" s="137">
        <f>DSUM(SEP_2013_A,34,UP_104_)</f>
        <v>0</v>
      </c>
    </row>
    <row r="396" spans="2:22" ht="15.95" customHeight="1" x14ac:dyDescent="0.2">
      <c r="B396" s="1" t="s">
        <v>1135</v>
      </c>
      <c r="C396" s="129" t="str">
        <f t="shared" si="42"/>
        <v>Rancho Upácuaro No. 106</v>
      </c>
      <c r="D396" s="129" t="str">
        <f t="shared" si="43"/>
        <v>Hernández Sánchez</v>
      </c>
      <c r="E396" s="90">
        <f t="shared" si="44"/>
        <v>300</v>
      </c>
      <c r="F396" s="91">
        <f>DSUM(SEP_2013_A,AA,UP_106_)</f>
        <v>900</v>
      </c>
      <c r="G396" s="90">
        <f t="shared" si="45"/>
        <v>2700</v>
      </c>
      <c r="H396" s="90">
        <f>DSUM(SEP_2013_A,importe,UP_106_)</f>
        <v>3600</v>
      </c>
      <c r="I396" s="17">
        <f t="shared" si="46"/>
        <v>9</v>
      </c>
      <c r="J396" s="6" t="s">
        <v>1283</v>
      </c>
      <c r="K396" s="137">
        <f>DSUM(SEP_2013_A,23,UP_106_)</f>
        <v>300</v>
      </c>
      <c r="L396" s="137">
        <f>DSUM(SEP_2013_A,24,UP_106_)</f>
        <v>300</v>
      </c>
      <c r="M396" s="137">
        <f>DSUM(SEP_2013_A,25,UP_106_)</f>
        <v>300</v>
      </c>
      <c r="N396" s="137">
        <f>DSUM(SEP_2013_A,26,UP_106_)</f>
        <v>300</v>
      </c>
      <c r="O396" s="137">
        <f>DSUM(SEP_2013_A,27,UP_106_)</f>
        <v>300</v>
      </c>
      <c r="P396" s="137">
        <f>DSUM(SEP_2013_A,28,UP_106_)</f>
        <v>300</v>
      </c>
      <c r="Q396" s="137">
        <f>DSUM(SEP_2013_A,29,UP_106_)</f>
        <v>300</v>
      </c>
      <c r="R396" s="137">
        <f>DSUM(SEP_2013_A,30,UP_106_)</f>
        <v>300</v>
      </c>
      <c r="S396" s="137">
        <f>DSUM(SEP_2013_A,31,UP_106_)</f>
        <v>300</v>
      </c>
      <c r="T396" s="137">
        <f>DSUM(SEP_2013_A,32,UP_106_)</f>
        <v>0</v>
      </c>
      <c r="U396" s="137">
        <f>DSUM(SEP_2013_A,33,UP_106_)</f>
        <v>0</v>
      </c>
      <c r="V396" s="137">
        <f>DSUM(SEP_2013_A,34,UP_106_)</f>
        <v>0</v>
      </c>
    </row>
    <row r="397" spans="2:22" ht="15.95" customHeight="1" x14ac:dyDescent="0.2">
      <c r="B397" s="1" t="s">
        <v>1136</v>
      </c>
      <c r="C397" s="129" t="str">
        <f t="shared" si="42"/>
        <v>Rancho Upácuaro No. 108</v>
      </c>
      <c r="D397" s="129" t="str">
        <f t="shared" si="43"/>
        <v>Mejía</v>
      </c>
      <c r="E397" s="90">
        <f t="shared" si="44"/>
        <v>300</v>
      </c>
      <c r="F397" s="91">
        <f>DSUM(SEP_2013_A,AA,UP_108_)</f>
        <v>600</v>
      </c>
      <c r="G397" s="90">
        <f t="shared" si="45"/>
        <v>2400</v>
      </c>
      <c r="H397" s="90">
        <f>DSUM(SEP_2013_A,importe,UP_108_)</f>
        <v>3000</v>
      </c>
      <c r="I397" s="17">
        <f t="shared" si="46"/>
        <v>8</v>
      </c>
      <c r="J397" s="6" t="s">
        <v>1283</v>
      </c>
      <c r="K397" s="137">
        <f>DSUM(SEP_2013_A,23,UP_108_)</f>
        <v>300</v>
      </c>
      <c r="L397" s="137">
        <f>DSUM(SEP_2013_A,24,UP_108_)</f>
        <v>300</v>
      </c>
      <c r="M397" s="137">
        <f>DSUM(SEP_2013_A,25,UP_108_)</f>
        <v>300</v>
      </c>
      <c r="N397" s="137">
        <f>DSUM(SEP_2013_A,26,UP_108_)</f>
        <v>300</v>
      </c>
      <c r="O397" s="137">
        <f>DSUM(SEP_2013_A,27,UP_108_)</f>
        <v>300</v>
      </c>
      <c r="P397" s="137">
        <f>DSUM(SEP_2013_A,28,UP_108_)</f>
        <v>300</v>
      </c>
      <c r="Q397" s="137">
        <f>DSUM(SEP_2013_A,29,UP_108_)</f>
        <v>300</v>
      </c>
      <c r="R397" s="137">
        <f>DSUM(SEP_2013_A,30,UP_108_)</f>
        <v>300</v>
      </c>
      <c r="S397" s="137">
        <f>DSUM(SEP_2013_A,31,UP_108_)</f>
        <v>0</v>
      </c>
      <c r="T397" s="137">
        <f>DSUM(SEP_2013_A,32,UP_108_)</f>
        <v>0</v>
      </c>
      <c r="U397" s="137">
        <f>DSUM(SEP_2013_A,33,UP_108_)</f>
        <v>0</v>
      </c>
      <c r="V397" s="137">
        <f>DSUM(SEP_2013_A,34,UP_108_)</f>
        <v>0</v>
      </c>
    </row>
    <row r="398" spans="2:22" ht="15.95" customHeight="1" x14ac:dyDescent="0.2">
      <c r="B398" s="1" t="s">
        <v>1137</v>
      </c>
      <c r="C398" s="129" t="str">
        <f t="shared" si="42"/>
        <v>Rancho Upácuaro No. 110</v>
      </c>
      <c r="D398" s="129" t="str">
        <f t="shared" si="43"/>
        <v>Ruiz Mijangos</v>
      </c>
      <c r="E398" s="90">
        <f t="shared" si="44"/>
        <v>300</v>
      </c>
      <c r="F398" s="91">
        <f>DSUM(SEP_2013_A,AA,UP_110_)</f>
        <v>300</v>
      </c>
      <c r="G398" s="90">
        <f t="shared" si="45"/>
        <v>2700</v>
      </c>
      <c r="H398" s="90">
        <f>DSUM(SEP_2013_A,importe,UP_110_)</f>
        <v>3000</v>
      </c>
      <c r="I398" s="17">
        <f t="shared" si="46"/>
        <v>9</v>
      </c>
      <c r="J398" s="6" t="s">
        <v>1283</v>
      </c>
      <c r="K398" s="137">
        <f>DSUM(SEP_2013_A,23,UP_110_)</f>
        <v>300</v>
      </c>
      <c r="L398" s="137">
        <f>DSUM(SEP_2013_A,24,UP_110_)</f>
        <v>300</v>
      </c>
      <c r="M398" s="137">
        <f>DSUM(SEP_2013_A,25,UP_110_)</f>
        <v>300</v>
      </c>
      <c r="N398" s="137">
        <f>DSUM(SEP_2013_A,26,UP_110_)</f>
        <v>300</v>
      </c>
      <c r="O398" s="137">
        <f>DSUM(SEP_2013_A,27,UP_110_)</f>
        <v>300</v>
      </c>
      <c r="P398" s="137">
        <f>DSUM(SEP_2013_A,28,UP_110_)</f>
        <v>300</v>
      </c>
      <c r="Q398" s="137">
        <f>DSUM(SEP_2013_A,29,UP_110_)</f>
        <v>300</v>
      </c>
      <c r="R398" s="137">
        <f>DSUM(SEP_2013_A,30,UP_110_)</f>
        <v>300</v>
      </c>
      <c r="S398" s="137">
        <f>DSUM(SEP_2013_A,31,UP_110_)</f>
        <v>300</v>
      </c>
      <c r="T398" s="137">
        <f>DSUM(SEP_2013_A,32,UP_110_)</f>
        <v>0</v>
      </c>
      <c r="U398" s="137">
        <f>DSUM(SEP_2013_A,33,UP_110_)</f>
        <v>0</v>
      </c>
      <c r="V398" s="137">
        <f>DSUM(SEP_2013_A,34,UP_110_)</f>
        <v>0</v>
      </c>
    </row>
    <row r="399" spans="2:22" ht="15.95" customHeight="1" x14ac:dyDescent="0.2">
      <c r="B399" s="1" t="s">
        <v>1138</v>
      </c>
      <c r="C399" s="129" t="str">
        <f t="shared" si="42"/>
        <v>Rancho Upácuaro No. 114</v>
      </c>
      <c r="D399" s="129" t="str">
        <f t="shared" si="43"/>
        <v>Hernández Cornejo</v>
      </c>
      <c r="E399" s="90">
        <f t="shared" si="44"/>
        <v>300</v>
      </c>
      <c r="F399" s="91">
        <f>DSUM(SEP_2013_A,AA,UP_114_)</f>
        <v>300</v>
      </c>
      <c r="G399" s="90">
        <f t="shared" si="45"/>
        <v>2700</v>
      </c>
      <c r="H399" s="90">
        <f>DSUM(SEP_2013_A,importe,UP_114_)</f>
        <v>3000</v>
      </c>
      <c r="I399" s="17">
        <f t="shared" si="46"/>
        <v>9</v>
      </c>
      <c r="J399" s="6" t="s">
        <v>1283</v>
      </c>
      <c r="K399" s="137">
        <f>DSUM(SEP_2013_A,23,UP_114_)</f>
        <v>300</v>
      </c>
      <c r="L399" s="137">
        <f>DSUM(SEP_2013_A,24,UP_114_)</f>
        <v>300</v>
      </c>
      <c r="M399" s="137">
        <f>DSUM(SEP_2013_A,25,UP_114_)</f>
        <v>300</v>
      </c>
      <c r="N399" s="137">
        <f>DSUM(SEP_2013_A,26,UP_114_)</f>
        <v>300</v>
      </c>
      <c r="O399" s="137">
        <f>DSUM(SEP_2013_A,27,UP_114_)</f>
        <v>300</v>
      </c>
      <c r="P399" s="137">
        <f>DSUM(SEP_2013_A,28,UP_114_)</f>
        <v>300</v>
      </c>
      <c r="Q399" s="137">
        <f>DSUM(SEP_2013_A,29,UP_114_)</f>
        <v>300</v>
      </c>
      <c r="R399" s="137">
        <f>DSUM(SEP_2013_A,30,UP_114_)</f>
        <v>300</v>
      </c>
      <c r="S399" s="137">
        <f>DSUM(SEP_2013_A,31,UP_114_)</f>
        <v>300</v>
      </c>
      <c r="T399" s="137">
        <f>DSUM(SEP_2013_A,32,UP_114_)</f>
        <v>0</v>
      </c>
      <c r="U399" s="137">
        <f>DSUM(SEP_2013_A,33,UP_114_)</f>
        <v>0</v>
      </c>
      <c r="V399" s="137">
        <f>DSUM(SEP_2013_A,34,UP_114_)</f>
        <v>0</v>
      </c>
    </row>
    <row r="400" spans="2:22" ht="15.95" customHeight="1" x14ac:dyDescent="0.2">
      <c r="B400" s="1" t="s">
        <v>1139</v>
      </c>
      <c r="C400" s="129" t="str">
        <f t="shared" si="42"/>
        <v>Rancho Upácuaro No. 116</v>
      </c>
      <c r="D400" s="129" t="str">
        <f t="shared" si="43"/>
        <v>García Zamudio</v>
      </c>
      <c r="E400" s="90">
        <f t="shared" si="44"/>
        <v>300</v>
      </c>
      <c r="F400" s="91">
        <f>DSUM(SEP_2013_A,AA,UP_116_)</f>
        <v>300</v>
      </c>
      <c r="G400" s="90">
        <f t="shared" si="45"/>
        <v>2400</v>
      </c>
      <c r="H400" s="90">
        <f>DSUM(SEP_2013_A,importe,UP_116_)</f>
        <v>2700</v>
      </c>
      <c r="I400" s="17">
        <f t="shared" si="46"/>
        <v>8</v>
      </c>
      <c r="J400" s="6" t="s">
        <v>1283</v>
      </c>
      <c r="K400" s="137">
        <f>DSUM(SEP_2013_A,23,UP_116_)</f>
        <v>300</v>
      </c>
      <c r="L400" s="137">
        <f>DSUM(SEP_2013_A,24,UP_116_)</f>
        <v>300</v>
      </c>
      <c r="M400" s="137">
        <f>DSUM(SEP_2013_A,25,UP_116_)</f>
        <v>300</v>
      </c>
      <c r="N400" s="137">
        <f>DSUM(SEP_2013_A,26,UP_116_)</f>
        <v>300</v>
      </c>
      <c r="O400" s="137">
        <f>DSUM(SEP_2013_A,27,UP_116_)</f>
        <v>300</v>
      </c>
      <c r="P400" s="137">
        <f>DSUM(SEP_2013_A,28,UP_116_)</f>
        <v>300</v>
      </c>
      <c r="Q400" s="137">
        <f>DSUM(SEP_2013_A,29,UP_116_)</f>
        <v>300</v>
      </c>
      <c r="R400" s="137">
        <f>DSUM(SEP_2013_A,30,UP_116_)</f>
        <v>300</v>
      </c>
      <c r="S400" s="137">
        <f>DSUM(SEP_2013_A,31,UP_116_)</f>
        <v>0</v>
      </c>
      <c r="T400" s="137">
        <f>DSUM(SEP_2013_A,32,UP_116_)</f>
        <v>0</v>
      </c>
      <c r="U400" s="137">
        <f>DSUM(SEP_2013_A,33,UP_116_)</f>
        <v>0</v>
      </c>
      <c r="V400" s="137">
        <f>DSUM(SEP_2013_A,34,UP_116_)</f>
        <v>0</v>
      </c>
    </row>
    <row r="401" spans="2:22" ht="15.95" customHeight="1" x14ac:dyDescent="0.2">
      <c r="B401" s="1" t="s">
        <v>1140</v>
      </c>
      <c r="C401" s="129" t="str">
        <f t="shared" si="42"/>
        <v>Rancho Upácuaro No. 118</v>
      </c>
      <c r="D401" s="129" t="str">
        <f t="shared" si="43"/>
        <v>Siegrist</v>
      </c>
      <c r="E401" s="90">
        <f t="shared" si="44"/>
        <v>300</v>
      </c>
      <c r="F401" s="91">
        <f>DSUM(SEP_2013_A,AA,UP_118_)</f>
        <v>600</v>
      </c>
      <c r="G401" s="90">
        <f t="shared" si="45"/>
        <v>2400</v>
      </c>
      <c r="H401" s="90">
        <f>DSUM(SEP_2013_A,importe,UP_118_)</f>
        <v>3000</v>
      </c>
      <c r="I401" s="17">
        <f t="shared" si="46"/>
        <v>8</v>
      </c>
      <c r="J401" s="6" t="s">
        <v>1283</v>
      </c>
      <c r="K401" s="137">
        <f>DSUM(SEP_2013_A,23,UP_118_)</f>
        <v>300</v>
      </c>
      <c r="L401" s="137">
        <f>DSUM(SEP_2013_A,24,UP_118_)</f>
        <v>300</v>
      </c>
      <c r="M401" s="137">
        <f>DSUM(SEP_2013_A,25,UP_118_)</f>
        <v>300</v>
      </c>
      <c r="N401" s="137">
        <f>DSUM(SEP_2013_A,26,UP_118_)</f>
        <v>300</v>
      </c>
      <c r="O401" s="137">
        <f>DSUM(SEP_2013_A,27,UP_118_)</f>
        <v>300</v>
      </c>
      <c r="P401" s="137">
        <f>DSUM(SEP_2013_A,28,UP_118_)</f>
        <v>300</v>
      </c>
      <c r="Q401" s="137">
        <f>DSUM(SEP_2013_A,29,UP_118_)</f>
        <v>300</v>
      </c>
      <c r="R401" s="137">
        <f>DSUM(SEP_2013_A,30,UP_118_)</f>
        <v>300</v>
      </c>
      <c r="S401" s="137">
        <f>DSUM(SEP_2013_A,31,UP_118_)</f>
        <v>0</v>
      </c>
      <c r="T401" s="137">
        <f>DSUM(SEP_2013_A,32,UP_118_)</f>
        <v>0</v>
      </c>
      <c r="U401" s="137">
        <f>DSUM(SEP_2013_A,33,UP_118_)</f>
        <v>0</v>
      </c>
      <c r="V401" s="137">
        <f>DSUM(SEP_2013_A,34,UP_118_)</f>
        <v>0</v>
      </c>
    </row>
    <row r="402" spans="2:22" ht="15.95" customHeight="1" x14ac:dyDescent="0.2">
      <c r="B402" s="1" t="s">
        <v>773</v>
      </c>
      <c r="C402" s="129" t="str">
        <f t="shared" si="42"/>
        <v>Rancho Upácuaro No. 120</v>
      </c>
      <c r="D402" s="129" t="str">
        <f t="shared" si="43"/>
        <v>Rayas Rivera</v>
      </c>
      <c r="E402" s="90">
        <f t="shared" si="44"/>
        <v>300</v>
      </c>
      <c r="F402" s="91">
        <f>DSUM(SEP_2013_A,AA,UP_120_)</f>
        <v>300</v>
      </c>
      <c r="G402" s="90">
        <f t="shared" si="45"/>
        <v>2700</v>
      </c>
      <c r="H402" s="90">
        <f>DSUM(SEP_2013_A,importe,UP_120_)</f>
        <v>3000</v>
      </c>
      <c r="I402" s="17">
        <f t="shared" si="46"/>
        <v>9</v>
      </c>
      <c r="J402" s="6" t="s">
        <v>1283</v>
      </c>
      <c r="K402" s="137">
        <f>DSUM(SEP_2013_A,23,UP_120_)</f>
        <v>300</v>
      </c>
      <c r="L402" s="137">
        <f>DSUM(SEP_2013_A,24,UP_120_)</f>
        <v>300</v>
      </c>
      <c r="M402" s="137">
        <f>DSUM(SEP_2013_A,25,UP_120_)</f>
        <v>300</v>
      </c>
      <c r="N402" s="137">
        <f>DSUM(SEP_2013_A,26,UP_120_)</f>
        <v>300</v>
      </c>
      <c r="O402" s="137">
        <f>DSUM(SEP_2013_A,27,UP_120_)</f>
        <v>300</v>
      </c>
      <c r="P402" s="137">
        <f>DSUM(SEP_2013_A,28,UP_120_)</f>
        <v>300</v>
      </c>
      <c r="Q402" s="137">
        <f>DSUM(SEP_2013_A,29,UP_120_)</f>
        <v>300</v>
      </c>
      <c r="R402" s="137">
        <f>DSUM(SEP_2013_A,30,UP_120_)</f>
        <v>300</v>
      </c>
      <c r="S402" s="137">
        <f>DSUM(SEP_2013_A,31,UP_120_)</f>
        <v>300</v>
      </c>
      <c r="T402" s="137">
        <f>DSUM(SEP_2013_A,32,UP_120_)</f>
        <v>0</v>
      </c>
      <c r="U402" s="137">
        <f>DSUM(SEP_2013_A,33,UP_120_)</f>
        <v>0</v>
      </c>
      <c r="V402" s="137">
        <f>DSUM(SEP_2013_A,34,UP_120_)</f>
        <v>0</v>
      </c>
    </row>
    <row r="403" spans="2:22" ht="15.95" customHeight="1" x14ac:dyDescent="0.2">
      <c r="B403" s="1" t="s">
        <v>1354</v>
      </c>
      <c r="C403" s="129" t="str">
        <f t="shared" si="42"/>
        <v>Rancho Upácuaro No. 122</v>
      </c>
      <c r="D403" s="129">
        <f t="shared" si="43"/>
        <v>0</v>
      </c>
      <c r="E403" s="90">
        <f t="shared" si="44"/>
        <v>300</v>
      </c>
      <c r="F403" s="91">
        <f>DSUM(SEP_2013_A,AA,UP_122_)</f>
        <v>0</v>
      </c>
      <c r="G403" s="90">
        <f t="shared" si="45"/>
        <v>0</v>
      </c>
      <c r="H403" s="90">
        <f>DSUM(SEP_2013_A,importe,UP_122_)</f>
        <v>0</v>
      </c>
      <c r="I403" s="17">
        <f t="shared" si="46"/>
        <v>0</v>
      </c>
      <c r="J403" s="6" t="s">
        <v>1283</v>
      </c>
      <c r="K403" s="137">
        <f>DSUM(SEP_2013_A,23,UP_122_)</f>
        <v>0</v>
      </c>
      <c r="L403" s="137">
        <f>DSUM(SEP_2013_A,24,UP_122_)</f>
        <v>0</v>
      </c>
      <c r="M403" s="137">
        <f>DSUM(SEP_2013_A,25,UP_122_)</f>
        <v>0</v>
      </c>
      <c r="N403" s="137">
        <f>DSUM(SEP_2013_A,26,UP_122_)</f>
        <v>0</v>
      </c>
      <c r="O403" s="137">
        <f>DSUM(SEP_2013_A,27,UP_122_)</f>
        <v>0</v>
      </c>
      <c r="P403" s="137">
        <f>DSUM(SEP_2013_A,28,UP_122_)</f>
        <v>0</v>
      </c>
      <c r="Q403" s="137">
        <f>DSUM(SEP_2013_A,29,UP_122_)</f>
        <v>0</v>
      </c>
      <c r="R403" s="137">
        <f>DSUM(SEP_2013_A,30,UP_122_)</f>
        <v>0</v>
      </c>
      <c r="S403" s="137">
        <f>DSUM(SEP_2013_A,31,UP_122_)</f>
        <v>0</v>
      </c>
      <c r="T403" s="137">
        <f>DSUM(SEP_2013_A,32,UP_122_)</f>
        <v>0</v>
      </c>
      <c r="U403" s="137">
        <f>DSUM(SEP_2013_A,33,UP_122_)</f>
        <v>0</v>
      </c>
      <c r="V403" s="137">
        <f>DSUM(SEP_2013_A,34,UP_122_)</f>
        <v>0</v>
      </c>
    </row>
    <row r="404" spans="2:22" ht="15.95" customHeight="1" x14ac:dyDescent="0.2">
      <c r="B404" s="1" t="s">
        <v>1141</v>
      </c>
      <c r="C404" s="129" t="str">
        <f t="shared" si="42"/>
        <v>Rancho Upácuaro No. 124</v>
      </c>
      <c r="D404" s="129" t="str">
        <f t="shared" si="43"/>
        <v>Reyes Nicandro</v>
      </c>
      <c r="E404" s="90">
        <f t="shared" si="44"/>
        <v>300</v>
      </c>
      <c r="F404" s="91">
        <f>DSUM(SEP_2013_A,AA,UP_124_)</f>
        <v>0</v>
      </c>
      <c r="G404" s="90">
        <f t="shared" si="45"/>
        <v>2400</v>
      </c>
      <c r="H404" s="90">
        <f>DSUM(SEP_2013_A,importe,UP_124_)</f>
        <v>2400</v>
      </c>
      <c r="I404" s="17">
        <f t="shared" si="46"/>
        <v>8</v>
      </c>
      <c r="J404" s="6" t="s">
        <v>1283</v>
      </c>
      <c r="K404" s="137">
        <f>DSUM(SEP_2013_A,23,UP_124_)</f>
        <v>300</v>
      </c>
      <c r="L404" s="137">
        <f>DSUM(SEP_2013_A,24,UP_124_)</f>
        <v>300</v>
      </c>
      <c r="M404" s="137">
        <f>DSUM(SEP_2013_A,25,UP_124_)</f>
        <v>300</v>
      </c>
      <c r="N404" s="137">
        <f>DSUM(SEP_2013_A,26,UP_124_)</f>
        <v>300</v>
      </c>
      <c r="O404" s="137">
        <f>DSUM(SEP_2013_A,27,UP_124_)</f>
        <v>300</v>
      </c>
      <c r="P404" s="137">
        <f>DSUM(SEP_2013_A,28,UP_124_)</f>
        <v>300</v>
      </c>
      <c r="Q404" s="137">
        <f>DSUM(SEP_2013_A,29,UP_124_)</f>
        <v>300</v>
      </c>
      <c r="R404" s="137">
        <f>DSUM(SEP_2013_A,30,UP_124_)</f>
        <v>300</v>
      </c>
      <c r="S404" s="137">
        <f>DSUM(SEP_2013_A,31,UP_124_)</f>
        <v>0</v>
      </c>
      <c r="T404" s="137">
        <f>DSUM(SEP_2013_A,32,UP_124_)</f>
        <v>0</v>
      </c>
      <c r="U404" s="137">
        <f>DSUM(SEP_2013_A,33,UP_124_)</f>
        <v>0</v>
      </c>
      <c r="V404" s="137">
        <f>DSUM(SEP_2013_A,34,UP_124_)</f>
        <v>0</v>
      </c>
    </row>
    <row r="405" spans="2:22" ht="15.95" customHeight="1" x14ac:dyDescent="0.2">
      <c r="B405" s="1" t="s">
        <v>1142</v>
      </c>
      <c r="C405" s="129" t="str">
        <f t="shared" si="42"/>
        <v>Rancho Upácuaro No. 128</v>
      </c>
      <c r="D405" s="129" t="str">
        <f t="shared" si="43"/>
        <v>Briz Cabrera</v>
      </c>
      <c r="E405" s="90">
        <f t="shared" si="44"/>
        <v>300</v>
      </c>
      <c r="F405" s="91">
        <f>DSUM(SEP_2013_A,AA,UP_128_)</f>
        <v>0</v>
      </c>
      <c r="G405" s="90">
        <f t="shared" si="45"/>
        <v>0</v>
      </c>
      <c r="H405" s="90">
        <f>DSUM(SEP_2013_A,importe,UP_128_)</f>
        <v>0</v>
      </c>
      <c r="I405" s="17">
        <f t="shared" si="46"/>
        <v>0</v>
      </c>
      <c r="J405" s="6" t="s">
        <v>1283</v>
      </c>
      <c r="K405" s="137">
        <f>DSUM(SEP_2013_A,23,UP_128_)</f>
        <v>0</v>
      </c>
      <c r="L405" s="137">
        <f>DSUM(SEP_2013_A,24,UP_128_)</f>
        <v>0</v>
      </c>
      <c r="M405" s="137">
        <f>DSUM(SEP_2013_A,25,UP_128_)</f>
        <v>0</v>
      </c>
      <c r="N405" s="137">
        <f>DSUM(SEP_2013_A,26,UP_128_)</f>
        <v>0</v>
      </c>
      <c r="O405" s="137">
        <f>DSUM(SEP_2013_A,27,UP_128_)</f>
        <v>0</v>
      </c>
      <c r="P405" s="137">
        <f>DSUM(SEP_2013_A,28,UP_128_)</f>
        <v>0</v>
      </c>
      <c r="Q405" s="137">
        <f>DSUM(SEP_2013_A,29,UP_128_)</f>
        <v>0</v>
      </c>
      <c r="R405" s="137">
        <f>DSUM(SEP_2013_A,30,UP_128_)</f>
        <v>0</v>
      </c>
      <c r="S405" s="137">
        <f>DSUM(SEP_2013_A,31,UP_128_)</f>
        <v>0</v>
      </c>
      <c r="T405" s="137">
        <f>DSUM(SEP_2013_A,32,UP_128_)</f>
        <v>0</v>
      </c>
      <c r="U405" s="137">
        <f>DSUM(SEP_2013_A,33,UP_128_)</f>
        <v>0</v>
      </c>
      <c r="V405" s="137">
        <f>DSUM(SEP_2013_A,34,UP_128_)</f>
        <v>0</v>
      </c>
    </row>
    <row r="406" spans="2:22" ht="15.95" customHeight="1" x14ac:dyDescent="0.2">
      <c r="B406" s="1" t="s">
        <v>1143</v>
      </c>
      <c r="C406" s="129" t="str">
        <f t="shared" si="42"/>
        <v>Rancho Upácuaro No. 130</v>
      </c>
      <c r="D406" s="129" t="str">
        <f t="shared" si="43"/>
        <v>Rodríguez Álvarez</v>
      </c>
      <c r="E406" s="90">
        <f t="shared" si="44"/>
        <v>150</v>
      </c>
      <c r="F406" s="91">
        <f>DSUM(SEP_2013_A,AA,UP_130_)</f>
        <v>0</v>
      </c>
      <c r="G406" s="90">
        <f t="shared" si="45"/>
        <v>1200</v>
      </c>
      <c r="H406" s="90">
        <f>DSUM(SEP_2013_A,importe,UP_130_)</f>
        <v>1200</v>
      </c>
      <c r="I406" s="17">
        <f t="shared" si="46"/>
        <v>8</v>
      </c>
      <c r="J406" s="6" t="s">
        <v>1283</v>
      </c>
      <c r="K406" s="137">
        <f>DSUM(SEP_2013_A,23,UP_130_)</f>
        <v>150</v>
      </c>
      <c r="L406" s="137">
        <f>DSUM(SEP_2013_A,24,UP_130_)</f>
        <v>150</v>
      </c>
      <c r="M406" s="137">
        <f>DSUM(SEP_2013_A,25,UP_130_)</f>
        <v>150</v>
      </c>
      <c r="N406" s="137">
        <f>DSUM(SEP_2013_A,26,UP_130_)</f>
        <v>150</v>
      </c>
      <c r="O406" s="137">
        <f>DSUM(SEP_2013_A,27,UP_130_)</f>
        <v>150</v>
      </c>
      <c r="P406" s="137">
        <f>DSUM(SEP_2013_A,28,UP_130_)</f>
        <v>150</v>
      </c>
      <c r="Q406" s="137">
        <f>DSUM(SEP_2013_A,29,UP_130_)</f>
        <v>150</v>
      </c>
      <c r="R406" s="137">
        <f>DSUM(SEP_2013_A,30,UP_130_)</f>
        <v>150</v>
      </c>
      <c r="S406" s="137">
        <f>DSUM(SEP_2013_A,31,UP_130_)</f>
        <v>0</v>
      </c>
      <c r="T406" s="137">
        <f>DSUM(SEP_2013_A,32,UP_130_)</f>
        <v>0</v>
      </c>
      <c r="U406" s="137">
        <f>DSUM(SEP_2013_A,33,UP_130_)</f>
        <v>0</v>
      </c>
      <c r="V406" s="137">
        <f>DSUM(SEP_2013_A,34,UP_130_)</f>
        <v>0</v>
      </c>
    </row>
    <row r="407" spans="2:22" ht="15.95" customHeight="1" x14ac:dyDescent="0.2">
      <c r="B407" s="1" t="s">
        <v>1144</v>
      </c>
      <c r="C407" s="129" t="str">
        <f t="shared" si="42"/>
        <v>Rancho Upácuaro No. 132</v>
      </c>
      <c r="D407" s="129" t="str">
        <f t="shared" si="43"/>
        <v>Tornero Saldaña</v>
      </c>
      <c r="E407" s="90">
        <f t="shared" si="44"/>
        <v>300</v>
      </c>
      <c r="F407" s="91">
        <f>DSUM(SEP_2013_A,AA,UP_132_)</f>
        <v>0</v>
      </c>
      <c r="G407" s="90">
        <f t="shared" si="45"/>
        <v>3300</v>
      </c>
      <c r="H407" s="90">
        <f>DSUM(SEP_2013_A,importe,UP_132_)</f>
        <v>3300</v>
      </c>
      <c r="I407" s="17">
        <f>IF(VLOOKUP(B407,BASE_A,9,FALSE)=0,0,(G407/VLOOKUP(B407,BASE_A,9,FALSE)))+1</f>
        <v>12</v>
      </c>
      <c r="J407" s="6" t="s">
        <v>1283</v>
      </c>
      <c r="K407" s="137">
        <f>DSUM(SEP_2013_A,23,UP_132_)</f>
        <v>300</v>
      </c>
      <c r="L407" s="137">
        <f>DSUM(SEP_2013_A,24,UP_132_)</f>
        <v>300</v>
      </c>
      <c r="M407" s="137">
        <f>DSUM(SEP_2013_A,25,UP_132_)</f>
        <v>300</v>
      </c>
      <c r="N407" s="137">
        <f>DSUM(SEP_2013_A,26,UP_132_)</f>
        <v>300</v>
      </c>
      <c r="O407" s="137">
        <f>DSUM(SEP_2013_A,27,UP_132_)</f>
        <v>300</v>
      </c>
      <c r="P407" s="137">
        <f>DSUM(SEP_2013_A,28,UP_132_)</f>
        <v>300</v>
      </c>
      <c r="Q407" s="137">
        <f>DSUM(SEP_2013_A,29,UP_132_)</f>
        <v>300</v>
      </c>
      <c r="R407" s="137">
        <f>DSUM(SEP_2013_A,30,UP_132_)</f>
        <v>300</v>
      </c>
      <c r="S407" s="137">
        <f>DSUM(SEP_2013_A,31,UP_132_)</f>
        <v>300</v>
      </c>
      <c r="T407" s="137">
        <f>DSUM(SEP_2013_A,32,UP_132_)</f>
        <v>300</v>
      </c>
      <c r="U407" s="137">
        <f>DSUM(SEP_2013_A,33,UP_132_)</f>
        <v>300</v>
      </c>
      <c r="V407" s="137">
        <f>DSUM(SEP_2013_A,34,UP_132_)</f>
        <v>0</v>
      </c>
    </row>
    <row r="408" spans="2:22" ht="15.95" customHeight="1" x14ac:dyDescent="0.2">
      <c r="B408" s="1" t="s">
        <v>1145</v>
      </c>
      <c r="C408" s="129" t="str">
        <f t="shared" si="42"/>
        <v>Rancho Upácuaro No. 134</v>
      </c>
      <c r="D408" s="129" t="str">
        <f t="shared" si="43"/>
        <v>Flores Pérez</v>
      </c>
      <c r="E408" s="90">
        <f t="shared" si="44"/>
        <v>300</v>
      </c>
      <c r="F408" s="91">
        <f>DSUM(SEP_2013_A,AA,UP_134_)</f>
        <v>900</v>
      </c>
      <c r="G408" s="90">
        <f t="shared" si="45"/>
        <v>2100</v>
      </c>
      <c r="H408" s="90">
        <f>DSUM(SEP_2013_A,importe,UP_134_)</f>
        <v>3000</v>
      </c>
      <c r="I408" s="17">
        <f t="shared" ref="I408:I448" si="47">IF(VLOOKUP(B408,BASE_A,9,FALSE)=0,0,G408/VLOOKUP(B408,BASE_A,9,FALSE))</f>
        <v>7</v>
      </c>
      <c r="J408" s="6" t="s">
        <v>1283</v>
      </c>
      <c r="K408" s="137">
        <f>DSUM(SEP_2013_A,23,UP_134_)</f>
        <v>300</v>
      </c>
      <c r="L408" s="137">
        <f>DSUM(SEP_2013_A,24,UP_134_)</f>
        <v>300</v>
      </c>
      <c r="M408" s="137">
        <f>DSUM(SEP_2013_A,25,UP_134_)</f>
        <v>300</v>
      </c>
      <c r="N408" s="137">
        <f>DSUM(SEP_2013_A,26,UP_134_)</f>
        <v>300</v>
      </c>
      <c r="O408" s="137">
        <f>DSUM(SEP_2013_A,27,UP_134_)</f>
        <v>300</v>
      </c>
      <c r="P408" s="137">
        <f>DSUM(SEP_2013_A,28,UP_134_)</f>
        <v>300</v>
      </c>
      <c r="Q408" s="137">
        <f>DSUM(SEP_2013_A,29,UP_134_)</f>
        <v>300</v>
      </c>
      <c r="R408" s="137">
        <f>DSUM(SEP_2013_A,30,UP_134_)</f>
        <v>0</v>
      </c>
      <c r="S408" s="137">
        <f>DSUM(SEP_2013_A,31,UP_134_)</f>
        <v>0</v>
      </c>
      <c r="T408" s="137">
        <f>DSUM(SEP_2013_A,32,UP_134_)</f>
        <v>0</v>
      </c>
      <c r="U408" s="137">
        <f>DSUM(SEP_2013_A,33,UP_134_)</f>
        <v>0</v>
      </c>
      <c r="V408" s="137">
        <f>DSUM(SEP_2013_A,34,UP_134_)</f>
        <v>0</v>
      </c>
    </row>
    <row r="409" spans="2:22" ht="15.95" customHeight="1" x14ac:dyDescent="0.2">
      <c r="B409" s="1" t="s">
        <v>1146</v>
      </c>
      <c r="C409" s="129" t="str">
        <f t="shared" si="42"/>
        <v>Rancho Upácuaro No. 136</v>
      </c>
      <c r="D409" s="129" t="str">
        <f t="shared" si="43"/>
        <v>López Lena</v>
      </c>
      <c r="E409" s="90">
        <f t="shared" si="44"/>
        <v>300</v>
      </c>
      <c r="F409" s="91">
        <f>DSUM(SEP_2013_A,AA,UP_136_)</f>
        <v>300</v>
      </c>
      <c r="G409" s="90">
        <f t="shared" si="45"/>
        <v>2700</v>
      </c>
      <c r="H409" s="90">
        <f>DSUM(SEP_2013_A,importe,UP_136_)</f>
        <v>3000</v>
      </c>
      <c r="I409" s="17">
        <f t="shared" si="47"/>
        <v>9</v>
      </c>
      <c r="J409" s="6" t="s">
        <v>1283</v>
      </c>
      <c r="K409" s="137">
        <f>DSUM(SEP_2013_A,23,UP_136_)</f>
        <v>300</v>
      </c>
      <c r="L409" s="137">
        <f>DSUM(SEP_2013_A,24,UP_136_)</f>
        <v>300</v>
      </c>
      <c r="M409" s="137">
        <f>DSUM(SEP_2013_A,25,UP_136_)</f>
        <v>300</v>
      </c>
      <c r="N409" s="137">
        <f>DSUM(SEP_2013_A,26,UP_136_)</f>
        <v>300</v>
      </c>
      <c r="O409" s="137">
        <f>DSUM(SEP_2013_A,27,UP_136_)</f>
        <v>300</v>
      </c>
      <c r="P409" s="137">
        <f>DSUM(SEP_2013_A,28,UP_136_)</f>
        <v>300</v>
      </c>
      <c r="Q409" s="137">
        <f>DSUM(SEP_2013_A,29,UP_136_)</f>
        <v>300</v>
      </c>
      <c r="R409" s="137">
        <f>DSUM(SEP_2013_A,30,UP_136_)</f>
        <v>300</v>
      </c>
      <c r="S409" s="137">
        <f>DSUM(SEP_2013_A,31,UP_136_)</f>
        <v>300</v>
      </c>
      <c r="T409" s="137">
        <f>DSUM(SEP_2013_A,32,UP_136_)</f>
        <v>0</v>
      </c>
      <c r="U409" s="137">
        <f>DSUM(SEP_2013_A,33,UP_136_)</f>
        <v>0</v>
      </c>
      <c r="V409" s="137">
        <f>DSUM(SEP_2013_A,34,UP_136_)</f>
        <v>0</v>
      </c>
    </row>
    <row r="410" spans="2:22" ht="15.95" customHeight="1" x14ac:dyDescent="0.2">
      <c r="B410" s="1" t="s">
        <v>1147</v>
      </c>
      <c r="C410" s="129" t="str">
        <f t="shared" si="42"/>
        <v>Rancho Upácuaro No. 138</v>
      </c>
      <c r="D410" s="129" t="str">
        <f t="shared" si="43"/>
        <v>Ramírez Valencia</v>
      </c>
      <c r="E410" s="90">
        <f t="shared" si="44"/>
        <v>300</v>
      </c>
      <c r="F410" s="91">
        <f>DSUM(SEP_2013_A,AA,UP_138_)</f>
        <v>0</v>
      </c>
      <c r="G410" s="90">
        <f t="shared" si="45"/>
        <v>2700</v>
      </c>
      <c r="H410" s="90">
        <f>DSUM(SEP_2013_A,importe,UP_138_)</f>
        <v>2700</v>
      </c>
      <c r="I410" s="17">
        <f t="shared" si="47"/>
        <v>9</v>
      </c>
      <c r="J410" s="6" t="s">
        <v>1283</v>
      </c>
      <c r="K410" s="137">
        <f>DSUM(SEP_2013_A,23,UP_138_)</f>
        <v>300</v>
      </c>
      <c r="L410" s="137">
        <f>DSUM(SEP_2013_A,24,UP_138_)</f>
        <v>300</v>
      </c>
      <c r="M410" s="137">
        <f>DSUM(SEP_2013_A,25,UP_138_)</f>
        <v>300</v>
      </c>
      <c r="N410" s="137">
        <f>DSUM(SEP_2013_A,26,UP_138_)</f>
        <v>300</v>
      </c>
      <c r="O410" s="137">
        <f>DSUM(SEP_2013_A,27,UP_138_)</f>
        <v>300</v>
      </c>
      <c r="P410" s="137">
        <f>DSUM(SEP_2013_A,28,UP_138_)</f>
        <v>300</v>
      </c>
      <c r="Q410" s="137">
        <f>DSUM(SEP_2013_A,29,UP_138_)</f>
        <v>300</v>
      </c>
      <c r="R410" s="137">
        <f>DSUM(SEP_2013_A,30,UP_138_)</f>
        <v>300</v>
      </c>
      <c r="S410" s="137">
        <f>DSUM(SEP_2013_A,31,UP_138_)</f>
        <v>300</v>
      </c>
      <c r="T410" s="137">
        <f>DSUM(SEP_2013_A,32,UP_138_)</f>
        <v>0</v>
      </c>
      <c r="U410" s="137">
        <f>DSUM(SEP_2013_A,33,UP_138_)</f>
        <v>0</v>
      </c>
      <c r="V410" s="137">
        <f>DSUM(SEP_2013_A,34,UP_138_)</f>
        <v>0</v>
      </c>
    </row>
    <row r="411" spans="2:22" ht="15.95" customHeight="1" x14ac:dyDescent="0.2">
      <c r="B411" s="1" t="s">
        <v>781</v>
      </c>
      <c r="C411" s="129" t="str">
        <f t="shared" si="42"/>
        <v>Rancho Upácuaro No. 140</v>
      </c>
      <c r="D411" s="129" t="str">
        <f t="shared" si="43"/>
        <v>Gozain</v>
      </c>
      <c r="E411" s="90">
        <f t="shared" si="44"/>
        <v>300</v>
      </c>
      <c r="F411" s="91">
        <f>DSUM(SEP_2013_A,AA,UP_140_)</f>
        <v>300</v>
      </c>
      <c r="G411" s="90">
        <f t="shared" si="45"/>
        <v>3000</v>
      </c>
      <c r="H411" s="90">
        <f>DSUM(SEP_2013_A,importe,UP_140_)</f>
        <v>3300</v>
      </c>
      <c r="I411" s="17">
        <f t="shared" si="47"/>
        <v>10</v>
      </c>
      <c r="J411" s="6" t="s">
        <v>1283</v>
      </c>
      <c r="K411" s="137">
        <f>DSUM(SEP_2013_A,23,UP_140_)</f>
        <v>300</v>
      </c>
      <c r="L411" s="137">
        <f>DSUM(SEP_2013_A,24,UP_140_)</f>
        <v>300</v>
      </c>
      <c r="M411" s="137">
        <f>DSUM(SEP_2013_A,25,UP_140_)</f>
        <v>300</v>
      </c>
      <c r="N411" s="137">
        <f>DSUM(SEP_2013_A,26,UP_140_)</f>
        <v>300</v>
      </c>
      <c r="O411" s="137">
        <f>DSUM(SEP_2013_A,27,UP_140_)</f>
        <v>300</v>
      </c>
      <c r="P411" s="137">
        <f>DSUM(SEP_2013_A,28,UP_140_)</f>
        <v>300</v>
      </c>
      <c r="Q411" s="137">
        <f>DSUM(SEP_2013_A,29,UP_140_)</f>
        <v>300</v>
      </c>
      <c r="R411" s="137">
        <f>DSUM(SEP_2013_A,30,UP_140_)</f>
        <v>300</v>
      </c>
      <c r="S411" s="137">
        <f>DSUM(SEP_2013_A,31,UP_140_)</f>
        <v>300</v>
      </c>
      <c r="T411" s="137">
        <f>DSUM(SEP_2013_A,32,UP_140_)</f>
        <v>300</v>
      </c>
      <c r="U411" s="137">
        <f>DSUM(SEP_2013_A,33,UP_140_)</f>
        <v>0</v>
      </c>
      <c r="V411" s="137">
        <f>DSUM(SEP_2013_A,34,UP_140_)</f>
        <v>0</v>
      </c>
    </row>
    <row r="412" spans="2:22" ht="15.95" customHeight="1" x14ac:dyDescent="0.2">
      <c r="B412" s="1" t="s">
        <v>1148</v>
      </c>
      <c r="C412" s="129" t="str">
        <f t="shared" si="42"/>
        <v>Rancho Upácuaro No. 142</v>
      </c>
      <c r="D412" s="129" t="str">
        <f t="shared" si="43"/>
        <v>Fierro Villaneda</v>
      </c>
      <c r="E412" s="90">
        <f t="shared" si="44"/>
        <v>300</v>
      </c>
      <c r="F412" s="91">
        <f>DSUM(SEP_2013_A,AA,UP_142_)</f>
        <v>300</v>
      </c>
      <c r="G412" s="90">
        <f t="shared" si="45"/>
        <v>3600</v>
      </c>
      <c r="H412" s="90">
        <f>DSUM(SEP_2013_A,importe,UP_142_)</f>
        <v>3900</v>
      </c>
      <c r="I412" s="17">
        <f t="shared" si="47"/>
        <v>12</v>
      </c>
      <c r="J412" s="6" t="s">
        <v>1283</v>
      </c>
      <c r="K412" s="137">
        <f>DSUM(SEP_2013_A,23,UP_142_)</f>
        <v>300</v>
      </c>
      <c r="L412" s="137">
        <f>DSUM(SEP_2013_A,24,UP_142_)</f>
        <v>300</v>
      </c>
      <c r="M412" s="137">
        <f>DSUM(SEP_2013_A,25,UP_142_)</f>
        <v>300</v>
      </c>
      <c r="N412" s="137">
        <f>DSUM(SEP_2013_A,26,UP_142_)</f>
        <v>300</v>
      </c>
      <c r="O412" s="137">
        <f>DSUM(SEP_2013_A,27,UP_142_)</f>
        <v>300</v>
      </c>
      <c r="P412" s="137">
        <f>DSUM(SEP_2013_A,28,UP_142_)</f>
        <v>300</v>
      </c>
      <c r="Q412" s="137">
        <f>DSUM(SEP_2013_A,29,UP_142_)</f>
        <v>300</v>
      </c>
      <c r="R412" s="137">
        <f>DSUM(SEP_2013_A,30,UP_142_)</f>
        <v>300</v>
      </c>
      <c r="S412" s="137">
        <f>DSUM(SEP_2013_A,31,UP_142_)</f>
        <v>300</v>
      </c>
      <c r="T412" s="137">
        <f>DSUM(SEP_2013_A,32,UP_142_)</f>
        <v>300</v>
      </c>
      <c r="U412" s="137">
        <f>DSUM(SEP_2013_A,33,UP_142_)</f>
        <v>300</v>
      </c>
      <c r="V412" s="137">
        <f>DSUM(SEP_2013_A,34,UP_142_)</f>
        <v>300</v>
      </c>
    </row>
    <row r="413" spans="2:22" ht="15.95" customHeight="1" x14ac:dyDescent="0.2">
      <c r="B413" s="1" t="s">
        <v>1355</v>
      </c>
      <c r="C413" s="129" t="str">
        <f t="shared" si="42"/>
        <v>Rancho Upácuaro No. 144</v>
      </c>
      <c r="D413" s="129">
        <f t="shared" si="43"/>
        <v>0</v>
      </c>
      <c r="E413" s="90">
        <f t="shared" si="44"/>
        <v>300</v>
      </c>
      <c r="F413" s="91">
        <f>DSUM(SEP_2013_A,AA,UP_144_)</f>
        <v>0</v>
      </c>
      <c r="G413" s="90">
        <f t="shared" si="45"/>
        <v>0</v>
      </c>
      <c r="H413" s="90">
        <f>DSUM(SEP_2013_A,importe,UP_144_)</f>
        <v>0</v>
      </c>
      <c r="I413" s="17">
        <f t="shared" si="47"/>
        <v>0</v>
      </c>
      <c r="J413" s="6" t="s">
        <v>1283</v>
      </c>
      <c r="K413" s="137">
        <f>DSUM(SEP_2013_A,23,UP_144_)</f>
        <v>0</v>
      </c>
      <c r="L413" s="137">
        <f>DSUM(SEP_2013_A,24,UP_144_)</f>
        <v>0</v>
      </c>
      <c r="M413" s="137">
        <f>DSUM(SEP_2013_A,25,UP_144_)</f>
        <v>0</v>
      </c>
      <c r="N413" s="137">
        <f>DSUM(SEP_2013_A,26,UP_144_)</f>
        <v>0</v>
      </c>
      <c r="O413" s="137">
        <f>DSUM(SEP_2013_A,27,UP_144_)</f>
        <v>0</v>
      </c>
      <c r="P413" s="137">
        <f>DSUM(SEP_2013_A,28,UP_144_)</f>
        <v>0</v>
      </c>
      <c r="Q413" s="137">
        <f>DSUM(SEP_2013_A,29,UP_144_)</f>
        <v>0</v>
      </c>
      <c r="R413" s="137">
        <f>DSUM(SEP_2013_A,30,UP_144_)</f>
        <v>0</v>
      </c>
      <c r="S413" s="137">
        <f>DSUM(SEP_2013_A,31,UP_144_)</f>
        <v>0</v>
      </c>
      <c r="T413" s="137">
        <f>DSUM(SEP_2013_A,32,UP_144_)</f>
        <v>0</v>
      </c>
      <c r="U413" s="137">
        <f>DSUM(SEP_2013_A,33,UP_144_)</f>
        <v>0</v>
      </c>
      <c r="V413" s="137">
        <f>DSUM(SEP_2013_A,34,UP_144_)</f>
        <v>0</v>
      </c>
    </row>
    <row r="414" spans="2:22" ht="15.95" customHeight="1" x14ac:dyDescent="0.2">
      <c r="B414" s="1" t="s">
        <v>1149</v>
      </c>
      <c r="C414" s="129" t="str">
        <f t="shared" si="42"/>
        <v>Rancho Upácuaro No. 146</v>
      </c>
      <c r="D414" s="129" t="str">
        <f t="shared" si="43"/>
        <v>Islas</v>
      </c>
      <c r="E414" s="90">
        <f t="shared" si="44"/>
        <v>300</v>
      </c>
      <c r="F414" s="91">
        <f>DSUM(SEP_2013_A,AA,UP_146_)</f>
        <v>300</v>
      </c>
      <c r="G414" s="90">
        <f t="shared" si="45"/>
        <v>2400</v>
      </c>
      <c r="H414" s="90">
        <f>DSUM(SEP_2013_A,importe,UP_146_)</f>
        <v>2700</v>
      </c>
      <c r="I414" s="17">
        <f t="shared" si="47"/>
        <v>8</v>
      </c>
      <c r="J414" s="6" t="s">
        <v>1283</v>
      </c>
      <c r="K414" s="137">
        <f>DSUM(SEP_2013_A,23,UP_146_)</f>
        <v>300</v>
      </c>
      <c r="L414" s="137">
        <f>DSUM(SEP_2013_A,24,UP_146_)</f>
        <v>300</v>
      </c>
      <c r="M414" s="137">
        <f>DSUM(SEP_2013_A,25,UP_146_)</f>
        <v>300</v>
      </c>
      <c r="N414" s="137">
        <f>DSUM(SEP_2013_A,26,UP_146_)</f>
        <v>300</v>
      </c>
      <c r="O414" s="137">
        <f>DSUM(SEP_2013_A,27,UP_146_)</f>
        <v>300</v>
      </c>
      <c r="P414" s="137">
        <f>DSUM(SEP_2013_A,28,UP_146_)</f>
        <v>300</v>
      </c>
      <c r="Q414" s="137">
        <f>DSUM(SEP_2013_A,29,UP_146_)</f>
        <v>300</v>
      </c>
      <c r="R414" s="137">
        <f>DSUM(SEP_2013_A,30,UP_146_)</f>
        <v>300</v>
      </c>
      <c r="S414" s="137">
        <f>DSUM(SEP_2013_A,31,UP_146_)</f>
        <v>0</v>
      </c>
      <c r="T414" s="137">
        <f>DSUM(SEP_2013_A,32,UP_146_)</f>
        <v>0</v>
      </c>
      <c r="U414" s="137">
        <f>DSUM(SEP_2013_A,33,UP_146_)</f>
        <v>0</v>
      </c>
      <c r="V414" s="137">
        <f>DSUM(SEP_2013_A,34,UP_146_)</f>
        <v>0</v>
      </c>
    </row>
    <row r="415" spans="2:22" ht="15.95" customHeight="1" x14ac:dyDescent="0.2">
      <c r="B415" s="1" t="s">
        <v>1356</v>
      </c>
      <c r="C415" s="129" t="str">
        <f t="shared" si="42"/>
        <v>Rancho Upácuaro No. 148</v>
      </c>
      <c r="D415" s="129">
        <f t="shared" si="43"/>
        <v>0</v>
      </c>
      <c r="E415" s="90">
        <f t="shared" si="44"/>
        <v>300</v>
      </c>
      <c r="F415" s="91">
        <f>DSUM(SEP_2013_A,AA,UP_148_)</f>
        <v>0</v>
      </c>
      <c r="G415" s="90">
        <f t="shared" si="45"/>
        <v>0</v>
      </c>
      <c r="H415" s="90">
        <f>DSUM(SEP_2013_A,importe,UP_148_)</f>
        <v>0</v>
      </c>
      <c r="I415" s="17">
        <f t="shared" si="47"/>
        <v>0</v>
      </c>
      <c r="J415" s="6" t="s">
        <v>1283</v>
      </c>
      <c r="K415" s="137">
        <f>DSUM(SEP_2013_A,23,UP_148_)</f>
        <v>0</v>
      </c>
      <c r="L415" s="137">
        <f>DSUM(SEP_2013_A,24,UP_148_)</f>
        <v>0</v>
      </c>
      <c r="M415" s="137">
        <f>DSUM(SEP_2013_A,25,UP_148_)</f>
        <v>0</v>
      </c>
      <c r="N415" s="137">
        <f>DSUM(SEP_2013_A,26,UP_148_)</f>
        <v>0</v>
      </c>
      <c r="O415" s="137">
        <f>DSUM(SEP_2013_A,27,UP_148_)</f>
        <v>0</v>
      </c>
      <c r="P415" s="137">
        <f>DSUM(SEP_2013_A,28,UP_148_)</f>
        <v>0</v>
      </c>
      <c r="Q415" s="137">
        <f>DSUM(SEP_2013_A,29,UP_148_)</f>
        <v>0</v>
      </c>
      <c r="R415" s="137">
        <f>DSUM(SEP_2013_A,30,UP_148_)</f>
        <v>0</v>
      </c>
      <c r="S415" s="137">
        <f>DSUM(SEP_2013_A,31,UP_148_)</f>
        <v>0</v>
      </c>
      <c r="T415" s="137">
        <f>DSUM(SEP_2013_A,32,UP_148_)</f>
        <v>0</v>
      </c>
      <c r="U415" s="137">
        <f>DSUM(SEP_2013_A,33,UP_148_)</f>
        <v>0</v>
      </c>
      <c r="V415" s="137">
        <f>DSUM(SEP_2013_A,34,UP_148_)</f>
        <v>0</v>
      </c>
    </row>
    <row r="416" spans="2:22" ht="15.95" customHeight="1" x14ac:dyDescent="0.2">
      <c r="B416" s="1" t="s">
        <v>1150</v>
      </c>
      <c r="C416" s="129" t="str">
        <f t="shared" si="42"/>
        <v>Rancho Zinamba No. 6</v>
      </c>
      <c r="D416" s="129" t="str">
        <f t="shared" si="43"/>
        <v>Villafaña</v>
      </c>
      <c r="E416" s="90">
        <f t="shared" si="44"/>
        <v>300</v>
      </c>
      <c r="F416" s="91">
        <f>DSUM(SEP_2013_A,AA,ZB_6_)</f>
        <v>0</v>
      </c>
      <c r="G416" s="90">
        <f t="shared" si="45"/>
        <v>3600</v>
      </c>
      <c r="H416" s="90">
        <f>DSUM(SEP_2013_A,importe,ZB_6_)</f>
        <v>3600</v>
      </c>
      <c r="I416" s="17">
        <f t="shared" si="47"/>
        <v>12</v>
      </c>
      <c r="J416" s="6" t="s">
        <v>1284</v>
      </c>
      <c r="K416" s="137">
        <f>DSUM(SEP_2013_A,23,ZB_6_)</f>
        <v>300</v>
      </c>
      <c r="L416" s="137">
        <f>DSUM(SEP_2013_A,24,ZB_6_)</f>
        <v>300</v>
      </c>
      <c r="M416" s="137">
        <f>DSUM(SEP_2013_A,25,ZB_6_)</f>
        <v>300</v>
      </c>
      <c r="N416" s="137">
        <f>DSUM(SEP_2013_A,26,ZB_6_)</f>
        <v>300</v>
      </c>
      <c r="O416" s="137">
        <f>DSUM(SEP_2013_A,27,ZB_6_)</f>
        <v>300</v>
      </c>
      <c r="P416" s="137">
        <f>DSUM(SEP_2013_A,28,ZB_6_)</f>
        <v>300</v>
      </c>
      <c r="Q416" s="137">
        <f>DSUM(SEP_2013_A,29,ZB_6_)</f>
        <v>300</v>
      </c>
      <c r="R416" s="137">
        <f>DSUM(SEP_2013_A,30,ZB_6_)</f>
        <v>300</v>
      </c>
      <c r="S416" s="137">
        <f>DSUM(SEP_2013_A,31,ZB_6_)</f>
        <v>300</v>
      </c>
      <c r="T416" s="137">
        <f>DSUM(SEP_2013_A,32,ZB_6_)</f>
        <v>300</v>
      </c>
      <c r="U416" s="137">
        <f>DSUM(SEP_2013_A,33,ZB_6_)</f>
        <v>300</v>
      </c>
      <c r="V416" s="137">
        <f>DSUM(SEP_2013_A,34,ZB_6_)</f>
        <v>300</v>
      </c>
    </row>
    <row r="417" spans="2:22" ht="15.95" customHeight="1" x14ac:dyDescent="0.2">
      <c r="B417" s="1" t="s">
        <v>1151</v>
      </c>
      <c r="C417" s="129" t="str">
        <f t="shared" si="42"/>
        <v>Rancho Zinamba No. 8</v>
      </c>
      <c r="D417" s="129" t="str">
        <f t="shared" si="43"/>
        <v>Florido</v>
      </c>
      <c r="E417" s="90">
        <f t="shared" si="44"/>
        <v>300</v>
      </c>
      <c r="F417" s="91">
        <f>DSUM(SEP_2013_A,AA,ZB_8_)</f>
        <v>300</v>
      </c>
      <c r="G417" s="90">
        <f t="shared" si="45"/>
        <v>2400</v>
      </c>
      <c r="H417" s="90">
        <f>DSUM(SEP_2013_A,importe,ZB_8_)</f>
        <v>2700</v>
      </c>
      <c r="I417" s="17">
        <f t="shared" si="47"/>
        <v>8</v>
      </c>
      <c r="J417" s="6" t="s">
        <v>1284</v>
      </c>
      <c r="K417" s="137">
        <f>DSUM(SEP_2013_A,23,ZB_8_)</f>
        <v>300</v>
      </c>
      <c r="L417" s="137">
        <f>DSUM(SEP_2013_A,24,ZB_8_)</f>
        <v>300</v>
      </c>
      <c r="M417" s="137">
        <f>DSUM(SEP_2013_A,25,ZB_8_)</f>
        <v>300</v>
      </c>
      <c r="N417" s="137">
        <f>DSUM(SEP_2013_A,26,ZB_8_)</f>
        <v>300</v>
      </c>
      <c r="O417" s="137">
        <f>DSUM(SEP_2013_A,27,ZB_8_)</f>
        <v>300</v>
      </c>
      <c r="P417" s="137">
        <f>DSUM(SEP_2013_A,28,ZB_8_)</f>
        <v>300</v>
      </c>
      <c r="Q417" s="137">
        <f>DSUM(SEP_2013_A,29,ZB_8_)</f>
        <v>300</v>
      </c>
      <c r="R417" s="137">
        <f>DSUM(SEP_2013_A,30,ZB_8_)</f>
        <v>300</v>
      </c>
      <c r="S417" s="137">
        <f>DSUM(SEP_2013_A,31,ZB_8_)</f>
        <v>0</v>
      </c>
      <c r="T417" s="137">
        <f>DSUM(SEP_2013_A,32,ZB_8_)</f>
        <v>0</v>
      </c>
      <c r="U417" s="137">
        <f>DSUM(SEP_2013_A,33,ZB_8_)</f>
        <v>0</v>
      </c>
      <c r="V417" s="137">
        <f>DSUM(SEP_2013_A,34,ZB_8_)</f>
        <v>0</v>
      </c>
    </row>
    <row r="418" spans="2:22" ht="15.95" customHeight="1" x14ac:dyDescent="0.2">
      <c r="B418" s="1" t="s">
        <v>1152</v>
      </c>
      <c r="C418" s="129" t="str">
        <f t="shared" si="42"/>
        <v>Rancho Zinamba No. 10</v>
      </c>
      <c r="D418" s="129" t="str">
        <f t="shared" si="43"/>
        <v>Roy Sánchez</v>
      </c>
      <c r="E418" s="90">
        <f t="shared" si="44"/>
        <v>300</v>
      </c>
      <c r="F418" s="91">
        <f>DSUM(SEP_2013_A,AA,ZB_10_)</f>
        <v>0</v>
      </c>
      <c r="G418" s="90">
        <f t="shared" si="45"/>
        <v>2400</v>
      </c>
      <c r="H418" s="90">
        <f>DSUM(SEP_2013_A,importe,ZB_10_)</f>
        <v>2400</v>
      </c>
      <c r="I418" s="17">
        <f t="shared" si="47"/>
        <v>8</v>
      </c>
      <c r="J418" s="6" t="s">
        <v>1284</v>
      </c>
      <c r="K418" s="137">
        <f>DSUM(SEP_2013_A,23,ZB_10_)</f>
        <v>0</v>
      </c>
      <c r="L418" s="137">
        <f>DSUM(SEP_2013_A,24,ZB_10_)</f>
        <v>300</v>
      </c>
      <c r="M418" s="137">
        <f>DSUM(SEP_2013_A,25,ZB_10_)</f>
        <v>300</v>
      </c>
      <c r="N418" s="137">
        <f>DSUM(SEP_2013_A,26,ZB_10_)</f>
        <v>300</v>
      </c>
      <c r="O418" s="137">
        <f>DSUM(SEP_2013_A,27,ZB_10_)</f>
        <v>300</v>
      </c>
      <c r="P418" s="137">
        <f>DSUM(SEP_2013_A,28,ZB_10_)</f>
        <v>300</v>
      </c>
      <c r="Q418" s="137">
        <f>DSUM(SEP_2013_A,29,ZB_10_)</f>
        <v>300</v>
      </c>
      <c r="R418" s="137">
        <f>DSUM(SEP_2013_A,30,ZB_10_)</f>
        <v>300</v>
      </c>
      <c r="S418" s="137">
        <f>DSUM(SEP_2013_A,31,ZB_10_)</f>
        <v>300</v>
      </c>
      <c r="T418" s="137">
        <f>DSUM(SEP_2013_A,32,ZB_10_)</f>
        <v>0</v>
      </c>
      <c r="U418" s="137">
        <f>DSUM(SEP_2013_A,33,ZB_10_)</f>
        <v>0</v>
      </c>
      <c r="V418" s="137">
        <f>DSUM(SEP_2013_A,34,ZB_10_)</f>
        <v>0</v>
      </c>
    </row>
    <row r="419" spans="2:22" ht="15.95" customHeight="1" x14ac:dyDescent="0.2">
      <c r="B419" s="1" t="s">
        <v>1153</v>
      </c>
      <c r="C419" s="129" t="str">
        <f t="shared" si="42"/>
        <v>Rancho Zinamba No. 12</v>
      </c>
      <c r="D419" s="129" t="str">
        <f t="shared" si="43"/>
        <v>Rodríguez</v>
      </c>
      <c r="E419" s="90">
        <f t="shared" si="44"/>
        <v>400</v>
      </c>
      <c r="F419" s="91">
        <f>DSUM(SEP_2013_A,AA,ZB_12_)</f>
        <v>400</v>
      </c>
      <c r="G419" s="90">
        <f t="shared" si="45"/>
        <v>3600</v>
      </c>
      <c r="H419" s="90">
        <f>DSUM(SEP_2013_A,importe,ZB_12_)</f>
        <v>4000</v>
      </c>
      <c r="I419" s="17">
        <f t="shared" si="47"/>
        <v>9</v>
      </c>
      <c r="J419" s="6" t="s">
        <v>1284</v>
      </c>
      <c r="K419" s="137">
        <f>DSUM(SEP_2013_A,23,ZB_12_)</f>
        <v>400</v>
      </c>
      <c r="L419" s="137">
        <f>DSUM(SEP_2013_A,24,ZB_12_)</f>
        <v>400</v>
      </c>
      <c r="M419" s="137">
        <f>DSUM(SEP_2013_A,25,ZB_12_)</f>
        <v>400</v>
      </c>
      <c r="N419" s="137">
        <f>DSUM(SEP_2013_A,26,ZB_12_)</f>
        <v>400</v>
      </c>
      <c r="O419" s="137">
        <f>DSUM(SEP_2013_A,27,ZB_12_)</f>
        <v>400</v>
      </c>
      <c r="P419" s="137">
        <f>DSUM(SEP_2013_A,28,ZB_12_)</f>
        <v>400</v>
      </c>
      <c r="Q419" s="137">
        <f>DSUM(SEP_2013_A,29,ZB_12_)</f>
        <v>400</v>
      </c>
      <c r="R419" s="137">
        <f>DSUM(SEP_2013_A,30,ZB_12_)</f>
        <v>400</v>
      </c>
      <c r="S419" s="137">
        <f>DSUM(SEP_2013_A,31,ZB_12_)</f>
        <v>400</v>
      </c>
      <c r="T419" s="137">
        <f>DSUM(SEP_2013_A,32,ZB_12_)</f>
        <v>0</v>
      </c>
      <c r="U419" s="137">
        <f>DSUM(SEP_2013_A,33,ZB_12_)</f>
        <v>0</v>
      </c>
      <c r="V419" s="137">
        <f>DSUM(SEP_2013_A,34,ZB_12_)</f>
        <v>0</v>
      </c>
    </row>
    <row r="420" spans="2:22" ht="15.95" customHeight="1" x14ac:dyDescent="0.2">
      <c r="B420" s="1" t="s">
        <v>1154</v>
      </c>
      <c r="C420" s="129" t="str">
        <f t="shared" si="42"/>
        <v>Rancho Zinamba No. 14</v>
      </c>
      <c r="D420" s="129" t="str">
        <f t="shared" si="43"/>
        <v>Gutiérrez García</v>
      </c>
      <c r="E420" s="90">
        <f t="shared" si="44"/>
        <v>300</v>
      </c>
      <c r="F420" s="91">
        <f>DSUM(SEP_2013_A,AA,ZB_14_)</f>
        <v>300</v>
      </c>
      <c r="G420" s="90">
        <f t="shared" si="45"/>
        <v>2400</v>
      </c>
      <c r="H420" s="90">
        <f>DSUM(SEP_2013_A,importe,ZB_14_)</f>
        <v>2700</v>
      </c>
      <c r="I420" s="17">
        <f t="shared" si="47"/>
        <v>8</v>
      </c>
      <c r="J420" s="6" t="s">
        <v>1284</v>
      </c>
      <c r="K420" s="137">
        <f>DSUM(SEP_2013_A,23,ZB_14_)</f>
        <v>300</v>
      </c>
      <c r="L420" s="137">
        <f>DSUM(SEP_2013_A,24,ZB_14_)</f>
        <v>300</v>
      </c>
      <c r="M420" s="137">
        <f>DSUM(SEP_2013_A,25,ZB_14_)</f>
        <v>300</v>
      </c>
      <c r="N420" s="137">
        <f>DSUM(SEP_2013_A,26,ZB_14_)</f>
        <v>300</v>
      </c>
      <c r="O420" s="137">
        <f>DSUM(SEP_2013_A,27,ZB_14_)</f>
        <v>300</v>
      </c>
      <c r="P420" s="137">
        <f>DSUM(SEP_2013_A,28,ZB_14_)</f>
        <v>300</v>
      </c>
      <c r="Q420" s="137">
        <f>DSUM(SEP_2013_A,29,ZB_14_)</f>
        <v>300</v>
      </c>
      <c r="R420" s="137">
        <f>DSUM(SEP_2013_A,30,ZB_14_)</f>
        <v>300</v>
      </c>
      <c r="S420" s="137">
        <f>DSUM(SEP_2013_A,31,ZB_14_)</f>
        <v>0</v>
      </c>
      <c r="T420" s="137">
        <f>DSUM(SEP_2013_A,32,ZB_14_)</f>
        <v>0</v>
      </c>
      <c r="U420" s="137">
        <f>DSUM(SEP_2013_A,33,ZB_14_)</f>
        <v>0</v>
      </c>
      <c r="V420" s="137">
        <f>DSUM(SEP_2013_A,34,ZB_14_)</f>
        <v>0</v>
      </c>
    </row>
    <row r="421" spans="2:22" ht="15.95" customHeight="1" x14ac:dyDescent="0.2">
      <c r="B421" s="1" t="s">
        <v>1155</v>
      </c>
      <c r="C421" s="129" t="str">
        <f t="shared" si="42"/>
        <v>Rancho Zinamba No. 18</v>
      </c>
      <c r="D421" s="129" t="str">
        <f t="shared" si="43"/>
        <v>Hernández Castro</v>
      </c>
      <c r="E421" s="90">
        <f t="shared" si="44"/>
        <v>300</v>
      </c>
      <c r="F421" s="91">
        <f>DSUM(SEP_2013_A,AA,ZB_18_)</f>
        <v>0</v>
      </c>
      <c r="G421" s="90">
        <f t="shared" si="45"/>
        <v>1800</v>
      </c>
      <c r="H421" s="90">
        <f>DSUM(SEP_2013_A,importe,ZB_18_)</f>
        <v>1800</v>
      </c>
      <c r="I421" s="17">
        <f t="shared" si="47"/>
        <v>6</v>
      </c>
      <c r="J421" s="6" t="s">
        <v>1284</v>
      </c>
      <c r="K421" s="137">
        <f>DSUM(SEP_2013_A,23,ZB_18_)</f>
        <v>300</v>
      </c>
      <c r="L421" s="137">
        <f>DSUM(SEP_2013_A,24,ZB_18_)</f>
        <v>300</v>
      </c>
      <c r="M421" s="137">
        <f>DSUM(SEP_2013_A,25,ZB_18_)</f>
        <v>300</v>
      </c>
      <c r="N421" s="137">
        <f>DSUM(SEP_2013_A,26,ZB_18_)</f>
        <v>300</v>
      </c>
      <c r="O421" s="137">
        <f>DSUM(SEP_2013_A,27,ZB_18_)</f>
        <v>300</v>
      </c>
      <c r="P421" s="137">
        <f>DSUM(SEP_2013_A,28,ZB_18_)</f>
        <v>0</v>
      </c>
      <c r="Q421" s="137">
        <f>DSUM(SEP_2013_A,29,ZB_18_)</f>
        <v>0</v>
      </c>
      <c r="R421" s="137">
        <f>DSUM(SEP_2013_A,30,ZB_18_)</f>
        <v>0</v>
      </c>
      <c r="S421" s="137">
        <f>DSUM(SEP_2013_A,31,ZB_18_)</f>
        <v>300</v>
      </c>
      <c r="T421" s="137">
        <f>DSUM(SEP_2013_A,32,ZB_18_)</f>
        <v>0</v>
      </c>
      <c r="U421" s="137">
        <f>DSUM(SEP_2013_A,33,ZB_18_)</f>
        <v>0</v>
      </c>
      <c r="V421" s="137">
        <f>DSUM(SEP_2013_A,34,ZB_18_)</f>
        <v>0</v>
      </c>
    </row>
    <row r="422" spans="2:22" ht="15.95" customHeight="1" x14ac:dyDescent="0.2">
      <c r="B422" s="1" t="s">
        <v>784</v>
      </c>
      <c r="C422" s="129" t="str">
        <f t="shared" si="42"/>
        <v>Rancho Zinamba No. 20</v>
      </c>
      <c r="D422" s="129" t="str">
        <f t="shared" si="43"/>
        <v>Alegre Retana</v>
      </c>
      <c r="E422" s="90">
        <f t="shared" si="44"/>
        <v>300</v>
      </c>
      <c r="F422" s="91">
        <f>DSUM(SEP_2013_A,AA,ZB_20_)</f>
        <v>300</v>
      </c>
      <c r="G422" s="90">
        <f t="shared" si="45"/>
        <v>2100</v>
      </c>
      <c r="H422" s="90">
        <f>DSUM(SEP_2013_A,importe,ZB_20_)</f>
        <v>2400</v>
      </c>
      <c r="I422" s="17">
        <f t="shared" si="47"/>
        <v>7</v>
      </c>
      <c r="J422" s="6" t="s">
        <v>1284</v>
      </c>
      <c r="K422" s="137">
        <f>DSUM(SEP_2013_A,23,ZB_20_)</f>
        <v>300</v>
      </c>
      <c r="L422" s="137">
        <f>DSUM(SEP_2013_A,24,ZB_20_)</f>
        <v>300</v>
      </c>
      <c r="M422" s="137">
        <f>DSUM(SEP_2013_A,25,ZB_20_)</f>
        <v>300</v>
      </c>
      <c r="N422" s="137">
        <f>DSUM(SEP_2013_A,26,ZB_20_)</f>
        <v>0</v>
      </c>
      <c r="O422" s="137">
        <f>DSUM(SEP_2013_A,27,ZB_20_)</f>
        <v>300</v>
      </c>
      <c r="P422" s="137">
        <f>DSUM(SEP_2013_A,28,ZB_20_)</f>
        <v>300</v>
      </c>
      <c r="Q422" s="137">
        <f>DSUM(SEP_2013_A,29,ZB_20_)</f>
        <v>300</v>
      </c>
      <c r="R422" s="137">
        <f>DSUM(SEP_2013_A,30,ZB_20_)</f>
        <v>300</v>
      </c>
      <c r="S422" s="137">
        <f>DSUM(SEP_2013_A,31,ZB_20_)</f>
        <v>0</v>
      </c>
      <c r="T422" s="137">
        <f>DSUM(SEP_2013_A,32,ZB_20_)</f>
        <v>0</v>
      </c>
      <c r="U422" s="137">
        <f>DSUM(SEP_2013_A,33,ZB_20_)</f>
        <v>0</v>
      </c>
      <c r="V422" s="137">
        <f>DSUM(SEP_2013_A,34,ZB_20_)</f>
        <v>0</v>
      </c>
    </row>
    <row r="423" spans="2:22" ht="15.95" customHeight="1" x14ac:dyDescent="0.2">
      <c r="B423" s="1" t="s">
        <v>1156</v>
      </c>
      <c r="C423" s="129" t="str">
        <f t="shared" si="42"/>
        <v>Rancho Zinamba No. 22</v>
      </c>
      <c r="D423" s="129" t="str">
        <f t="shared" si="43"/>
        <v>Berúmen</v>
      </c>
      <c r="E423" s="90">
        <f t="shared" si="44"/>
        <v>300</v>
      </c>
      <c r="F423" s="91">
        <f>DSUM(SEP_2013_A,AA,ZB_22_)</f>
        <v>0</v>
      </c>
      <c r="G423" s="90">
        <f t="shared" si="45"/>
        <v>0</v>
      </c>
      <c r="H423" s="90">
        <f>DSUM(SEP_2013_A,importe,ZB_22_)</f>
        <v>0</v>
      </c>
      <c r="I423" s="17">
        <f t="shared" si="47"/>
        <v>0</v>
      </c>
      <c r="J423" s="6" t="s">
        <v>1284</v>
      </c>
      <c r="K423" s="137">
        <f>DSUM(SEP_2013_A,23,ZB_22_)</f>
        <v>0</v>
      </c>
      <c r="L423" s="137">
        <f>DSUM(SEP_2013_A,24,ZB_22_)</f>
        <v>0</v>
      </c>
      <c r="M423" s="137">
        <f>DSUM(SEP_2013_A,25,ZB_22_)</f>
        <v>0</v>
      </c>
      <c r="N423" s="137">
        <f>DSUM(SEP_2013_A,26,ZB_22_)</f>
        <v>0</v>
      </c>
      <c r="O423" s="137">
        <f>DSUM(SEP_2013_A,27,ZB_22_)</f>
        <v>0</v>
      </c>
      <c r="P423" s="137">
        <f>DSUM(SEP_2013_A,28,ZB_22_)</f>
        <v>0</v>
      </c>
      <c r="Q423" s="137">
        <f>DSUM(SEP_2013_A,29,ZB_22_)</f>
        <v>0</v>
      </c>
      <c r="R423" s="137">
        <f>DSUM(SEP_2013_A,30,ZB_22_)</f>
        <v>0</v>
      </c>
      <c r="S423" s="137">
        <f>DSUM(SEP_2013_A,31,ZB_22_)</f>
        <v>0</v>
      </c>
      <c r="T423" s="137">
        <f>DSUM(SEP_2013_A,32,ZB_22_)</f>
        <v>0</v>
      </c>
      <c r="U423" s="137">
        <f>DSUM(SEP_2013_A,33,ZB_22_)</f>
        <v>0</v>
      </c>
      <c r="V423" s="137">
        <f>DSUM(SEP_2013_A,34,ZB_22_)</f>
        <v>0</v>
      </c>
    </row>
    <row r="424" spans="2:22" ht="15.95" customHeight="1" x14ac:dyDescent="0.2">
      <c r="B424" s="1" t="s">
        <v>1157</v>
      </c>
      <c r="C424" s="129" t="str">
        <f t="shared" si="42"/>
        <v>Rancho Zinamba No. 24</v>
      </c>
      <c r="D424" s="129" t="str">
        <f t="shared" si="43"/>
        <v>Monroy García</v>
      </c>
      <c r="E424" s="90">
        <f t="shared" si="44"/>
        <v>300</v>
      </c>
      <c r="F424" s="91">
        <f>DSUM(SEP_2013_A,AA,ZB_24_)</f>
        <v>300</v>
      </c>
      <c r="G424" s="90">
        <f t="shared" si="45"/>
        <v>2700</v>
      </c>
      <c r="H424" s="90">
        <f>DSUM(SEP_2013_A,importe,ZB_24_)</f>
        <v>3000</v>
      </c>
      <c r="I424" s="17">
        <f t="shared" si="47"/>
        <v>9</v>
      </c>
      <c r="J424" s="6" t="s">
        <v>1284</v>
      </c>
      <c r="K424" s="137">
        <f>DSUM(SEP_2013_A,23,ZB_24_)</f>
        <v>300</v>
      </c>
      <c r="L424" s="137">
        <f>DSUM(SEP_2013_A,24,ZB_24_)</f>
        <v>300</v>
      </c>
      <c r="M424" s="137">
        <f>DSUM(SEP_2013_A,25,ZB_24_)</f>
        <v>300</v>
      </c>
      <c r="N424" s="137">
        <f>DSUM(SEP_2013_A,26,ZB_24_)</f>
        <v>300</v>
      </c>
      <c r="O424" s="137">
        <f>DSUM(SEP_2013_A,27,ZB_24_)</f>
        <v>300</v>
      </c>
      <c r="P424" s="137">
        <f>DSUM(SEP_2013_A,28,ZB_24_)</f>
        <v>300</v>
      </c>
      <c r="Q424" s="137">
        <f>DSUM(SEP_2013_A,29,ZB_24_)</f>
        <v>300</v>
      </c>
      <c r="R424" s="137">
        <f>DSUM(SEP_2013_A,30,ZB_24_)</f>
        <v>300</v>
      </c>
      <c r="S424" s="137">
        <f>DSUM(SEP_2013_A,31,ZB_24_)</f>
        <v>300</v>
      </c>
      <c r="T424" s="137">
        <f>DSUM(SEP_2013_A,32,ZB_24_)</f>
        <v>0</v>
      </c>
      <c r="U424" s="137">
        <f>DSUM(SEP_2013_A,33,ZB_24_)</f>
        <v>0</v>
      </c>
      <c r="V424" s="137">
        <f>DSUM(SEP_2013_A,34,ZB_24_)</f>
        <v>0</v>
      </c>
    </row>
    <row r="425" spans="2:22" ht="15.95" customHeight="1" x14ac:dyDescent="0.2">
      <c r="B425" s="1" t="s">
        <v>1158</v>
      </c>
      <c r="C425" s="129" t="str">
        <f t="shared" si="42"/>
        <v>Rancho Zinamba No. 26</v>
      </c>
      <c r="D425" s="129" t="str">
        <f t="shared" si="43"/>
        <v>Ayala</v>
      </c>
      <c r="E425" s="90">
        <f t="shared" si="44"/>
        <v>300</v>
      </c>
      <c r="F425" s="91">
        <f>DSUM(SEP_2013_A,AA,ZB_26_)</f>
        <v>300</v>
      </c>
      <c r="G425" s="90">
        <f t="shared" si="45"/>
        <v>2400</v>
      </c>
      <c r="H425" s="90">
        <f>DSUM(SEP_2013_A,importe,ZB_26_)</f>
        <v>2700</v>
      </c>
      <c r="I425" s="17">
        <f t="shared" si="47"/>
        <v>8</v>
      </c>
      <c r="J425" s="6" t="s">
        <v>1284</v>
      </c>
      <c r="K425" s="137">
        <f>DSUM(SEP_2013_A,23,ZB_26_)</f>
        <v>300</v>
      </c>
      <c r="L425" s="137">
        <f>DSUM(SEP_2013_A,24,ZB_26_)</f>
        <v>300</v>
      </c>
      <c r="M425" s="137">
        <f>DSUM(SEP_2013_A,25,ZB_26_)</f>
        <v>300</v>
      </c>
      <c r="N425" s="137">
        <f>DSUM(SEP_2013_A,26,ZB_26_)</f>
        <v>300</v>
      </c>
      <c r="O425" s="137">
        <f>DSUM(SEP_2013_A,27,ZB_26_)</f>
        <v>300</v>
      </c>
      <c r="P425" s="137">
        <f>DSUM(SEP_2013_A,28,ZB_26_)</f>
        <v>300</v>
      </c>
      <c r="Q425" s="137">
        <f>DSUM(SEP_2013_A,29,ZB_26_)</f>
        <v>300</v>
      </c>
      <c r="R425" s="137">
        <f>DSUM(SEP_2013_A,30,ZB_26_)</f>
        <v>300</v>
      </c>
      <c r="S425" s="137">
        <f>DSUM(SEP_2013_A,31,ZB_26_)</f>
        <v>0</v>
      </c>
      <c r="T425" s="137">
        <f>DSUM(SEP_2013_A,32,ZB_26_)</f>
        <v>0</v>
      </c>
      <c r="U425" s="137">
        <f>DSUM(SEP_2013_A,33,ZB_26_)</f>
        <v>0</v>
      </c>
      <c r="V425" s="137">
        <f>DSUM(SEP_2013_A,34,ZB_26_)</f>
        <v>0</v>
      </c>
    </row>
    <row r="426" spans="2:22" ht="15.95" customHeight="1" x14ac:dyDescent="0.2">
      <c r="B426" s="1" t="s">
        <v>1159</v>
      </c>
      <c r="C426" s="129" t="str">
        <f t="shared" si="42"/>
        <v>Rancho Zinamba No. 30</v>
      </c>
      <c r="D426" s="129" t="str">
        <f t="shared" si="43"/>
        <v xml:space="preserve">Arroyo </v>
      </c>
      <c r="E426" s="90">
        <f t="shared" si="44"/>
        <v>300</v>
      </c>
      <c r="F426" s="91">
        <f>DSUM(SEP_2013_A,AA,ZB_30_)</f>
        <v>0</v>
      </c>
      <c r="G426" s="90">
        <f t="shared" si="45"/>
        <v>3000</v>
      </c>
      <c r="H426" s="90">
        <f>DSUM(SEP_2013_A,importe,ZB_30_)</f>
        <v>3000</v>
      </c>
      <c r="I426" s="17">
        <f t="shared" si="47"/>
        <v>10</v>
      </c>
      <c r="J426" s="6" t="s">
        <v>1284</v>
      </c>
      <c r="K426" s="137">
        <f>DSUM(SEP_2013_A,23,ZB_30_)</f>
        <v>300</v>
      </c>
      <c r="L426" s="137">
        <f>DSUM(SEP_2013_A,24,ZB_30_)</f>
        <v>300</v>
      </c>
      <c r="M426" s="137">
        <f>DSUM(SEP_2013_A,25,ZB_30_)</f>
        <v>300</v>
      </c>
      <c r="N426" s="137">
        <f>DSUM(SEP_2013_A,26,ZB_30_)</f>
        <v>300</v>
      </c>
      <c r="O426" s="137">
        <f>DSUM(SEP_2013_A,27,ZB_30_)</f>
        <v>300</v>
      </c>
      <c r="P426" s="137">
        <f>DSUM(SEP_2013_A,28,ZB_30_)</f>
        <v>300</v>
      </c>
      <c r="Q426" s="137">
        <f>DSUM(SEP_2013_A,29,ZB_30_)</f>
        <v>300</v>
      </c>
      <c r="R426" s="137">
        <f>DSUM(SEP_2013_A,30,ZB_30_)</f>
        <v>300</v>
      </c>
      <c r="S426" s="137">
        <f>DSUM(SEP_2013_A,31,ZB_30_)</f>
        <v>300</v>
      </c>
      <c r="T426" s="137">
        <f>DSUM(SEP_2013_A,32,ZB_30_)</f>
        <v>300</v>
      </c>
      <c r="U426" s="137">
        <f>DSUM(SEP_2013_A,33,ZB_30_)</f>
        <v>0</v>
      </c>
      <c r="V426" s="137">
        <f>DSUM(SEP_2013_A,34,ZB_30_)</f>
        <v>0</v>
      </c>
    </row>
    <row r="427" spans="2:22" ht="15.95" customHeight="1" x14ac:dyDescent="0.2">
      <c r="B427" s="1" t="s">
        <v>1160</v>
      </c>
      <c r="C427" s="129" t="str">
        <f t="shared" si="42"/>
        <v>Rancho Zinamba No. 34</v>
      </c>
      <c r="D427" s="129" t="str">
        <f t="shared" si="43"/>
        <v>Torres Zavala</v>
      </c>
      <c r="E427" s="90">
        <f t="shared" si="44"/>
        <v>300</v>
      </c>
      <c r="F427" s="91">
        <f>DSUM(SEP_2013_A,AA,ZB_34_)</f>
        <v>300</v>
      </c>
      <c r="G427" s="90">
        <f t="shared" si="45"/>
        <v>2700</v>
      </c>
      <c r="H427" s="90">
        <f>DSUM(SEP_2013_A,importe,ZB_34_)</f>
        <v>3000</v>
      </c>
      <c r="I427" s="17">
        <f t="shared" si="47"/>
        <v>9</v>
      </c>
      <c r="J427" s="6" t="s">
        <v>1284</v>
      </c>
      <c r="K427" s="137">
        <f>DSUM(SEP_2013_A,23,ZB_34_)</f>
        <v>300</v>
      </c>
      <c r="L427" s="137">
        <f>DSUM(SEP_2013_A,24,ZB_34_)</f>
        <v>300</v>
      </c>
      <c r="M427" s="137">
        <f>DSUM(SEP_2013_A,25,ZB_34_)</f>
        <v>300</v>
      </c>
      <c r="N427" s="137">
        <f>DSUM(SEP_2013_A,26,ZB_34_)</f>
        <v>300</v>
      </c>
      <c r="O427" s="137">
        <f>DSUM(SEP_2013_A,27,ZB_34_)</f>
        <v>300</v>
      </c>
      <c r="P427" s="137">
        <f>DSUM(SEP_2013_A,28,ZB_34_)</f>
        <v>300</v>
      </c>
      <c r="Q427" s="137">
        <f>DSUM(SEP_2013_A,29,ZB_34_)</f>
        <v>300</v>
      </c>
      <c r="R427" s="137">
        <f>DSUM(SEP_2013_A,30,ZB_34_)</f>
        <v>300</v>
      </c>
      <c r="S427" s="137">
        <f>DSUM(SEP_2013_A,31,ZB_34_)</f>
        <v>300</v>
      </c>
      <c r="T427" s="137">
        <f>DSUM(SEP_2013_A,32,ZB_34_)</f>
        <v>0</v>
      </c>
      <c r="U427" s="137">
        <f>DSUM(SEP_2013_A,33,ZB_34_)</f>
        <v>0</v>
      </c>
      <c r="V427" s="137">
        <f>DSUM(SEP_2013_A,34,ZB_34_)</f>
        <v>0</v>
      </c>
    </row>
    <row r="428" spans="2:22" ht="15.95" customHeight="1" x14ac:dyDescent="0.2">
      <c r="B428" s="1" t="s">
        <v>1161</v>
      </c>
      <c r="C428" s="129" t="str">
        <f t="shared" si="42"/>
        <v>Rancho Zinamba No. 36</v>
      </c>
      <c r="D428" s="129" t="str">
        <f t="shared" si="43"/>
        <v>Rodríguez Ortiz</v>
      </c>
      <c r="E428" s="90">
        <f t="shared" si="44"/>
        <v>300</v>
      </c>
      <c r="F428" s="91">
        <f>DSUM(SEP_2013_A,AA,ZB_36_)</f>
        <v>0</v>
      </c>
      <c r="G428" s="90">
        <f t="shared" si="45"/>
        <v>2400</v>
      </c>
      <c r="H428" s="90">
        <f>DSUM(SEP_2013_A,importe,ZB_36_)</f>
        <v>2400</v>
      </c>
      <c r="I428" s="17">
        <f t="shared" si="47"/>
        <v>8</v>
      </c>
      <c r="J428" s="6" t="s">
        <v>1284</v>
      </c>
      <c r="K428" s="137">
        <f>DSUM(SEP_2013_A,23,ZB_36_)</f>
        <v>300</v>
      </c>
      <c r="L428" s="137">
        <f>DSUM(SEP_2013_A,24,ZB_36_)</f>
        <v>300</v>
      </c>
      <c r="M428" s="137">
        <f>DSUM(SEP_2013_A,25,ZB_36_)</f>
        <v>300</v>
      </c>
      <c r="N428" s="137">
        <f>DSUM(SEP_2013_A,26,ZB_36_)</f>
        <v>300</v>
      </c>
      <c r="O428" s="137">
        <f>DSUM(SEP_2013_A,27,ZB_36_)</f>
        <v>300</v>
      </c>
      <c r="P428" s="137">
        <f>DSUM(SEP_2013_A,28,ZB_36_)</f>
        <v>300</v>
      </c>
      <c r="Q428" s="137">
        <f>DSUM(SEP_2013_A,29,ZB_36_)</f>
        <v>300</v>
      </c>
      <c r="R428" s="137">
        <f>DSUM(SEP_2013_A,30,ZB_36_)</f>
        <v>300</v>
      </c>
      <c r="S428" s="137">
        <f>DSUM(SEP_2013_A,31,ZB_36_)</f>
        <v>0</v>
      </c>
      <c r="T428" s="137">
        <f>DSUM(SEP_2013_A,32,ZB_36_)</f>
        <v>0</v>
      </c>
      <c r="U428" s="137">
        <f>DSUM(SEP_2013_A,33,ZB_36_)</f>
        <v>0</v>
      </c>
      <c r="V428" s="137">
        <f>DSUM(SEP_2013_A,34,ZB_36_)</f>
        <v>0</v>
      </c>
    </row>
    <row r="429" spans="2:22" ht="15.95" customHeight="1" x14ac:dyDescent="0.2">
      <c r="B429" s="1" t="s">
        <v>767</v>
      </c>
      <c r="C429" s="129" t="str">
        <f t="shared" si="42"/>
        <v>Rancho Zinamba No. 38</v>
      </c>
      <c r="D429" s="129" t="str">
        <f t="shared" si="43"/>
        <v>Ramírez Díaz</v>
      </c>
      <c r="E429" s="90">
        <f t="shared" si="44"/>
        <v>300</v>
      </c>
      <c r="F429" s="91">
        <f>DSUM(SEP_2013_A,AA,ZB_38_)</f>
        <v>0</v>
      </c>
      <c r="G429" s="90">
        <f t="shared" si="45"/>
        <v>3100</v>
      </c>
      <c r="H429" s="90">
        <f>DSUM(SEP_2013_A,importe,ZB_38_)</f>
        <v>3100</v>
      </c>
      <c r="I429" s="17">
        <f t="shared" si="47"/>
        <v>10.333333333333334</v>
      </c>
      <c r="J429" s="6" t="s">
        <v>1284</v>
      </c>
      <c r="K429" s="137">
        <f>DSUM(SEP_2013_A,23,ZB_38_)</f>
        <v>300</v>
      </c>
      <c r="L429" s="137">
        <f>DSUM(SEP_2013_A,24,ZB_38_)</f>
        <v>300</v>
      </c>
      <c r="M429" s="137">
        <f>DSUM(SEP_2013_A,25,ZB_38_)</f>
        <v>300</v>
      </c>
      <c r="N429" s="137">
        <f>DSUM(SEP_2013_A,26,ZB_38_)</f>
        <v>300</v>
      </c>
      <c r="O429" s="137">
        <f>DSUM(SEP_2013_A,27,ZB_38_)</f>
        <v>300</v>
      </c>
      <c r="P429" s="137">
        <f>DSUM(SEP_2013_A,28,ZB_38_)</f>
        <v>300</v>
      </c>
      <c r="Q429" s="137">
        <f>DSUM(SEP_2013_A,29,ZB_38_)</f>
        <v>300</v>
      </c>
      <c r="R429" s="137">
        <f>DSUM(SEP_2013_A,30,ZB_38_)</f>
        <v>300</v>
      </c>
      <c r="S429" s="137">
        <f>DSUM(SEP_2013_A,31,ZB_38_)</f>
        <v>300</v>
      </c>
      <c r="T429" s="137">
        <f>DSUM(SEP_2013_A,32,ZB_38_)</f>
        <v>400</v>
      </c>
      <c r="U429" s="137">
        <f>DSUM(SEP_2013_A,33,ZB_38_)</f>
        <v>0</v>
      </c>
      <c r="V429" s="137">
        <f>DSUM(SEP_2013_A,34,ZB_38_)</f>
        <v>0</v>
      </c>
    </row>
    <row r="430" spans="2:22" ht="15.95" customHeight="1" x14ac:dyDescent="0.2">
      <c r="B430" s="1" t="s">
        <v>1162</v>
      </c>
      <c r="C430" s="129" t="str">
        <f t="shared" si="42"/>
        <v>Rancho Zinamba No. 40</v>
      </c>
      <c r="D430" s="129" t="str">
        <f t="shared" si="43"/>
        <v>Correa Rojas</v>
      </c>
      <c r="E430" s="90">
        <f t="shared" si="44"/>
        <v>300</v>
      </c>
      <c r="F430" s="91">
        <f>DSUM(SEP_2013_A,AA,ZB_40_)</f>
        <v>0</v>
      </c>
      <c r="G430" s="90">
        <f t="shared" si="45"/>
        <v>0</v>
      </c>
      <c r="H430" s="90">
        <f>DSUM(SEP_2013_A,importe,ZB_40_)</f>
        <v>0</v>
      </c>
      <c r="I430" s="17">
        <f t="shared" si="47"/>
        <v>0</v>
      </c>
      <c r="J430" s="6" t="s">
        <v>1284</v>
      </c>
      <c r="K430" s="137">
        <f>DSUM(SEP_2013_A,23,ZB_40_)</f>
        <v>0</v>
      </c>
      <c r="L430" s="137">
        <f>DSUM(SEP_2013_A,24,ZB_40_)</f>
        <v>0</v>
      </c>
      <c r="M430" s="137">
        <f>DSUM(SEP_2013_A,25,ZB_40_)</f>
        <v>0</v>
      </c>
      <c r="N430" s="137">
        <f>DSUM(SEP_2013_A,26,ZB_40_)</f>
        <v>0</v>
      </c>
      <c r="O430" s="137">
        <f>DSUM(SEP_2013_A,27,ZB_40_)</f>
        <v>0</v>
      </c>
      <c r="P430" s="137">
        <f>DSUM(SEP_2013_A,28,ZB_40_)</f>
        <v>0</v>
      </c>
      <c r="Q430" s="137">
        <f>DSUM(SEP_2013_A,29,ZB_40_)</f>
        <v>0</v>
      </c>
      <c r="R430" s="137">
        <f>DSUM(SEP_2013_A,30,ZB_40_)</f>
        <v>0</v>
      </c>
      <c r="S430" s="137">
        <f>DSUM(SEP_2013_A,31,ZB_40_)</f>
        <v>0</v>
      </c>
      <c r="T430" s="137">
        <f>DSUM(SEP_2013_A,32,ZB_40_)</f>
        <v>0</v>
      </c>
      <c r="U430" s="137">
        <f>DSUM(SEP_2013_A,33,ZB_40_)</f>
        <v>0</v>
      </c>
      <c r="V430" s="137">
        <f>DSUM(SEP_2013_A,34,ZB_40_)</f>
        <v>0</v>
      </c>
    </row>
    <row r="431" spans="2:22" ht="15.95" customHeight="1" x14ac:dyDescent="0.2">
      <c r="B431" s="1" t="s">
        <v>1163</v>
      </c>
      <c r="C431" s="129" t="str">
        <f t="shared" si="42"/>
        <v>Rancho Zinamba No. 42</v>
      </c>
      <c r="D431" s="129" t="str">
        <f t="shared" si="43"/>
        <v>López Aldave</v>
      </c>
      <c r="E431" s="90">
        <f t="shared" si="44"/>
        <v>250</v>
      </c>
      <c r="F431" s="91">
        <f>DSUM(SEP_2013_A,AA,ZB_42_)</f>
        <v>250</v>
      </c>
      <c r="G431" s="90">
        <f t="shared" si="45"/>
        <v>2250</v>
      </c>
      <c r="H431" s="90">
        <f>DSUM(SEP_2013_A,importe,ZB_42_)</f>
        <v>2500</v>
      </c>
      <c r="I431" s="17">
        <f t="shared" si="47"/>
        <v>9</v>
      </c>
      <c r="J431" s="6" t="s">
        <v>1284</v>
      </c>
      <c r="K431" s="137">
        <f>DSUM(SEP_2013_A,23,ZB_42_)</f>
        <v>250</v>
      </c>
      <c r="L431" s="137">
        <f>DSUM(SEP_2013_A,24,ZB_42_)</f>
        <v>250</v>
      </c>
      <c r="M431" s="137">
        <f>DSUM(SEP_2013_A,25,ZB_42_)</f>
        <v>250</v>
      </c>
      <c r="N431" s="137">
        <f>DSUM(SEP_2013_A,26,ZB_42_)</f>
        <v>250</v>
      </c>
      <c r="O431" s="137">
        <f>DSUM(SEP_2013_A,27,ZB_42_)</f>
        <v>250</v>
      </c>
      <c r="P431" s="137">
        <f>DSUM(SEP_2013_A,28,ZB_42_)</f>
        <v>250</v>
      </c>
      <c r="Q431" s="137">
        <f>DSUM(SEP_2013_A,29,ZB_42_)</f>
        <v>250</v>
      </c>
      <c r="R431" s="137">
        <f>DSUM(SEP_2013_A,30,ZB_42_)</f>
        <v>250</v>
      </c>
      <c r="S431" s="137">
        <f>DSUM(SEP_2013_A,31,ZB_42_)</f>
        <v>250</v>
      </c>
      <c r="T431" s="137">
        <f>DSUM(SEP_2013_A,32,ZB_42_)</f>
        <v>0</v>
      </c>
      <c r="U431" s="137">
        <f>DSUM(SEP_2013_A,33,ZB_42_)</f>
        <v>0</v>
      </c>
      <c r="V431" s="137">
        <f>DSUM(SEP_2013_A,34,ZB_42_)</f>
        <v>0</v>
      </c>
    </row>
    <row r="432" spans="2:22" ht="15.95" customHeight="1" x14ac:dyDescent="0.2">
      <c r="B432" s="1" t="s">
        <v>1164</v>
      </c>
      <c r="C432" s="129" t="str">
        <f t="shared" si="42"/>
        <v>Rancho Zinamba No. 44</v>
      </c>
      <c r="D432" s="129" t="str">
        <f t="shared" si="43"/>
        <v>Canales</v>
      </c>
      <c r="E432" s="90">
        <f t="shared" si="44"/>
        <v>300</v>
      </c>
      <c r="F432" s="91">
        <f>DSUM(SEP_2013_A,AA,ZB_44_)</f>
        <v>300</v>
      </c>
      <c r="G432" s="90">
        <f t="shared" si="45"/>
        <v>2400</v>
      </c>
      <c r="H432" s="90">
        <f>DSUM(SEP_2013_A,importe,ZB_44_)</f>
        <v>2700</v>
      </c>
      <c r="I432" s="17">
        <f t="shared" si="47"/>
        <v>8</v>
      </c>
      <c r="J432" s="6" t="s">
        <v>1284</v>
      </c>
      <c r="K432" s="137">
        <f>DSUM(SEP_2013_A,23,ZB_44_)</f>
        <v>300</v>
      </c>
      <c r="L432" s="137">
        <f>DSUM(SEP_2013_A,24,ZB_44_)</f>
        <v>300</v>
      </c>
      <c r="M432" s="137">
        <f>DSUM(SEP_2013_A,25,ZB_44_)</f>
        <v>300</v>
      </c>
      <c r="N432" s="137">
        <f>DSUM(SEP_2013_A,26,ZB_44_)</f>
        <v>300</v>
      </c>
      <c r="O432" s="137">
        <f>DSUM(SEP_2013_A,27,ZB_44_)</f>
        <v>300</v>
      </c>
      <c r="P432" s="137">
        <f>DSUM(SEP_2013_A,28,ZB_44_)</f>
        <v>300</v>
      </c>
      <c r="Q432" s="137">
        <f>DSUM(SEP_2013_A,29,ZB_44_)</f>
        <v>0</v>
      </c>
      <c r="R432" s="137">
        <f>DSUM(SEP_2013_A,30,ZB_44_)</f>
        <v>300</v>
      </c>
      <c r="S432" s="137">
        <f>DSUM(SEP_2013_A,31,ZB_44_)</f>
        <v>300</v>
      </c>
      <c r="T432" s="137">
        <f>DSUM(SEP_2013_A,32,ZB_44_)</f>
        <v>0</v>
      </c>
      <c r="U432" s="137">
        <f>DSUM(SEP_2013_A,33,ZB_44_)</f>
        <v>0</v>
      </c>
      <c r="V432" s="137">
        <f>DSUM(SEP_2013_A,34,ZB_44_)</f>
        <v>0</v>
      </c>
    </row>
    <row r="433" spans="2:22" ht="15.95" customHeight="1" x14ac:dyDescent="0.2">
      <c r="B433" s="1" t="s">
        <v>1165</v>
      </c>
      <c r="C433" s="129" t="str">
        <f t="shared" si="42"/>
        <v>Rancho Zinamba No. 46</v>
      </c>
      <c r="D433" s="129" t="str">
        <f t="shared" si="43"/>
        <v>Olguín</v>
      </c>
      <c r="E433" s="90">
        <f t="shared" si="44"/>
        <v>300</v>
      </c>
      <c r="F433" s="91">
        <f>DSUM(SEP_2013_A,AA,ZB_46_)</f>
        <v>0</v>
      </c>
      <c r="G433" s="90">
        <f t="shared" si="45"/>
        <v>0</v>
      </c>
      <c r="H433" s="90">
        <f>DSUM(SEP_2013_A,importe,ZB_46_)</f>
        <v>0</v>
      </c>
      <c r="I433" s="17">
        <f t="shared" si="47"/>
        <v>0</v>
      </c>
      <c r="J433" s="6" t="s">
        <v>1284</v>
      </c>
      <c r="K433" s="137">
        <f>DSUM(SEP_2013_A,23,ZB_46_)</f>
        <v>0</v>
      </c>
      <c r="L433" s="137">
        <f>DSUM(SEP_2013_A,24,ZB_46_)</f>
        <v>0</v>
      </c>
      <c r="M433" s="137">
        <f>DSUM(SEP_2013_A,25,ZB_46_)</f>
        <v>0</v>
      </c>
      <c r="N433" s="137">
        <f>DSUM(SEP_2013_A,26,ZB_46_)</f>
        <v>0</v>
      </c>
      <c r="O433" s="137">
        <f>DSUM(SEP_2013_A,27,ZB_46_)</f>
        <v>0</v>
      </c>
      <c r="P433" s="137">
        <f>DSUM(SEP_2013_A,28,ZB_46_)</f>
        <v>0</v>
      </c>
      <c r="Q433" s="137">
        <f>DSUM(SEP_2013_A,29,ZB_46_)</f>
        <v>0</v>
      </c>
      <c r="R433" s="137">
        <f>DSUM(SEP_2013_A,30,ZB_46_)</f>
        <v>0</v>
      </c>
      <c r="S433" s="137">
        <f>DSUM(SEP_2013_A,31,ZB_46_)</f>
        <v>0</v>
      </c>
      <c r="T433" s="137">
        <f>DSUM(SEP_2013_A,32,ZB_46_)</f>
        <v>0</v>
      </c>
      <c r="U433" s="137">
        <f>DSUM(SEP_2013_A,33,ZB_46_)</f>
        <v>0</v>
      </c>
      <c r="V433" s="137">
        <f>DSUM(SEP_2013_A,34,ZB_46_)</f>
        <v>0</v>
      </c>
    </row>
    <row r="434" spans="2:22" ht="15.95" customHeight="1" x14ac:dyDescent="0.2">
      <c r="B434" s="1" t="s">
        <v>1166</v>
      </c>
      <c r="C434" s="129" t="str">
        <f t="shared" si="42"/>
        <v>Rancho Zinamba No. 50</v>
      </c>
      <c r="D434" s="129" t="str">
        <f t="shared" si="43"/>
        <v>Del Castillo</v>
      </c>
      <c r="E434" s="90">
        <f t="shared" si="44"/>
        <v>300</v>
      </c>
      <c r="F434" s="91">
        <f>DSUM(SEP_2013_A,AA,ZB_50_)</f>
        <v>300</v>
      </c>
      <c r="G434" s="90">
        <f t="shared" si="45"/>
        <v>2400</v>
      </c>
      <c r="H434" s="90">
        <f>DSUM(SEP_2013_A,importe,ZB_50_)</f>
        <v>2700</v>
      </c>
      <c r="I434" s="17">
        <f t="shared" si="47"/>
        <v>8</v>
      </c>
      <c r="J434" s="6" t="s">
        <v>1284</v>
      </c>
      <c r="K434" s="137">
        <f>DSUM(SEP_2013_A,23,ZB_50_)</f>
        <v>300</v>
      </c>
      <c r="L434" s="137">
        <f>DSUM(SEP_2013_A,24,ZB_50_)</f>
        <v>300</v>
      </c>
      <c r="M434" s="137">
        <f>DSUM(SEP_2013_A,25,ZB_50_)</f>
        <v>300</v>
      </c>
      <c r="N434" s="137">
        <f>DSUM(SEP_2013_A,26,ZB_50_)</f>
        <v>300</v>
      </c>
      <c r="O434" s="137">
        <f>DSUM(SEP_2013_A,27,ZB_50_)</f>
        <v>300</v>
      </c>
      <c r="P434" s="137">
        <f>DSUM(SEP_2013_A,28,ZB_50_)</f>
        <v>300</v>
      </c>
      <c r="Q434" s="137">
        <f>DSUM(SEP_2013_A,29,ZB_50_)</f>
        <v>300</v>
      </c>
      <c r="R434" s="137">
        <f>DSUM(SEP_2013_A,30,ZB_50_)</f>
        <v>300</v>
      </c>
      <c r="S434" s="137">
        <f>DSUM(SEP_2013_A,31,ZB_50_)</f>
        <v>0</v>
      </c>
      <c r="T434" s="137">
        <f>DSUM(SEP_2013_A,32,ZB_50_)</f>
        <v>0</v>
      </c>
      <c r="U434" s="137">
        <f>DSUM(SEP_2013_A,33,ZB_50_)</f>
        <v>0</v>
      </c>
      <c r="V434" s="137">
        <f>DSUM(SEP_2013_A,34,ZB_50_)</f>
        <v>0</v>
      </c>
    </row>
    <row r="435" spans="2:22" ht="15.95" customHeight="1" x14ac:dyDescent="0.2">
      <c r="B435" s="1" t="s">
        <v>1357</v>
      </c>
      <c r="C435" s="129" t="str">
        <f t="shared" si="42"/>
        <v>Rancho Zinamba No. 54</v>
      </c>
      <c r="D435" s="129">
        <f t="shared" si="43"/>
        <v>0</v>
      </c>
      <c r="E435" s="90">
        <f t="shared" si="44"/>
        <v>300</v>
      </c>
      <c r="F435" s="91">
        <f>DSUM(SEP_2013_A,AA,ZB_54_)</f>
        <v>0</v>
      </c>
      <c r="G435" s="90">
        <f t="shared" si="45"/>
        <v>0</v>
      </c>
      <c r="H435" s="90">
        <f>DSUM(SEP_2013_A,importe,ZB_54_)</f>
        <v>0</v>
      </c>
      <c r="I435" s="17">
        <f t="shared" si="47"/>
        <v>0</v>
      </c>
      <c r="J435" s="6" t="s">
        <v>1284</v>
      </c>
      <c r="K435" s="137">
        <f>DSUM(SEP_2013_A,23,ZB_54_)</f>
        <v>0</v>
      </c>
      <c r="L435" s="137">
        <f>DSUM(SEP_2013_A,24,ZB_54_)</f>
        <v>0</v>
      </c>
      <c r="M435" s="137">
        <f>DSUM(SEP_2013_A,25,ZB_54_)</f>
        <v>0</v>
      </c>
      <c r="N435" s="137">
        <f>DSUM(SEP_2013_A,26,ZB_54_)</f>
        <v>0</v>
      </c>
      <c r="O435" s="137">
        <f>DSUM(SEP_2013_A,27,ZB_54_)</f>
        <v>0</v>
      </c>
      <c r="P435" s="137">
        <f>DSUM(SEP_2013_A,28,ZB_54_)</f>
        <v>0</v>
      </c>
      <c r="Q435" s="137">
        <f>DSUM(SEP_2013_A,29,ZB_54_)</f>
        <v>0</v>
      </c>
      <c r="R435" s="137">
        <f>DSUM(SEP_2013_A,30,ZB_54_)</f>
        <v>0</v>
      </c>
      <c r="S435" s="137">
        <f>DSUM(SEP_2013_A,31,ZB_54_)</f>
        <v>0</v>
      </c>
      <c r="T435" s="137">
        <f>DSUM(SEP_2013_A,32,ZB_54_)</f>
        <v>0</v>
      </c>
      <c r="U435" s="137">
        <f>DSUM(SEP_2013_A,33,ZB_54_)</f>
        <v>0</v>
      </c>
      <c r="V435" s="137">
        <f>DSUM(SEP_2013_A,34,ZB_54_)</f>
        <v>0</v>
      </c>
    </row>
    <row r="436" spans="2:22" ht="15.95" customHeight="1" x14ac:dyDescent="0.2">
      <c r="B436" s="1" t="s">
        <v>1167</v>
      </c>
      <c r="C436" s="129" t="str">
        <f t="shared" si="42"/>
        <v>Rancho Zinamba No. 56</v>
      </c>
      <c r="D436" s="129" t="str">
        <f t="shared" si="43"/>
        <v>Aguado</v>
      </c>
      <c r="E436" s="90">
        <f t="shared" si="44"/>
        <v>250</v>
      </c>
      <c r="F436" s="91">
        <f>DSUM(SEP_2013_A,AA,ZB_56_)</f>
        <v>250</v>
      </c>
      <c r="G436" s="90">
        <f t="shared" si="45"/>
        <v>2000</v>
      </c>
      <c r="H436" s="90">
        <f>DSUM(SEP_2013_A,importe,ZB_56_)</f>
        <v>2250</v>
      </c>
      <c r="I436" s="17">
        <f t="shared" si="47"/>
        <v>8</v>
      </c>
      <c r="J436" s="6" t="s">
        <v>1284</v>
      </c>
      <c r="K436" s="137">
        <f>DSUM(SEP_2013_A,23,ZB_56_)</f>
        <v>250</v>
      </c>
      <c r="L436" s="137">
        <f>DSUM(SEP_2013_A,24,ZB_56_)</f>
        <v>250</v>
      </c>
      <c r="M436" s="137">
        <f>DSUM(SEP_2013_A,25,ZB_56_)</f>
        <v>250</v>
      </c>
      <c r="N436" s="137">
        <f>DSUM(SEP_2013_A,26,ZB_56_)</f>
        <v>250</v>
      </c>
      <c r="O436" s="137">
        <f>DSUM(SEP_2013_A,27,ZB_56_)</f>
        <v>250</v>
      </c>
      <c r="P436" s="137">
        <f>DSUM(SEP_2013_A,28,ZB_56_)</f>
        <v>250</v>
      </c>
      <c r="Q436" s="137">
        <f>DSUM(SEP_2013_A,29,ZB_56_)</f>
        <v>250</v>
      </c>
      <c r="R436" s="137">
        <f>DSUM(SEP_2013_A,30,ZB_56_)</f>
        <v>250</v>
      </c>
      <c r="S436" s="137">
        <f>DSUM(SEP_2013_A,31,ZB_56_)</f>
        <v>0</v>
      </c>
      <c r="T436" s="137">
        <f>DSUM(SEP_2013_A,32,ZB_56_)</f>
        <v>0</v>
      </c>
      <c r="U436" s="137">
        <f>DSUM(SEP_2013_A,33,ZB_56_)</f>
        <v>0</v>
      </c>
      <c r="V436" s="137">
        <f>DSUM(SEP_2013_A,34,ZB_56_)</f>
        <v>0</v>
      </c>
    </row>
    <row r="437" spans="2:22" ht="15.95" customHeight="1" x14ac:dyDescent="0.2">
      <c r="B437" s="1" t="s">
        <v>1168</v>
      </c>
      <c r="C437" s="129" t="str">
        <f t="shared" si="42"/>
        <v>Rancho Zinamba No. 58</v>
      </c>
      <c r="D437" s="129" t="str">
        <f t="shared" si="43"/>
        <v>Almaraz Morales</v>
      </c>
      <c r="E437" s="90">
        <f t="shared" si="44"/>
        <v>300</v>
      </c>
      <c r="F437" s="91">
        <f>DSUM(SEP_2013_A,AA,ZB_58_)</f>
        <v>0</v>
      </c>
      <c r="G437" s="90">
        <f t="shared" si="45"/>
        <v>0</v>
      </c>
      <c r="H437" s="90">
        <f>DSUM(SEP_2013_A,importe,ZB_58_)</f>
        <v>0</v>
      </c>
      <c r="I437" s="17">
        <f t="shared" si="47"/>
        <v>0</v>
      </c>
      <c r="J437" s="6" t="s">
        <v>1284</v>
      </c>
      <c r="K437" s="137">
        <f>DSUM(SEP_2013_A,23,ZB_58_)</f>
        <v>0</v>
      </c>
      <c r="L437" s="137">
        <f>DSUM(SEP_2013_A,24,ZB_58_)</f>
        <v>0</v>
      </c>
      <c r="M437" s="137">
        <f>DSUM(SEP_2013_A,25,ZB_58_)</f>
        <v>0</v>
      </c>
      <c r="N437" s="137">
        <f>DSUM(SEP_2013_A,26,ZB_58_)</f>
        <v>0</v>
      </c>
      <c r="O437" s="137">
        <f>DSUM(SEP_2013_A,27,ZB_58_)</f>
        <v>0</v>
      </c>
      <c r="P437" s="137">
        <f>DSUM(SEP_2013_A,28,ZB_58_)</f>
        <v>0</v>
      </c>
      <c r="Q437" s="137">
        <f>DSUM(SEP_2013_A,29,ZB_58_)</f>
        <v>0</v>
      </c>
      <c r="R437" s="137">
        <f>DSUM(SEP_2013_A,30,ZB_58_)</f>
        <v>0</v>
      </c>
      <c r="S437" s="137">
        <f>DSUM(SEP_2013_A,31,ZB_58_)</f>
        <v>0</v>
      </c>
      <c r="T437" s="137">
        <f>DSUM(SEP_2013_A,32,ZB_58_)</f>
        <v>0</v>
      </c>
      <c r="U437" s="137">
        <f>DSUM(SEP_2013_A,33,ZB_58_)</f>
        <v>0</v>
      </c>
      <c r="V437" s="137">
        <f>DSUM(SEP_2013_A,34,ZB_58_)</f>
        <v>0</v>
      </c>
    </row>
    <row r="438" spans="2:22" ht="15.95" customHeight="1" x14ac:dyDescent="0.2">
      <c r="B438" s="1" t="s">
        <v>1169</v>
      </c>
      <c r="C438" s="129" t="str">
        <f t="shared" si="42"/>
        <v>Rancho Zinamba No. 60</v>
      </c>
      <c r="D438" s="129" t="str">
        <f t="shared" si="43"/>
        <v>Guerrero Jiménez</v>
      </c>
      <c r="E438" s="90">
        <f t="shared" si="44"/>
        <v>300</v>
      </c>
      <c r="F438" s="91">
        <f>DSUM(SEP_2013_A,AA,ZB_60_)</f>
        <v>0</v>
      </c>
      <c r="G438" s="90">
        <f t="shared" si="45"/>
        <v>0</v>
      </c>
      <c r="H438" s="90">
        <f>DSUM(SEP_2013_A,importe,ZB_60_)</f>
        <v>0</v>
      </c>
      <c r="I438" s="17">
        <f t="shared" si="47"/>
        <v>0</v>
      </c>
      <c r="J438" s="6" t="s">
        <v>1284</v>
      </c>
      <c r="K438" s="137">
        <f>DSUM(SEP_2013_A,23,ZB_60_)</f>
        <v>0</v>
      </c>
      <c r="L438" s="137">
        <f>DSUM(SEP_2013_A,24,ZB_60_)</f>
        <v>0</v>
      </c>
      <c r="M438" s="137">
        <f>DSUM(SEP_2013_A,25,ZB_60_)</f>
        <v>0</v>
      </c>
      <c r="N438" s="137">
        <f>DSUM(SEP_2013_A,26,ZB_60_)</f>
        <v>0</v>
      </c>
      <c r="O438" s="137">
        <f>DSUM(SEP_2013_A,27,ZB_60_)</f>
        <v>0</v>
      </c>
      <c r="P438" s="137">
        <f>DSUM(SEP_2013_A,28,ZB_60_)</f>
        <v>0</v>
      </c>
      <c r="Q438" s="137">
        <f>DSUM(SEP_2013_A,29,ZB_60_)</f>
        <v>0</v>
      </c>
      <c r="R438" s="137">
        <f>DSUM(SEP_2013_A,30,ZB_60_)</f>
        <v>0</v>
      </c>
      <c r="S438" s="137">
        <f>DSUM(SEP_2013_A,31,ZB_60_)</f>
        <v>0</v>
      </c>
      <c r="T438" s="137">
        <f>DSUM(SEP_2013_A,32,ZB_60_)</f>
        <v>0</v>
      </c>
      <c r="U438" s="137">
        <f>DSUM(SEP_2013_A,33,ZB_60_)</f>
        <v>0</v>
      </c>
      <c r="V438" s="137">
        <f>DSUM(SEP_2013_A,34,ZB_60_)</f>
        <v>0</v>
      </c>
    </row>
    <row r="439" spans="2:22" ht="15.95" customHeight="1" x14ac:dyDescent="0.2">
      <c r="B439" s="1" t="s">
        <v>1170</v>
      </c>
      <c r="C439" s="129" t="str">
        <f t="shared" si="42"/>
        <v>Rancho Zinamba No. 62</v>
      </c>
      <c r="D439" s="129" t="str">
        <f t="shared" si="43"/>
        <v>Martínez León</v>
      </c>
      <c r="E439" s="90">
        <f t="shared" si="44"/>
        <v>250</v>
      </c>
      <c r="F439" s="91">
        <f>DSUM(SEP_2013_A,AA,ZB_62_)</f>
        <v>0</v>
      </c>
      <c r="G439" s="90">
        <f t="shared" si="45"/>
        <v>1000</v>
      </c>
      <c r="H439" s="90">
        <f>DSUM(SEP_2013_A,importe,ZB_62_)</f>
        <v>1000</v>
      </c>
      <c r="I439" s="17">
        <f t="shared" si="47"/>
        <v>4</v>
      </c>
      <c r="J439" s="6" t="s">
        <v>1284</v>
      </c>
      <c r="K439" s="137">
        <f>DSUM(SEP_2013_A,23,ZB_62_)</f>
        <v>250</v>
      </c>
      <c r="L439" s="137">
        <f>DSUM(SEP_2013_A,24,ZB_62_)</f>
        <v>250</v>
      </c>
      <c r="M439" s="137">
        <f>DSUM(SEP_2013_A,25,ZB_62_)</f>
        <v>250</v>
      </c>
      <c r="N439" s="137">
        <f>DSUM(SEP_2013_A,26,ZB_62_)</f>
        <v>250</v>
      </c>
      <c r="O439" s="137">
        <f>DSUM(SEP_2013_A,27,ZB_62_)</f>
        <v>0</v>
      </c>
      <c r="P439" s="137">
        <f>DSUM(SEP_2013_A,28,ZB_62_)</f>
        <v>0</v>
      </c>
      <c r="Q439" s="137">
        <f>DSUM(SEP_2013_A,29,ZB_62_)</f>
        <v>0</v>
      </c>
      <c r="R439" s="137">
        <f>DSUM(SEP_2013_A,30,ZB_62_)</f>
        <v>0</v>
      </c>
      <c r="S439" s="137">
        <f>DSUM(SEP_2013_A,31,ZB_62_)</f>
        <v>0</v>
      </c>
      <c r="T439" s="137">
        <f>DSUM(SEP_2013_A,32,ZB_62_)</f>
        <v>0</v>
      </c>
      <c r="U439" s="137">
        <f>DSUM(SEP_2013_A,33,ZB_62_)</f>
        <v>0</v>
      </c>
      <c r="V439" s="137">
        <f>DSUM(SEP_2013_A,34,ZB_62_)</f>
        <v>0</v>
      </c>
    </row>
    <row r="440" spans="2:22" ht="15.95" customHeight="1" x14ac:dyDescent="0.2">
      <c r="B440" s="1" t="s">
        <v>1171</v>
      </c>
      <c r="C440" s="129" t="str">
        <f t="shared" si="42"/>
        <v>Rancho Zinamba No. 66</v>
      </c>
      <c r="D440" s="129" t="str">
        <f t="shared" si="43"/>
        <v>Pacheco</v>
      </c>
      <c r="E440" s="90">
        <f t="shared" si="44"/>
        <v>300</v>
      </c>
      <c r="F440" s="91">
        <f>DSUM(SEP_2013_A,AA,ZB_66_)</f>
        <v>0</v>
      </c>
      <c r="G440" s="90">
        <f t="shared" si="45"/>
        <v>0</v>
      </c>
      <c r="H440" s="90">
        <f>DSUM(SEP_2013_A,importe,ZB_66_)</f>
        <v>0</v>
      </c>
      <c r="I440" s="17">
        <f t="shared" si="47"/>
        <v>0</v>
      </c>
      <c r="J440" s="6" t="s">
        <v>1284</v>
      </c>
      <c r="K440" s="137">
        <f>DSUM(SEP_2013_A,23,ZB_66_)</f>
        <v>0</v>
      </c>
      <c r="L440" s="137">
        <f>DSUM(SEP_2013_A,24,ZB_66_)</f>
        <v>0</v>
      </c>
      <c r="M440" s="137">
        <f>DSUM(SEP_2013_A,25,ZB_66_)</f>
        <v>0</v>
      </c>
      <c r="N440" s="137">
        <f>DSUM(SEP_2013_A,26,ZB_66_)</f>
        <v>0</v>
      </c>
      <c r="O440" s="137">
        <f>DSUM(SEP_2013_A,27,ZB_66_)</f>
        <v>0</v>
      </c>
      <c r="P440" s="137">
        <f>DSUM(SEP_2013_A,28,ZB_66_)</f>
        <v>0</v>
      </c>
      <c r="Q440" s="137">
        <f>DSUM(SEP_2013_A,29,ZB_66_)</f>
        <v>0</v>
      </c>
      <c r="R440" s="137">
        <f>DSUM(SEP_2013_A,30,ZB_66_)</f>
        <v>0</v>
      </c>
      <c r="S440" s="137">
        <f>DSUM(SEP_2013_A,31,ZB_66_)</f>
        <v>0</v>
      </c>
      <c r="T440" s="137">
        <f>DSUM(SEP_2013_A,32,ZB_66_)</f>
        <v>0</v>
      </c>
      <c r="U440" s="137">
        <f>DSUM(SEP_2013_A,33,ZB_66_)</f>
        <v>0</v>
      </c>
      <c r="V440" s="137">
        <f>DSUM(SEP_2013_A,34,ZB_66_)</f>
        <v>0</v>
      </c>
    </row>
    <row r="441" spans="2:22" ht="15.95" customHeight="1" x14ac:dyDescent="0.2">
      <c r="B441" s="1" t="s">
        <v>1172</v>
      </c>
      <c r="C441" s="129" t="str">
        <f t="shared" si="42"/>
        <v>Rancho Zinamba No. 68</v>
      </c>
      <c r="D441" s="129" t="str">
        <f t="shared" si="43"/>
        <v>Rivera Villicaña</v>
      </c>
      <c r="E441" s="90">
        <f t="shared" si="44"/>
        <v>300</v>
      </c>
      <c r="F441" s="91">
        <f>DSUM(SEP_2013_A,AA,ZB_68_)</f>
        <v>300</v>
      </c>
      <c r="G441" s="90">
        <f t="shared" si="45"/>
        <v>3000</v>
      </c>
      <c r="H441" s="90">
        <f>DSUM(SEP_2013_A,importe,ZB_68_)</f>
        <v>3300</v>
      </c>
      <c r="I441" s="17">
        <f t="shared" si="47"/>
        <v>10</v>
      </c>
      <c r="J441" s="6" t="s">
        <v>1284</v>
      </c>
      <c r="K441" s="137">
        <f>DSUM(SEP_2013_A,23,ZB_68_)</f>
        <v>600</v>
      </c>
      <c r="L441" s="137">
        <f>DSUM(SEP_2013_A,24,ZB_68_)</f>
        <v>0</v>
      </c>
      <c r="M441" s="137">
        <f>DSUM(SEP_2013_A,25,ZB_68_)</f>
        <v>300</v>
      </c>
      <c r="N441" s="137">
        <f>DSUM(SEP_2013_A,26,ZB_68_)</f>
        <v>300</v>
      </c>
      <c r="O441" s="137">
        <f>DSUM(SEP_2013_A,27,ZB_68_)</f>
        <v>300</v>
      </c>
      <c r="P441" s="137">
        <f>DSUM(SEP_2013_A,28,ZB_68_)</f>
        <v>300</v>
      </c>
      <c r="Q441" s="137">
        <f>DSUM(SEP_2013_A,29,ZB_68_)</f>
        <v>300</v>
      </c>
      <c r="R441" s="137">
        <f>DSUM(SEP_2013_A,30,ZB_68_)</f>
        <v>300</v>
      </c>
      <c r="S441" s="137">
        <f>DSUM(SEP_2013_A,31,ZB_68_)</f>
        <v>300</v>
      </c>
      <c r="T441" s="137">
        <f>DSUM(SEP_2013_A,32,ZB_68_)</f>
        <v>300</v>
      </c>
      <c r="U441" s="137">
        <f>DSUM(SEP_2013_A,33,ZB_68_)</f>
        <v>0</v>
      </c>
      <c r="V441" s="137">
        <f>DSUM(SEP_2013_A,34,ZB_68_)</f>
        <v>0</v>
      </c>
    </row>
    <row r="442" spans="2:22" ht="15.95" customHeight="1" x14ac:dyDescent="0.2">
      <c r="B442" s="1" t="s">
        <v>1173</v>
      </c>
      <c r="C442" s="129" t="str">
        <f t="shared" si="42"/>
        <v>Rancho Zinamba No. 72</v>
      </c>
      <c r="D442" s="129" t="str">
        <f t="shared" si="43"/>
        <v>Romo de Vivar</v>
      </c>
      <c r="E442" s="90">
        <f t="shared" si="44"/>
        <v>300</v>
      </c>
      <c r="F442" s="91">
        <f>DSUM(SEP_2013_A,AA,ZB_72_)</f>
        <v>0</v>
      </c>
      <c r="G442" s="90">
        <f t="shared" si="45"/>
        <v>0</v>
      </c>
      <c r="H442" s="90">
        <f>DSUM(SEP_2013_A,importe,ZB_72_)</f>
        <v>0</v>
      </c>
      <c r="I442" s="17">
        <f t="shared" si="47"/>
        <v>0</v>
      </c>
      <c r="J442" s="6" t="s">
        <v>1284</v>
      </c>
      <c r="K442" s="137">
        <f>DSUM(SEP_2013_A,23,ZB_72_)</f>
        <v>0</v>
      </c>
      <c r="L442" s="137">
        <f>DSUM(SEP_2013_A,24,ZB_72_)</f>
        <v>0</v>
      </c>
      <c r="M442" s="137">
        <f>DSUM(SEP_2013_A,25,ZB_72_)</f>
        <v>0</v>
      </c>
      <c r="N442" s="137">
        <f>DSUM(SEP_2013_A,26,ZB_72_)</f>
        <v>0</v>
      </c>
      <c r="O442" s="137">
        <f>DSUM(SEP_2013_A,27,ZB_72_)</f>
        <v>0</v>
      </c>
      <c r="P442" s="137">
        <f>DSUM(SEP_2013_A,28,ZB_72_)</f>
        <v>0</v>
      </c>
      <c r="Q442" s="137">
        <f>DSUM(SEP_2013_A,29,ZB_72_)</f>
        <v>0</v>
      </c>
      <c r="R442" s="137">
        <f>DSUM(SEP_2013_A,30,ZB_72_)</f>
        <v>0</v>
      </c>
      <c r="S442" s="137">
        <f>DSUM(SEP_2013_A,31,ZB_72_)</f>
        <v>0</v>
      </c>
      <c r="T442" s="137">
        <f>DSUM(SEP_2013_A,32,ZB_72_)</f>
        <v>0</v>
      </c>
      <c r="U442" s="137">
        <f>DSUM(SEP_2013_A,33,ZB_72_)</f>
        <v>0</v>
      </c>
      <c r="V442" s="137">
        <f>DSUM(SEP_2013_A,34,ZB_72_)</f>
        <v>0</v>
      </c>
    </row>
    <row r="443" spans="2:22" ht="15.95" customHeight="1" x14ac:dyDescent="0.2">
      <c r="B443" s="1" t="s">
        <v>1174</v>
      </c>
      <c r="C443" s="129" t="str">
        <f t="shared" si="42"/>
        <v>Rancho Zinamba No. 74</v>
      </c>
      <c r="D443" s="129" t="str">
        <f t="shared" si="43"/>
        <v>García Castellanos</v>
      </c>
      <c r="E443" s="90">
        <f t="shared" si="44"/>
        <v>300</v>
      </c>
      <c r="F443" s="91">
        <f>DSUM(SEP_2013_A,AA,ZB_74_)</f>
        <v>300</v>
      </c>
      <c r="G443" s="90">
        <f t="shared" si="45"/>
        <v>1200</v>
      </c>
      <c r="H443" s="90">
        <f>DSUM(SEP_2013_A,importe,ZB_74_)</f>
        <v>1500</v>
      </c>
      <c r="I443" s="17">
        <f t="shared" si="47"/>
        <v>4</v>
      </c>
      <c r="J443" s="6" t="s">
        <v>1284</v>
      </c>
      <c r="K443" s="137">
        <f>DSUM(SEP_2013_A,23,ZB_74_)</f>
        <v>300</v>
      </c>
      <c r="L443" s="137">
        <f>DSUM(SEP_2013_A,24,ZB_74_)</f>
        <v>300</v>
      </c>
      <c r="M443" s="137">
        <f>DSUM(SEP_2013_A,25,ZB_74_)</f>
        <v>300</v>
      </c>
      <c r="N443" s="137">
        <f>DSUM(SEP_2013_A,26,ZB_74_)</f>
        <v>300</v>
      </c>
      <c r="O443" s="137">
        <f>DSUM(SEP_2013_A,27,ZB_74_)</f>
        <v>0</v>
      </c>
      <c r="P443" s="137">
        <f>DSUM(SEP_2013_A,28,ZB_74_)</f>
        <v>0</v>
      </c>
      <c r="Q443" s="137">
        <f>DSUM(SEP_2013_A,29,ZB_74_)</f>
        <v>0</v>
      </c>
      <c r="R443" s="137">
        <f>DSUM(SEP_2013_A,30,ZB_74_)</f>
        <v>0</v>
      </c>
      <c r="S443" s="137">
        <f>DSUM(SEP_2013_A,31,ZB_74_)</f>
        <v>0</v>
      </c>
      <c r="T443" s="137">
        <f>DSUM(SEP_2013_A,32,ZB_74_)</f>
        <v>0</v>
      </c>
      <c r="U443" s="137">
        <f>DSUM(SEP_2013_A,33,ZB_74_)</f>
        <v>0</v>
      </c>
      <c r="V443" s="137">
        <f>DSUM(SEP_2013_A,34,ZB_74_)</f>
        <v>0</v>
      </c>
    </row>
    <row r="444" spans="2:22" ht="15.95" customHeight="1" x14ac:dyDescent="0.2">
      <c r="B444" s="1" t="s">
        <v>1175</v>
      </c>
      <c r="C444" s="129" t="str">
        <f t="shared" si="42"/>
        <v>Rancho Zinamba No. 76</v>
      </c>
      <c r="D444" s="129" t="str">
        <f t="shared" si="43"/>
        <v>Márquez</v>
      </c>
      <c r="E444" s="90">
        <f t="shared" si="44"/>
        <v>300</v>
      </c>
      <c r="F444" s="91">
        <f>DSUM(SEP_2013_A,AA,ZB_76_)</f>
        <v>0</v>
      </c>
      <c r="G444" s="90">
        <f t="shared" si="45"/>
        <v>1800</v>
      </c>
      <c r="H444" s="90">
        <f>DSUM(SEP_2013_A,importe,ZB_76_)</f>
        <v>1800</v>
      </c>
      <c r="I444" s="17">
        <f t="shared" si="47"/>
        <v>6</v>
      </c>
      <c r="J444" s="6" t="s">
        <v>1284</v>
      </c>
      <c r="K444" s="137">
        <f>DSUM(SEP_2013_A,23,ZB_76_)</f>
        <v>300</v>
      </c>
      <c r="L444" s="137">
        <f>DSUM(SEP_2013_A,24,ZB_76_)</f>
        <v>300</v>
      </c>
      <c r="M444" s="137">
        <f>DSUM(SEP_2013_A,25,ZB_76_)</f>
        <v>300</v>
      </c>
      <c r="N444" s="137">
        <f>DSUM(SEP_2013_A,26,ZB_76_)</f>
        <v>300</v>
      </c>
      <c r="O444" s="137">
        <f>DSUM(SEP_2013_A,27,ZB_76_)</f>
        <v>300</v>
      </c>
      <c r="P444" s="137">
        <f>DSUM(SEP_2013_A,28,ZB_76_)</f>
        <v>300</v>
      </c>
      <c r="Q444" s="137">
        <f>DSUM(SEP_2013_A,29,ZB_76_)</f>
        <v>0</v>
      </c>
      <c r="R444" s="137">
        <f>DSUM(SEP_2013_A,30,ZB_76_)</f>
        <v>0</v>
      </c>
      <c r="S444" s="137">
        <f>DSUM(SEP_2013_A,31,ZB_76_)</f>
        <v>0</v>
      </c>
      <c r="T444" s="137">
        <f>DSUM(SEP_2013_A,32,ZB_76_)</f>
        <v>0</v>
      </c>
      <c r="U444" s="137">
        <f>DSUM(SEP_2013_A,33,ZB_76_)</f>
        <v>0</v>
      </c>
      <c r="V444" s="137">
        <f>DSUM(SEP_2013_A,34,ZB_76_)</f>
        <v>0</v>
      </c>
    </row>
    <row r="445" spans="2:22" ht="15.95" customHeight="1" x14ac:dyDescent="0.2">
      <c r="B445" s="1" t="s">
        <v>1176</v>
      </c>
      <c r="C445" s="129" t="str">
        <f t="shared" si="42"/>
        <v>Rancho Zinamba No. 80</v>
      </c>
      <c r="D445" s="129" t="str">
        <f t="shared" si="43"/>
        <v>Vázquez</v>
      </c>
      <c r="E445" s="90">
        <f t="shared" si="44"/>
        <v>250</v>
      </c>
      <c r="F445" s="91">
        <f>DSUM(SEP_2013_A,AA,ZB_80_)</f>
        <v>250</v>
      </c>
      <c r="G445" s="90">
        <f t="shared" si="45"/>
        <v>2300</v>
      </c>
      <c r="H445" s="90">
        <f>DSUM(SEP_2013_A,importe,ZB_80_)</f>
        <v>2550</v>
      </c>
      <c r="I445" s="17">
        <f t="shared" si="47"/>
        <v>9.1999999999999993</v>
      </c>
      <c r="J445" s="6" t="s">
        <v>1284</v>
      </c>
      <c r="K445" s="137">
        <f>DSUM(SEP_2013_A,23,ZB_80_)</f>
        <v>300</v>
      </c>
      <c r="L445" s="137">
        <f>DSUM(SEP_2013_A,24,ZB_80_)</f>
        <v>250</v>
      </c>
      <c r="M445" s="137">
        <f>DSUM(SEP_2013_A,25,ZB_80_)</f>
        <v>250</v>
      </c>
      <c r="N445" s="137">
        <f>DSUM(SEP_2013_A,26,ZB_80_)</f>
        <v>250</v>
      </c>
      <c r="O445" s="137">
        <f>DSUM(SEP_2013_A,27,ZB_80_)</f>
        <v>250</v>
      </c>
      <c r="P445" s="137">
        <f>DSUM(SEP_2013_A,28,ZB_80_)</f>
        <v>250</v>
      </c>
      <c r="Q445" s="137">
        <f>DSUM(SEP_2013_A,29,ZB_80_)</f>
        <v>250</v>
      </c>
      <c r="R445" s="137">
        <f>DSUM(SEP_2013_A,30,ZB_80_)</f>
        <v>250</v>
      </c>
      <c r="S445" s="137">
        <f>DSUM(SEP_2013_A,31,ZB_80_)</f>
        <v>250</v>
      </c>
      <c r="T445" s="137">
        <f>DSUM(SEP_2013_A,32,ZB_80_)</f>
        <v>0</v>
      </c>
      <c r="U445" s="137">
        <f>DSUM(SEP_2013_A,33,ZB_80_)</f>
        <v>0</v>
      </c>
      <c r="V445" s="137">
        <f>DSUM(SEP_2013_A,34,ZB_80_)</f>
        <v>0</v>
      </c>
    </row>
    <row r="446" spans="2:22" ht="15.95" customHeight="1" x14ac:dyDescent="0.2">
      <c r="B446" s="1" t="s">
        <v>1177</v>
      </c>
      <c r="C446" s="129" t="str">
        <f t="shared" si="42"/>
        <v>Rancho Zinamba No. 82</v>
      </c>
      <c r="D446" s="129" t="str">
        <f t="shared" si="43"/>
        <v>Morán Carmona</v>
      </c>
      <c r="E446" s="90">
        <f t="shared" si="44"/>
        <v>150</v>
      </c>
      <c r="F446" s="91">
        <f>DSUM(SEP_2013_A,AA,ZB_82_)</f>
        <v>450</v>
      </c>
      <c r="G446" s="90">
        <f t="shared" si="45"/>
        <v>900</v>
      </c>
      <c r="H446" s="90">
        <f>DSUM(SEP_2013_A,importe,ZB_82_)</f>
        <v>1350</v>
      </c>
      <c r="I446" s="17">
        <f t="shared" si="47"/>
        <v>6</v>
      </c>
      <c r="J446" s="6" t="s">
        <v>1284</v>
      </c>
      <c r="K446" s="137">
        <f>DSUM(SEP_2013_A,23,ZB_82_)</f>
        <v>150</v>
      </c>
      <c r="L446" s="137">
        <f>DSUM(SEP_2013_A,24,ZB_82_)</f>
        <v>150</v>
      </c>
      <c r="M446" s="137">
        <f>DSUM(SEP_2013_A,25,ZB_82_)</f>
        <v>150</v>
      </c>
      <c r="N446" s="137">
        <f>DSUM(SEP_2013_A,26,ZB_82_)</f>
        <v>150</v>
      </c>
      <c r="O446" s="137">
        <f>DSUM(SEP_2013_A,27,ZB_82_)</f>
        <v>150</v>
      </c>
      <c r="P446" s="137">
        <f>DSUM(SEP_2013_A,28,ZB_82_)</f>
        <v>150</v>
      </c>
      <c r="Q446" s="137">
        <f>DSUM(SEP_2013_A,29,ZB_82_)</f>
        <v>0</v>
      </c>
      <c r="R446" s="137">
        <f>DSUM(SEP_2013_A,30,ZB_82_)</f>
        <v>0</v>
      </c>
      <c r="S446" s="137">
        <f>DSUM(SEP_2013_A,31,ZB_82_)</f>
        <v>0</v>
      </c>
      <c r="T446" s="137">
        <f>DSUM(SEP_2013_A,32,ZB_82_)</f>
        <v>0</v>
      </c>
      <c r="U446" s="137">
        <f>DSUM(SEP_2013_A,33,ZB_82_)</f>
        <v>0</v>
      </c>
      <c r="V446" s="137">
        <f>DSUM(SEP_2013_A,34,ZB_82_)</f>
        <v>0</v>
      </c>
    </row>
    <row r="447" spans="2:22" ht="15.95" customHeight="1" x14ac:dyDescent="0.2">
      <c r="B447" s="1" t="s">
        <v>1178</v>
      </c>
      <c r="C447" s="129" t="str">
        <f t="shared" si="42"/>
        <v>Rancho Zinamba No. 84</v>
      </c>
      <c r="D447" s="129" t="str">
        <f t="shared" si="43"/>
        <v>Lobato</v>
      </c>
      <c r="E447" s="90">
        <f t="shared" si="44"/>
        <v>300</v>
      </c>
      <c r="F447" s="91">
        <f>DSUM(SEP_2013_A,AA,ZB_84_)</f>
        <v>300</v>
      </c>
      <c r="G447" s="90">
        <f t="shared" si="45"/>
        <v>1200</v>
      </c>
      <c r="H447" s="90">
        <f>DSUM(SEP_2013_A,importe,ZB_84_)</f>
        <v>1500</v>
      </c>
      <c r="I447" s="17">
        <f t="shared" si="47"/>
        <v>4</v>
      </c>
      <c r="J447" s="6" t="s">
        <v>1284</v>
      </c>
      <c r="K447" s="137">
        <f>DSUM(SEP_2013_A,23,ZB_84_)</f>
        <v>300</v>
      </c>
      <c r="L447" s="137">
        <f>DSUM(SEP_2013_A,24,ZB_84_)</f>
        <v>0</v>
      </c>
      <c r="M447" s="137">
        <f>DSUM(SEP_2013_A,25,ZB_84_)</f>
        <v>0</v>
      </c>
      <c r="N447" s="137">
        <f>DSUM(SEP_2013_A,26,ZB_84_)</f>
        <v>0</v>
      </c>
      <c r="O447" s="137">
        <f>DSUM(SEP_2013_A,27,ZB_84_)</f>
        <v>300</v>
      </c>
      <c r="P447" s="137">
        <f>DSUM(SEP_2013_A,28,ZB_84_)</f>
        <v>300</v>
      </c>
      <c r="Q447" s="137">
        <f>DSUM(SEP_2013_A,29,ZB_84_)</f>
        <v>300</v>
      </c>
      <c r="R447" s="137">
        <f>DSUM(SEP_2013_A,30,ZB_84_)</f>
        <v>0</v>
      </c>
      <c r="S447" s="137">
        <f>DSUM(SEP_2013_A,31,ZB_84_)</f>
        <v>0</v>
      </c>
      <c r="T447" s="137">
        <f>DSUM(SEP_2013_A,32,ZB_84_)</f>
        <v>0</v>
      </c>
      <c r="U447" s="137">
        <f>DSUM(SEP_2013_A,33,ZB_84_)</f>
        <v>0</v>
      </c>
      <c r="V447" s="137">
        <f>DSUM(SEP_2013_A,34,ZB_84_)</f>
        <v>0</v>
      </c>
    </row>
    <row r="448" spans="2:22" ht="15.95" customHeight="1" x14ac:dyDescent="0.2">
      <c r="B448" s="2" t="s">
        <v>1179</v>
      </c>
      <c r="C448" s="131" t="str">
        <f t="shared" si="42"/>
        <v>Rancho Zinamba No. 88</v>
      </c>
      <c r="D448" s="131" t="str">
        <f t="shared" si="43"/>
        <v>Martínez</v>
      </c>
      <c r="E448" s="92">
        <f t="shared" si="44"/>
        <v>250</v>
      </c>
      <c r="F448" s="331">
        <f>DSUM(SEP_2013_A,AA,ZB_88_)</f>
        <v>750</v>
      </c>
      <c r="G448" s="92">
        <f t="shared" si="45"/>
        <v>2000</v>
      </c>
      <c r="H448" s="92">
        <f>DSUM(SEP_2013_A,importe,ZB_88_)</f>
        <v>2750</v>
      </c>
      <c r="I448" s="19">
        <f t="shared" si="47"/>
        <v>8</v>
      </c>
      <c r="J448" s="9" t="s">
        <v>1284</v>
      </c>
      <c r="K448" s="138">
        <f>DSUM(SEP_2013_A,23,ZB_88_)</f>
        <v>250</v>
      </c>
      <c r="L448" s="138">
        <f>DSUM(SEP_2013_A,24,ZB_88_)</f>
        <v>250</v>
      </c>
      <c r="M448" s="138">
        <f>DSUM(SEP_2013_A,25,ZB_88_)</f>
        <v>250</v>
      </c>
      <c r="N448" s="138">
        <f>DSUM(SEP_2013_A,26,ZB_88_)</f>
        <v>250</v>
      </c>
      <c r="O448" s="138">
        <f>DSUM(SEP_2013_A,27,ZB_88_)</f>
        <v>250</v>
      </c>
      <c r="P448" s="138">
        <f>DSUM(SEP_2013_A,28,ZB_88_)</f>
        <v>250</v>
      </c>
      <c r="Q448" s="138">
        <f>DSUM(SEP_2013_A,29,ZB_88_)</f>
        <v>250</v>
      </c>
      <c r="R448" s="138">
        <f>DSUM(SEP_2013_A,30,ZB_88_)</f>
        <v>250</v>
      </c>
      <c r="S448" s="138">
        <f>DSUM(SEP_2013_A,31,ZB_88_)</f>
        <v>0</v>
      </c>
      <c r="T448" s="138">
        <f>DSUM(SEP_2013_A,32,ZB_88_)</f>
        <v>0</v>
      </c>
      <c r="U448" s="138">
        <f>DSUM(SEP_2013_A,33,ZB_88_)</f>
        <v>0</v>
      </c>
      <c r="V448" s="138">
        <f>DSUM(SEP_2013_A,34,ZB_88_)</f>
        <v>0</v>
      </c>
    </row>
  </sheetData>
  <autoFilter ref="A6:V448"/>
  <conditionalFormatting sqref="K8:V448">
    <cfRule type="cellIs" dxfId="4" priority="1" operator="greaterThanOrEqual">
      <formula>1</formula>
    </cfRule>
  </conditionalFormatting>
  <printOptions horizontalCentered="1"/>
  <pageMargins left="0.39370078740157483" right="0.39370078740157483" top="0.59055118110236227" bottom="0.59055118110236227" header="0.19685039370078741" footer="0.39370078740157483"/>
  <pageSetup scale="64" fitToHeight="10" orientation="landscape" horizontalDpi="0" verticalDpi="0" r:id="rId1"/>
  <headerFooter>
    <oddFooter>&amp;L&amp;"Tahoma,Cursiva"&amp;9HOJA &amp;P DE &amp;N&amp;R&amp;"Tahoma,Cursiva"&amp;D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R70"/>
  <sheetViews>
    <sheetView showGridLines="0" showZeros="0" tabSelected="1" zoomScale="90" zoomScaleNormal="90" workbookViewId="0">
      <selection activeCell="B1" sqref="B1:J1"/>
    </sheetView>
  </sheetViews>
  <sheetFormatPr baseColWidth="10" defaultRowHeight="12.75" x14ac:dyDescent="0.2"/>
  <cols>
    <col min="1" max="1" width="11.5703125" customWidth="1"/>
    <col min="2" max="2" width="43.85546875" customWidth="1"/>
    <col min="3" max="3" width="13.5703125" customWidth="1"/>
    <col min="4" max="14" width="13.7109375" customWidth="1"/>
    <col min="15" max="15" width="12.5703125" bestFit="1" customWidth="1"/>
  </cols>
  <sheetData>
    <row r="1" spans="2:18" ht="20.25" x14ac:dyDescent="0.3">
      <c r="B1" s="438" t="s">
        <v>1234</v>
      </c>
      <c r="C1" s="438"/>
      <c r="D1" s="438"/>
      <c r="E1" s="438"/>
      <c r="F1" s="438"/>
      <c r="G1" s="438"/>
      <c r="H1" s="438"/>
      <c r="I1" s="438"/>
      <c r="J1" s="438"/>
    </row>
    <row r="2" spans="2:18" ht="6" customHeight="1" x14ac:dyDescent="0.2"/>
    <row r="3" spans="2:18" ht="18" customHeight="1" x14ac:dyDescent="0.2">
      <c r="B3" s="60" t="s">
        <v>1231</v>
      </c>
      <c r="C3" s="60"/>
    </row>
    <row r="4" spans="2:18" ht="18" customHeight="1" x14ac:dyDescent="0.2">
      <c r="B4" s="60" t="s">
        <v>1232</v>
      </c>
      <c r="C4" s="60"/>
    </row>
    <row r="5" spans="2:18" x14ac:dyDescent="0.2">
      <c r="B5" s="59"/>
      <c r="C5" s="59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8" ht="30" customHeight="1" x14ac:dyDescent="0.2">
      <c r="B6" s="15" t="s">
        <v>1816</v>
      </c>
      <c r="C6" s="284" t="s">
        <v>1735</v>
      </c>
      <c r="D6" s="284" t="s">
        <v>1736</v>
      </c>
      <c r="E6" s="11" t="s">
        <v>1267</v>
      </c>
      <c r="F6" s="11" t="s">
        <v>1268</v>
      </c>
      <c r="G6" s="11" t="s">
        <v>1294</v>
      </c>
      <c r="H6" s="11" t="s">
        <v>1295</v>
      </c>
      <c r="I6" s="11" t="s">
        <v>1229</v>
      </c>
      <c r="J6" s="11" t="s">
        <v>1664</v>
      </c>
      <c r="K6" s="11" t="s">
        <v>1731</v>
      </c>
      <c r="L6" s="11" t="s">
        <v>1912</v>
      </c>
      <c r="M6" s="11" t="s">
        <v>2054</v>
      </c>
      <c r="N6" s="11"/>
    </row>
    <row r="7" spans="2:18" ht="15" customHeight="1" x14ac:dyDescent="0.2">
      <c r="B7" s="332" t="s">
        <v>1228</v>
      </c>
      <c r="C7" s="333"/>
      <c r="D7" s="333"/>
      <c r="E7" s="334"/>
      <c r="F7" s="334"/>
      <c r="G7" s="334"/>
      <c r="H7" s="334"/>
      <c r="I7" s="334"/>
      <c r="J7" s="334"/>
      <c r="K7" s="334"/>
      <c r="L7" s="334"/>
      <c r="M7" s="334"/>
      <c r="N7" s="334"/>
    </row>
    <row r="8" spans="2:18" x14ac:dyDescent="0.2">
      <c r="B8" s="6" t="s">
        <v>901</v>
      </c>
      <c r="C8" s="62">
        <f>DSUM(DIC_2012,importe,ING_CUOTAS)</f>
        <v>81975</v>
      </c>
      <c r="D8" s="62">
        <f>SUM(E8:M8)</f>
        <v>697345</v>
      </c>
      <c r="E8" s="62">
        <f>DSUM(ENE_2013,importe,ING_CUOTAS)</f>
        <v>127225</v>
      </c>
      <c r="F8" s="62">
        <f>DSUM(FEB_2013,importe,ING_CUOTAS)</f>
        <v>87575</v>
      </c>
      <c r="G8" s="62">
        <f>DSUM(MAR_2013,importe,ING_CUOTAS)</f>
        <v>81975</v>
      </c>
      <c r="H8" s="62">
        <f>DSUM(ABR_2013,importe,ING_CUOTAS)</f>
        <v>57925</v>
      </c>
      <c r="I8" s="62">
        <f>DSUM(MAY_2013,importe,ING_CUOTAS)</f>
        <v>68095</v>
      </c>
      <c r="J8" s="62">
        <f>DSUM(JUN_2013,importe,ING_CUOTAS)</f>
        <v>70775</v>
      </c>
      <c r="K8" s="62">
        <f>DSUM(JUL_2013,importe,ING_CUOTAS)</f>
        <v>68325</v>
      </c>
      <c r="L8" s="62">
        <f>DSUM(AGO_2013,importe,ING_CUOTAS)</f>
        <v>58975</v>
      </c>
      <c r="M8" s="62">
        <f>DSUM(SEP_2013,importe,ING_CUOTAS)</f>
        <v>76475</v>
      </c>
      <c r="N8" s="62">
        <v>64075</v>
      </c>
      <c r="O8" s="62">
        <f>M8-N8</f>
        <v>12400</v>
      </c>
      <c r="P8" s="411"/>
      <c r="Q8" s="411"/>
      <c r="R8" s="411"/>
    </row>
    <row r="9" spans="2:18" x14ac:dyDescent="0.2">
      <c r="B9" s="6" t="s">
        <v>895</v>
      </c>
      <c r="C9" s="62">
        <f>DSUM(DIC_2012,importe,ING_EXTRA)</f>
        <v>8750</v>
      </c>
      <c r="D9" s="62">
        <f t="shared" ref="D9:D14" si="0">SUM(E9:M9)</f>
        <v>5660.71</v>
      </c>
      <c r="E9" s="62">
        <f>DSUM(ENE_2013,importe,ING_EXTRA)</f>
        <v>900</v>
      </c>
      <c r="F9" s="62">
        <f>DSUM(FEB_2013,importe,ING_EXTRA)</f>
        <v>1100</v>
      </c>
      <c r="G9" s="62">
        <f>DSUM(MAR_2013,importe,ING_EXTRA)</f>
        <v>300</v>
      </c>
      <c r="H9" s="62">
        <f>DSUM(ABR_2013,importe,ING_EXTRA)</f>
        <v>0</v>
      </c>
      <c r="I9" s="62">
        <f>DSUM(MAY_2013,importe,ING_EXTRA)</f>
        <v>0</v>
      </c>
      <c r="J9" s="62">
        <f>DSUM(JUN_2013,importe,ING_EXTRA)</f>
        <v>0</v>
      </c>
      <c r="K9" s="62">
        <f>DSUM(JUL_2013,importe,ING_EXTRA)</f>
        <v>0</v>
      </c>
      <c r="L9" s="62">
        <f>DSUM(AGO_2013,importe,ING_EXTRA)</f>
        <v>3360.71</v>
      </c>
      <c r="M9" s="62">
        <f>DSUM(SEP_2013,importe,ING_EXTRA)</f>
        <v>0</v>
      </c>
      <c r="N9" s="62">
        <v>0</v>
      </c>
      <c r="O9" s="3"/>
    </row>
    <row r="10" spans="2:18" x14ac:dyDescent="0.2">
      <c r="B10" s="6" t="s">
        <v>896</v>
      </c>
      <c r="C10" s="62">
        <f>DSUM(DIC_2012,importe,ING_LLAVES)</f>
        <v>1500</v>
      </c>
      <c r="D10" s="62">
        <f t="shared" si="0"/>
        <v>17680</v>
      </c>
      <c r="E10" s="62">
        <f>DSUM(ENE_2013,importe,ING_LLAVES)</f>
        <v>3180</v>
      </c>
      <c r="F10" s="62">
        <f>DSUM(FEB_2013,importe,ING_LLAVES)</f>
        <v>2280</v>
      </c>
      <c r="G10" s="62">
        <f>DSUM(MAR_2013,importe,ING_LLAVES)</f>
        <v>1650</v>
      </c>
      <c r="H10" s="62">
        <f>DSUM(ABR_2013,importe,ING_LLAVES)</f>
        <v>1390</v>
      </c>
      <c r="I10" s="62">
        <f>DSUM(MAY_2013,importe,ING_LLAVES)</f>
        <v>1650</v>
      </c>
      <c r="J10" s="62">
        <f>DSUM(JUN_2013,importe,ING_LLAVES)</f>
        <v>1500</v>
      </c>
      <c r="K10" s="62">
        <f>DSUM(JUL_2013,importe,ING_LLAVES)</f>
        <v>2550</v>
      </c>
      <c r="L10" s="62">
        <f>DSUM(AGO_2013,importe,ING_LLAVES)</f>
        <v>1080</v>
      </c>
      <c r="M10" s="62">
        <f>DSUM(SEP_2013,importe,ING_LLAVES)</f>
        <v>2400</v>
      </c>
      <c r="N10" s="62">
        <v>2400</v>
      </c>
      <c r="O10" s="3"/>
    </row>
    <row r="11" spans="2:18" x14ac:dyDescent="0.2">
      <c r="B11" s="6" t="s">
        <v>897</v>
      </c>
      <c r="C11" s="62">
        <f>DSUM(DIC_2012,importe,ING_TELE)</f>
        <v>2080</v>
      </c>
      <c r="D11" s="62">
        <f t="shared" si="0"/>
        <v>17120</v>
      </c>
      <c r="E11" s="62">
        <f>DSUM(ENE_2013,importe,ING_TELE)</f>
        <v>1920</v>
      </c>
      <c r="F11" s="62">
        <f>DSUM(FEB_2013,importe,ING_TELE)</f>
        <v>800</v>
      </c>
      <c r="G11" s="62">
        <f>DSUM(MAR_2013,importe,ING_TELE)</f>
        <v>2560</v>
      </c>
      <c r="H11" s="62">
        <f>DSUM(ABR_2013,importe,ING_TELE)</f>
        <v>2240</v>
      </c>
      <c r="I11" s="62">
        <f>DSUM(MAY_2013,importe,ING_TELE)</f>
        <v>2880</v>
      </c>
      <c r="J11" s="62">
        <f>DSUM(JUN_2013,importe,ING_TELE)</f>
        <v>2560</v>
      </c>
      <c r="K11" s="62">
        <f>DSUM(JUL_2013,importe,ING_TELE)</f>
        <v>800</v>
      </c>
      <c r="L11" s="62">
        <f>DSUM(AGO_2013,importe,ING_TELE)</f>
        <v>1440</v>
      </c>
      <c r="M11" s="62">
        <f>DSUM(SEP_2013,importe,ING_TELE)</f>
        <v>1920</v>
      </c>
      <c r="N11" s="62">
        <v>1920</v>
      </c>
      <c r="O11" s="3"/>
    </row>
    <row r="12" spans="2:18" x14ac:dyDescent="0.2">
      <c r="B12" s="6" t="s">
        <v>898</v>
      </c>
      <c r="C12" s="62">
        <f>DSUM(DIC_2012,importe,ING_TAR)</f>
        <v>320</v>
      </c>
      <c r="D12" s="62">
        <f t="shared" si="0"/>
        <v>1680</v>
      </c>
      <c r="E12" s="62">
        <f>DSUM(ENE_2013,importe,ING_TAR)</f>
        <v>20</v>
      </c>
      <c r="F12" s="62">
        <f>DSUM(FEB_2013,importe,ING_TAR)</f>
        <v>300</v>
      </c>
      <c r="G12" s="62">
        <f>DSUM(MAR_2013,importe,ING_TAR)</f>
        <v>320</v>
      </c>
      <c r="H12" s="62">
        <f>DSUM(ABR_2013,importe,ING_TAR)</f>
        <v>240</v>
      </c>
      <c r="I12" s="62">
        <f>DSUM(MAY_2013,importe,ING_TAR)</f>
        <v>60</v>
      </c>
      <c r="J12" s="62">
        <f>DSUM(JUN_2013,importe,ING_TAR)</f>
        <v>80</v>
      </c>
      <c r="K12" s="62">
        <f>DSUM(JUL_2013,importe,ING_TAR)</f>
        <v>460</v>
      </c>
      <c r="L12" s="62">
        <f>DSUM(AGO_2013,importe,ING_TAR)</f>
        <v>100</v>
      </c>
      <c r="M12" s="62">
        <f>DSUM(SEP_2013,importe,ING_TAR)</f>
        <v>100</v>
      </c>
      <c r="N12" s="62">
        <v>100</v>
      </c>
      <c r="O12" s="3"/>
    </row>
    <row r="13" spans="2:18" x14ac:dyDescent="0.2">
      <c r="B13" s="6" t="s">
        <v>1683</v>
      </c>
      <c r="C13" s="62"/>
      <c r="D13" s="62">
        <f t="shared" si="0"/>
        <v>87200</v>
      </c>
      <c r="E13" s="62">
        <f>DSUM(BCO_ENE13,deposito,DTE_01)+DSUM(BCO_ENE13,deposito,DTE_02)+DSUM(BCO_ENE13,deposito,DTE_03)+DSUM(BCO_ENE13,deposito,DTE_04)+DSUM(BCO_ENE13,deposito,DTE_05)</f>
        <v>10600</v>
      </c>
      <c r="F13" s="62">
        <f>DSUM(BCO_FEB13,deposito,DTE_01)+DSUM(BCO_FEB13,deposito,DTE_02)+DSUM(BCO_FEB13,deposito,DTE_03)+DSUM(BCO_FEB13,deposito,DTE_04)+DSUM(BCO_FEB13,deposito,DTE_05)</f>
        <v>11200</v>
      </c>
      <c r="G13" s="62">
        <f>DSUM(BCO_MAR13,deposito,DTE_01)+DSUM(BCO_MAR13,deposito,DTE_02)+DSUM(BCO_MAR13,deposito,DTE_03)+DSUM(BCO_MAR13,deposito,DTE_04)+DSUM(BCO_MAR13,deposito,DTE_05)</f>
        <v>11200</v>
      </c>
      <c r="H13" s="62">
        <f>DSUM(BCO_ABR13,deposito,DTE_01)+DSUM(BCO_ABR13,deposito,DTE_02)+DSUM(BCO_ABR13,deposito,DTE_03)+DSUM(BCO_ABR13,deposito,DTE_04)+DSUM(BCO_ABR13,deposito,DTE_05)</f>
        <v>1200</v>
      </c>
      <c r="I13" s="62">
        <f>DSUM(BCO_MAY13,deposito,DTE_01)+DSUM(BCO_MAY13,deposito,DTE_02)+DSUM(BCO_MAY13,deposito,DTE_03)+DSUM(BCO_MAY13,deposito,DTE_04)+DSUM(BCO_MAY13,deposito,DTE_05)</f>
        <v>20900</v>
      </c>
      <c r="J13" s="276">
        <f>DSUM(BCO_JUN13,deposito,DTE_01)+DSUM(BCO_JUN13,deposito,DTE_02)+DSUM(BCO_JUN13,deposito,DTE_03)+DSUM(BCO_JUN13,deposito,DTE_04)+DSUM(BCO_JUN13,deposito,DTE_05)</f>
        <v>10600</v>
      </c>
      <c r="K13" s="276">
        <f>DSUM(BCO_JUL13,deposito,DTE_01)+DSUM(BCO_JUL13,deposito,DTE_02)+DSUM(BCO_JUL13,deposito,DTE_03)+DSUM(BCO_JUL13,deposito,DTE_04)+DSUM(BCO_JUL13,deposito,DTE_05)</f>
        <v>10900</v>
      </c>
      <c r="L13" s="276">
        <f>DSUM(BCO_AGO13,deposito,DTE_01)+DSUM(BCO_AGO13,deposito,DTE_02)+DSUM(BCO_AGO13,deposito,DTE_03)+DSUM(BCO_AGO13,deposito,DTE_04)+DSUM(BCO_AGO13,deposito,DTE_05)</f>
        <v>10600</v>
      </c>
      <c r="M13" s="276">
        <f>DSUM(BCO_SEP13,deposito,DTE_01)+DSUM(BCO_SEP13,deposito,DTE_02)+DSUM(BCO_SEP13,deposito,DTE_03)+DSUM(BCO_SEP13,deposito,DTE_04)+DSUM(BCO_SEP13,deposito,DTE_05)</f>
        <v>0</v>
      </c>
      <c r="N13" s="276">
        <v>0</v>
      </c>
      <c r="O13" s="3"/>
    </row>
    <row r="14" spans="2:18" x14ac:dyDescent="0.2">
      <c r="B14" s="9" t="s">
        <v>900</v>
      </c>
      <c r="C14" s="63">
        <f>DSUM(DIC_2012,importe,ING_OTROS)</f>
        <v>1000</v>
      </c>
      <c r="D14" s="63">
        <f t="shared" si="0"/>
        <v>250</v>
      </c>
      <c r="E14" s="63">
        <f>DSUM(ENE_2013,importe,ING_OTROS)</f>
        <v>200</v>
      </c>
      <c r="F14" s="63">
        <f>DSUM(FEB_2013,importe,ING_OTROS)</f>
        <v>0</v>
      </c>
      <c r="G14" s="63">
        <f>DSUM(MAR_2013,importe,ING_OTROS)</f>
        <v>50</v>
      </c>
      <c r="H14" s="63">
        <f>DSUM(ABR_2013,importe,ING_OTROS)</f>
        <v>0</v>
      </c>
      <c r="I14" s="63">
        <f>DSUM(MAY_2013,importe,ING_OTROS)</f>
        <v>0</v>
      </c>
      <c r="J14" s="63">
        <f>DSUM(JUN_2013,importe,ING_OTROS)</f>
        <v>0</v>
      </c>
      <c r="K14" s="63">
        <f>DSUM(JUL_2013,importe,ING_OTROS)</f>
        <v>0</v>
      </c>
      <c r="L14" s="63">
        <f>DSUM(AGO_2013,importe,ING_OTROS)</f>
        <v>0</v>
      </c>
      <c r="M14" s="63">
        <f>DSUM(SEP_2013,importe,ING_OTROS)</f>
        <v>0</v>
      </c>
      <c r="N14" s="63">
        <v>0</v>
      </c>
      <c r="O14" s="3"/>
    </row>
    <row r="15" spans="2:18" ht="6" customHeight="1" x14ac:dyDescent="0.2">
      <c r="B15" s="305"/>
      <c r="C15" s="292"/>
      <c r="D15" s="182"/>
      <c r="E15" s="182"/>
      <c r="F15" s="182"/>
      <c r="G15" s="182"/>
      <c r="H15" s="182"/>
      <c r="I15" s="292"/>
      <c r="J15" s="306"/>
      <c r="K15" s="293"/>
      <c r="L15" s="293"/>
      <c r="M15" s="293"/>
      <c r="N15" s="293"/>
      <c r="O15" s="3"/>
    </row>
    <row r="16" spans="2:18" ht="21.95" customHeight="1" thickBot="1" x14ac:dyDescent="0.25">
      <c r="B16" s="61" t="s">
        <v>1230</v>
      </c>
      <c r="C16" s="64">
        <f t="shared" ref="C16" si="1">SUM(C8:C14)</f>
        <v>95625</v>
      </c>
      <c r="D16" s="64">
        <f t="shared" ref="D16:I16" si="2">SUM(D8:D14)</f>
        <v>826935.71</v>
      </c>
      <c r="E16" s="64">
        <f t="shared" si="2"/>
        <v>144045</v>
      </c>
      <c r="F16" s="64">
        <f t="shared" si="2"/>
        <v>103255</v>
      </c>
      <c r="G16" s="64">
        <f t="shared" si="2"/>
        <v>98055</v>
      </c>
      <c r="H16" s="64">
        <f t="shared" si="2"/>
        <v>62995</v>
      </c>
      <c r="I16" s="64">
        <f t="shared" si="2"/>
        <v>93585</v>
      </c>
      <c r="J16" s="64">
        <f t="shared" ref="J16:K16" si="3">SUM(J8:J14)</f>
        <v>85515</v>
      </c>
      <c r="K16" s="64">
        <f t="shared" si="3"/>
        <v>83035</v>
      </c>
      <c r="L16" s="64">
        <f>SUM(L8:L14)</f>
        <v>75555.709999999992</v>
      </c>
      <c r="M16" s="64">
        <f>SUM(M8:M14)</f>
        <v>80895</v>
      </c>
      <c r="N16" s="64">
        <v>68495</v>
      </c>
      <c r="O16" s="3"/>
    </row>
    <row r="17" spans="1:13" ht="13.5" thickTop="1" x14ac:dyDescent="0.2">
      <c r="D17" s="3">
        <f>SUM(C16:D16)</f>
        <v>922560.71</v>
      </c>
    </row>
    <row r="18" spans="1:13" ht="15" customHeight="1" x14ac:dyDescent="0.2">
      <c r="B18" s="15" t="s">
        <v>1797</v>
      </c>
      <c r="C18" s="284"/>
      <c r="D18" s="284"/>
      <c r="E18" s="11"/>
      <c r="F18" s="11"/>
      <c r="G18" s="11"/>
      <c r="H18" s="11"/>
      <c r="I18" s="11"/>
      <c r="J18" s="301"/>
      <c r="K18" s="11"/>
      <c r="L18" s="11"/>
      <c r="M18" s="11"/>
    </row>
    <row r="19" spans="1:13" x14ac:dyDescent="0.2">
      <c r="B19" s="342" t="s">
        <v>1798</v>
      </c>
      <c r="C19" s="343"/>
      <c r="D19" s="344"/>
      <c r="E19" s="344">
        <f t="shared" ref="E19:K19" si="4">SUM(E20:E26)</f>
        <v>59769.5</v>
      </c>
      <c r="F19" s="344">
        <f t="shared" si="4"/>
        <v>57058.52</v>
      </c>
      <c r="G19" s="344">
        <f t="shared" si="4"/>
        <v>61345.5</v>
      </c>
      <c r="H19" s="344">
        <f t="shared" si="4"/>
        <v>58909</v>
      </c>
      <c r="I19" s="344">
        <f t="shared" si="4"/>
        <v>55230.92</v>
      </c>
      <c r="J19" s="344">
        <f t="shared" si="4"/>
        <v>48437.84</v>
      </c>
      <c r="K19" s="344">
        <f t="shared" si="4"/>
        <v>51489.567931034493</v>
      </c>
      <c r="L19" s="344">
        <f t="shared" ref="L19:M19" si="5">SUM(L20:L26)</f>
        <v>54106.619999999995</v>
      </c>
      <c r="M19" s="344">
        <f t="shared" si="5"/>
        <v>0</v>
      </c>
    </row>
    <row r="20" spans="1:13" x14ac:dyDescent="0.2">
      <c r="A20" s="353" t="s">
        <v>1793</v>
      </c>
      <c r="B20" s="298" t="s">
        <v>1843</v>
      </c>
      <c r="C20" s="4"/>
      <c r="D20" s="299"/>
      <c r="E20" s="346">
        <f>DSUM(G_ENE_2013,GASTO,G_NMNVG)</f>
        <v>56500</v>
      </c>
      <c r="F20" s="346">
        <f>DSUM(G_FEB_2013,GASTO,G_NMNVG)</f>
        <v>54400</v>
      </c>
      <c r="G20" s="346">
        <f>DSUM(G_MAR_2013,GASTO,G_NMNVG)</f>
        <v>57023</v>
      </c>
      <c r="H20" s="346">
        <f>DSUM(G_ABR_2013,GASTO,G_NMNVG)</f>
        <v>55120</v>
      </c>
      <c r="I20" s="346">
        <f>DSUM(G_MAY_2013,GASTO,G_NMNVG)</f>
        <v>51790</v>
      </c>
      <c r="J20" s="346">
        <f>DSUM(G_JUN_2013,GASTO,G_NMNVG)</f>
        <v>46400</v>
      </c>
      <c r="K20" s="346">
        <f>DSUM(G_JUL_2013,GASTO,G_NMNVG)</f>
        <v>46150</v>
      </c>
      <c r="L20" s="346">
        <f>DSUM(G_AGO_2013,GASTO,G_NMNVG)</f>
        <v>51353.34</v>
      </c>
      <c r="M20" s="346"/>
    </row>
    <row r="21" spans="1:13" x14ac:dyDescent="0.2">
      <c r="A21" s="353" t="s">
        <v>1788</v>
      </c>
      <c r="B21" s="294" t="s">
        <v>1799</v>
      </c>
      <c r="C21" s="1"/>
      <c r="D21" s="295"/>
      <c r="E21" s="347">
        <f>DSUM(G_ENE_2013,GASTO,G_AGUA)</f>
        <v>689.5</v>
      </c>
      <c r="F21" s="347">
        <f>DSUM(G_FEB_2013,GASTO,G_AGUA)</f>
        <v>478.52</v>
      </c>
      <c r="G21" s="347">
        <f>DSUM(G_MAR_2013,GASTO,G_AGUA)</f>
        <v>420</v>
      </c>
      <c r="H21" s="347">
        <f>DSUM(G_ABR_2013,GASTO,G_AGUA)</f>
        <v>501</v>
      </c>
      <c r="I21" s="347">
        <f>DSUM(G_MAY_2013,GASTO,G_AGUA)</f>
        <v>678</v>
      </c>
      <c r="J21" s="347">
        <f>DSUM(G_JUN_2013,GASTO,G_AGUA)</f>
        <v>300</v>
      </c>
      <c r="K21" s="347">
        <f>DSUM(G_JUL_2013,GASTO,G_AGUA)</f>
        <v>390</v>
      </c>
      <c r="L21" s="347">
        <f>DSUM(G_AGO_2013,GASTO,G_AGUA)</f>
        <v>270</v>
      </c>
      <c r="M21" s="347"/>
    </row>
    <row r="22" spans="1:13" x14ac:dyDescent="0.2">
      <c r="A22" s="353" t="s">
        <v>1792</v>
      </c>
      <c r="B22" s="294" t="s">
        <v>1800</v>
      </c>
      <c r="C22" s="1"/>
      <c r="D22" s="295"/>
      <c r="E22" s="347">
        <f>DSUM(G_ENE_2013,GASTO,G_ALMVG)</f>
        <v>2580</v>
      </c>
      <c r="F22" s="347">
        <f>DSUM(G_FEB_2013,GASTO,G_ALMVG)</f>
        <v>2180</v>
      </c>
      <c r="G22" s="347">
        <f>DSUM(G_MAR_2013,GASTO,G_ALMVG)</f>
        <v>2320</v>
      </c>
      <c r="H22" s="347">
        <f>DSUM(G_ABR_2013,GASTO,G_ALMVG)</f>
        <v>2200</v>
      </c>
      <c r="I22" s="347">
        <f>DSUM(G_MAY_2013,GASTO,G_ALMVG)</f>
        <v>2000</v>
      </c>
      <c r="J22" s="347">
        <f>DSUM(G_JUN_2013,GASTO,G_ALMVG)</f>
        <v>1600</v>
      </c>
      <c r="K22" s="347">
        <f>DSUM(G_JUL_2013,GASTO,G_ALMVG)</f>
        <v>1600</v>
      </c>
      <c r="L22" s="347">
        <f>DSUM(G_AGO_2013,GASTO,G_ALMVG)</f>
        <v>1800</v>
      </c>
      <c r="M22" s="347"/>
    </row>
    <row r="23" spans="1:13" x14ac:dyDescent="0.2">
      <c r="A23" s="353" t="s">
        <v>1795</v>
      </c>
      <c r="B23" s="294" t="s">
        <v>1737</v>
      </c>
      <c r="C23" s="1"/>
      <c r="D23" s="295"/>
      <c r="E23" s="347">
        <f>DSUM(G_ENE_2013,GASTO,G_MTLPZ)</f>
        <v>0</v>
      </c>
      <c r="F23" s="347">
        <f>DSUM(G_FEB_2013,GASTO,G_MTLPZ)</f>
        <v>0</v>
      </c>
      <c r="G23" s="347">
        <f>DSUM(G_MAR_2013,GASTO,G_MTLPZ)</f>
        <v>0</v>
      </c>
      <c r="H23" s="347">
        <f>DSUM(G_ABR_2013,GASTO,G_MTLPZ)</f>
        <v>0</v>
      </c>
      <c r="I23" s="347">
        <f>DSUM(G_MAY_2013,GASTO,G_MTLPZ)</f>
        <v>0</v>
      </c>
      <c r="J23" s="347">
        <f>DSUM(G_JUN_2013,GASTO,G_MTLPZ)</f>
        <v>137.84</v>
      </c>
      <c r="K23" s="347">
        <f>DSUM(G_JUL_2013,GASTO,G_MTLPZ)</f>
        <v>151.63793103448276</v>
      </c>
      <c r="L23" s="347">
        <f>DSUM(G_AGO_2013,GASTO,G_MTLPZ)</f>
        <v>213.28</v>
      </c>
      <c r="M23" s="347"/>
    </row>
    <row r="24" spans="1:13" x14ac:dyDescent="0.2">
      <c r="A24" s="353" t="s">
        <v>1906</v>
      </c>
      <c r="B24" s="294" t="s">
        <v>1905</v>
      </c>
      <c r="C24" s="1"/>
      <c r="D24" s="295"/>
      <c r="E24" s="347">
        <f>DSUM(G_ENE_2013,GASTO,G_MDC)</f>
        <v>0</v>
      </c>
      <c r="F24" s="347">
        <f>DSUM(G_FEB_2013,GASTO,G_MDC)</f>
        <v>0</v>
      </c>
      <c r="G24" s="347">
        <f>DSUM(G_MAR_2013,GASTO,G_MDC)</f>
        <v>0</v>
      </c>
      <c r="H24" s="347">
        <f>DSUM(G_ABR_2013,GASTO,G_MDC)</f>
        <v>1088</v>
      </c>
      <c r="I24" s="347">
        <f>DSUM(G_MAY_2013,GASTO,G_MDC)</f>
        <v>0</v>
      </c>
      <c r="J24" s="347">
        <f>DSUM(G_JUN_2013,GASTO,G_MDC)</f>
        <v>0</v>
      </c>
      <c r="K24" s="347">
        <f>DSUM(G_JUL_2013,GASTO,G_MDC)</f>
        <v>864.55</v>
      </c>
      <c r="L24" s="347">
        <f>DSUM(G_AGO_2013,GASTO,G_MDC)</f>
        <v>0</v>
      </c>
      <c r="M24" s="347"/>
    </row>
    <row r="25" spans="1:13" x14ac:dyDescent="0.2">
      <c r="A25" s="353" t="s">
        <v>1787</v>
      </c>
      <c r="B25" s="294" t="s">
        <v>1844</v>
      </c>
      <c r="C25" s="1"/>
      <c r="D25" s="295"/>
      <c r="E25" s="347">
        <f>DSUM(G_ENE_2013,GASTO,G_TRSP)</f>
        <v>0</v>
      </c>
      <c r="F25" s="347">
        <f>DSUM(G_FEB_2013,GASTO,G_TRSP)</f>
        <v>0</v>
      </c>
      <c r="G25" s="347">
        <f>DSUM(G_MAR_2013,GASTO,G_TRSP)</f>
        <v>0</v>
      </c>
      <c r="H25" s="347">
        <f>DSUM(G_ABR_2013,GASTO,G_TRSP)</f>
        <v>0</v>
      </c>
      <c r="I25" s="347">
        <f>DSUM(G_MAY_2013,GASTO,G_TRSP)</f>
        <v>762.92000000000007</v>
      </c>
      <c r="J25" s="347">
        <f>DSUM(G_JUN_2013,GASTO,G_TRSP)</f>
        <v>0</v>
      </c>
      <c r="K25" s="347">
        <f>DSUM(G_JUL_2013,GASTO,G_TRSP)</f>
        <v>323.26</v>
      </c>
      <c r="L25" s="347">
        <f>DSUM(G_AGO_2013,GASTO,G_TRSP)</f>
        <v>0</v>
      </c>
      <c r="M25" s="347"/>
    </row>
    <row r="26" spans="1:13" x14ac:dyDescent="0.2">
      <c r="A26" s="353" t="s">
        <v>1908</v>
      </c>
      <c r="B26" s="296" t="s">
        <v>1907</v>
      </c>
      <c r="C26" s="2"/>
      <c r="D26" s="297"/>
      <c r="E26" s="347">
        <f>DSUM(G_ENE_2013,GASTO,G_UNF)</f>
        <v>0</v>
      </c>
      <c r="F26" s="347">
        <f>DSUM(G_FEB_2013,GASTO,G_UNF)</f>
        <v>0</v>
      </c>
      <c r="G26" s="347">
        <f>DSUM(G_MAR_2013,GASTO,G_UNF)</f>
        <v>1582.5</v>
      </c>
      <c r="H26" s="347">
        <f>DSUM(G_ABR_2013,GASTO,G_UNF)</f>
        <v>0</v>
      </c>
      <c r="I26" s="347">
        <f>DSUM(G_MAY_2013,GASTO,G_UNF)</f>
        <v>0</v>
      </c>
      <c r="J26" s="347">
        <f>DSUM(G_JUN_2013,GASTO,G_UNF)</f>
        <v>0</v>
      </c>
      <c r="K26" s="347">
        <f>DSUM(G_JUL_2013,GASTO,G_UNF)</f>
        <v>2010.12</v>
      </c>
      <c r="L26" s="347">
        <f>DSUM(G_AGO_2013,GASTO,G_UNF)</f>
        <v>470</v>
      </c>
      <c r="M26" s="347"/>
    </row>
    <row r="27" spans="1:13" x14ac:dyDescent="0.2">
      <c r="A27" s="353"/>
      <c r="B27" s="342" t="s">
        <v>1959</v>
      </c>
      <c r="C27" s="343"/>
      <c r="D27" s="344"/>
      <c r="E27" s="344">
        <f t="shared" ref="E27:K27" si="6">SUM(E28:E31)</f>
        <v>42712</v>
      </c>
      <c r="F27" s="344">
        <f t="shared" si="6"/>
        <v>21000</v>
      </c>
      <c r="G27" s="344">
        <f t="shared" si="6"/>
        <v>4950</v>
      </c>
      <c r="H27" s="344">
        <f t="shared" si="6"/>
        <v>2400</v>
      </c>
      <c r="I27" s="344">
        <f t="shared" si="6"/>
        <v>22400</v>
      </c>
      <c r="J27" s="344">
        <f t="shared" si="6"/>
        <v>13800</v>
      </c>
      <c r="K27" s="344">
        <f t="shared" si="6"/>
        <v>2540.52</v>
      </c>
      <c r="L27" s="344">
        <f t="shared" ref="L27:M27" si="7">SUM(L28:L31)</f>
        <v>783.63</v>
      </c>
      <c r="M27" s="344">
        <f t="shared" si="7"/>
        <v>0</v>
      </c>
    </row>
    <row r="28" spans="1:13" x14ac:dyDescent="0.2">
      <c r="A28" s="353" t="s">
        <v>1911</v>
      </c>
      <c r="B28" s="339" t="s">
        <v>1811</v>
      </c>
      <c r="C28" s="87"/>
      <c r="D28" s="340"/>
      <c r="E28" s="348">
        <f>DSUM(G_ENE_2013,GASTO,G_INFRA)</f>
        <v>35000</v>
      </c>
      <c r="F28" s="348">
        <f>DSUM(G_FEB_2013,GASTO,G_INFRA)</f>
        <v>21000</v>
      </c>
      <c r="G28" s="348">
        <f>DSUM(G_MAR_2013,GASTO,G_INFRA)</f>
        <v>0</v>
      </c>
      <c r="H28" s="348">
        <f>DSUM(G_ABR_2013,GASTO,G_INFRA)</f>
        <v>0</v>
      </c>
      <c r="I28" s="348">
        <f>DSUM(G_MAY_2013,GASTO,G_INFRA)+DSUM(BCO_MAY13,8,INFRA)</f>
        <v>20000</v>
      </c>
      <c r="J28" s="348">
        <f>DSUM(G_JUN_2013,GASTO,G_INFRA)+DSUM(BCO_JUN13,retiro,INFRA)</f>
        <v>12000</v>
      </c>
      <c r="K28" s="348">
        <f>DSUM(G_JUL_2013,GASTO,G_INFRA)</f>
        <v>1200</v>
      </c>
      <c r="L28" s="348">
        <f>DSUM(G_AGO_2013,GASTO,G_INFRA)</f>
        <v>0</v>
      </c>
      <c r="M28" s="348"/>
    </row>
    <row r="29" spans="1:13" x14ac:dyDescent="0.2">
      <c r="A29" s="353" t="s">
        <v>1910</v>
      </c>
      <c r="B29" s="298" t="s">
        <v>1909</v>
      </c>
      <c r="C29" s="4"/>
      <c r="D29" s="299"/>
      <c r="E29" s="349">
        <f>DSUM(G_ENE_2013,GASTO,G_USB)</f>
        <v>0</v>
      </c>
      <c r="F29" s="349">
        <f>DSUM(G_FEB_2013,GASTO,G_USB)</f>
        <v>0</v>
      </c>
      <c r="G29" s="349">
        <f>DSUM(G_MAR_2013,GASTO,G_USB)</f>
        <v>0</v>
      </c>
      <c r="H29" s="349">
        <f>DSUM(G_ABR_2013,GASTO,G_USB)</f>
        <v>0</v>
      </c>
      <c r="I29" s="349">
        <f>DSUM(G_MAY_2013,GASTO,G_USB)</f>
        <v>0</v>
      </c>
      <c r="J29" s="349">
        <f>DSUM(G_JUN_2013,GASTO,G_USB)</f>
        <v>0</v>
      </c>
      <c r="K29" s="349">
        <f>DSUM(G_JUL_2013,GASTO,G_USB)</f>
        <v>240.51999999999998</v>
      </c>
      <c r="L29" s="349">
        <f>DSUM(G_AGO_2013,GASTO,G_USB)</f>
        <v>0</v>
      </c>
      <c r="M29" s="349"/>
    </row>
    <row r="30" spans="1:13" x14ac:dyDescent="0.2">
      <c r="A30" s="353" t="s">
        <v>1958</v>
      </c>
      <c r="B30" s="294" t="s">
        <v>1960</v>
      </c>
      <c r="C30" s="4"/>
      <c r="D30" s="299"/>
      <c r="E30" s="381">
        <f>DSUM(G_ENE_2013,GASTO,G_ADQ)</f>
        <v>7712</v>
      </c>
      <c r="F30" s="381">
        <f>DSUM(G_FEB_2013,GASTO,G_ADQ)</f>
        <v>0</v>
      </c>
      <c r="G30" s="381">
        <f>DSUM(G_MAR_2013,GASTO,G_ADQ)</f>
        <v>4950</v>
      </c>
      <c r="H30" s="381">
        <f>DSUM(G_ABR_2013,GASTO,G_ADQ)</f>
        <v>2400</v>
      </c>
      <c r="I30" s="381">
        <f>DSUM(G_MAY_2013,GASTO,G_ADQ)</f>
        <v>2400</v>
      </c>
      <c r="J30" s="381">
        <f>DSUM(G_JUN_2013,GASTO,G_ADQ)</f>
        <v>1800</v>
      </c>
      <c r="K30" s="381">
        <f>DSUM(G_JUL_2013,GASTO,G_ADQ)</f>
        <v>1100</v>
      </c>
      <c r="L30" s="381">
        <f>DSUM(G_AGO_2013,GASTO,G_ADQ)</f>
        <v>150</v>
      </c>
      <c r="M30" s="381"/>
    </row>
    <row r="31" spans="1:13" x14ac:dyDescent="0.2">
      <c r="A31" s="353" t="s">
        <v>2019</v>
      </c>
      <c r="B31" s="294" t="s">
        <v>2018</v>
      </c>
      <c r="C31" s="4"/>
      <c r="D31" s="299"/>
      <c r="E31" s="351"/>
      <c r="F31" s="351"/>
      <c r="G31" s="351"/>
      <c r="H31" s="351"/>
      <c r="I31" s="351"/>
      <c r="J31" s="351"/>
      <c r="K31" s="351"/>
      <c r="L31" s="351">
        <f>DSUM(G_AGO_2013,GASTO,G_SÑ)</f>
        <v>633.63</v>
      </c>
      <c r="M31" s="351"/>
    </row>
    <row r="32" spans="1:13" x14ac:dyDescent="0.2">
      <c r="A32" s="353"/>
      <c r="B32" s="342" t="s">
        <v>1803</v>
      </c>
      <c r="C32" s="343"/>
      <c r="D32" s="344"/>
      <c r="E32" s="345">
        <f t="shared" ref="E32:K32" si="8">SUM(E33:E38)</f>
        <v>23851.15</v>
      </c>
      <c r="F32" s="345">
        <f t="shared" si="8"/>
        <v>17379.89</v>
      </c>
      <c r="G32" s="345">
        <f t="shared" si="8"/>
        <v>9092.5</v>
      </c>
      <c r="H32" s="345">
        <f t="shared" si="8"/>
        <v>3550</v>
      </c>
      <c r="I32" s="345">
        <f t="shared" si="8"/>
        <v>3670</v>
      </c>
      <c r="J32" s="345">
        <f t="shared" si="8"/>
        <v>2000</v>
      </c>
      <c r="K32" s="345">
        <f t="shared" si="8"/>
        <v>8562.4700000000012</v>
      </c>
      <c r="L32" s="345">
        <f t="shared" ref="L32:M32" si="9">SUM(L33:L38)</f>
        <v>9893.3955172413789</v>
      </c>
      <c r="M32" s="345">
        <f t="shared" si="9"/>
        <v>0</v>
      </c>
    </row>
    <row r="33" spans="1:13" x14ac:dyDescent="0.2">
      <c r="A33" s="353" t="s">
        <v>2021</v>
      </c>
      <c r="B33" s="294" t="s">
        <v>2020</v>
      </c>
      <c r="C33" s="4"/>
      <c r="D33" s="299"/>
      <c r="E33" s="348"/>
      <c r="F33" s="348"/>
      <c r="G33" s="348"/>
      <c r="H33" s="348"/>
      <c r="I33" s="348"/>
      <c r="J33" s="348"/>
      <c r="K33" s="348"/>
      <c r="L33" s="348">
        <f>DSUM(G_AGO_2013,GASTO,G_MTCBQ)</f>
        <v>1898.1</v>
      </c>
      <c r="M33" s="348"/>
    </row>
    <row r="34" spans="1:13" x14ac:dyDescent="0.2">
      <c r="A34" s="353" t="s">
        <v>1902</v>
      </c>
      <c r="B34" s="294" t="s">
        <v>1901</v>
      </c>
      <c r="C34" s="4"/>
      <c r="D34" s="299"/>
      <c r="E34" s="349">
        <f>DSUM(G_ENE_2013,GASTO,G_MTCYP)</f>
        <v>0</v>
      </c>
      <c r="F34" s="349">
        <f>DSUM(G_FEB_2013,GASTO,G_MTCYP)</f>
        <v>0</v>
      </c>
      <c r="G34" s="349">
        <f>DSUM(G_MAR_2013,GASTO,G_MTCYP)</f>
        <v>0</v>
      </c>
      <c r="H34" s="349">
        <f>DSUM(G_ABR_2013,GASTO,G_MTCYP)</f>
        <v>2500</v>
      </c>
      <c r="I34" s="349">
        <f>DSUM(G_MAY_2013,GASTO,G_MTCYP)</f>
        <v>2500</v>
      </c>
      <c r="J34" s="349">
        <f>DSUM(G_JUN_2013,GASTO,G_MTCYP)</f>
        <v>0</v>
      </c>
      <c r="K34" s="349">
        <f>DSUM(G_JUL_2013,GASTO,G_MTCYP)</f>
        <v>1600</v>
      </c>
      <c r="L34" s="349">
        <f>DSUM(G_AGO_2013,GASTO,G_MTCYP)</f>
        <v>3955</v>
      </c>
      <c r="M34" s="349"/>
    </row>
    <row r="35" spans="1:13" x14ac:dyDescent="0.2">
      <c r="A35" s="353" t="s">
        <v>1957</v>
      </c>
      <c r="B35" s="294" t="s">
        <v>1956</v>
      </c>
      <c r="C35" s="4"/>
      <c r="D35" s="299"/>
      <c r="E35" s="349">
        <f>DSUM(G_ENE_2013,GASTO,G_MTCST)</f>
        <v>8625.15</v>
      </c>
      <c r="F35" s="349">
        <f>DSUM(G_FEB_2013,GASTO,G_MTCST)</f>
        <v>7389.89</v>
      </c>
      <c r="G35" s="349">
        <f>DSUM(G_MAR_2013,GASTO,G_MTCST)</f>
        <v>8092.5</v>
      </c>
      <c r="H35" s="349">
        <f>DSUM(G_ABR_2013,GASTO,G_MTCST)</f>
        <v>300</v>
      </c>
      <c r="I35" s="349">
        <f>DSUM(G_MAY_2013,GASTO,G_MTCST)</f>
        <v>0</v>
      </c>
      <c r="J35" s="349">
        <f>DSUM(G_JUN_2013,GASTO,G_MTCST)</f>
        <v>0</v>
      </c>
      <c r="K35" s="349">
        <f>DSUM(G_JUL_2013,GASTO,G_MTCST)</f>
        <v>0</v>
      </c>
      <c r="L35" s="349">
        <f>DSUM(G_AGO_2013,GASTO,G_MTCST)</f>
        <v>1057.58</v>
      </c>
      <c r="M35" s="349"/>
    </row>
    <row r="36" spans="1:13" x14ac:dyDescent="0.2">
      <c r="A36" s="353" t="s">
        <v>1789</v>
      </c>
      <c r="B36" s="294" t="s">
        <v>1806</v>
      </c>
      <c r="C36" s="4"/>
      <c r="D36" s="299"/>
      <c r="E36" s="349">
        <f>DSUM(G_ENE_2013,GASTO,G_MTPTA)</f>
        <v>8500</v>
      </c>
      <c r="F36" s="349">
        <f>DSUM(G_FEB_2013,GASTO,G_MTPTA)</f>
        <v>0</v>
      </c>
      <c r="G36" s="349">
        <f>DSUM(G_MAR_2013,GASTO,G_MTPTA)</f>
        <v>0</v>
      </c>
      <c r="H36" s="349">
        <f>DSUM(G_ABR_2013,GASTO,G_MTPTA)</f>
        <v>750</v>
      </c>
      <c r="I36" s="349">
        <f>DSUM(G_MAY_2013,GASTO,G_MTPTA)</f>
        <v>0</v>
      </c>
      <c r="J36" s="349">
        <f>DSUM(G_JUN_2013,GASTO,G_MTPTA)</f>
        <v>350</v>
      </c>
      <c r="K36" s="349">
        <f>DSUM(G_JUL_2013,GASTO,G_MTPTA)</f>
        <v>6087.47</v>
      </c>
      <c r="L36" s="349">
        <f>DSUM(G_AGO_2013,GASTO,G_MTPTA)</f>
        <v>1607.7155172413793</v>
      </c>
      <c r="M36" s="349"/>
    </row>
    <row r="37" spans="1:13" x14ac:dyDescent="0.2">
      <c r="A37" s="353" t="s">
        <v>1794</v>
      </c>
      <c r="B37" s="294" t="s">
        <v>1805</v>
      </c>
      <c r="C37" s="4"/>
      <c r="D37" s="299"/>
      <c r="E37" s="349">
        <f>DSUM(G_ENE_2013,GASTO,G_MTILM)</f>
        <v>1000</v>
      </c>
      <c r="F37" s="349">
        <f>DSUM(G_FEB_2013,GASTO,G_MTILM)</f>
        <v>9500</v>
      </c>
      <c r="G37" s="349">
        <f>DSUM(G_MAR_2013,GASTO,G_MTILM)</f>
        <v>1000</v>
      </c>
      <c r="H37" s="349">
        <f>DSUM(G_ABR_2013,GASTO,G_MTILM)</f>
        <v>0</v>
      </c>
      <c r="I37" s="349">
        <f>DSUM(G_MAY_2013,GASTO,G_MTILM)</f>
        <v>0</v>
      </c>
      <c r="J37" s="349">
        <f>DSUM(G_JUN_2013,GASTO,G_MTILM)</f>
        <v>1200</v>
      </c>
      <c r="K37" s="349">
        <f>DSUM(G_JUL_2013,GASTO,G_MTILM)</f>
        <v>200</v>
      </c>
      <c r="L37" s="349">
        <f>DSUM(G_AGO_2013,GASTO,G_MTILM)</f>
        <v>0</v>
      </c>
      <c r="M37" s="349"/>
    </row>
    <row r="38" spans="1:13" x14ac:dyDescent="0.2">
      <c r="A38" s="353" t="s">
        <v>1791</v>
      </c>
      <c r="B38" s="294" t="s">
        <v>1804</v>
      </c>
      <c r="C38" s="4"/>
      <c r="D38" s="299"/>
      <c r="E38" s="351">
        <f>DSUM(G_ENE_2013,GASTO,G_JDN)</f>
        <v>5726</v>
      </c>
      <c r="F38" s="351">
        <f>DSUM(G_FEB_2013,GASTO,G_JDN)</f>
        <v>490</v>
      </c>
      <c r="G38" s="351">
        <f>DSUM(G_MAR_2013,GASTO,G_JDN)</f>
        <v>0</v>
      </c>
      <c r="H38" s="351">
        <f>DSUM(G_ABR_2013,GASTO,G_JDN)</f>
        <v>0</v>
      </c>
      <c r="I38" s="351">
        <f>DSUM(G_MAY_2013,GASTO,G_JDN)</f>
        <v>1170</v>
      </c>
      <c r="J38" s="351">
        <f>DSUM(G_JUN_2013,GASTO,G_JDN)</f>
        <v>450</v>
      </c>
      <c r="K38" s="351">
        <f>DSUM(G_JUL_2013,GASTO,G_JDN)</f>
        <v>675</v>
      </c>
      <c r="L38" s="351">
        <f>DSUM(G_AGO_2013,GASTO,G_JDN)</f>
        <v>1375</v>
      </c>
      <c r="M38" s="351"/>
    </row>
    <row r="39" spans="1:13" x14ac:dyDescent="0.2">
      <c r="A39" s="353"/>
      <c r="B39" s="342" t="s">
        <v>1807</v>
      </c>
      <c r="C39" s="343"/>
      <c r="D39" s="344"/>
      <c r="E39" s="345">
        <f t="shared" ref="E39:K39" si="10">SUM(E40:E48)</f>
        <v>11671.56</v>
      </c>
      <c r="F39" s="345">
        <f t="shared" si="10"/>
        <v>14137.71</v>
      </c>
      <c r="G39" s="345">
        <f t="shared" si="10"/>
        <v>9807</v>
      </c>
      <c r="H39" s="345">
        <f t="shared" si="10"/>
        <v>8808.77</v>
      </c>
      <c r="I39" s="345">
        <f t="shared" si="10"/>
        <v>13259.93</v>
      </c>
      <c r="J39" s="345">
        <f t="shared" si="10"/>
        <v>578.48</v>
      </c>
      <c r="K39" s="345">
        <f t="shared" si="10"/>
        <v>2279.84</v>
      </c>
      <c r="L39" s="345">
        <f t="shared" ref="L39:M39" si="11">SUM(L40:L48)</f>
        <v>341.76</v>
      </c>
      <c r="M39" s="345">
        <f t="shared" si="11"/>
        <v>0</v>
      </c>
    </row>
    <row r="40" spans="1:13" x14ac:dyDescent="0.2">
      <c r="A40" s="353" t="s">
        <v>1962</v>
      </c>
      <c r="B40" s="294" t="s">
        <v>1961</v>
      </c>
      <c r="C40" s="4"/>
      <c r="D40" s="299"/>
      <c r="E40" s="348">
        <f>DSUM(G_ENE_2013,GASTO,G_CBR)</f>
        <v>1700</v>
      </c>
      <c r="F40" s="348">
        <f>DSUM(G_FEB_2013,GASTO,G_CBR)</f>
        <v>1120</v>
      </c>
      <c r="G40" s="348">
        <f>DSUM(G_MAR_2013,GASTO,G_CBR)</f>
        <v>1000</v>
      </c>
      <c r="H40" s="348">
        <f>DSUM(G_ABR_2013,GASTO,G_CBR)</f>
        <v>520</v>
      </c>
      <c r="I40" s="348">
        <f>DSUM(G_MAY_2013,GASTO,G_CBR)+DSUM(BCO_MAY13,8,G_CBR)</f>
        <v>0</v>
      </c>
      <c r="J40" s="348">
        <f>DSUM(G_JUN_2013,GASTO,G_CBR)</f>
        <v>0</v>
      </c>
      <c r="K40" s="348">
        <f>DSUM(G_JUL_2013,GASTO,G_CBR)</f>
        <v>0</v>
      </c>
      <c r="L40" s="348">
        <f>DSUM(G_AGO_2013,GASTO,G_CBR)</f>
        <v>0</v>
      </c>
      <c r="M40" s="348"/>
    </row>
    <row r="41" spans="1:13" x14ac:dyDescent="0.2">
      <c r="A41" s="353" t="s">
        <v>1790</v>
      </c>
      <c r="B41" s="294" t="s">
        <v>1808</v>
      </c>
      <c r="C41" s="4"/>
      <c r="D41" s="299"/>
      <c r="E41" s="350">
        <f>DSUM(G_ENE_2013,GASTO,G_ORG)</f>
        <v>6481.3899999999994</v>
      </c>
      <c r="F41" s="350">
        <f>DSUM(G_FEB_2013,GASTO,G_ORG)</f>
        <v>6605.32</v>
      </c>
      <c r="G41" s="350">
        <f>DSUM(G_MAR_2013,GASTO,G_ORG)</f>
        <v>4579.51</v>
      </c>
      <c r="H41" s="350">
        <f>DSUM(G_ABR_2013,GASTO,G_ORG)</f>
        <v>5100</v>
      </c>
      <c r="I41" s="350">
        <f>DSUM(G_MAY_2013,GASTO,G_ORG)+DSUM(BCO_MAY13,8,G_ORG)</f>
        <v>3008.19</v>
      </c>
      <c r="J41" s="350">
        <f>DSUM(G_JUN_2013,GASTO,G_ORG)</f>
        <v>53.92</v>
      </c>
      <c r="K41" s="350">
        <f>DSUM(G_JUL_2013,GASTO,G_ORG)</f>
        <v>0</v>
      </c>
      <c r="L41" s="350">
        <f>DSUM(G_AGO_2013,GASTO,G_ORG)</f>
        <v>0</v>
      </c>
      <c r="M41" s="350"/>
    </row>
    <row r="42" spans="1:13" x14ac:dyDescent="0.2">
      <c r="A42" s="353" t="s">
        <v>1978</v>
      </c>
      <c r="B42" s="294" t="s">
        <v>1977</v>
      </c>
      <c r="C42" s="4"/>
      <c r="D42" s="299"/>
      <c r="E42" s="382">
        <f>DSUM(BCO_ENE13,8,G_P_Fin)-DSUM(BCO_ENE13,7,G_P_Fin)</f>
        <v>13.17</v>
      </c>
      <c r="F42" s="382">
        <f>DSUM(BCO_FEB13,8,G_P_Fin)-DSUM(BCO_FEB13,7,G_P_Fin)</f>
        <v>26.89</v>
      </c>
      <c r="G42" s="382">
        <f>DSUM(BCO_MAR13,8,G_P_Fin)-DSUM(BCO_MAR13,7,G_P_Fin)</f>
        <v>33.799999999999997</v>
      </c>
      <c r="H42" s="382">
        <f>DSUM(BCO_ABR13,8,G_P_Fin)-DSUM(BCO_ABR13,7,G_P_Fin)</f>
        <v>-0.54</v>
      </c>
      <c r="I42" s="382">
        <f>DSUM(BCO_MAY13,8,G_P_Fin)-DSUM(BCO_MAY13,7,G_P_Fin)</f>
        <v>17.709999999999997</v>
      </c>
      <c r="J42" s="382">
        <f>DSUM(BCO_JUN13,8,G_P_Fin)-DSUM(BCO_JUN13,7,G_P_Fin)</f>
        <v>8.5299999999999994</v>
      </c>
      <c r="K42" s="382">
        <f>DSUM(BCO_JUL13,8,G_P_Fin)-DSUM(BCO_JUL13,7,G_P_Fin)</f>
        <v>-0.61</v>
      </c>
      <c r="L42" s="382">
        <f>DSUM(BCO_AGO13,8,G_P_Fin)-DSUM(BCO_AGO13,7,G_P_Fin)</f>
        <v>-0.75</v>
      </c>
      <c r="M42" s="382"/>
    </row>
    <row r="43" spans="1:13" x14ac:dyDescent="0.2">
      <c r="A43" s="353" t="s">
        <v>1963</v>
      </c>
      <c r="B43" s="294" t="s">
        <v>1964</v>
      </c>
      <c r="C43" s="4"/>
      <c r="D43" s="299"/>
      <c r="E43" s="349">
        <f>DSUM(G_ENE_2013,GASTO,G_HCTB)</f>
        <v>1160</v>
      </c>
      <c r="F43" s="349">
        <f>DSUM(G_FEB_2013,GASTO,G_HCTB)</f>
        <v>1160</v>
      </c>
      <c r="G43" s="349">
        <f>DSUM(G_MAR_2013,GASTO,G_HCTB)</f>
        <v>2320</v>
      </c>
      <c r="H43" s="349">
        <f>DSUM(G_ABR_2013,GASTO,G_HCTB)</f>
        <v>1160</v>
      </c>
      <c r="I43" s="349">
        <f>DSUM(G_MAY_2013,GASTO,G_HCTB)+DSUM(BCO_MAY13,8,G_HCTB)</f>
        <v>0</v>
      </c>
      <c r="J43" s="349">
        <f>DSUM(G_JUN_2013,GASTO,G_HCTB)</f>
        <v>0</v>
      </c>
      <c r="K43" s="349">
        <f>DSUM(G_JUL_2013,GASTO,G_HCTB)</f>
        <v>0</v>
      </c>
      <c r="L43" s="349">
        <f>DSUM(G_AGO_2013,GASTO,G_HCTB)</f>
        <v>0</v>
      </c>
      <c r="M43" s="349"/>
    </row>
    <row r="44" spans="1:13" x14ac:dyDescent="0.2">
      <c r="A44" s="353" t="s">
        <v>1965</v>
      </c>
      <c r="B44" s="294" t="s">
        <v>1966</v>
      </c>
      <c r="C44" s="4"/>
      <c r="D44" s="299"/>
      <c r="E44" s="349">
        <f>DSUM(G_ENE_2013,GASTO,G_HJRD)</f>
        <v>0</v>
      </c>
      <c r="F44" s="349">
        <f>DSUM(G_FEB_2013,GASTO,G_HJRD)</f>
        <v>0</v>
      </c>
      <c r="G44" s="349">
        <f>DSUM(G_MAR_2013,GASTO,G_HJRD)</f>
        <v>0</v>
      </c>
      <c r="H44" s="349">
        <f>DSUM(G_ABR_2013,GASTO,G_HJRD)</f>
        <v>0</v>
      </c>
      <c r="I44" s="349">
        <f>DSUM(G_MAY_2013,GASTO,G_HJRD)+DSUM(BCO_MAY13,8,HJRD)</f>
        <v>8052</v>
      </c>
      <c r="J44" s="349">
        <f>DSUM(G_JUN_2013,GASTO,G_HJRD)</f>
        <v>0</v>
      </c>
      <c r="K44" s="349">
        <f>DSUM(G_JUL_2013,GASTO,G_HJRD)</f>
        <v>0</v>
      </c>
      <c r="L44" s="349">
        <f>DSUM(G_AGO_2013,GASTO,G_HJRD)</f>
        <v>0</v>
      </c>
      <c r="M44" s="349"/>
    </row>
    <row r="45" spans="1:13" x14ac:dyDescent="0.2">
      <c r="A45" s="353" t="s">
        <v>2057</v>
      </c>
      <c r="B45" s="294" t="s">
        <v>2056</v>
      </c>
      <c r="C45" s="4"/>
      <c r="D45" s="299"/>
      <c r="E45" s="349">
        <f>DSUM(G_ENE_2013,GASTO,G_ASLE)</f>
        <v>0</v>
      </c>
      <c r="F45" s="349">
        <f>DSUM(G_FEB_2013,GASTO,G_ASLE)</f>
        <v>4000</v>
      </c>
      <c r="G45" s="349">
        <f>DSUM(G_MAR_2013,GASTO,G_ASLE)</f>
        <v>0</v>
      </c>
      <c r="H45" s="349">
        <f>DSUM(G_ABR_2013,GASTO,G_ASLE)</f>
        <v>0</v>
      </c>
      <c r="I45" s="349">
        <f>DSUM(G_MAY_2013,GASTO,G_ASLE)</f>
        <v>0</v>
      </c>
      <c r="J45" s="349">
        <f>DSUM(G_JUN_2013,GASTO,G_ASLE)</f>
        <v>0</v>
      </c>
      <c r="K45" s="349">
        <f>DSUM(G_JUL_2013,GASTO,G_ASLE)</f>
        <v>0</v>
      </c>
      <c r="L45" s="349">
        <f>DSUM(G_AGO_2013,GASTO,G_ASLE)</f>
        <v>0</v>
      </c>
      <c r="M45" s="349"/>
    </row>
    <row r="46" spans="1:13" x14ac:dyDescent="0.2">
      <c r="A46" s="353" t="s">
        <v>1786</v>
      </c>
      <c r="B46" s="294" t="s">
        <v>2058</v>
      </c>
      <c r="C46" s="4"/>
      <c r="D46" s="299"/>
      <c r="E46" s="349">
        <f>DSUM(G_ENE_2013,GASTO,G_PAPE)</f>
        <v>1438</v>
      </c>
      <c r="F46" s="349">
        <f>DSUM(G_FEB_2013,GASTO,G_PAPE)</f>
        <v>287.5</v>
      </c>
      <c r="G46" s="349">
        <f>DSUM(G_MAR_2013,GASTO,G_PAPE)</f>
        <v>1002.69</v>
      </c>
      <c r="H46" s="349">
        <f>DSUM(G_ABR_2013,GASTO,G_PAPE)</f>
        <v>1217.31</v>
      </c>
      <c r="I46" s="349">
        <f>DSUM(G_MAY_2013,GASTO,G_PAPE)+DSUM(BCO_MAY13,8,G_PAPE)</f>
        <v>1497</v>
      </c>
      <c r="J46" s="349">
        <f>DSUM(G_JUN_2013,GASTO,G_PAPE)</f>
        <v>124.03</v>
      </c>
      <c r="K46" s="349">
        <f>DSUM(G_JUL_2013,GASTO,G_PAPE)</f>
        <v>686.36</v>
      </c>
      <c r="L46" s="349">
        <f>DSUM(G_AGO_2013,GASTO,G_PAPE)</f>
        <v>342.51</v>
      </c>
      <c r="M46" s="349"/>
    </row>
    <row r="47" spans="1:13" x14ac:dyDescent="0.2">
      <c r="A47" s="353" t="s">
        <v>1796</v>
      </c>
      <c r="B47" s="294" t="s">
        <v>1845</v>
      </c>
      <c r="C47" s="4"/>
      <c r="D47" s="299"/>
      <c r="E47" s="350">
        <f>DSUM(G_ENE_2013,GASTO,G_DIF)</f>
        <v>0</v>
      </c>
      <c r="F47" s="350">
        <f>DSUM(G_FEB_2013,GASTO,G_DIF)</f>
        <v>0</v>
      </c>
      <c r="G47" s="350">
        <f>DSUM(G_MAR_2013,GASTO,G_DIF)</f>
        <v>0</v>
      </c>
      <c r="H47" s="350">
        <f>DSUM(G_ABR_2013,GASTO,G_DIF)</f>
        <v>0</v>
      </c>
      <c r="I47" s="350">
        <f>DSUM(G_MAY_2013,GASTO,G_DIF)</f>
        <v>0</v>
      </c>
      <c r="J47" s="350">
        <f>DSUM(G_JUN_2013,GASTO,G_DIF)</f>
        <v>392</v>
      </c>
      <c r="K47" s="350">
        <f>DSUM(G_JUL_2013,GASTO,G_DIF)</f>
        <v>0</v>
      </c>
      <c r="L47" s="350">
        <f>DSUM(G_AGO_2013,GASTO,G_DIF)</f>
        <v>0</v>
      </c>
      <c r="M47" s="350"/>
    </row>
    <row r="48" spans="1:13" x14ac:dyDescent="0.2">
      <c r="A48" s="353" t="s">
        <v>1904</v>
      </c>
      <c r="B48" s="294" t="s">
        <v>1903</v>
      </c>
      <c r="C48" s="4"/>
      <c r="D48" s="299"/>
      <c r="E48" s="351">
        <f>DSUM(G_ENE_2013,GASTO,G_TLF)</f>
        <v>879</v>
      </c>
      <c r="F48" s="351">
        <f>DSUM(G_FEB_2013,GASTO,G_TLF)</f>
        <v>938</v>
      </c>
      <c r="G48" s="351">
        <f>DSUM(G_MAR_2013,GASTO,G_TLF)</f>
        <v>871</v>
      </c>
      <c r="H48" s="351">
        <f>DSUM(G_ABR_2013,GASTO,G_TLF)</f>
        <v>812</v>
      </c>
      <c r="I48" s="351">
        <f>DSUM(G_MAY_2013,GASTO,G_TLF)+DSUM(BCO_MAY13,8,G_TLF)</f>
        <v>685.03</v>
      </c>
      <c r="J48" s="351">
        <f>DSUM(G_JUN_2013,GASTO,G_TLF)</f>
        <v>0</v>
      </c>
      <c r="K48" s="351">
        <f>DSUM(G_JUL_2013,GASTO,G_TLF)</f>
        <v>1594.0900000000001</v>
      </c>
      <c r="L48" s="351">
        <f>DSUM(G_AGO_2013,GASTO,G_TLF)</f>
        <v>0</v>
      </c>
      <c r="M48" s="351"/>
    </row>
    <row r="49" spans="1:13" x14ac:dyDescent="0.2">
      <c r="A49" s="353"/>
      <c r="B49" s="342" t="s">
        <v>1809</v>
      </c>
      <c r="C49" s="343"/>
      <c r="D49" s="344"/>
      <c r="E49" s="345">
        <f t="shared" ref="E49:M49" si="12">SUM(E50)</f>
        <v>0</v>
      </c>
      <c r="F49" s="345">
        <f t="shared" si="12"/>
        <v>0</v>
      </c>
      <c r="G49" s="345">
        <f t="shared" si="12"/>
        <v>0</v>
      </c>
      <c r="H49" s="345">
        <f t="shared" si="12"/>
        <v>37.33</v>
      </c>
      <c r="I49" s="345">
        <f t="shared" si="12"/>
        <v>230.19</v>
      </c>
      <c r="J49" s="345">
        <f t="shared" si="12"/>
        <v>107.24</v>
      </c>
      <c r="K49" s="345">
        <f t="shared" si="12"/>
        <v>968.88206896551731</v>
      </c>
      <c r="L49" s="345">
        <f t="shared" si="12"/>
        <v>432.42448275862068</v>
      </c>
      <c r="M49" s="345">
        <f t="shared" si="12"/>
        <v>0</v>
      </c>
    </row>
    <row r="50" spans="1:13" x14ac:dyDescent="0.2">
      <c r="A50" s="353" t="s">
        <v>1955</v>
      </c>
      <c r="B50" s="302" t="s">
        <v>1810</v>
      </c>
      <c r="C50" s="5"/>
      <c r="D50" s="168"/>
      <c r="E50" s="352">
        <f>DSUM(G_ENE_2013,IVA,G_TOTAL)</f>
        <v>0</v>
      </c>
      <c r="F50" s="352">
        <f>DSUM(G_FEB_2013,IVA,G_TOTAL)</f>
        <v>0</v>
      </c>
      <c r="G50" s="352">
        <f>DSUM(G_MAR_2013,IVA,G_TOTAL)</f>
        <v>0</v>
      </c>
      <c r="H50" s="352">
        <f>DSUM(G_ABR_2013,IVA,G_TOTAL)</f>
        <v>37.33</v>
      </c>
      <c r="I50" s="352">
        <f>DSUM(G_MAY_2013,IVA,G_TOTAL)</f>
        <v>230.19</v>
      </c>
      <c r="J50" s="352">
        <f>DSUM(G_JUN_2013,IVA,G_TOTAL)</f>
        <v>107.24</v>
      </c>
      <c r="K50" s="352">
        <f>DSUM(G_JUL_2013,IVA,G_TOTAL)</f>
        <v>968.88206896551731</v>
      </c>
      <c r="L50" s="352">
        <f>DSUM(G_AGO_2013,IVA,G_TOTAL)</f>
        <v>432.42448275862068</v>
      </c>
      <c r="M50" s="352"/>
    </row>
    <row r="51" spans="1:13" ht="6" customHeight="1" x14ac:dyDescent="0.2">
      <c r="B51" s="305"/>
      <c r="C51" s="292"/>
      <c r="D51" s="182"/>
      <c r="E51" s="182"/>
      <c r="F51" s="182"/>
      <c r="G51" s="182"/>
      <c r="H51" s="182"/>
      <c r="I51" s="182"/>
      <c r="J51" s="182"/>
      <c r="K51" s="182"/>
      <c r="L51" s="182"/>
      <c r="M51" s="182"/>
    </row>
    <row r="52" spans="1:13" ht="21.95" customHeight="1" thickBot="1" x14ac:dyDescent="0.25">
      <c r="B52" s="61" t="s">
        <v>1814</v>
      </c>
      <c r="C52" s="64">
        <f t="shared" ref="C52" si="13">SUM(C38:C50)</f>
        <v>0</v>
      </c>
      <c r="D52" s="64">
        <f t="shared" ref="D52" si="14">SUM(D38:D50)</f>
        <v>0</v>
      </c>
      <c r="E52" s="64">
        <f t="shared" ref="E52:K52" si="15">SUM(E19,E27,E32,E39,E49)</f>
        <v>138004.21</v>
      </c>
      <c r="F52" s="64">
        <f t="shared" si="15"/>
        <v>109576.12</v>
      </c>
      <c r="G52" s="64">
        <f t="shared" si="15"/>
        <v>85195</v>
      </c>
      <c r="H52" s="64">
        <f t="shared" si="15"/>
        <v>73705.100000000006</v>
      </c>
      <c r="I52" s="64">
        <f t="shared" si="15"/>
        <v>94791.040000000008</v>
      </c>
      <c r="J52" s="64">
        <f t="shared" si="15"/>
        <v>64923.56</v>
      </c>
      <c r="K52" s="64">
        <f t="shared" si="15"/>
        <v>65841.279999999999</v>
      </c>
      <c r="L52" s="64">
        <f t="shared" ref="L52:M52" si="16">SUM(L19,L27,L32,L39,L49)</f>
        <v>65557.829999999987</v>
      </c>
      <c r="M52" s="64">
        <f t="shared" si="16"/>
        <v>0</v>
      </c>
    </row>
    <row r="53" spans="1:13" ht="14.25" thickTop="1" thickBot="1" x14ac:dyDescent="0.25">
      <c r="D53" s="3"/>
      <c r="E53" s="3"/>
      <c r="F53" s="3"/>
      <c r="G53" s="3"/>
      <c r="H53" s="3"/>
      <c r="J53" s="291"/>
    </row>
    <row r="54" spans="1:13" ht="21.95" customHeight="1" thickTop="1" thickBot="1" x14ac:dyDescent="0.25">
      <c r="B54" s="303" t="s">
        <v>1815</v>
      </c>
      <c r="C54" s="304"/>
      <c r="D54" s="304"/>
      <c r="E54" s="354">
        <f t="shared" ref="E54:I54" si="17">E16-E52</f>
        <v>6040.7900000000081</v>
      </c>
      <c r="F54" s="354">
        <f t="shared" si="17"/>
        <v>-6321.1199999999953</v>
      </c>
      <c r="G54" s="354">
        <f t="shared" si="17"/>
        <v>12860</v>
      </c>
      <c r="H54" s="354">
        <f t="shared" si="17"/>
        <v>-10710.100000000006</v>
      </c>
      <c r="I54" s="354">
        <f t="shared" si="17"/>
        <v>-1206.0400000000081</v>
      </c>
      <c r="J54" s="354">
        <f>J16-J52</f>
        <v>20591.440000000002</v>
      </c>
      <c r="K54" s="354">
        <f>K16-K52</f>
        <v>17193.72</v>
      </c>
      <c r="L54" s="354">
        <f>L16-L52</f>
        <v>9997.8800000000047</v>
      </c>
      <c r="M54" s="354">
        <f>M16-M52</f>
        <v>80895</v>
      </c>
    </row>
    <row r="55" spans="1:13" ht="14.25" thickTop="1" thickBot="1" x14ac:dyDescent="0.25">
      <c r="D55" s="3"/>
      <c r="E55" s="3"/>
      <c r="F55" s="3"/>
      <c r="G55" s="3"/>
      <c r="H55" s="3"/>
      <c r="J55" s="291"/>
    </row>
    <row r="56" spans="1:13" ht="21.95" customHeight="1" thickTop="1" thickBot="1" x14ac:dyDescent="0.25">
      <c r="B56" s="364" t="s">
        <v>1980</v>
      </c>
      <c r="C56" s="365"/>
      <c r="D56" s="365"/>
      <c r="E56" s="366"/>
      <c r="F56" s="366"/>
      <c r="G56" s="366"/>
      <c r="H56" s="366"/>
      <c r="I56" s="366"/>
      <c r="J56" s="366"/>
      <c r="K56" s="367"/>
      <c r="L56" s="367"/>
      <c r="M56" s="367"/>
    </row>
    <row r="57" spans="1:13" ht="13.5" thickTop="1" x14ac:dyDescent="0.2">
      <c r="A57" s="353"/>
      <c r="B57" s="294" t="s">
        <v>1981</v>
      </c>
      <c r="C57" s="4"/>
      <c r="D57" s="299"/>
      <c r="E57" s="368"/>
      <c r="F57" s="368"/>
      <c r="G57" s="368">
        <v>8240.4199999999983</v>
      </c>
      <c r="H57" s="368">
        <f t="shared" ref="H57:M58" si="18">G60</f>
        <v>9934.2199999999975</v>
      </c>
      <c r="I57" s="368">
        <f t="shared" si="18"/>
        <v>8023.1199999999881</v>
      </c>
      <c r="J57" s="368">
        <f t="shared" si="18"/>
        <v>15934.789999999983</v>
      </c>
      <c r="K57" s="368">
        <f t="shared" si="18"/>
        <v>37934.75999999998</v>
      </c>
      <c r="L57" s="368">
        <f t="shared" si="18"/>
        <v>43027.869999999988</v>
      </c>
      <c r="M57" s="368">
        <f t="shared" si="18"/>
        <v>42424.999999999993</v>
      </c>
    </row>
    <row r="58" spans="1:13" ht="13.5" thickBot="1" x14ac:dyDescent="0.25">
      <c r="A58" s="353"/>
      <c r="B58" s="294" t="s">
        <v>1982</v>
      </c>
      <c r="C58" s="4"/>
      <c r="D58" s="299"/>
      <c r="E58" s="368"/>
      <c r="F58" s="368"/>
      <c r="G58" s="368">
        <v>21140.39</v>
      </c>
      <c r="H58" s="368">
        <f t="shared" si="18"/>
        <v>32306.59</v>
      </c>
      <c r="I58" s="368">
        <f t="shared" si="18"/>
        <v>33507.590000000004</v>
      </c>
      <c r="J58" s="368">
        <f t="shared" si="18"/>
        <v>24389.88</v>
      </c>
      <c r="K58" s="368">
        <f t="shared" si="18"/>
        <v>22981.350000000002</v>
      </c>
      <c r="L58" s="368">
        <f t="shared" si="18"/>
        <v>35081.96</v>
      </c>
      <c r="M58" s="368">
        <f t="shared" si="18"/>
        <v>45682.71</v>
      </c>
    </row>
    <row r="59" spans="1:13" ht="21.95" customHeight="1" thickTop="1" thickBot="1" x14ac:dyDescent="0.25">
      <c r="B59" s="364" t="s">
        <v>1983</v>
      </c>
      <c r="C59" s="365"/>
      <c r="D59" s="365"/>
      <c r="E59" s="366"/>
      <c r="F59" s="366"/>
      <c r="G59" s="366"/>
      <c r="H59" s="366"/>
      <c r="I59" s="366"/>
      <c r="J59" s="366"/>
      <c r="K59" s="367"/>
      <c r="L59" s="367"/>
      <c r="M59" s="367"/>
    </row>
    <row r="60" spans="1:13" ht="13.5" thickTop="1" x14ac:dyDescent="0.2">
      <c r="A60" s="353"/>
      <c r="B60" s="294" t="s">
        <v>1981</v>
      </c>
      <c r="C60" s="4"/>
      <c r="D60" s="299"/>
      <c r="E60" s="368"/>
      <c r="F60" s="368">
        <v>8240.4199999999983</v>
      </c>
      <c r="G60" s="368">
        <f t="shared" ref="G60:L60" si="19">SUM(G57:G58,G54,-G61)</f>
        <v>9934.2199999999975</v>
      </c>
      <c r="H60" s="368">
        <f>SUM(H57:H58,H54,-H61)+10000</f>
        <v>8023.1199999999881</v>
      </c>
      <c r="I60" s="368">
        <f>SUM(I57:I58,I54,-I61)</f>
        <v>15934.789999999983</v>
      </c>
      <c r="J60" s="368">
        <f t="shared" si="19"/>
        <v>37934.75999999998</v>
      </c>
      <c r="K60" s="368">
        <f t="shared" si="19"/>
        <v>43027.869999999988</v>
      </c>
      <c r="L60" s="368">
        <f t="shared" si="19"/>
        <v>42424.999999999993</v>
      </c>
      <c r="M60" s="368">
        <f t="shared" ref="M60" si="20">SUM(M57:M58,M54,-M61)</f>
        <v>123320</v>
      </c>
    </row>
    <row r="61" spans="1:13" x14ac:dyDescent="0.2">
      <c r="A61" s="353"/>
      <c r="B61" s="296" t="s">
        <v>1982</v>
      </c>
      <c r="C61" s="2"/>
      <c r="D61" s="297"/>
      <c r="E61" s="369"/>
      <c r="F61" s="369">
        <v>21140.39</v>
      </c>
      <c r="G61" s="369">
        <v>32306.59</v>
      </c>
      <c r="H61" s="369">
        <v>33507.590000000004</v>
      </c>
      <c r="I61" s="369">
        <v>24389.88</v>
      </c>
      <c r="J61" s="369">
        <v>22981.350000000002</v>
      </c>
      <c r="K61" s="369">
        <v>35081.96</v>
      </c>
      <c r="L61" s="369">
        <v>45682.71</v>
      </c>
      <c r="M61" s="369">
        <v>45682.71</v>
      </c>
    </row>
    <row r="62" spans="1:13" x14ac:dyDescent="0.2">
      <c r="D62" s="3"/>
      <c r="E62" s="3"/>
      <c r="F62" s="3"/>
      <c r="G62" s="3"/>
      <c r="H62" s="3"/>
    </row>
    <row r="63" spans="1:13" x14ac:dyDescent="0.2">
      <c r="D63" s="3"/>
      <c r="E63" s="3"/>
    </row>
    <row r="64" spans="1:13" x14ac:dyDescent="0.2">
      <c r="D64" s="3"/>
      <c r="E64" s="3"/>
    </row>
    <row r="65" spans="3:5" x14ac:dyDescent="0.2">
      <c r="D65" s="3"/>
      <c r="E65" s="3"/>
    </row>
    <row r="66" spans="3:5" x14ac:dyDescent="0.2">
      <c r="D66" s="3"/>
      <c r="E66" s="3"/>
    </row>
    <row r="67" spans="3:5" x14ac:dyDescent="0.2">
      <c r="D67" s="3"/>
      <c r="E67" s="3"/>
    </row>
    <row r="68" spans="3:5" x14ac:dyDescent="0.2">
      <c r="D68" s="3"/>
      <c r="E68" s="3"/>
    </row>
    <row r="70" spans="3:5" x14ac:dyDescent="0.2">
      <c r="C70" s="184"/>
    </row>
  </sheetData>
  <sortState ref="A40:L47">
    <sortCondition ref="B40:B47"/>
  </sortState>
  <mergeCells count="1">
    <mergeCell ref="B1:J1"/>
  </mergeCells>
  <pageMargins left="0.78740157480314965" right="0.78740157480314965" top="0.78740157480314965" bottom="0.19685039370078741" header="0.31496062992125984" footer="0.39370078740157483"/>
  <pageSetup scale="54" orientation="landscape" horizontalDpi="0" verticalDpi="0" r:id="rId1"/>
  <headerFooter>
    <oddFooter>&amp;L&amp;"Tahoma,Cursiva"&amp;8&amp;D&amp;R&amp;F: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48"/>
  <sheetViews>
    <sheetView showGridLines="0" topLeftCell="A10" zoomScale="90" zoomScaleNormal="90" workbookViewId="0">
      <selection activeCell="E13" sqref="E13"/>
    </sheetView>
  </sheetViews>
  <sheetFormatPr baseColWidth="10" defaultRowHeight="12.75" x14ac:dyDescent="0.2"/>
  <cols>
    <col min="1" max="1" width="2.7109375" customWidth="1"/>
    <col min="2" max="2" width="6.7109375" customWidth="1"/>
    <col min="3" max="4" width="8.7109375" customWidth="1"/>
    <col min="5" max="5" width="9.85546875" customWidth="1"/>
    <col min="6" max="6" width="9.7109375" customWidth="1"/>
    <col min="7" max="8" width="8.7109375" customWidth="1"/>
    <col min="9" max="9" width="9.7109375" customWidth="1"/>
    <col min="10" max="10" width="9.140625" customWidth="1"/>
    <col min="11" max="11" width="9.7109375" customWidth="1"/>
    <col min="12" max="12" width="6.7109375" customWidth="1"/>
  </cols>
  <sheetData>
    <row r="1" spans="3:11" ht="18.75" x14ac:dyDescent="0.3">
      <c r="C1" s="162" t="s">
        <v>1234</v>
      </c>
    </row>
    <row r="2" spans="3:11" ht="14.25" x14ac:dyDescent="0.2">
      <c r="C2" s="161" t="s">
        <v>1970</v>
      </c>
      <c r="K2" s="355" t="s">
        <v>2065</v>
      </c>
    </row>
    <row r="3" spans="3:11" ht="24.95" customHeight="1" x14ac:dyDescent="0.2">
      <c r="C3" s="161" t="s">
        <v>1846</v>
      </c>
      <c r="E3" s="335">
        <f ca="1">TODAY()</f>
        <v>41985</v>
      </c>
    </row>
    <row r="5" spans="3:11" ht="18" customHeight="1" x14ac:dyDescent="0.2">
      <c r="F5" s="104" t="s">
        <v>1289</v>
      </c>
      <c r="G5" s="105"/>
      <c r="H5" s="106"/>
      <c r="I5" s="107"/>
    </row>
    <row r="6" spans="3:11" ht="14.1" customHeight="1" x14ac:dyDescent="0.2">
      <c r="F6" s="76" t="s">
        <v>1287</v>
      </c>
      <c r="G6" s="76" t="s">
        <v>1288</v>
      </c>
      <c r="H6" s="76" t="s">
        <v>1300</v>
      </c>
      <c r="I6" s="76" t="s">
        <v>1301</v>
      </c>
    </row>
    <row r="7" spans="3:11" ht="14.1" customHeight="1" x14ac:dyDescent="0.2">
      <c r="F7" s="11">
        <f>SUM(C13,C18,C33,H13,H18,H23,C23,H28,C28,H33)</f>
        <v>441</v>
      </c>
      <c r="G7" s="11">
        <f>SUM(D13,D18,D33,I13,I18,I23,D23,I28,D28,I33)</f>
        <v>312</v>
      </c>
      <c r="H7" s="103">
        <f>SUM(E13,E18,J13,E33,J18,J23,E23,J28,E28,J33)</f>
        <v>1194.075</v>
      </c>
      <c r="I7" s="103">
        <f>SUM(F13,F18,F33,K13,K18,K23,F23,K28,F28,K33)</f>
        <v>763.49499999999989</v>
      </c>
    </row>
    <row r="8" spans="3:11" ht="14.1" customHeight="1" x14ac:dyDescent="0.2">
      <c r="F8" s="183">
        <f>F7/$F$7</f>
        <v>1</v>
      </c>
      <c r="G8" s="78">
        <f>G7/F7</f>
        <v>0.70748299319727892</v>
      </c>
      <c r="I8" s="78">
        <f>I7/H7</f>
        <v>0.63940288507840781</v>
      </c>
    </row>
    <row r="9" spans="3:11" ht="14.1" customHeight="1" x14ac:dyDescent="0.2"/>
    <row r="10" spans="3:11" ht="14.1" customHeight="1" x14ac:dyDescent="0.2">
      <c r="D10" s="3"/>
    </row>
    <row r="11" spans="3:11" ht="18" customHeight="1" x14ac:dyDescent="0.2">
      <c r="C11" s="104" t="s">
        <v>1276</v>
      </c>
      <c r="D11" s="105"/>
      <c r="E11" s="106"/>
      <c r="F11" s="107"/>
      <c r="H11" s="104" t="s">
        <v>1278</v>
      </c>
      <c r="I11" s="105"/>
      <c r="J11" s="106"/>
      <c r="K11" s="107"/>
    </row>
    <row r="12" spans="3:11" ht="14.1" customHeight="1" x14ac:dyDescent="0.2">
      <c r="C12" s="76" t="s">
        <v>1287</v>
      </c>
      <c r="D12" s="76" t="s">
        <v>1288</v>
      </c>
      <c r="E12" s="76" t="s">
        <v>1300</v>
      </c>
      <c r="F12" s="76" t="s">
        <v>1301</v>
      </c>
      <c r="H12" s="76" t="s">
        <v>1287</v>
      </c>
      <c r="I12" s="76" t="s">
        <v>1288</v>
      </c>
      <c r="J12" s="76" t="s">
        <v>1300</v>
      </c>
      <c r="K12" s="76" t="s">
        <v>1301</v>
      </c>
    </row>
    <row r="13" spans="3:11" ht="14.1" customHeight="1" x14ac:dyDescent="0.2">
      <c r="C13" s="11">
        <f>DCOUNTA(CALLES,1,CL_TODO)</f>
        <v>111</v>
      </c>
      <c r="D13" s="11">
        <f>DCOUNTA(CALLES,1,CL_PAGA)</f>
        <v>77</v>
      </c>
      <c r="E13" s="103">
        <f>(DSUM(BASE_A,9,CUCHILLA)/1000)*SEP</f>
        <v>279.22499999999997</v>
      </c>
      <c r="F13" s="103">
        <f>DSUM(CALLES,6,CL)/1000</f>
        <v>173.495</v>
      </c>
      <c r="H13" s="11">
        <f>DCOUNTA(CALLES,1,EZ_TODO)</f>
        <v>78</v>
      </c>
      <c r="I13" s="11">
        <f>DCOUNTA(CALLES,1,EZ_PAGA)</f>
        <v>50</v>
      </c>
      <c r="J13" s="103">
        <f>(DSUM(BASE_A,9,ESTANZUELA)/1000)*SEP</f>
        <v>178.20000000000002</v>
      </c>
      <c r="K13" s="103">
        <f>DSUM(CALLES,6,EZ)/1000</f>
        <v>106.95</v>
      </c>
    </row>
    <row r="14" spans="3:11" ht="14.1" customHeight="1" x14ac:dyDescent="0.2">
      <c r="C14" s="183">
        <f>C13/$F$7</f>
        <v>0.25170068027210885</v>
      </c>
      <c r="D14" s="78">
        <f>D13/C13</f>
        <v>0.69369369369369371</v>
      </c>
      <c r="F14" s="78">
        <f>F13/E13</f>
        <v>0.62134479362521278</v>
      </c>
      <c r="H14" s="183">
        <f>H13/$F$7</f>
        <v>0.17687074829931973</v>
      </c>
      <c r="I14" s="78">
        <f>I13/H13</f>
        <v>0.64102564102564108</v>
      </c>
      <c r="K14" s="78">
        <f>K13/J13</f>
        <v>0.60016835016835013</v>
      </c>
    </row>
    <row r="15" spans="3:11" ht="14.1" customHeight="1" x14ac:dyDescent="0.2"/>
    <row r="16" spans="3:11" ht="18" customHeight="1" x14ac:dyDescent="0.2">
      <c r="C16" s="104" t="s">
        <v>1277</v>
      </c>
      <c r="D16" s="105"/>
      <c r="E16" s="106"/>
      <c r="F16" s="107"/>
      <c r="H16" s="104" t="s">
        <v>1279</v>
      </c>
      <c r="I16" s="105"/>
      <c r="J16" s="106"/>
      <c r="K16" s="107"/>
    </row>
    <row r="17" spans="3:11" ht="14.1" customHeight="1" x14ac:dyDescent="0.2">
      <c r="C17" s="76" t="s">
        <v>1287</v>
      </c>
      <c r="D17" s="76" t="s">
        <v>1288</v>
      </c>
      <c r="E17" s="76" t="s">
        <v>1300</v>
      </c>
      <c r="F17" s="76" t="s">
        <v>1301</v>
      </c>
      <c r="H17" s="76" t="s">
        <v>1287</v>
      </c>
      <c r="I17" s="76" t="s">
        <v>1288</v>
      </c>
      <c r="J17" s="76" t="s">
        <v>1300</v>
      </c>
      <c r="K17" s="76" t="s">
        <v>1301</v>
      </c>
    </row>
    <row r="18" spans="3:11" ht="14.1" customHeight="1" x14ac:dyDescent="0.2">
      <c r="C18" s="11">
        <f>DCOUNTA(CALLES,1,EP_TODO)</f>
        <v>5</v>
      </c>
      <c r="D18" s="11">
        <f>DCOUNTA(CALLES,1,EP_PAGA)</f>
        <v>3</v>
      </c>
      <c r="E18" s="103">
        <f>(DSUM(BASE_A,9,ESTOPILA)/1000)*SEP</f>
        <v>10.799999999999999</v>
      </c>
      <c r="F18" s="103">
        <f>DSUM(CALLES,6,EP)/1000</f>
        <v>4.05</v>
      </c>
      <c r="H18" s="11">
        <f>DCOUNTA(CALLES,1,HS_TODO)</f>
        <v>5</v>
      </c>
      <c r="I18" s="11">
        <f>DCOUNTA(CALLES,1,HS_PAGA)</f>
        <v>3</v>
      </c>
      <c r="J18" s="103">
        <f>(DSUM(BASE_A,9,HUESO)/1000)*SEP</f>
        <v>19.8</v>
      </c>
      <c r="K18" s="103">
        <f>DSUM(CALLES,6,HS)/1000</f>
        <v>10.4</v>
      </c>
    </row>
    <row r="19" spans="3:11" ht="14.1" customHeight="1" x14ac:dyDescent="0.2">
      <c r="C19" s="183">
        <f>C18/$F$7</f>
        <v>1.1337868480725623E-2</v>
      </c>
      <c r="D19" s="78">
        <f>D18/C18</f>
        <v>0.6</v>
      </c>
      <c r="F19" s="78">
        <f>F18/E18</f>
        <v>0.375</v>
      </c>
      <c r="H19" s="183">
        <f>H18/$F$7</f>
        <v>1.1337868480725623E-2</v>
      </c>
      <c r="I19" s="78">
        <f>I18/H18</f>
        <v>0.6</v>
      </c>
      <c r="K19" s="78">
        <f>K18/J18</f>
        <v>0.5252525252525253</v>
      </c>
    </row>
    <row r="20" spans="3:11" ht="14.1" customHeight="1" x14ac:dyDescent="0.2"/>
    <row r="21" spans="3:11" ht="18" customHeight="1" x14ac:dyDescent="0.2">
      <c r="C21" s="104" t="s">
        <v>1281</v>
      </c>
      <c r="D21" s="105"/>
      <c r="E21" s="106"/>
      <c r="F21" s="107"/>
      <c r="H21" s="104" t="s">
        <v>1280</v>
      </c>
      <c r="I21" s="105"/>
      <c r="J21" s="106"/>
      <c r="K21" s="107"/>
    </row>
    <row r="22" spans="3:11" ht="14.1" customHeight="1" x14ac:dyDescent="0.2">
      <c r="C22" s="76" t="s">
        <v>1287</v>
      </c>
      <c r="D22" s="76" t="s">
        <v>1288</v>
      </c>
      <c r="E22" s="76" t="s">
        <v>1300</v>
      </c>
      <c r="F22" s="76" t="s">
        <v>1301</v>
      </c>
      <c r="H22" s="76" t="s">
        <v>1287</v>
      </c>
      <c r="I22" s="76" t="s">
        <v>1288</v>
      </c>
      <c r="J22" s="76" t="s">
        <v>1300</v>
      </c>
      <c r="K22" s="76" t="s">
        <v>1301</v>
      </c>
    </row>
    <row r="23" spans="3:11" ht="14.1" customHeight="1" x14ac:dyDescent="0.2">
      <c r="C23" s="11">
        <f>DCOUNTA(CALLES,1,RM_TODO)</f>
        <v>10</v>
      </c>
      <c r="D23" s="11">
        <f>DCOUNTA(CALLES,1,RM_PAGA)</f>
        <v>7</v>
      </c>
      <c r="E23" s="103">
        <f>(DSUM(BASE_A,9,ROMERAL)/1000)*SEP</f>
        <v>22.95</v>
      </c>
      <c r="F23" s="103">
        <f>DSUM(CALLES,6,RM)/1000</f>
        <v>13.65</v>
      </c>
      <c r="H23" s="11">
        <f>DCOUNTA(CALLES,1,LD_TODO)</f>
        <v>82</v>
      </c>
      <c r="I23" s="11">
        <f>DCOUNTA(CALLES,1,LD_PAGA)</f>
        <v>61</v>
      </c>
      <c r="J23" s="103">
        <f>(DSUM(BASE_A,9,LANDERO)/1000)*SEP</f>
        <v>205.65</v>
      </c>
      <c r="K23" s="103">
        <f>DSUM(CALLES,6,LD)/1000</f>
        <v>119.35</v>
      </c>
    </row>
    <row r="24" spans="3:11" ht="14.1" customHeight="1" x14ac:dyDescent="0.2">
      <c r="C24" s="183">
        <f>C23/$F$7</f>
        <v>2.2675736961451247E-2</v>
      </c>
      <c r="D24" s="78">
        <f>D23/C23</f>
        <v>0.7</v>
      </c>
      <c r="F24" s="78">
        <f>F23/E23</f>
        <v>0.59477124183006536</v>
      </c>
      <c r="H24" s="183">
        <f>H23/$F$7</f>
        <v>0.18594104308390022</v>
      </c>
      <c r="I24" s="78">
        <f>I23/H23</f>
        <v>0.74390243902439024</v>
      </c>
      <c r="K24" s="78">
        <f>K23/J23</f>
        <v>0.58035497203987352</v>
      </c>
    </row>
    <row r="25" spans="3:11" ht="14.1" customHeight="1" x14ac:dyDescent="0.2"/>
    <row r="26" spans="3:11" ht="18" customHeight="1" x14ac:dyDescent="0.2">
      <c r="C26" s="104" t="s">
        <v>1283</v>
      </c>
      <c r="D26" s="105"/>
      <c r="E26" s="106"/>
      <c r="F26" s="107"/>
      <c r="G26" s="77"/>
      <c r="H26" s="104" t="s">
        <v>1282</v>
      </c>
      <c r="I26" s="105"/>
      <c r="J26" s="106"/>
      <c r="K26" s="107"/>
    </row>
    <row r="27" spans="3:11" ht="14.1" customHeight="1" x14ac:dyDescent="0.2">
      <c r="C27" s="76" t="s">
        <v>1287</v>
      </c>
      <c r="D27" s="76" t="s">
        <v>1288</v>
      </c>
      <c r="E27" s="76" t="s">
        <v>1300</v>
      </c>
      <c r="F27" s="76" t="s">
        <v>1301</v>
      </c>
      <c r="G27" s="13"/>
      <c r="H27" s="76" t="s">
        <v>1287</v>
      </c>
      <c r="I27" s="76" t="s">
        <v>1288</v>
      </c>
      <c r="J27" s="76" t="s">
        <v>1300</v>
      </c>
      <c r="K27" s="76" t="s">
        <v>1301</v>
      </c>
    </row>
    <row r="28" spans="3:11" ht="14.1" customHeight="1" x14ac:dyDescent="0.2">
      <c r="C28" s="11">
        <f>DCOUNTA(CALLES,1,UP_TODO)</f>
        <v>101</v>
      </c>
      <c r="D28" s="11">
        <f>DCOUNTA(CALLES,1,UP_PAGA)</f>
        <v>72</v>
      </c>
      <c r="E28" s="103">
        <f>(DSUM(BASE_A,9,UPACUARO)/1000)*SEP</f>
        <v>261.90000000000003</v>
      </c>
      <c r="F28" s="103">
        <f>DSUM(CALLES,6,UP)/1000</f>
        <v>166.45</v>
      </c>
      <c r="G28" s="77"/>
      <c r="H28" s="11">
        <f>DCOUNTA(CALLES,1,RV_TODO)</f>
        <v>15</v>
      </c>
      <c r="I28" s="11">
        <f>DCOUNTA(CALLES,1,RV_PAGA)</f>
        <v>13</v>
      </c>
      <c r="J28" s="103">
        <f>(DSUM(BASE_A,9,RECOVECO)/1000)*SEP</f>
        <v>39.15</v>
      </c>
      <c r="K28" s="103">
        <f>DSUM(CALLES,6,RV)/1000</f>
        <v>32.1</v>
      </c>
    </row>
    <row r="29" spans="3:11" ht="14.1" customHeight="1" x14ac:dyDescent="0.2">
      <c r="C29" s="183">
        <f>C28/$F$7</f>
        <v>0.22902494331065759</v>
      </c>
      <c r="D29" s="78">
        <f>D28/C28</f>
        <v>0.71287128712871284</v>
      </c>
      <c r="F29" s="78">
        <f>F28/E28</f>
        <v>0.63554791905307362</v>
      </c>
      <c r="H29" s="183">
        <f>H28/$F$7</f>
        <v>3.4013605442176874E-2</v>
      </c>
      <c r="I29" s="78">
        <f>I28/H28</f>
        <v>0.8666666666666667</v>
      </c>
      <c r="K29" s="78">
        <f>K28/J28</f>
        <v>0.81992337164750961</v>
      </c>
    </row>
    <row r="30" spans="3:11" ht="14.1" customHeight="1" x14ac:dyDescent="0.2"/>
    <row r="31" spans="3:11" ht="18" customHeight="1" x14ac:dyDescent="0.2">
      <c r="C31" s="104" t="s">
        <v>428</v>
      </c>
      <c r="D31" s="105"/>
      <c r="E31" s="106"/>
      <c r="F31" s="107"/>
      <c r="H31" s="104" t="s">
        <v>1284</v>
      </c>
      <c r="I31" s="105"/>
      <c r="J31" s="106"/>
      <c r="K31" s="107"/>
    </row>
    <row r="32" spans="3:11" ht="14.1" customHeight="1" x14ac:dyDescent="0.2">
      <c r="C32" s="76" t="s">
        <v>1287</v>
      </c>
      <c r="D32" s="76" t="s">
        <v>1288</v>
      </c>
      <c r="E32" s="76" t="s">
        <v>1300</v>
      </c>
      <c r="F32" s="76" t="s">
        <v>1301</v>
      </c>
      <c r="H32" s="76" t="s">
        <v>1287</v>
      </c>
      <c r="I32" s="76" t="s">
        <v>1288</v>
      </c>
      <c r="J32" s="76" t="s">
        <v>1300</v>
      </c>
      <c r="K32" s="76" t="s">
        <v>1301</v>
      </c>
    </row>
    <row r="33" spans="3:11" ht="14.1" customHeight="1" x14ac:dyDescent="0.2">
      <c r="C33" s="11">
        <f>DCOUNTA(CALLES,1,CM_TODO)</f>
        <v>1</v>
      </c>
      <c r="D33" s="11">
        <f>DCOUNTA(CALLES,1,CM_PAGA)</f>
        <v>1</v>
      </c>
      <c r="E33" s="103">
        <f>(DSUM(BASE_A,9,Carmel)/1000)*SEP</f>
        <v>90</v>
      </c>
      <c r="F33" s="103">
        <f>DSUM(CALLES,6,CM)/1000</f>
        <v>80</v>
      </c>
      <c r="H33" s="11">
        <f>DCOUNTA(CALLES,1,ZB_TODO)</f>
        <v>33</v>
      </c>
      <c r="I33" s="11">
        <f>DCOUNTA(CALLES,1,ZB_PAGA)</f>
        <v>25</v>
      </c>
      <c r="J33" s="103">
        <f>(DSUM(BASE_A,9,ZINAMBA)/1000)*SEP</f>
        <v>86.399999999999991</v>
      </c>
      <c r="K33" s="103">
        <f>DSUM(CALLES,6,ZB)/1000</f>
        <v>57.05</v>
      </c>
    </row>
    <row r="34" spans="3:11" ht="14.1" customHeight="1" x14ac:dyDescent="0.2">
      <c r="C34" s="183">
        <f>C33/$F$7</f>
        <v>2.2675736961451248E-3</v>
      </c>
      <c r="D34" s="78">
        <f>D33/C33</f>
        <v>1</v>
      </c>
      <c r="F34" s="78">
        <f>F33/E33</f>
        <v>0.88888888888888884</v>
      </c>
      <c r="H34" s="183">
        <f>H33/$F$7</f>
        <v>7.4829931972789115E-2</v>
      </c>
      <c r="I34" s="78">
        <f>I33/H33</f>
        <v>0.75757575757575757</v>
      </c>
      <c r="K34" s="78">
        <f>K33/J33</f>
        <v>0.66030092592592593</v>
      </c>
    </row>
    <row r="35" spans="3:11" ht="14.1" customHeight="1" x14ac:dyDescent="0.2"/>
    <row r="36" spans="3:11" ht="14.1" customHeight="1" x14ac:dyDescent="0.2">
      <c r="K36" s="185" t="s">
        <v>1302</v>
      </c>
    </row>
    <row r="37" spans="3:11" ht="20.25" customHeight="1" x14ac:dyDescent="0.2">
      <c r="D37" s="439" t="s">
        <v>1671</v>
      </c>
      <c r="E37" s="439"/>
      <c r="F37" s="439"/>
      <c r="G37" s="135"/>
      <c r="H37" s="135"/>
      <c r="I37" s="135"/>
      <c r="J37" s="135"/>
    </row>
    <row r="38" spans="3:11" ht="14.1" customHeight="1" x14ac:dyDescent="0.2">
      <c r="D38" s="132" t="s">
        <v>1276</v>
      </c>
      <c r="E38" s="133">
        <f>DSUM(BASE_A,9,CUCHILLA)</f>
        <v>31025</v>
      </c>
      <c r="F38" s="134">
        <f t="shared" ref="F38:F48" si="0">E38/$E$48</f>
        <v>0.23384209534576975</v>
      </c>
    </row>
    <row r="39" spans="3:11" ht="14.1" customHeight="1" x14ac:dyDescent="0.2">
      <c r="D39" s="132" t="s">
        <v>1278</v>
      </c>
      <c r="E39" s="133">
        <f>DSUM(BASE_A,9,ESTANZUELA)</f>
        <v>19800</v>
      </c>
      <c r="F39" s="134">
        <f t="shared" si="0"/>
        <v>0.14923685698134539</v>
      </c>
    </row>
    <row r="40" spans="3:11" ht="14.1" customHeight="1" x14ac:dyDescent="0.2">
      <c r="D40" s="132" t="s">
        <v>428</v>
      </c>
      <c r="E40" s="133">
        <f>DSUM(BASE_A,9,Carmel)</f>
        <v>10000</v>
      </c>
      <c r="F40" s="134">
        <f t="shared" si="0"/>
        <v>7.537214999057848E-2</v>
      </c>
    </row>
    <row r="41" spans="3:11" ht="14.1" customHeight="1" x14ac:dyDescent="0.2">
      <c r="D41" s="132" t="s">
        <v>1283</v>
      </c>
      <c r="E41" s="133">
        <f>DSUM(BASE_A,9,UPACUARO)</f>
        <v>29100</v>
      </c>
      <c r="F41" s="134">
        <f t="shared" si="0"/>
        <v>0.21933295647258338</v>
      </c>
    </row>
    <row r="42" spans="3:11" ht="14.1" customHeight="1" x14ac:dyDescent="0.2">
      <c r="D42" s="132" t="s">
        <v>1280</v>
      </c>
      <c r="E42" s="133">
        <f>DSUM(BASE_A,9,LANDERO)</f>
        <v>22850</v>
      </c>
      <c r="F42" s="134">
        <f t="shared" si="0"/>
        <v>0.17222536272847183</v>
      </c>
    </row>
    <row r="43" spans="3:11" ht="14.1" customHeight="1" x14ac:dyDescent="0.2">
      <c r="D43" s="132" t="s">
        <v>1284</v>
      </c>
      <c r="E43" s="133">
        <f>DSUM(BASE_A,9,ZINAMBA)</f>
        <v>9600</v>
      </c>
      <c r="F43" s="134">
        <f t="shared" si="0"/>
        <v>7.2357263990955337E-2</v>
      </c>
    </row>
    <row r="44" spans="3:11" ht="14.1" customHeight="1" x14ac:dyDescent="0.2">
      <c r="D44" s="132" t="s">
        <v>1282</v>
      </c>
      <c r="E44" s="133">
        <f>DSUM(BASE_A,9,RECOVECO)</f>
        <v>4350</v>
      </c>
      <c r="F44" s="134">
        <f t="shared" si="0"/>
        <v>3.2786885245901641E-2</v>
      </c>
    </row>
    <row r="45" spans="3:11" ht="14.1" customHeight="1" x14ac:dyDescent="0.2">
      <c r="D45" s="132" t="s">
        <v>1281</v>
      </c>
      <c r="E45" s="133">
        <f>DSUM(BASE_A,9,ROMERAL)</f>
        <v>2550</v>
      </c>
      <c r="F45" s="134">
        <f t="shared" si="0"/>
        <v>1.9219898247597511E-2</v>
      </c>
    </row>
    <row r="46" spans="3:11" ht="14.1" customHeight="1" x14ac:dyDescent="0.2">
      <c r="D46" s="132" t="s">
        <v>1279</v>
      </c>
      <c r="E46" s="133">
        <f>DSUM(BASE_A,9,HUESO)</f>
        <v>2200</v>
      </c>
      <c r="F46" s="134">
        <f t="shared" si="0"/>
        <v>1.6581872997927266E-2</v>
      </c>
    </row>
    <row r="47" spans="3:11" x14ac:dyDescent="0.2">
      <c r="D47" s="132" t="s">
        <v>1277</v>
      </c>
      <c r="E47" s="133">
        <f>DSUM(BASE_A,9,ESTOPILA)</f>
        <v>1200</v>
      </c>
      <c r="F47" s="134">
        <f t="shared" si="0"/>
        <v>9.0446579988694171E-3</v>
      </c>
    </row>
    <row r="48" spans="3:11" x14ac:dyDescent="0.2">
      <c r="D48" s="132" t="s">
        <v>1670</v>
      </c>
      <c r="E48" s="133">
        <f>SUM(E38:E47)</f>
        <v>132675</v>
      </c>
      <c r="F48" s="134">
        <f t="shared" si="0"/>
        <v>1</v>
      </c>
    </row>
  </sheetData>
  <mergeCells count="1">
    <mergeCell ref="D37:F37"/>
  </mergeCells>
  <printOptions horizontalCentered="1"/>
  <pageMargins left="0.59055118110236227" right="0.59055118110236227" top="0.98425196850393704" bottom="0.59055118110236227" header="0.31496062992125984" footer="0.39370078740157483"/>
  <pageSetup scale="66" orientation="landscape" horizontalDpi="0" verticalDpi="0" r:id="rId1"/>
  <headerFooter>
    <oddFooter>&amp;L&amp;"Tahoma,Cursiva"&amp;9&amp;D&amp;R&amp;8&amp;F :  &amp;A</oddFooter>
  </headerFooter>
  <ignoredErrors>
    <ignoredError sqref="H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J31"/>
  <sheetViews>
    <sheetView showGridLines="0" zoomScaleNormal="100" workbookViewId="0">
      <selection activeCell="L25" sqref="L25"/>
    </sheetView>
  </sheetViews>
  <sheetFormatPr baseColWidth="10" defaultRowHeight="12.75" x14ac:dyDescent="0.2"/>
  <cols>
    <col min="1" max="1" width="11" customWidth="1"/>
    <col min="2" max="2" width="6.7109375" customWidth="1"/>
    <col min="3" max="3" width="5.85546875" customWidth="1"/>
    <col min="4" max="4" width="14.42578125" customWidth="1"/>
    <col min="6" max="9" width="11.7109375" customWidth="1"/>
    <col min="10" max="10" width="3.7109375" customWidth="1"/>
    <col min="11" max="12" width="11.42578125" customWidth="1"/>
  </cols>
  <sheetData>
    <row r="1" spans="1:9" x14ac:dyDescent="0.2">
      <c r="A1" s="54" t="s">
        <v>903</v>
      </c>
      <c r="B1" s="54" t="s">
        <v>1182</v>
      </c>
      <c r="C1" s="52"/>
      <c r="D1" s="50"/>
      <c r="E1" s="50"/>
      <c r="F1" s="50"/>
    </row>
    <row r="2" spans="1:9" x14ac:dyDescent="0.2">
      <c r="A2" s="58" t="str">
        <f>VLOOKUP(A4,BASE_B,2,FALSE)</f>
        <v>CL_29_</v>
      </c>
      <c r="B2" s="55">
        <v>1</v>
      </c>
      <c r="C2" s="51"/>
      <c r="D2" s="50"/>
      <c r="E2" s="50"/>
      <c r="F2" s="50"/>
    </row>
    <row r="3" spans="1:9" x14ac:dyDescent="0.2">
      <c r="A3" s="50"/>
      <c r="B3" s="50"/>
      <c r="C3" s="50"/>
      <c r="F3" s="50"/>
    </row>
    <row r="4" spans="1:9" x14ac:dyDescent="0.2">
      <c r="A4" s="57">
        <v>19</v>
      </c>
      <c r="B4" s="53"/>
      <c r="C4" s="53"/>
      <c r="F4" s="50"/>
    </row>
    <row r="5" spans="1:9" ht="20.25" x14ac:dyDescent="0.3">
      <c r="A5" s="56"/>
      <c r="B5" s="53"/>
      <c r="C5" s="53"/>
      <c r="D5" s="65" t="s">
        <v>1234</v>
      </c>
      <c r="F5" s="50"/>
    </row>
    <row r="6" spans="1:9" x14ac:dyDescent="0.2">
      <c r="A6" s="50"/>
      <c r="B6" s="50"/>
      <c r="C6" s="50"/>
      <c r="D6" s="50"/>
      <c r="E6" s="50"/>
      <c r="F6" s="50"/>
    </row>
    <row r="7" spans="1:9" ht="15" customHeight="1" thickBot="1" x14ac:dyDescent="0.25">
      <c r="D7" t="s">
        <v>689</v>
      </c>
      <c r="E7" s="80"/>
      <c r="F7" s="80"/>
      <c r="G7" s="81" t="str">
        <f>VLOOKUP(A2,BASE_A,8,FALSE)</f>
        <v>Vega Sánchez C.</v>
      </c>
    </row>
    <row r="8" spans="1:9" ht="18" customHeight="1" thickTop="1" thickBot="1" x14ac:dyDescent="0.25">
      <c r="D8" t="s">
        <v>885</v>
      </c>
      <c r="E8" s="82"/>
      <c r="F8" s="82"/>
      <c r="G8" s="83" t="str">
        <f>VLOOKUP(A2,BASE_A,6,FALSE)</f>
        <v>Rancho La Cuchilla No. 29</v>
      </c>
    </row>
    <row r="9" spans="1:9" ht="15" customHeight="1" thickTop="1" thickBot="1" x14ac:dyDescent="0.25">
      <c r="D9" t="s">
        <v>1290</v>
      </c>
      <c r="G9" s="85">
        <f>(VLOOKUP(A2,BASE_A,9,FALSE))</f>
        <v>300</v>
      </c>
    </row>
    <row r="10" spans="1:9" ht="15" customHeight="1" thickTop="1" x14ac:dyDescent="0.2">
      <c r="F10" s="440" t="s">
        <v>1291</v>
      </c>
      <c r="G10" s="441"/>
    </row>
    <row r="11" spans="1:9" ht="15" customHeight="1" x14ac:dyDescent="0.2">
      <c r="F11" s="84" t="s">
        <v>1292</v>
      </c>
      <c r="G11" s="79" t="s">
        <v>1293</v>
      </c>
    </row>
    <row r="12" spans="1:9" ht="15" customHeight="1" x14ac:dyDescent="0.2">
      <c r="F12" s="86">
        <f>G9*COUNT(A19:A30)</f>
        <v>2400</v>
      </c>
      <c r="G12" s="86">
        <f>SUM(I18:I30)-SUM(G18:G30)</f>
        <v>0</v>
      </c>
    </row>
    <row r="13" spans="1:9" ht="15" customHeight="1" x14ac:dyDescent="0.2">
      <c r="D13" t="s">
        <v>1718</v>
      </c>
      <c r="G13" s="263">
        <f>G12/G9</f>
        <v>0</v>
      </c>
      <c r="H13" s="250"/>
    </row>
    <row r="14" spans="1:9" ht="15" x14ac:dyDescent="0.2">
      <c r="G14" s="40"/>
    </row>
    <row r="15" spans="1:9" ht="13.5" thickBot="1" x14ac:dyDescent="0.25"/>
    <row r="16" spans="1:9" ht="21.95" customHeight="1" thickTop="1" x14ac:dyDescent="0.2">
      <c r="D16" s="94" t="s">
        <v>1191</v>
      </c>
      <c r="E16" s="95"/>
      <c r="F16" s="95"/>
      <c r="G16" s="95"/>
      <c r="H16" s="95"/>
      <c r="I16" s="96"/>
    </row>
    <row r="17" spans="1:10" ht="33" customHeight="1" thickBot="1" x14ac:dyDescent="0.25">
      <c r="D17" s="36" t="s">
        <v>1197</v>
      </c>
      <c r="E17" s="37" t="s">
        <v>1198</v>
      </c>
      <c r="F17" s="37" t="s">
        <v>758</v>
      </c>
      <c r="G17" s="93" t="s">
        <v>1296</v>
      </c>
      <c r="H17" s="101" t="s">
        <v>1299</v>
      </c>
      <c r="I17" s="38" t="s">
        <v>1297</v>
      </c>
    </row>
    <row r="18" spans="1:10" ht="13.5" thickTop="1" x14ac:dyDescent="0.2">
      <c r="A18" s="35"/>
      <c r="B18" s="35"/>
      <c r="C18" s="35"/>
      <c r="D18" s="39" t="s">
        <v>1240</v>
      </c>
      <c r="E18" s="97" t="str">
        <f>IF(DSUM(DIC_2012,1,INDICE)=0,"",DSUM(DIC_2012,1,INDICE))</f>
        <v/>
      </c>
      <c r="F18" s="98" t="str">
        <f>IF(DSUM(DIC_2012,8,INDICE)=0,"",DSUM(DIC_2012,8,INDICE))</f>
        <v/>
      </c>
      <c r="G18" s="99">
        <f>IF(DSUM(DIC_2012,7,INDICE)=0,0,(DSUM(DIC_2012,AA,INDICE))*(VLOOKUP(A2,BASE_A,9,FALSE)))</f>
        <v>0</v>
      </c>
      <c r="H18" s="99">
        <f t="shared" ref="H18:H26" si="0">I18-G18</f>
        <v>0</v>
      </c>
      <c r="I18" s="100">
        <f>IF(DSUM(DIC_2012,7,INDICE)=0,0,DSUM(DIC_2012,7,INDICE))</f>
        <v>0</v>
      </c>
      <c r="J18" s="70" t="str">
        <f>IF(OR(E18="",AND(E18&gt;=recibos!B5,E18&lt;=recibos!B263)),"OK","NO")</f>
        <v>OK</v>
      </c>
    </row>
    <row r="19" spans="1:10" x14ac:dyDescent="0.2">
      <c r="A19" s="35">
        <f t="shared" ref="A19:A24" si="1">IF(D19=0,"",1)</f>
        <v>1</v>
      </c>
      <c r="B19" s="35"/>
      <c r="C19" s="35"/>
      <c r="D19" s="251" t="s">
        <v>1193</v>
      </c>
      <c r="E19" s="252" t="str">
        <f>IF(DSUM(ENE_2013,1,INDICE)=0,"",DSUM(ENE_2013,1,INDICE))</f>
        <v/>
      </c>
      <c r="F19" s="253" t="str">
        <f>IF(DSUM(ENE_2013,8,INDICE)=0,"",DSUM(ENE_2013,8,INDICE))</f>
        <v/>
      </c>
      <c r="G19" s="254">
        <f>IF(DSUM(ENE_2013,7,INDICE)=0,0,(DSUM(ENE_2013,22,INDICE))*(VLOOKUP(A2,BASE_A,9,FALSE)))</f>
        <v>0</v>
      </c>
      <c r="H19" s="254">
        <f t="shared" si="0"/>
        <v>0</v>
      </c>
      <c r="I19" s="255">
        <f>IF(DSUM(ENE_2013,7,INDICE)=0,0,DSUM(ENE_2013,7,INDICE))</f>
        <v>0</v>
      </c>
      <c r="J19" s="70" t="str">
        <f>IF(OR(E19="",AND(E19&gt;=recibos!B265,E19&lt;=recibos!B519)),"OK","NO")</f>
        <v>OK</v>
      </c>
    </row>
    <row r="20" spans="1:10" x14ac:dyDescent="0.2">
      <c r="A20" s="35">
        <f t="shared" si="1"/>
        <v>1</v>
      </c>
      <c r="B20" s="35"/>
      <c r="C20" s="35"/>
      <c r="D20" s="251" t="s">
        <v>1192</v>
      </c>
      <c r="E20" s="252" t="str">
        <f>IF(DSUM(FEB_2013,1,INDICE)=0,"",DSUM(FEB_2013,1,INDICE))</f>
        <v/>
      </c>
      <c r="F20" s="253" t="str">
        <f>IF(DSUM(FEB_2013,8,INDICE)=0,"",DSUM(FEB_2013,8,INDICE))</f>
        <v/>
      </c>
      <c r="G20" s="254">
        <f>IF(DSUM(FEB_2013,7,INDICE)=0,0,(DSUM(FEB_2013,22,INDICE))*(VLOOKUP(A$2,BASE_A,9,FALSE)))</f>
        <v>0</v>
      </c>
      <c r="H20" s="254">
        <f t="shared" si="0"/>
        <v>0</v>
      </c>
      <c r="I20" s="255">
        <f>IF(DSUM(FEB_2013,7,INDICE)=0,0,DSUM(FEB_2013,7,INDICE))</f>
        <v>0</v>
      </c>
      <c r="J20" s="70" t="str">
        <f>IF(OR(E20="",AND(E20&gt;=recibos!B521,E20&lt;=recibos!B740)),"OK","NO")</f>
        <v>OK</v>
      </c>
    </row>
    <row r="21" spans="1:10" x14ac:dyDescent="0.2">
      <c r="A21" s="35">
        <f t="shared" si="1"/>
        <v>1</v>
      </c>
      <c r="B21" s="35"/>
      <c r="C21" s="35"/>
      <c r="D21" s="251" t="s">
        <v>1194</v>
      </c>
      <c r="E21" s="252" t="str">
        <f>IF(DSUM(MAR_2013,1,INDICE)=0,"",DSUM(MAR_2013,1,INDICE))</f>
        <v/>
      </c>
      <c r="F21" s="253" t="str">
        <f>IF(DSUM(MAR_2013,8,INDICE)=0,"",DSUM(MAR_2013,8,INDICE))</f>
        <v/>
      </c>
      <c r="G21" s="254">
        <f>IF(DSUM(MAR_2013,7,INDICE)=0,0,(DSUM(MAR_2013,22,INDICE))*(VLOOKUP(A$2,BASE_A,9,FALSE)))</f>
        <v>0</v>
      </c>
      <c r="H21" s="254">
        <f t="shared" si="0"/>
        <v>0</v>
      </c>
      <c r="I21" s="255">
        <f>IF(DSUM(MAR_2013,7,INDICE)=0,0,DSUM(MAR_2013,7,INDICE))</f>
        <v>0</v>
      </c>
      <c r="J21" s="70" t="str">
        <f>IF(OR(E21="",AND(E21&gt;=recibos!B742,E21&lt;=recibos!B977)),"OK","NO")</f>
        <v>OK</v>
      </c>
    </row>
    <row r="22" spans="1:10" x14ac:dyDescent="0.2">
      <c r="A22" s="35">
        <f t="shared" si="1"/>
        <v>1</v>
      </c>
      <c r="B22" s="35"/>
      <c r="C22" s="35"/>
      <c r="D22" s="251" t="s">
        <v>1195</v>
      </c>
      <c r="E22" s="252" t="str">
        <f>IF(DSUM(ABR_2013,1,INDICE)=0,"",DSUM(ABR_2013,1,INDICE))</f>
        <v/>
      </c>
      <c r="F22" s="253" t="str">
        <f>IF(DSUM(ABR_2013,8,INDICE)=0,"",DSUM(ABR_2013,8,INDICE))</f>
        <v/>
      </c>
      <c r="G22" s="254">
        <f>IF(DSUM(ABR_2013,7,INDICE)=0,0,(DSUM(ABR_2013,22,INDICE))*(VLOOKUP(A$2,BASE_A,9,FALSE)))</f>
        <v>0</v>
      </c>
      <c r="H22" s="254">
        <f t="shared" si="0"/>
        <v>0</v>
      </c>
      <c r="I22" s="255">
        <f>IF(DSUM(ABR_2013,7,INDICE)=0,0,DSUM(ABR_2013,7,INDICE))</f>
        <v>0</v>
      </c>
      <c r="J22" s="70" t="str">
        <f>IF(OR(E22="",AND(E22&gt;=recibos!B979,E22&lt;=recibos!B1162)),"OK","NO")</f>
        <v>OK</v>
      </c>
    </row>
    <row r="23" spans="1:10" x14ac:dyDescent="0.2">
      <c r="A23" s="35">
        <f t="shared" si="1"/>
        <v>1</v>
      </c>
      <c r="B23" s="35"/>
      <c r="C23" s="35"/>
      <c r="D23" s="251" t="s">
        <v>1196</v>
      </c>
      <c r="E23" s="252" t="str">
        <f>IF(DSUM(MAY_2013,1,INDICE)=0,"",DSUM(MAY_2013,1,INDICE))</f>
        <v/>
      </c>
      <c r="F23" s="253" t="str">
        <f>IF(DSUM(MAY_2013,8,INDICE)=0,"",DSUM(MAY_2013,8,INDICE))</f>
        <v/>
      </c>
      <c r="G23" s="254">
        <f>IF(DSUM(MAY_2013,7,INDICE)=0,0,(DSUM(MAY_2013,22,INDICE))*(VLOOKUP(A$2,BASE_A,9,FALSE)))</f>
        <v>0</v>
      </c>
      <c r="H23" s="254">
        <f t="shared" si="0"/>
        <v>0</v>
      </c>
      <c r="I23" s="255">
        <f>IF(DSUM(MAY_2013,7,INDICE)=0,0,DSUM(MAY_2013,7,INDICE))</f>
        <v>0</v>
      </c>
      <c r="J23" s="70" t="str">
        <f>IF(OR(E23="",AND(E23&gt;=recibos!B1164,E23&lt;=recibos!B1356)),"OK","NO")</f>
        <v>OK</v>
      </c>
    </row>
    <row r="24" spans="1:10" x14ac:dyDescent="0.2">
      <c r="A24" s="35">
        <f t="shared" si="1"/>
        <v>1</v>
      </c>
      <c r="B24" s="35"/>
      <c r="C24" s="35"/>
      <c r="D24" s="251" t="s">
        <v>1668</v>
      </c>
      <c r="E24" s="252" t="str">
        <f>IF(DSUM(JUN_2013,1,INDICE)=0,"",DSUM(JUN_2013,1,INDICE))</f>
        <v/>
      </c>
      <c r="F24" s="253" t="str">
        <f>IF(DSUM(JUN_2013,8,INDICE)=0,"",DSUM(JUN_2013,8,INDICE))</f>
        <v/>
      </c>
      <c r="G24" s="254">
        <f>IF(DSUM(JUN_2013,7,INDICE)=0,0,(DSUM(JUN_2013,22,INDICE))*(VLOOKUP(A$2,BASE_A,9,FALSE)))</f>
        <v>0</v>
      </c>
      <c r="H24" s="254">
        <f t="shared" si="0"/>
        <v>0</v>
      </c>
      <c r="I24" s="255">
        <f>IF(DSUM(JUN_2013,7,INDICE)=0,0,DSUM(JUN_2013,7,INDICE))</f>
        <v>0</v>
      </c>
      <c r="J24" s="70" t="str">
        <f>IF(OR(E24="",AND(E24&gt;=recibos!B1358,E24&lt;=recibos!B1571)),"OK","NO")</f>
        <v>OK</v>
      </c>
    </row>
    <row r="25" spans="1:10" x14ac:dyDescent="0.2">
      <c r="A25" s="35">
        <f>IF(D25=0,"",1)</f>
        <v>1</v>
      </c>
      <c r="B25" s="35"/>
      <c r="C25" s="35"/>
      <c r="D25" s="251" t="s">
        <v>1730</v>
      </c>
      <c r="E25" s="252" t="str">
        <f>IF(DSUM(JUL_2013,1,INDICE)=0,"",DSUM(JUL_2013,1,INDICE))</f>
        <v/>
      </c>
      <c r="F25" s="253" t="str">
        <f>IF(DSUM(JUL_2013,8,INDICE)=0,"",DSUM(JUL_2013,8,INDICE))</f>
        <v/>
      </c>
      <c r="G25" s="254">
        <f>IF(DSUM(JUL_2013,7,INDICE)=0,0,(DSUM(JUL_2013,22,INDICE))*(VLOOKUP(A$2,BASE_A,9,FALSE)))</f>
        <v>0</v>
      </c>
      <c r="H25" s="254">
        <f t="shared" si="0"/>
        <v>0</v>
      </c>
      <c r="I25" s="255">
        <f>IF(DSUM(JUL_2013,7,INDICE)=0,0,DSUM(JUL_2013,7,INDICE))</f>
        <v>0</v>
      </c>
      <c r="J25" s="70" t="str">
        <f>IF(OR(E25="",AND(E25&gt;=recibos!B1573,E25&lt;=recibos!B1762)),"OK","NO")</f>
        <v>OK</v>
      </c>
    </row>
    <row r="26" spans="1:10" x14ac:dyDescent="0.2">
      <c r="A26" s="35">
        <f t="shared" ref="A26:A30" si="2">IF(D26=0,"",1)</f>
        <v>1</v>
      </c>
      <c r="B26" s="35"/>
      <c r="C26" s="35"/>
      <c r="D26" s="251" t="s">
        <v>1993</v>
      </c>
      <c r="E26" s="252" t="str">
        <f>IF(DSUM(AGO_2013,1,INDICE)=0,"",DSUM(AGO_2013,1,INDICE))</f>
        <v/>
      </c>
      <c r="F26" s="253" t="str">
        <f>IF(DSUM(AGO_2013,8,INDICE)=0,"",DSUM(AGO_2013,8,INDICE))</f>
        <v/>
      </c>
      <c r="G26" s="254">
        <f>IF(DSUM(AGO_2013,7,INDICE)=0,0,(DSUM(AGO_2013,22,INDICE))*(VLOOKUP(A$2,BASE_A,9,FALSE)))</f>
        <v>0</v>
      </c>
      <c r="H26" s="254">
        <f t="shared" si="0"/>
        <v>0</v>
      </c>
      <c r="I26" s="255">
        <f>IF(DSUM(AGO_2013,7,INDICE)=0,0,DSUM(AGO_2013,7,INDICE))</f>
        <v>0</v>
      </c>
      <c r="J26" s="70" t="str">
        <f>IF(OR(E26="",AND(E26&gt;=recibos!B1764,E26&lt;=recibos!B1930)),"OK","NO")</f>
        <v>OK</v>
      </c>
    </row>
    <row r="27" spans="1:10" x14ac:dyDescent="0.2">
      <c r="A27" s="35" t="str">
        <f t="shared" si="2"/>
        <v/>
      </c>
      <c r="B27" s="35"/>
      <c r="C27" s="35"/>
      <c r="D27" s="251"/>
      <c r="E27" s="256"/>
      <c r="F27" s="257"/>
      <c r="G27" s="256"/>
      <c r="H27" s="256"/>
      <c r="I27" s="258"/>
    </row>
    <row r="28" spans="1:10" x14ac:dyDescent="0.2">
      <c r="A28" s="35" t="str">
        <f t="shared" si="2"/>
        <v/>
      </c>
      <c r="B28" s="35"/>
      <c r="C28" s="35"/>
      <c r="D28" s="251"/>
      <c r="E28" s="256"/>
      <c r="F28" s="257"/>
      <c r="G28" s="256"/>
      <c r="H28" s="256"/>
      <c r="I28" s="258"/>
    </row>
    <row r="29" spans="1:10" x14ac:dyDescent="0.2">
      <c r="A29" s="35" t="str">
        <f t="shared" si="2"/>
        <v/>
      </c>
      <c r="B29" s="35"/>
      <c r="C29" s="35"/>
      <c r="D29" s="251"/>
      <c r="E29" s="256"/>
      <c r="F29" s="257"/>
      <c r="G29" s="256"/>
      <c r="H29" s="256"/>
      <c r="I29" s="258"/>
    </row>
    <row r="30" spans="1:10" ht="13.5" thickBot="1" x14ac:dyDescent="0.25">
      <c r="A30" s="35" t="str">
        <f t="shared" si="2"/>
        <v/>
      </c>
      <c r="B30" s="35"/>
      <c r="C30" s="35"/>
      <c r="D30" s="259"/>
      <c r="E30" s="260"/>
      <c r="F30" s="261"/>
      <c r="G30" s="260"/>
      <c r="H30" s="260"/>
      <c r="I30" s="262"/>
    </row>
    <row r="31" spans="1:10" ht="13.5" thickTop="1" x14ac:dyDescent="0.2"/>
  </sheetData>
  <mergeCells count="1">
    <mergeCell ref="F10:G10"/>
  </mergeCells>
  <conditionalFormatting sqref="J23:J26">
    <cfRule type="cellIs" dxfId="3" priority="7" operator="equal">
      <formula>"NO"</formula>
    </cfRule>
    <cfRule type="cellIs" dxfId="2" priority="8" operator="equal">
      <formula>"OK"</formula>
    </cfRule>
  </conditionalFormatting>
  <conditionalFormatting sqref="J18:J22">
    <cfRule type="cellIs" dxfId="1" priority="5" operator="equal">
      <formula>"NO"</formula>
    </cfRule>
    <cfRule type="cellIs" dxfId="0" priority="6" operator="equal">
      <formula>"OK"</formula>
    </cfRule>
  </conditionalFormatting>
  <pageMargins left="0.39370078740157483" right="0.70866141732283472" top="0.98425196850393704" bottom="0.98425196850393704" header="0.31496062992125984" footer="0.31496062992125984"/>
  <pageSetup scale="80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8" r:id="rId4" name="Drop Down 24">
              <controlPr defaultSize="0" print="0" autoLine="0" autoPict="0">
                <anchor moveWithCells="1">
                  <from>
                    <xdr:col>7</xdr:col>
                    <xdr:colOff>161925</xdr:colOff>
                    <xdr:row>6</xdr:row>
                    <xdr:rowOff>9525</xdr:rowOff>
                  </from>
                  <to>
                    <xdr:col>8</xdr:col>
                    <xdr:colOff>561975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0"/>
  <sheetViews>
    <sheetView showGridLines="0" topLeftCell="C10" zoomScale="90" zoomScaleNormal="90" workbookViewId="0">
      <selection activeCell="H34" sqref="H34"/>
    </sheetView>
  </sheetViews>
  <sheetFormatPr baseColWidth="10" defaultRowHeight="12.75" x14ac:dyDescent="0.2"/>
  <cols>
    <col min="1" max="1" width="5" customWidth="1"/>
    <col min="2" max="3" width="11.5703125" customWidth="1"/>
    <col min="4" max="4" width="9.28515625" customWidth="1"/>
    <col min="5" max="5" width="36.28515625" customWidth="1"/>
    <col min="6" max="6" width="54.85546875" customWidth="1"/>
    <col min="7" max="7" width="9.85546875" bestFit="1" customWidth="1"/>
    <col min="8" max="10" width="12.7109375" customWidth="1"/>
  </cols>
  <sheetData>
    <row r="1" spans="2:11" ht="18" x14ac:dyDescent="0.25">
      <c r="H1" s="442">
        <v>813034795</v>
      </c>
      <c r="I1" s="442"/>
      <c r="J1" s="442"/>
    </row>
    <row r="2" spans="2:11" x14ac:dyDescent="0.2">
      <c r="H2" s="144">
        <f>SUBTOTAL(9,H6:H80)</f>
        <v>115805.58</v>
      </c>
    </row>
    <row r="3" spans="2:11" ht="25.5" x14ac:dyDescent="0.2">
      <c r="B3" s="152" t="s">
        <v>1680</v>
      </c>
      <c r="C3" s="152" t="s">
        <v>1681</v>
      </c>
      <c r="D3" s="142" t="s">
        <v>1672</v>
      </c>
      <c r="E3" s="142"/>
      <c r="F3" s="76" t="s">
        <v>1233</v>
      </c>
      <c r="G3" s="126" t="s">
        <v>903</v>
      </c>
      <c r="H3" s="143" t="s">
        <v>1673</v>
      </c>
      <c r="I3" s="143" t="s">
        <v>1674</v>
      </c>
      <c r="J3" s="143" t="s">
        <v>1675</v>
      </c>
    </row>
    <row r="4" spans="2:11" x14ac:dyDescent="0.2">
      <c r="B4" s="145"/>
      <c r="C4" s="145"/>
      <c r="D4" s="150"/>
      <c r="E4" s="150"/>
      <c r="F4" s="146"/>
      <c r="G4" s="154"/>
      <c r="H4" s="147"/>
      <c r="I4" s="147"/>
      <c r="J4" s="147">
        <v>1280.1699999999994</v>
      </c>
      <c r="K4" s="148"/>
    </row>
    <row r="5" spans="2:11" x14ac:dyDescent="0.2">
      <c r="B5" s="149"/>
      <c r="C5" s="149">
        <v>41281</v>
      </c>
      <c r="D5" s="151"/>
      <c r="E5" s="151"/>
      <c r="F5" s="153" t="s">
        <v>1676</v>
      </c>
      <c r="G5" s="155"/>
      <c r="H5" s="144">
        <v>6000</v>
      </c>
      <c r="I5" s="144"/>
      <c r="J5" s="144">
        <f>J4+H5-I5</f>
        <v>7280.1699999999992</v>
      </c>
      <c r="K5" s="148"/>
    </row>
    <row r="6" spans="2:11" x14ac:dyDescent="0.2">
      <c r="B6" s="149"/>
      <c r="C6" s="149">
        <v>41284</v>
      </c>
      <c r="D6" s="151"/>
      <c r="E6" s="151"/>
      <c r="F6" s="153"/>
      <c r="G6" s="155" t="s">
        <v>1094</v>
      </c>
      <c r="H6" s="144">
        <v>300</v>
      </c>
      <c r="I6" s="144"/>
      <c r="J6" s="144">
        <f t="shared" ref="J6:J22" si="0">J5+H6-I6</f>
        <v>7580.1699999999992</v>
      </c>
      <c r="K6" s="148"/>
    </row>
    <row r="7" spans="2:11" x14ac:dyDescent="0.2">
      <c r="B7" s="149"/>
      <c r="C7" s="149"/>
      <c r="D7" s="151"/>
      <c r="E7" s="151"/>
      <c r="F7" s="153"/>
      <c r="G7" s="155" t="s">
        <v>1978</v>
      </c>
      <c r="H7" s="144">
        <v>0.46</v>
      </c>
      <c r="I7" s="144"/>
      <c r="J7" s="144">
        <f t="shared" si="0"/>
        <v>7580.6299999999992</v>
      </c>
      <c r="K7" s="148"/>
    </row>
    <row r="8" spans="2:11" x14ac:dyDescent="0.2">
      <c r="B8" s="149"/>
      <c r="C8" s="149">
        <v>41284</v>
      </c>
      <c r="D8" s="151"/>
      <c r="E8" s="151"/>
      <c r="F8" s="153"/>
      <c r="G8" s="155" t="s">
        <v>808</v>
      </c>
      <c r="H8" s="144">
        <v>300</v>
      </c>
      <c r="I8" s="144"/>
      <c r="J8" s="144">
        <f t="shared" si="0"/>
        <v>7880.6299999999992</v>
      </c>
      <c r="K8" s="148"/>
    </row>
    <row r="9" spans="2:11" x14ac:dyDescent="0.2">
      <c r="B9" s="149"/>
      <c r="C9" s="149"/>
      <c r="D9" s="151"/>
      <c r="E9" s="151"/>
      <c r="F9" s="153"/>
      <c r="G9" s="155" t="s">
        <v>1978</v>
      </c>
      <c r="H9" s="144">
        <v>0.28999999999999998</v>
      </c>
      <c r="I9" s="144"/>
      <c r="J9" s="144">
        <f t="shared" si="0"/>
        <v>7880.9199999999992</v>
      </c>
      <c r="K9" s="148"/>
    </row>
    <row r="10" spans="2:11" x14ac:dyDescent="0.2">
      <c r="B10" s="149"/>
      <c r="C10" s="149">
        <v>41288</v>
      </c>
      <c r="D10" s="151"/>
      <c r="E10" s="151"/>
      <c r="F10" s="153"/>
      <c r="G10" s="155"/>
      <c r="H10" s="144">
        <v>13000</v>
      </c>
      <c r="I10" s="144"/>
      <c r="J10" s="144">
        <f t="shared" si="0"/>
        <v>20880.919999999998</v>
      </c>
      <c r="K10" s="148"/>
    </row>
    <row r="11" spans="2:11" x14ac:dyDescent="0.2">
      <c r="B11" s="149"/>
      <c r="C11" s="149">
        <v>41288</v>
      </c>
      <c r="D11" s="151"/>
      <c r="E11" s="151"/>
      <c r="F11" s="153"/>
      <c r="G11" s="155"/>
      <c r="H11" s="144">
        <v>3600</v>
      </c>
      <c r="I11" s="144"/>
      <c r="J11" s="144">
        <f t="shared" si="0"/>
        <v>24480.92</v>
      </c>
      <c r="K11" s="148"/>
    </row>
    <row r="12" spans="2:11" x14ac:dyDescent="0.2">
      <c r="B12" s="149"/>
      <c r="C12" s="149">
        <v>41288</v>
      </c>
      <c r="D12" s="151"/>
      <c r="E12" s="151"/>
      <c r="F12" s="153"/>
      <c r="G12" s="155"/>
      <c r="H12" s="144">
        <v>2000</v>
      </c>
      <c r="I12" s="144"/>
      <c r="J12" s="144">
        <f t="shared" si="0"/>
        <v>26480.92</v>
      </c>
      <c r="K12" s="148"/>
    </row>
    <row r="13" spans="2:11" x14ac:dyDescent="0.2">
      <c r="B13" s="149"/>
      <c r="C13" s="149">
        <v>41288</v>
      </c>
      <c r="D13" s="151"/>
      <c r="E13" s="151"/>
      <c r="F13" s="153"/>
      <c r="G13" s="155"/>
      <c r="H13" s="144">
        <v>2000</v>
      </c>
      <c r="I13" s="144"/>
      <c r="J13" s="144">
        <f t="shared" si="0"/>
        <v>28480.92</v>
      </c>
      <c r="K13" s="148"/>
    </row>
    <row r="14" spans="2:11" x14ac:dyDescent="0.2">
      <c r="B14" s="149"/>
      <c r="C14" s="149">
        <v>41291</v>
      </c>
      <c r="D14" s="151">
        <v>40</v>
      </c>
      <c r="E14" s="286" t="s">
        <v>1778</v>
      </c>
      <c r="F14" s="153" t="s">
        <v>1972</v>
      </c>
      <c r="G14" s="155"/>
      <c r="H14" s="144"/>
      <c r="I14" s="144">
        <v>20000</v>
      </c>
      <c r="J14" s="144">
        <f t="shared" si="0"/>
        <v>8480.9199999999983</v>
      </c>
      <c r="K14" s="148"/>
    </row>
    <row r="15" spans="2:11" x14ac:dyDescent="0.2">
      <c r="B15" s="149"/>
      <c r="C15" s="149">
        <v>41291</v>
      </c>
      <c r="D15" s="151"/>
      <c r="E15" s="151"/>
      <c r="F15" s="153"/>
      <c r="G15" s="155"/>
      <c r="H15" s="144">
        <v>1500</v>
      </c>
      <c r="I15" s="144"/>
      <c r="J15" s="144">
        <f t="shared" si="0"/>
        <v>9980.9199999999983</v>
      </c>
      <c r="K15" s="148"/>
    </row>
    <row r="16" spans="2:11" x14ac:dyDescent="0.2">
      <c r="B16" s="149"/>
      <c r="C16" s="149">
        <v>41291</v>
      </c>
      <c r="D16" s="151"/>
      <c r="E16" s="151"/>
      <c r="F16" s="153"/>
      <c r="G16" s="155"/>
      <c r="H16" s="144">
        <v>3300</v>
      </c>
      <c r="I16" s="144"/>
      <c r="J16" s="144">
        <f t="shared" si="0"/>
        <v>13280.919999999998</v>
      </c>
      <c r="K16" s="148"/>
    </row>
    <row r="17" spans="2:11" x14ac:dyDescent="0.2">
      <c r="B17" s="149"/>
      <c r="C17" s="149">
        <v>41291</v>
      </c>
      <c r="D17" s="151"/>
      <c r="E17" s="151"/>
      <c r="F17" s="153"/>
      <c r="G17" s="156" t="s">
        <v>1703</v>
      </c>
      <c r="H17" s="144">
        <v>10000</v>
      </c>
      <c r="I17" s="144"/>
      <c r="J17" s="144">
        <f t="shared" si="0"/>
        <v>23280.92</v>
      </c>
      <c r="K17" s="148"/>
    </row>
    <row r="18" spans="2:11" x14ac:dyDescent="0.2">
      <c r="B18" s="149"/>
      <c r="C18" s="149">
        <v>41302</v>
      </c>
      <c r="D18" s="151"/>
      <c r="E18" s="151"/>
      <c r="F18" s="153"/>
      <c r="G18" s="155"/>
      <c r="H18" s="144">
        <v>15000</v>
      </c>
      <c r="I18" s="144"/>
      <c r="J18" s="144">
        <f t="shared" si="0"/>
        <v>38280.92</v>
      </c>
      <c r="K18" s="148"/>
    </row>
    <row r="19" spans="2:11" x14ac:dyDescent="0.2">
      <c r="B19" s="149"/>
      <c r="C19" s="149">
        <v>41302</v>
      </c>
      <c r="D19" s="151"/>
      <c r="E19" s="151"/>
      <c r="F19" s="153"/>
      <c r="G19" s="155"/>
      <c r="H19" s="144">
        <v>600</v>
      </c>
      <c r="I19" s="144"/>
      <c r="J19" s="144">
        <f t="shared" si="0"/>
        <v>38880.92</v>
      </c>
      <c r="K19" s="148"/>
    </row>
    <row r="20" spans="2:11" x14ac:dyDescent="0.2">
      <c r="B20" s="149"/>
      <c r="C20" s="149">
        <v>41303</v>
      </c>
      <c r="D20" s="151">
        <v>41</v>
      </c>
      <c r="E20" s="286" t="s">
        <v>1778</v>
      </c>
      <c r="F20" s="153" t="s">
        <v>1972</v>
      </c>
      <c r="G20" s="155"/>
      <c r="H20" s="144"/>
      <c r="I20" s="144">
        <v>13000</v>
      </c>
      <c r="J20" s="144">
        <f t="shared" si="0"/>
        <v>25880.92</v>
      </c>
      <c r="K20" s="148"/>
    </row>
    <row r="21" spans="2:11" x14ac:dyDescent="0.2">
      <c r="B21" s="149"/>
      <c r="C21" s="149">
        <v>41305</v>
      </c>
      <c r="D21" s="151"/>
      <c r="E21" s="151"/>
      <c r="F21" s="153" t="s">
        <v>1677</v>
      </c>
      <c r="G21" s="155" t="s">
        <v>1978</v>
      </c>
      <c r="H21" s="144"/>
      <c r="I21" s="144">
        <v>12</v>
      </c>
      <c r="J21" s="144">
        <f t="shared" si="0"/>
        <v>25868.92</v>
      </c>
      <c r="K21" s="148"/>
    </row>
    <row r="22" spans="2:11" x14ac:dyDescent="0.2">
      <c r="B22" s="149"/>
      <c r="C22" s="149">
        <v>41305</v>
      </c>
      <c r="D22" s="151"/>
      <c r="E22" s="151"/>
      <c r="F22" s="153" t="s">
        <v>1678</v>
      </c>
      <c r="G22" s="155" t="s">
        <v>1978</v>
      </c>
      <c r="H22" s="144"/>
      <c r="I22" s="144">
        <v>1.92</v>
      </c>
      <c r="J22" s="144">
        <f t="shared" si="0"/>
        <v>25867</v>
      </c>
      <c r="K22" s="148"/>
    </row>
    <row r="23" spans="2:11" ht="25.5" x14ac:dyDescent="0.2">
      <c r="B23" s="152" t="s">
        <v>1680</v>
      </c>
      <c r="C23" s="152" t="s">
        <v>1681</v>
      </c>
      <c r="D23" s="142" t="s">
        <v>1672</v>
      </c>
      <c r="E23" s="142"/>
      <c r="F23" s="76" t="s">
        <v>1233</v>
      </c>
      <c r="G23" s="126" t="s">
        <v>903</v>
      </c>
      <c r="H23" s="143" t="s">
        <v>1673</v>
      </c>
      <c r="I23" s="143" t="s">
        <v>1674</v>
      </c>
      <c r="J23" s="143" t="s">
        <v>1675</v>
      </c>
    </row>
    <row r="24" spans="2:11" x14ac:dyDescent="0.2">
      <c r="B24" s="149"/>
      <c r="C24" s="149">
        <v>41310</v>
      </c>
      <c r="D24" s="151"/>
      <c r="E24" s="151"/>
      <c r="F24" s="153"/>
      <c r="G24" s="155"/>
      <c r="H24" s="144">
        <v>4000</v>
      </c>
      <c r="I24" s="144"/>
      <c r="J24" s="144">
        <f>J22+H24-I24</f>
        <v>29867</v>
      </c>
      <c r="K24" s="148"/>
    </row>
    <row r="25" spans="2:11" x14ac:dyDescent="0.2">
      <c r="B25" s="149"/>
      <c r="C25" s="149">
        <v>41310</v>
      </c>
      <c r="D25" s="151"/>
      <c r="E25" s="151"/>
      <c r="F25" s="153"/>
      <c r="G25" s="155"/>
      <c r="H25" s="144">
        <v>1200</v>
      </c>
      <c r="I25" s="144"/>
      <c r="J25" s="144">
        <f t="shared" ref="J25:J39" si="1">J24+H25-I25</f>
        <v>31067</v>
      </c>
      <c r="K25" s="148"/>
    </row>
    <row r="26" spans="2:11" x14ac:dyDescent="0.2">
      <c r="B26" s="149"/>
      <c r="C26" s="149">
        <v>41310</v>
      </c>
      <c r="D26" s="151"/>
      <c r="E26" s="151"/>
      <c r="F26" s="153"/>
      <c r="G26" s="155"/>
      <c r="H26" s="144">
        <v>600</v>
      </c>
      <c r="I26" s="144"/>
      <c r="J26" s="144">
        <f t="shared" si="1"/>
        <v>31667</v>
      </c>
      <c r="K26" s="148"/>
    </row>
    <row r="27" spans="2:11" x14ac:dyDescent="0.2">
      <c r="B27" s="149"/>
      <c r="C27" s="149">
        <v>41313</v>
      </c>
      <c r="D27" s="151">
        <v>42</v>
      </c>
      <c r="E27" s="286" t="s">
        <v>1778</v>
      </c>
      <c r="F27" s="153" t="s">
        <v>1972</v>
      </c>
      <c r="G27" s="155"/>
      <c r="H27" s="144"/>
      <c r="I27" s="144">
        <v>15000</v>
      </c>
      <c r="J27" s="144">
        <f t="shared" si="1"/>
        <v>16667</v>
      </c>
      <c r="K27" s="148"/>
    </row>
    <row r="28" spans="2:11" x14ac:dyDescent="0.2">
      <c r="B28" s="149"/>
      <c r="C28" s="149">
        <v>41313</v>
      </c>
      <c r="D28" s="151"/>
      <c r="E28" s="151"/>
      <c r="F28" s="153"/>
      <c r="G28" s="155" t="s">
        <v>1123</v>
      </c>
      <c r="H28" s="144">
        <v>600</v>
      </c>
      <c r="I28" s="144"/>
      <c r="J28" s="144">
        <f t="shared" si="1"/>
        <v>17267</v>
      </c>
      <c r="K28" s="148"/>
    </row>
    <row r="29" spans="2:11" x14ac:dyDescent="0.2">
      <c r="B29" s="149"/>
      <c r="C29" s="149">
        <v>41313</v>
      </c>
      <c r="D29" s="151"/>
      <c r="E29" s="151"/>
      <c r="F29" s="153"/>
      <c r="G29" s="155" t="s">
        <v>1978</v>
      </c>
      <c r="H29" s="144">
        <v>0.2</v>
      </c>
      <c r="I29" s="144"/>
      <c r="J29" s="144">
        <f t="shared" si="1"/>
        <v>17267.2</v>
      </c>
      <c r="K29" s="148"/>
    </row>
    <row r="30" spans="2:11" x14ac:dyDescent="0.2">
      <c r="B30" s="149"/>
      <c r="C30" s="149">
        <v>41313</v>
      </c>
      <c r="D30" s="151"/>
      <c r="E30" s="151"/>
      <c r="F30" s="153"/>
      <c r="G30" s="155" t="s">
        <v>808</v>
      </c>
      <c r="H30" s="144">
        <v>300</v>
      </c>
      <c r="I30" s="144"/>
      <c r="J30" s="144">
        <f t="shared" si="1"/>
        <v>17567.2</v>
      </c>
      <c r="K30" s="148"/>
    </row>
    <row r="31" spans="2:11" x14ac:dyDescent="0.2">
      <c r="B31" s="149"/>
      <c r="C31" s="149">
        <v>41313</v>
      </c>
      <c r="D31" s="151"/>
      <c r="E31" s="151"/>
      <c r="F31" s="153"/>
      <c r="G31" s="155" t="s">
        <v>1978</v>
      </c>
      <c r="H31" s="144">
        <v>0.28999999999999998</v>
      </c>
      <c r="I31" s="144"/>
      <c r="J31" s="144">
        <f t="shared" si="1"/>
        <v>17567.490000000002</v>
      </c>
      <c r="K31" s="148"/>
    </row>
    <row r="32" spans="2:11" x14ac:dyDescent="0.2">
      <c r="B32" s="149"/>
      <c r="C32" s="149">
        <v>41318</v>
      </c>
      <c r="D32" s="151"/>
      <c r="E32" s="151"/>
      <c r="F32" s="153"/>
      <c r="G32" s="155" t="s">
        <v>1094</v>
      </c>
      <c r="H32" s="144">
        <v>300</v>
      </c>
      <c r="I32" s="144"/>
      <c r="J32" s="144">
        <f t="shared" si="1"/>
        <v>17867.490000000002</v>
      </c>
      <c r="K32" s="148"/>
    </row>
    <row r="33" spans="2:11" x14ac:dyDescent="0.2">
      <c r="B33" s="149"/>
      <c r="C33" s="149">
        <v>41318</v>
      </c>
      <c r="D33" s="151"/>
      <c r="E33" s="151"/>
      <c r="F33" s="153"/>
      <c r="G33" s="155" t="s">
        <v>1978</v>
      </c>
      <c r="H33" s="144">
        <v>0.46</v>
      </c>
      <c r="I33" s="144"/>
      <c r="J33" s="144">
        <f t="shared" si="1"/>
        <v>17867.95</v>
      </c>
      <c r="K33" s="148"/>
    </row>
    <row r="34" spans="2:11" x14ac:dyDescent="0.2">
      <c r="B34" s="149"/>
      <c r="C34" s="149">
        <v>41319</v>
      </c>
      <c r="D34" s="151"/>
      <c r="E34" s="151"/>
      <c r="F34" s="153"/>
      <c r="G34" s="155" t="s">
        <v>1314</v>
      </c>
      <c r="H34" s="144">
        <v>3300.28</v>
      </c>
      <c r="I34" s="144"/>
      <c r="J34" s="144">
        <f t="shared" si="1"/>
        <v>21168.23</v>
      </c>
      <c r="K34" s="148"/>
    </row>
    <row r="35" spans="2:11" x14ac:dyDescent="0.2">
      <c r="B35" s="149"/>
      <c r="C35" s="149">
        <v>41320</v>
      </c>
      <c r="D35" s="151"/>
      <c r="E35" s="151"/>
      <c r="F35" s="153"/>
      <c r="G35" s="156" t="s">
        <v>1703</v>
      </c>
      <c r="H35" s="144">
        <v>10000</v>
      </c>
      <c r="I35" s="144"/>
      <c r="J35" s="144">
        <f t="shared" si="1"/>
        <v>31168.23</v>
      </c>
      <c r="K35" s="148"/>
    </row>
    <row r="36" spans="2:11" x14ac:dyDescent="0.2">
      <c r="B36" s="149"/>
      <c r="C36" s="149">
        <v>41331</v>
      </c>
      <c r="D36" s="151">
        <v>43</v>
      </c>
      <c r="E36" s="286" t="s">
        <v>1778</v>
      </c>
      <c r="F36" s="153" t="s">
        <v>1972</v>
      </c>
      <c r="G36" s="155"/>
      <c r="H36" s="144"/>
      <c r="I36" s="144">
        <v>6000</v>
      </c>
      <c r="J36" s="144">
        <f t="shared" si="1"/>
        <v>25168.23</v>
      </c>
      <c r="K36" s="148"/>
    </row>
    <row r="37" spans="2:11" x14ac:dyDescent="0.2">
      <c r="B37" s="149"/>
      <c r="C37" s="149">
        <v>41332</v>
      </c>
      <c r="D37" s="151">
        <v>44</v>
      </c>
      <c r="E37" s="286" t="s">
        <v>1974</v>
      </c>
      <c r="F37" s="153" t="s">
        <v>1973</v>
      </c>
      <c r="G37" s="155"/>
      <c r="H37" s="144"/>
      <c r="I37" s="144">
        <v>4000</v>
      </c>
      <c r="J37" s="144">
        <f t="shared" si="1"/>
        <v>21168.23</v>
      </c>
      <c r="K37" s="148"/>
    </row>
    <row r="38" spans="2:11" x14ac:dyDescent="0.2">
      <c r="B38" s="149"/>
      <c r="C38" s="149">
        <v>41333</v>
      </c>
      <c r="D38" s="151"/>
      <c r="E38" s="151"/>
      <c r="F38" s="153" t="s">
        <v>1677</v>
      </c>
      <c r="G38" s="155" t="s">
        <v>1978</v>
      </c>
      <c r="H38" s="144"/>
      <c r="I38" s="144">
        <v>24</v>
      </c>
      <c r="J38" s="144">
        <f t="shared" si="1"/>
        <v>21144.23</v>
      </c>
      <c r="K38" s="148"/>
    </row>
    <row r="39" spans="2:11" x14ac:dyDescent="0.2">
      <c r="B39" s="149"/>
      <c r="C39" s="149">
        <v>41333</v>
      </c>
      <c r="D39" s="151"/>
      <c r="E39" s="151"/>
      <c r="F39" s="153" t="s">
        <v>1678</v>
      </c>
      <c r="G39" s="155" t="s">
        <v>1978</v>
      </c>
      <c r="H39" s="144"/>
      <c r="I39" s="144">
        <v>3.84</v>
      </c>
      <c r="J39" s="144">
        <f t="shared" si="1"/>
        <v>21140.39</v>
      </c>
      <c r="K39" s="148"/>
    </row>
    <row r="40" spans="2:11" ht="25.5" x14ac:dyDescent="0.2">
      <c r="B40" s="152" t="s">
        <v>1680</v>
      </c>
      <c r="C40" s="152" t="s">
        <v>1681</v>
      </c>
      <c r="D40" s="142" t="s">
        <v>1672</v>
      </c>
      <c r="E40" s="142"/>
      <c r="F40" s="76" t="s">
        <v>1233</v>
      </c>
      <c r="G40" s="126" t="s">
        <v>903</v>
      </c>
      <c r="H40" s="143" t="s">
        <v>1673</v>
      </c>
      <c r="I40" s="143" t="s">
        <v>1674</v>
      </c>
      <c r="J40" s="143" t="s">
        <v>1675</v>
      </c>
    </row>
    <row r="41" spans="2:11" x14ac:dyDescent="0.2">
      <c r="B41" s="149"/>
      <c r="C41" s="149">
        <v>41334</v>
      </c>
      <c r="D41" s="151"/>
      <c r="E41" s="151"/>
      <c r="F41" s="153"/>
      <c r="G41" s="155" t="s">
        <v>916</v>
      </c>
      <c r="H41" s="144">
        <v>300</v>
      </c>
      <c r="I41" s="144"/>
      <c r="J41" s="144">
        <f>J39+H41-I41</f>
        <v>21440.39</v>
      </c>
      <c r="K41" s="148"/>
    </row>
    <row r="42" spans="2:11" x14ac:dyDescent="0.2">
      <c r="B42" s="149"/>
      <c r="C42" s="149">
        <v>41334</v>
      </c>
      <c r="D42" s="151"/>
      <c r="E42" s="151"/>
      <c r="F42" s="153"/>
      <c r="G42" s="155" t="s">
        <v>1978</v>
      </c>
      <c r="H42" s="144">
        <v>0.15</v>
      </c>
      <c r="I42" s="144"/>
      <c r="J42" s="144">
        <f t="shared" ref="J42:J51" si="2">J41+H42-I42</f>
        <v>21440.54</v>
      </c>
      <c r="K42" s="148"/>
    </row>
    <row r="43" spans="2:11" x14ac:dyDescent="0.2">
      <c r="B43" s="149"/>
      <c r="C43" s="149">
        <v>41338</v>
      </c>
      <c r="D43" s="151"/>
      <c r="E43" s="151"/>
      <c r="F43" s="153"/>
      <c r="G43" s="155" t="s">
        <v>1123</v>
      </c>
      <c r="H43" s="144">
        <v>300</v>
      </c>
      <c r="I43" s="144"/>
      <c r="J43" s="144">
        <f t="shared" si="2"/>
        <v>21740.54</v>
      </c>
      <c r="K43" s="148"/>
    </row>
    <row r="44" spans="2:11" x14ac:dyDescent="0.2">
      <c r="B44" s="149"/>
      <c r="C44" s="149">
        <v>41338</v>
      </c>
      <c r="D44" s="151"/>
      <c r="E44" s="151"/>
      <c r="F44" s="153"/>
      <c r="G44" s="155" t="s">
        <v>1978</v>
      </c>
      <c r="H44" s="144">
        <v>0.1</v>
      </c>
      <c r="I44" s="144"/>
      <c r="J44" s="144">
        <f t="shared" si="2"/>
        <v>21740.639999999999</v>
      </c>
      <c r="K44" s="148"/>
    </row>
    <row r="45" spans="2:11" x14ac:dyDescent="0.2">
      <c r="B45" s="149"/>
      <c r="C45" s="149">
        <v>41340</v>
      </c>
      <c r="D45" s="151"/>
      <c r="E45" s="151"/>
      <c r="F45" s="153" t="s">
        <v>1679</v>
      </c>
      <c r="G45" s="155" t="s">
        <v>1978</v>
      </c>
      <c r="H45" s="144"/>
      <c r="I45" s="144">
        <v>30</v>
      </c>
      <c r="J45" s="144">
        <f t="shared" si="2"/>
        <v>21710.639999999999</v>
      </c>
      <c r="K45" s="148"/>
    </row>
    <row r="46" spans="2:11" x14ac:dyDescent="0.2">
      <c r="B46" s="149"/>
      <c r="C46" s="149">
        <v>41340</v>
      </c>
      <c r="D46" s="151"/>
      <c r="E46" s="151"/>
      <c r="F46" s="153" t="s">
        <v>1678</v>
      </c>
      <c r="G46" s="155" t="s">
        <v>1978</v>
      </c>
      <c r="H46" s="144"/>
      <c r="I46" s="144">
        <v>4.8</v>
      </c>
      <c r="J46" s="144">
        <f t="shared" si="2"/>
        <v>21705.84</v>
      </c>
      <c r="K46" s="148"/>
    </row>
    <row r="47" spans="2:11" x14ac:dyDescent="0.2">
      <c r="B47" s="149"/>
      <c r="C47" s="149">
        <v>41344</v>
      </c>
      <c r="D47" s="151"/>
      <c r="E47" s="151"/>
      <c r="F47" s="153"/>
      <c r="G47" s="155" t="s">
        <v>808</v>
      </c>
      <c r="H47" s="144">
        <v>300</v>
      </c>
      <c r="I47" s="144"/>
      <c r="J47" s="144">
        <f t="shared" si="2"/>
        <v>22005.84</v>
      </c>
      <c r="K47" s="148"/>
    </row>
    <row r="48" spans="2:11" x14ac:dyDescent="0.2">
      <c r="B48" s="149"/>
      <c r="C48" s="149">
        <v>41344</v>
      </c>
      <c r="D48" s="151"/>
      <c r="E48" s="151"/>
      <c r="F48" s="153"/>
      <c r="G48" s="155" t="s">
        <v>1978</v>
      </c>
      <c r="H48" s="144">
        <v>0.28999999999999998</v>
      </c>
      <c r="I48" s="144"/>
      <c r="J48" s="144">
        <f t="shared" si="2"/>
        <v>22006.13</v>
      </c>
      <c r="K48" s="148"/>
    </row>
    <row r="49" spans="2:11" x14ac:dyDescent="0.2">
      <c r="B49" s="149"/>
      <c r="C49" s="149">
        <v>41349</v>
      </c>
      <c r="D49" s="151"/>
      <c r="E49" s="151"/>
      <c r="F49" s="153"/>
      <c r="G49" s="155" t="s">
        <v>1094</v>
      </c>
      <c r="H49" s="144">
        <v>300</v>
      </c>
      <c r="I49" s="144"/>
      <c r="J49" s="144">
        <f t="shared" si="2"/>
        <v>22306.13</v>
      </c>
      <c r="K49" s="148"/>
    </row>
    <row r="50" spans="2:11" x14ac:dyDescent="0.2">
      <c r="B50" s="149"/>
      <c r="C50" s="149">
        <v>41349</v>
      </c>
      <c r="D50" s="151"/>
      <c r="E50" s="151"/>
      <c r="F50" s="153"/>
      <c r="G50" s="155" t="s">
        <v>1978</v>
      </c>
      <c r="H50" s="144">
        <v>0.46</v>
      </c>
      <c r="I50" s="144"/>
      <c r="J50" s="144">
        <f t="shared" si="2"/>
        <v>22306.59</v>
      </c>
      <c r="K50" s="148"/>
    </row>
    <row r="51" spans="2:11" x14ac:dyDescent="0.2">
      <c r="B51" s="149"/>
      <c r="C51" s="149">
        <v>41354</v>
      </c>
      <c r="D51" s="151"/>
      <c r="E51" s="151"/>
      <c r="F51" s="153"/>
      <c r="G51" s="156" t="s">
        <v>1703</v>
      </c>
      <c r="H51" s="144">
        <v>10000</v>
      </c>
      <c r="I51" s="144"/>
      <c r="J51" s="144">
        <f t="shared" si="2"/>
        <v>32306.59</v>
      </c>
      <c r="K51" s="148"/>
    </row>
    <row r="52" spans="2:11" ht="25.5" x14ac:dyDescent="0.2">
      <c r="B52" s="152" t="s">
        <v>1680</v>
      </c>
      <c r="C52" s="152" t="s">
        <v>1681</v>
      </c>
      <c r="D52" s="142" t="s">
        <v>1672</v>
      </c>
      <c r="E52" s="142"/>
      <c r="F52" s="76" t="s">
        <v>1233</v>
      </c>
      <c r="G52" s="126" t="s">
        <v>903</v>
      </c>
      <c r="H52" s="143" t="s">
        <v>1673</v>
      </c>
      <c r="I52" s="143" t="s">
        <v>1674</v>
      </c>
      <c r="J52" s="143" t="s">
        <v>1675</v>
      </c>
    </row>
    <row r="53" spans="2:11" x14ac:dyDescent="0.2">
      <c r="B53" s="149"/>
      <c r="C53" s="149">
        <v>41372</v>
      </c>
      <c r="D53" s="151"/>
      <c r="E53" s="151"/>
      <c r="F53" s="153"/>
      <c r="G53" s="155" t="s">
        <v>1123</v>
      </c>
      <c r="H53" s="144">
        <v>300</v>
      </c>
      <c r="I53" s="144"/>
      <c r="J53" s="144">
        <f>J51+H53-I53</f>
        <v>32606.59</v>
      </c>
      <c r="K53" s="148"/>
    </row>
    <row r="54" spans="2:11" x14ac:dyDescent="0.2">
      <c r="B54" s="149"/>
      <c r="C54" s="149">
        <v>41372</v>
      </c>
      <c r="D54" s="151"/>
      <c r="E54" s="151"/>
      <c r="F54" s="153"/>
      <c r="G54" s="155" t="s">
        <v>1978</v>
      </c>
      <c r="H54" s="144">
        <v>0.1</v>
      </c>
      <c r="I54" s="144"/>
      <c r="J54" s="144">
        <f t="shared" ref="J54:J60" si="3">J53+H54-I54</f>
        <v>32606.69</v>
      </c>
      <c r="K54" s="148"/>
    </row>
    <row r="55" spans="2:11" x14ac:dyDescent="0.2">
      <c r="B55" s="149"/>
      <c r="C55" s="149">
        <v>41373</v>
      </c>
      <c r="D55" s="151"/>
      <c r="E55" s="151"/>
      <c r="F55" s="153"/>
      <c r="G55" s="155" t="s">
        <v>808</v>
      </c>
      <c r="H55" s="144">
        <v>300</v>
      </c>
      <c r="I55" s="144"/>
      <c r="J55" s="144">
        <f t="shared" si="3"/>
        <v>32906.69</v>
      </c>
      <c r="K55" s="148"/>
    </row>
    <row r="56" spans="2:11" x14ac:dyDescent="0.2">
      <c r="B56" s="149"/>
      <c r="C56" s="149">
        <v>41373</v>
      </c>
      <c r="D56" s="151"/>
      <c r="E56" s="151"/>
      <c r="F56" s="153"/>
      <c r="G56" s="155" t="s">
        <v>1978</v>
      </c>
      <c r="H56" s="144">
        <v>0.28999999999999998</v>
      </c>
      <c r="I56" s="144"/>
      <c r="J56" s="144">
        <f t="shared" si="3"/>
        <v>32906.980000000003</v>
      </c>
      <c r="K56" s="148"/>
    </row>
    <row r="57" spans="2:11" x14ac:dyDescent="0.2">
      <c r="B57" s="149"/>
      <c r="C57" s="149">
        <v>41390</v>
      </c>
      <c r="D57" s="151"/>
      <c r="E57" s="151"/>
      <c r="F57" s="153"/>
      <c r="G57" s="155" t="s">
        <v>916</v>
      </c>
      <c r="H57" s="144">
        <v>300</v>
      </c>
      <c r="I57" s="144"/>
      <c r="J57" s="144">
        <f t="shared" si="3"/>
        <v>33206.980000000003</v>
      </c>
      <c r="K57" s="148"/>
    </row>
    <row r="58" spans="2:11" x14ac:dyDescent="0.2">
      <c r="B58" s="149"/>
      <c r="C58" s="149">
        <v>41390</v>
      </c>
      <c r="D58" s="151"/>
      <c r="E58" s="151"/>
      <c r="F58" s="153"/>
      <c r="G58" s="155" t="s">
        <v>1978</v>
      </c>
      <c r="H58" s="144">
        <v>0.15</v>
      </c>
      <c r="I58" s="144"/>
      <c r="J58" s="144">
        <f t="shared" si="3"/>
        <v>33207.130000000005</v>
      </c>
      <c r="K58" s="148"/>
    </row>
    <row r="59" spans="2:11" x14ac:dyDescent="0.2">
      <c r="B59" s="149"/>
      <c r="C59" s="149">
        <v>41390</v>
      </c>
      <c r="D59" s="151"/>
      <c r="E59" s="151"/>
      <c r="F59" s="153"/>
      <c r="G59" s="155" t="s">
        <v>1094</v>
      </c>
      <c r="H59" s="144">
        <v>300</v>
      </c>
      <c r="I59" s="144"/>
      <c r="J59" s="144">
        <f t="shared" si="3"/>
        <v>33507.130000000005</v>
      </c>
      <c r="K59" s="148"/>
    </row>
    <row r="60" spans="2:11" x14ac:dyDescent="0.2">
      <c r="B60" s="280"/>
      <c r="C60" s="149">
        <v>41390</v>
      </c>
      <c r="D60" s="281"/>
      <c r="E60" s="281"/>
      <c r="F60" s="282"/>
      <c r="G60" s="155" t="s">
        <v>1978</v>
      </c>
      <c r="H60" s="283">
        <v>0.46</v>
      </c>
      <c r="I60" s="283"/>
      <c r="J60" s="283">
        <f t="shared" si="3"/>
        <v>33507.590000000004</v>
      </c>
      <c r="K60" s="148"/>
    </row>
    <row r="61" spans="2:11" ht="25.5" x14ac:dyDescent="0.2">
      <c r="B61" s="152" t="s">
        <v>1680</v>
      </c>
      <c r="C61" s="152" t="s">
        <v>1681</v>
      </c>
      <c r="D61" s="142" t="s">
        <v>1672</v>
      </c>
      <c r="E61" s="142"/>
      <c r="F61" s="76" t="s">
        <v>1233</v>
      </c>
      <c r="G61" s="126" t="s">
        <v>903</v>
      </c>
      <c r="H61" s="143" t="s">
        <v>1673</v>
      </c>
      <c r="I61" s="143" t="s">
        <v>1674</v>
      </c>
      <c r="J61" s="143" t="s">
        <v>1675</v>
      </c>
    </row>
    <row r="62" spans="2:11" x14ac:dyDescent="0.2">
      <c r="B62" s="149"/>
      <c r="C62" s="149">
        <v>41401</v>
      </c>
      <c r="D62" s="151"/>
      <c r="E62" s="151"/>
      <c r="F62" s="153"/>
      <c r="G62" s="155" t="s">
        <v>1094</v>
      </c>
      <c r="H62" s="144">
        <v>300</v>
      </c>
      <c r="I62" s="144"/>
      <c r="J62" s="144">
        <f>J60+H62-I62</f>
        <v>33807.590000000004</v>
      </c>
      <c r="K62" s="148"/>
    </row>
    <row r="63" spans="2:11" x14ac:dyDescent="0.2">
      <c r="B63" s="149"/>
      <c r="C63" s="149">
        <v>41401</v>
      </c>
      <c r="D63" s="151"/>
      <c r="E63" s="151"/>
      <c r="F63" s="153"/>
      <c r="G63" s="155" t="s">
        <v>1978</v>
      </c>
      <c r="H63" s="144">
        <v>0.46</v>
      </c>
      <c r="I63" s="144"/>
      <c r="J63" s="144">
        <f t="shared" ref="J63:J73" si="4">J62+H63-I63</f>
        <v>33808.050000000003</v>
      </c>
      <c r="K63" s="148"/>
    </row>
    <row r="64" spans="2:11" x14ac:dyDescent="0.2">
      <c r="B64" s="149"/>
      <c r="C64" s="149">
        <v>41403</v>
      </c>
      <c r="D64" s="151"/>
      <c r="E64" s="151"/>
      <c r="F64" s="153"/>
      <c r="G64" s="156" t="s">
        <v>1703</v>
      </c>
      <c r="H64" s="144">
        <v>10000</v>
      </c>
      <c r="I64" s="144"/>
      <c r="J64" s="144">
        <f t="shared" si="4"/>
        <v>43808.05</v>
      </c>
      <c r="K64" s="148"/>
    </row>
    <row r="65" spans="2:11" x14ac:dyDescent="0.2">
      <c r="B65" s="149"/>
      <c r="C65" s="149">
        <v>41403</v>
      </c>
      <c r="D65" s="151"/>
      <c r="E65" s="151"/>
      <c r="F65" s="153"/>
      <c r="G65" s="155" t="s">
        <v>1123</v>
      </c>
      <c r="H65" s="144">
        <v>300</v>
      </c>
      <c r="I65" s="144"/>
      <c r="J65" s="144">
        <f t="shared" si="4"/>
        <v>44108.05</v>
      </c>
      <c r="K65" s="148"/>
    </row>
    <row r="66" spans="2:11" x14ac:dyDescent="0.2">
      <c r="B66" s="149"/>
      <c r="C66" s="149">
        <v>41403</v>
      </c>
      <c r="D66" s="151"/>
      <c r="E66" s="151"/>
      <c r="F66" s="153"/>
      <c r="G66" s="155" t="s">
        <v>1978</v>
      </c>
      <c r="H66" s="144">
        <v>0.1</v>
      </c>
      <c r="I66" s="144"/>
      <c r="J66" s="144">
        <f t="shared" si="4"/>
        <v>44108.15</v>
      </c>
      <c r="K66" s="148"/>
    </row>
    <row r="67" spans="2:11" x14ac:dyDescent="0.2">
      <c r="B67" s="149"/>
      <c r="C67" s="149">
        <v>41409</v>
      </c>
      <c r="D67" s="151"/>
      <c r="E67" s="151"/>
      <c r="F67" s="153"/>
      <c r="G67" s="155" t="s">
        <v>808</v>
      </c>
      <c r="H67" s="144">
        <v>300</v>
      </c>
      <c r="I67" s="144"/>
      <c r="J67" s="144">
        <f t="shared" si="4"/>
        <v>44408.15</v>
      </c>
      <c r="K67" s="148"/>
    </row>
    <row r="68" spans="2:11" x14ac:dyDescent="0.2">
      <c r="B68" s="149"/>
      <c r="C68" s="149">
        <v>41409</v>
      </c>
      <c r="D68" s="151"/>
      <c r="E68" s="151"/>
      <c r="F68" s="153"/>
      <c r="G68" s="155" t="s">
        <v>1978</v>
      </c>
      <c r="H68" s="144">
        <v>0.28999999999999998</v>
      </c>
      <c r="I68" s="144"/>
      <c r="J68" s="144">
        <f t="shared" si="4"/>
        <v>44408.44</v>
      </c>
      <c r="K68" s="148"/>
    </row>
    <row r="69" spans="2:11" x14ac:dyDescent="0.2">
      <c r="B69" s="149"/>
      <c r="C69" s="149">
        <v>41418</v>
      </c>
      <c r="D69" s="151">
        <v>46</v>
      </c>
      <c r="E69" s="286" t="s">
        <v>1975</v>
      </c>
      <c r="F69" s="153" t="s">
        <v>1976</v>
      </c>
      <c r="G69" s="155"/>
      <c r="H69" s="144"/>
      <c r="I69" s="144">
        <v>10000</v>
      </c>
      <c r="J69" s="383">
        <f t="shared" si="4"/>
        <v>34408.44</v>
      </c>
      <c r="K69" s="148"/>
    </row>
    <row r="70" spans="2:11" x14ac:dyDescent="0.2">
      <c r="B70" s="149"/>
      <c r="C70" s="149">
        <v>41422</v>
      </c>
      <c r="D70" s="151">
        <v>45</v>
      </c>
      <c r="E70" s="286" t="s">
        <v>1778</v>
      </c>
      <c r="F70" s="153" t="s">
        <v>1972</v>
      </c>
      <c r="G70" s="155" t="s">
        <v>1812</v>
      </c>
      <c r="H70" s="144"/>
      <c r="I70" s="144">
        <v>20000</v>
      </c>
      <c r="J70" s="144">
        <f t="shared" si="4"/>
        <v>14408.440000000002</v>
      </c>
      <c r="K70" s="148"/>
    </row>
    <row r="71" spans="2:11" x14ac:dyDescent="0.2">
      <c r="B71" s="149"/>
      <c r="C71" s="149">
        <v>41423</v>
      </c>
      <c r="D71" s="151"/>
      <c r="E71" s="151"/>
      <c r="F71" s="153"/>
      <c r="G71" s="156" t="s">
        <v>1703</v>
      </c>
      <c r="H71" s="144">
        <v>10000</v>
      </c>
      <c r="I71" s="144"/>
      <c r="J71" s="144">
        <f t="shared" si="4"/>
        <v>24408.440000000002</v>
      </c>
      <c r="K71" s="148"/>
    </row>
    <row r="72" spans="2:11" x14ac:dyDescent="0.2">
      <c r="B72" s="149"/>
      <c r="C72" s="149">
        <v>41425</v>
      </c>
      <c r="D72" s="151"/>
      <c r="E72" s="151"/>
      <c r="F72" s="153" t="s">
        <v>1677</v>
      </c>
      <c r="G72" s="155" t="s">
        <v>1978</v>
      </c>
      <c r="H72" s="144"/>
      <c r="I72" s="144">
        <v>16</v>
      </c>
      <c r="J72" s="144">
        <f t="shared" si="4"/>
        <v>24392.440000000002</v>
      </c>
      <c r="K72" s="148"/>
    </row>
    <row r="73" spans="2:11" x14ac:dyDescent="0.2">
      <c r="B73" s="149"/>
      <c r="C73" s="149">
        <v>41425</v>
      </c>
      <c r="D73" s="151"/>
      <c r="E73" s="151"/>
      <c r="F73" s="153" t="s">
        <v>1678</v>
      </c>
      <c r="G73" s="155" t="s">
        <v>1978</v>
      </c>
      <c r="H73" s="144"/>
      <c r="I73" s="144">
        <v>2.56</v>
      </c>
      <c r="J73" s="144">
        <f t="shared" si="4"/>
        <v>24389.88</v>
      </c>
      <c r="K73" s="148"/>
    </row>
    <row r="74" spans="2:11" ht="25.5" x14ac:dyDescent="0.2">
      <c r="B74" s="152" t="s">
        <v>1680</v>
      </c>
      <c r="C74" s="152" t="s">
        <v>1681</v>
      </c>
      <c r="D74" s="142" t="s">
        <v>1672</v>
      </c>
      <c r="E74" s="142"/>
      <c r="F74" s="76" t="s">
        <v>1233</v>
      </c>
      <c r="G74" s="126" t="s">
        <v>903</v>
      </c>
      <c r="H74" s="143" t="s">
        <v>1673</v>
      </c>
      <c r="I74" s="143" t="s">
        <v>1674</v>
      </c>
      <c r="J74" s="143" t="s">
        <v>1675</v>
      </c>
    </row>
    <row r="75" spans="2:11" ht="14.25" x14ac:dyDescent="0.2">
      <c r="B75" s="149"/>
      <c r="C75" s="149">
        <v>41428</v>
      </c>
      <c r="D75" s="151">
        <v>47</v>
      </c>
      <c r="E75" s="286" t="s">
        <v>1778</v>
      </c>
      <c r="F75" s="153" t="s">
        <v>1779</v>
      </c>
      <c r="G75" s="155" t="s">
        <v>1812</v>
      </c>
      <c r="H75" s="144"/>
      <c r="I75" s="144">
        <v>12000</v>
      </c>
      <c r="J75" s="144">
        <f>J73+H75-I75</f>
        <v>12389.880000000001</v>
      </c>
      <c r="K75" s="148"/>
    </row>
    <row r="76" spans="2:11" x14ac:dyDescent="0.2">
      <c r="B76" s="149"/>
      <c r="C76" s="149">
        <v>41432</v>
      </c>
      <c r="D76" s="151"/>
      <c r="E76" s="151"/>
      <c r="F76" s="153"/>
      <c r="G76" s="155" t="s">
        <v>808</v>
      </c>
      <c r="H76" s="144">
        <v>300</v>
      </c>
      <c r="I76" s="144"/>
      <c r="J76" s="144">
        <f t="shared" ref="J76:J82" si="5">J75+H76-I76</f>
        <v>12689.880000000001</v>
      </c>
      <c r="K76" s="148"/>
    </row>
    <row r="77" spans="2:11" x14ac:dyDescent="0.2">
      <c r="B77" s="149"/>
      <c r="C77" s="149">
        <v>41432</v>
      </c>
      <c r="D77" s="151"/>
      <c r="E77" s="151"/>
      <c r="F77" s="153"/>
      <c r="G77" s="155" t="s">
        <v>1978</v>
      </c>
      <c r="H77" s="144">
        <v>0.28999999999999998</v>
      </c>
      <c r="I77" s="144"/>
      <c r="J77" s="144">
        <f t="shared" si="5"/>
        <v>12690.170000000002</v>
      </c>
      <c r="K77" s="148"/>
    </row>
    <row r="78" spans="2:11" x14ac:dyDescent="0.2">
      <c r="B78" s="149"/>
      <c r="C78" s="149">
        <v>41439</v>
      </c>
      <c r="D78" s="151"/>
      <c r="E78" s="151"/>
      <c r="F78" s="153"/>
      <c r="G78" s="155" t="s">
        <v>1094</v>
      </c>
      <c r="H78" s="144">
        <v>300</v>
      </c>
      <c r="I78" s="144"/>
      <c r="J78" s="144">
        <f t="shared" si="5"/>
        <v>12990.170000000002</v>
      </c>
      <c r="K78" s="148"/>
    </row>
    <row r="79" spans="2:11" x14ac:dyDescent="0.2">
      <c r="B79" s="149"/>
      <c r="C79" s="149">
        <v>41439</v>
      </c>
      <c r="D79" s="151"/>
      <c r="E79" s="151"/>
      <c r="F79" s="153"/>
      <c r="G79" s="155" t="s">
        <v>1978</v>
      </c>
      <c r="H79" s="144">
        <v>0.46</v>
      </c>
      <c r="I79" s="144"/>
      <c r="J79" s="144">
        <f t="shared" si="5"/>
        <v>12990.630000000001</v>
      </c>
      <c r="K79" s="148"/>
    </row>
    <row r="80" spans="2:11" x14ac:dyDescent="0.2">
      <c r="B80" s="149"/>
      <c r="C80" s="149">
        <v>41449</v>
      </c>
      <c r="D80" s="151"/>
      <c r="E80" s="151"/>
      <c r="F80" s="153"/>
      <c r="G80" s="156" t="s">
        <v>1703</v>
      </c>
      <c r="H80" s="144">
        <v>10000</v>
      </c>
      <c r="I80" s="144"/>
      <c r="J80" s="144">
        <f t="shared" si="5"/>
        <v>22990.63</v>
      </c>
      <c r="K80" s="148"/>
    </row>
    <row r="81" spans="2:11" x14ac:dyDescent="0.2">
      <c r="B81" s="149"/>
      <c r="C81" s="149">
        <v>41453</v>
      </c>
      <c r="D81" s="151"/>
      <c r="E81" s="151"/>
      <c r="F81" s="153" t="s">
        <v>1677</v>
      </c>
      <c r="G81" s="155" t="s">
        <v>1978</v>
      </c>
      <c r="H81" s="144"/>
      <c r="I81" s="144">
        <v>8</v>
      </c>
      <c r="J81" s="144">
        <f t="shared" si="5"/>
        <v>22982.63</v>
      </c>
      <c r="K81" s="148"/>
    </row>
    <row r="82" spans="2:11" x14ac:dyDescent="0.2">
      <c r="B82" s="149"/>
      <c r="C82" s="149">
        <v>41453</v>
      </c>
      <c r="D82" s="151"/>
      <c r="E82" s="151"/>
      <c r="F82" s="153" t="s">
        <v>1678</v>
      </c>
      <c r="G82" s="155" t="s">
        <v>1978</v>
      </c>
      <c r="H82" s="144"/>
      <c r="I82" s="144">
        <v>1.28</v>
      </c>
      <c r="J82" s="144">
        <f t="shared" si="5"/>
        <v>22981.350000000002</v>
      </c>
      <c r="K82" s="148"/>
    </row>
    <row r="83" spans="2:11" ht="25.5" x14ac:dyDescent="0.2">
      <c r="B83" s="152" t="s">
        <v>1680</v>
      </c>
      <c r="C83" s="152" t="s">
        <v>1681</v>
      </c>
      <c r="D83" s="142" t="s">
        <v>1672</v>
      </c>
      <c r="E83" s="142"/>
      <c r="F83" s="76" t="s">
        <v>1233</v>
      </c>
      <c r="G83" s="126" t="s">
        <v>903</v>
      </c>
      <c r="H83" s="143" t="s">
        <v>1673</v>
      </c>
      <c r="I83" s="143" t="s">
        <v>1674</v>
      </c>
      <c r="J83" s="143" t="s">
        <v>1675</v>
      </c>
    </row>
    <row r="84" spans="2:11" x14ac:dyDescent="0.2">
      <c r="B84" s="149"/>
      <c r="C84" s="149"/>
      <c r="D84" s="151"/>
      <c r="E84" s="151"/>
      <c r="F84" s="153"/>
      <c r="G84" s="155"/>
      <c r="H84" s="144"/>
      <c r="I84" s="144"/>
      <c r="J84" s="144">
        <f>J82+H84-I84</f>
        <v>22981.350000000002</v>
      </c>
      <c r="K84" s="148"/>
    </row>
    <row r="85" spans="2:11" x14ac:dyDescent="0.2">
      <c r="B85" s="149"/>
      <c r="C85" s="149">
        <v>41458</v>
      </c>
      <c r="D85" s="151"/>
      <c r="E85" s="286" t="s">
        <v>1988</v>
      </c>
      <c r="F85" s="153" t="s">
        <v>1989</v>
      </c>
      <c r="G85" s="155" t="s">
        <v>1094</v>
      </c>
      <c r="H85" s="144">
        <v>300</v>
      </c>
      <c r="I85" s="144"/>
      <c r="J85" s="144">
        <f t="shared" ref="J85:J90" si="6">J84+H85-I85</f>
        <v>23281.350000000002</v>
      </c>
      <c r="K85" s="148"/>
    </row>
    <row r="86" spans="2:11" x14ac:dyDescent="0.2">
      <c r="B86" s="149"/>
      <c r="C86" s="149">
        <v>41458</v>
      </c>
      <c r="D86" s="151"/>
      <c r="E86" s="286"/>
      <c r="F86" s="153"/>
      <c r="G86" s="155" t="s">
        <v>1978</v>
      </c>
      <c r="H86" s="144">
        <v>0.46</v>
      </c>
      <c r="I86" s="144"/>
      <c r="J86" s="144">
        <f t="shared" si="6"/>
        <v>23281.81</v>
      </c>
      <c r="K86" s="148"/>
    </row>
    <row r="87" spans="2:11" x14ac:dyDescent="0.2">
      <c r="B87" s="149"/>
      <c r="C87" s="149">
        <v>41472</v>
      </c>
      <c r="D87" s="151"/>
      <c r="E87" s="286"/>
      <c r="F87" s="153" t="s">
        <v>1990</v>
      </c>
      <c r="G87" s="155"/>
      <c r="H87" s="144">
        <v>1200</v>
      </c>
      <c r="I87" s="144"/>
      <c r="J87" s="144">
        <f t="shared" si="6"/>
        <v>24481.81</v>
      </c>
      <c r="K87" s="148"/>
    </row>
    <row r="88" spans="2:11" x14ac:dyDescent="0.2">
      <c r="B88" s="149">
        <v>41474</v>
      </c>
      <c r="C88" s="149">
        <v>41474</v>
      </c>
      <c r="D88" s="151"/>
      <c r="E88" s="286" t="s">
        <v>428</v>
      </c>
      <c r="F88" s="153" t="s">
        <v>1989</v>
      </c>
      <c r="G88" s="156" t="s">
        <v>1703</v>
      </c>
      <c r="H88" s="144">
        <v>10000</v>
      </c>
      <c r="I88" s="144"/>
      <c r="J88" s="144">
        <f t="shared" si="6"/>
        <v>34481.81</v>
      </c>
      <c r="K88" s="148"/>
    </row>
    <row r="89" spans="2:11" x14ac:dyDescent="0.2">
      <c r="B89" s="149">
        <v>41474</v>
      </c>
      <c r="C89" s="149">
        <v>41474</v>
      </c>
      <c r="D89" s="151"/>
      <c r="E89" s="286" t="s">
        <v>1991</v>
      </c>
      <c r="F89" s="153" t="s">
        <v>1992</v>
      </c>
      <c r="G89" s="155" t="s">
        <v>916</v>
      </c>
      <c r="H89" s="144">
        <v>600</v>
      </c>
      <c r="I89" s="144"/>
      <c r="J89" s="144">
        <f t="shared" si="6"/>
        <v>35081.81</v>
      </c>
      <c r="K89" s="148"/>
    </row>
    <row r="90" spans="2:11" x14ac:dyDescent="0.2">
      <c r="B90" s="149"/>
      <c r="C90" s="149">
        <v>41474</v>
      </c>
      <c r="D90" s="151"/>
      <c r="E90" s="151"/>
      <c r="F90" s="153"/>
      <c r="G90" s="155" t="s">
        <v>1978</v>
      </c>
      <c r="H90" s="144">
        <v>0.15</v>
      </c>
      <c r="I90" s="144"/>
      <c r="J90" s="144">
        <f t="shared" si="6"/>
        <v>35081.96</v>
      </c>
      <c r="K90" s="148"/>
    </row>
    <row r="91" spans="2:11" ht="25.5" x14ac:dyDescent="0.2">
      <c r="B91" s="152" t="s">
        <v>1680</v>
      </c>
      <c r="C91" s="152" t="s">
        <v>1681</v>
      </c>
      <c r="D91" s="142" t="s">
        <v>1672</v>
      </c>
      <c r="E91" s="142"/>
      <c r="F91" s="76" t="s">
        <v>1233</v>
      </c>
      <c r="G91" s="126" t="s">
        <v>903</v>
      </c>
      <c r="H91" s="143" t="s">
        <v>1673</v>
      </c>
      <c r="I91" s="143" t="s">
        <v>1674</v>
      </c>
      <c r="J91" s="143" t="s">
        <v>1675</v>
      </c>
    </row>
    <row r="92" spans="2:11" x14ac:dyDescent="0.2">
      <c r="B92" s="149"/>
      <c r="C92" s="149">
        <v>41492</v>
      </c>
      <c r="D92" s="151"/>
      <c r="E92" s="286" t="s">
        <v>1988</v>
      </c>
      <c r="F92" s="153" t="s">
        <v>2041</v>
      </c>
      <c r="G92" s="155" t="s">
        <v>1094</v>
      </c>
      <c r="H92" s="144">
        <v>300</v>
      </c>
      <c r="I92" s="144"/>
      <c r="J92" s="144">
        <f>J90+H92-I92</f>
        <v>35381.96</v>
      </c>
      <c r="K92" s="148"/>
    </row>
    <row r="93" spans="2:11" x14ac:dyDescent="0.2">
      <c r="B93" s="149"/>
      <c r="C93" s="149">
        <v>41492</v>
      </c>
      <c r="D93" s="151"/>
      <c r="E93" s="286"/>
      <c r="F93" s="153"/>
      <c r="G93" s="155" t="s">
        <v>1978</v>
      </c>
      <c r="H93" s="144">
        <v>0.46</v>
      </c>
      <c r="I93" s="144"/>
      <c r="J93" s="144">
        <f t="shared" ref="J93:J96" si="7">J92+H93-I93</f>
        <v>35382.42</v>
      </c>
      <c r="K93" s="148"/>
    </row>
    <row r="94" spans="2:11" x14ac:dyDescent="0.2">
      <c r="B94" s="149"/>
      <c r="C94" s="149">
        <v>41494</v>
      </c>
      <c r="D94" s="151"/>
      <c r="E94" s="286" t="s">
        <v>2040</v>
      </c>
      <c r="F94" s="153" t="s">
        <v>2041</v>
      </c>
      <c r="G94" s="155" t="s">
        <v>808</v>
      </c>
      <c r="H94" s="144">
        <v>300</v>
      </c>
      <c r="I94" s="144"/>
      <c r="J94" s="144">
        <f t="shared" si="7"/>
        <v>35682.42</v>
      </c>
      <c r="K94" s="148"/>
    </row>
    <row r="95" spans="2:11" x14ac:dyDescent="0.2">
      <c r="B95" s="149"/>
      <c r="C95" s="149">
        <v>41494</v>
      </c>
      <c r="D95" s="151"/>
      <c r="E95" s="286"/>
      <c r="F95" s="153"/>
      <c r="G95" s="155" t="s">
        <v>1978</v>
      </c>
      <c r="H95" s="144">
        <v>0.28999999999999998</v>
      </c>
      <c r="I95" s="144"/>
      <c r="J95" s="144">
        <f t="shared" si="7"/>
        <v>35682.71</v>
      </c>
      <c r="K95" s="148"/>
    </row>
    <row r="96" spans="2:11" x14ac:dyDescent="0.2">
      <c r="B96" s="149"/>
      <c r="C96" s="149">
        <v>41509</v>
      </c>
      <c r="D96" s="151"/>
      <c r="E96" s="286" t="s">
        <v>428</v>
      </c>
      <c r="F96" s="153" t="s">
        <v>2041</v>
      </c>
      <c r="G96" s="155" t="s">
        <v>1703</v>
      </c>
      <c r="H96" s="144">
        <v>10000</v>
      </c>
      <c r="I96" s="144"/>
      <c r="J96" s="144">
        <f t="shared" si="7"/>
        <v>45682.71</v>
      </c>
      <c r="K96" s="148"/>
    </row>
    <row r="97" spans="2:11" ht="25.5" x14ac:dyDescent="0.2">
      <c r="B97" s="152" t="s">
        <v>1680</v>
      </c>
      <c r="C97" s="152" t="s">
        <v>1681</v>
      </c>
      <c r="D97" s="142" t="s">
        <v>1672</v>
      </c>
      <c r="E97" s="142"/>
      <c r="F97" s="76" t="s">
        <v>1233</v>
      </c>
      <c r="G97" s="126" t="s">
        <v>903</v>
      </c>
      <c r="H97" s="143" t="s">
        <v>1673</v>
      </c>
      <c r="I97" s="143" t="s">
        <v>1674</v>
      </c>
      <c r="J97" s="143" t="s">
        <v>1675</v>
      </c>
    </row>
    <row r="98" spans="2:11" x14ac:dyDescent="0.2">
      <c r="B98" s="149"/>
      <c r="C98" s="149"/>
      <c r="D98" s="151"/>
      <c r="E98" s="286"/>
      <c r="F98" s="153"/>
      <c r="G98" s="155"/>
      <c r="H98" s="144"/>
      <c r="I98" s="144"/>
      <c r="J98" s="144"/>
      <c r="K98" s="148"/>
    </row>
    <row r="99" spans="2:11" x14ac:dyDescent="0.2">
      <c r="B99" s="149"/>
      <c r="C99" s="149"/>
      <c r="D99" s="151"/>
      <c r="E99" s="286"/>
      <c r="F99" s="153"/>
      <c r="G99" s="155"/>
      <c r="H99" s="144"/>
      <c r="I99" s="144"/>
      <c r="J99" s="144"/>
      <c r="K99" s="148"/>
    </row>
    <row r="100" spans="2:11" x14ac:dyDescent="0.2">
      <c r="B100" s="149"/>
      <c r="C100" s="149"/>
      <c r="D100" s="151"/>
      <c r="E100" s="286"/>
      <c r="F100" s="153"/>
      <c r="G100" s="155"/>
      <c r="H100" s="144"/>
      <c r="I100" s="144"/>
      <c r="J100" s="144"/>
      <c r="K100" s="148"/>
    </row>
  </sheetData>
  <autoFilter ref="B3:J96"/>
  <sortState ref="B62:J73">
    <sortCondition ref="C62:C73"/>
  </sortState>
  <mergeCells count="1">
    <mergeCell ref="H1:J1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Q159"/>
  <sheetViews>
    <sheetView showGridLines="0" workbookViewId="0">
      <selection activeCell="L17" sqref="L17"/>
    </sheetView>
  </sheetViews>
  <sheetFormatPr baseColWidth="10" defaultRowHeight="12.75" x14ac:dyDescent="0.2"/>
  <cols>
    <col min="1" max="1" width="25.28515625" customWidth="1"/>
    <col min="2" max="2" width="24.5703125" bestFit="1" customWidth="1"/>
    <col min="3" max="3" width="10" customWidth="1"/>
    <col min="4" max="4" width="10.140625" bestFit="1" customWidth="1"/>
    <col min="5" max="9" width="9.140625" bestFit="1" customWidth="1"/>
    <col min="10" max="10" width="10.7109375" customWidth="1"/>
    <col min="11" max="11" width="10.42578125" bestFit="1" customWidth="1"/>
    <col min="12" max="12" width="9.42578125" customWidth="1"/>
    <col min="13" max="15" width="9" bestFit="1" customWidth="1"/>
    <col min="16" max="16" width="10.140625" bestFit="1" customWidth="1"/>
  </cols>
  <sheetData>
    <row r="2" spans="2:17" x14ac:dyDescent="0.2">
      <c r="B2" s="163" t="s">
        <v>1687</v>
      </c>
      <c r="C2" s="163"/>
    </row>
    <row r="3" spans="2:17" x14ac:dyDescent="0.2">
      <c r="C3" s="72">
        <v>2012</v>
      </c>
      <c r="D3" s="290" t="s">
        <v>690</v>
      </c>
      <c r="E3" s="290" t="s">
        <v>691</v>
      </c>
      <c r="F3" s="290" t="s">
        <v>692</v>
      </c>
      <c r="G3" s="290" t="s">
        <v>693</v>
      </c>
      <c r="H3" s="290" t="s">
        <v>694</v>
      </c>
      <c r="I3" s="290" t="s">
        <v>695</v>
      </c>
      <c r="J3" s="290" t="s">
        <v>696</v>
      </c>
      <c r="K3" s="290" t="s">
        <v>697</v>
      </c>
      <c r="L3" s="290" t="s">
        <v>698</v>
      </c>
      <c r="M3" s="290" t="s">
        <v>699</v>
      </c>
      <c r="N3" s="290" t="s">
        <v>700</v>
      </c>
      <c r="O3" s="290" t="s">
        <v>701</v>
      </c>
      <c r="P3" s="72">
        <v>2013</v>
      </c>
      <c r="Q3" s="72" t="s">
        <v>1829</v>
      </c>
    </row>
    <row r="4" spans="2:17" x14ac:dyDescent="0.2">
      <c r="B4" s="132" t="s">
        <v>1688</v>
      </c>
      <c r="C4" s="167">
        <f>SUM('cobranza 2013'!F8:F448)</f>
        <v>102125</v>
      </c>
      <c r="D4" s="167">
        <f>SUM('cobranza 2013'!K8:K448)</f>
        <v>92475</v>
      </c>
      <c r="E4" s="167">
        <f>SUM('cobranza 2013'!L8:L448)</f>
        <v>93125.28</v>
      </c>
      <c r="F4" s="167">
        <f>SUM('cobranza 2013'!M8:M448)</f>
        <v>87725</v>
      </c>
      <c r="G4" s="167">
        <f>SUM('cobranza 2013'!N8:N448)</f>
        <v>75225</v>
      </c>
      <c r="H4" s="167">
        <f>SUM('cobranza 2013'!O8:O448)</f>
        <v>95645</v>
      </c>
      <c r="I4" s="167">
        <f>SUM('cobranza 2013'!P8:P448)</f>
        <v>83475</v>
      </c>
      <c r="J4" s="167">
        <f>SUM('cobranza 2013'!Q8:Q448)</f>
        <v>79425</v>
      </c>
      <c r="K4" s="167">
        <f>SUM('cobranza 2013'!R8:R448)</f>
        <v>76875</v>
      </c>
      <c r="L4" s="167">
        <f>SUM('cobranza 2013'!S8:S448)</f>
        <v>50975</v>
      </c>
      <c r="M4" s="167">
        <f>SUM('cobranza 2013'!T8:T448)</f>
        <v>18450</v>
      </c>
      <c r="N4" s="167">
        <f>SUM('cobranza 2013'!U8:U448)</f>
        <v>10050</v>
      </c>
      <c r="O4" s="167">
        <f>SUM('cobranza 2013'!V8:V448)</f>
        <v>3350</v>
      </c>
      <c r="P4" s="167">
        <f>SUM('cobranza 2013'!G8:G448)+G57</f>
        <v>769595</v>
      </c>
      <c r="Q4" s="167">
        <f>SUM(C4,P4)</f>
        <v>871720</v>
      </c>
    </row>
    <row r="5" spans="2:17" ht="3" customHeight="1" x14ac:dyDescent="0.2">
      <c r="B5" s="132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5"/>
    </row>
    <row r="6" spans="2:17" x14ac:dyDescent="0.2">
      <c r="B6" s="132" t="s">
        <v>1818</v>
      </c>
      <c r="D6" s="164"/>
      <c r="E6" s="167">
        <f>SUM($D4:E4)</f>
        <v>185600.28</v>
      </c>
      <c r="F6" s="167">
        <f>SUM($D4:F4)</f>
        <v>273325.28000000003</v>
      </c>
      <c r="G6" s="167">
        <f>SUM($D4:G4)</f>
        <v>348550.28</v>
      </c>
      <c r="H6" s="167">
        <f>SUM($D4:H4)</f>
        <v>444195.28</v>
      </c>
      <c r="I6" s="167">
        <f>SUM($D4:I4)</f>
        <v>527670.28</v>
      </c>
      <c r="J6" s="167">
        <f>SUM($D4:J4)</f>
        <v>607095.28</v>
      </c>
      <c r="K6" s="167">
        <f>SUM($D4:K4)</f>
        <v>683970.28</v>
      </c>
      <c r="L6" s="167">
        <f>SUM($D4:L4)</f>
        <v>734945.28000000003</v>
      </c>
    </row>
    <row r="7" spans="2:17" ht="6" customHeight="1" x14ac:dyDescent="0.2">
      <c r="B7" s="132"/>
      <c r="D7" s="164"/>
      <c r="E7" s="319"/>
      <c r="F7" s="319"/>
      <c r="G7" s="319"/>
      <c r="H7" s="319"/>
      <c r="I7" s="319"/>
      <c r="J7" s="319"/>
      <c r="K7" s="319"/>
      <c r="L7" s="319"/>
    </row>
    <row r="8" spans="2:17" x14ac:dyDescent="0.2">
      <c r="B8" s="132" t="s">
        <v>1823</v>
      </c>
      <c r="C8" s="169">
        <f>DSUM(DIC_2012,importe,ING_CUOTAS)</f>
        <v>81975</v>
      </c>
      <c r="D8" s="169">
        <f>DSUM(ENE_2013,importe,ING_CUOTAS)</f>
        <v>127225</v>
      </c>
      <c r="E8" s="169">
        <f>DSUM(FEB_2013,importe,ING_CUOTAS)</f>
        <v>87575</v>
      </c>
      <c r="F8" s="169">
        <f>DSUM(MAR_2013,importe,ING_CUOTAS)</f>
        <v>81975</v>
      </c>
      <c r="G8" s="169">
        <f>DSUM(ABR_2013,importe,ING_CUOTAS)</f>
        <v>57925</v>
      </c>
      <c r="H8" s="169">
        <f>DSUM(MAY_2013,importe,ING_CUOTAS)</f>
        <v>68095</v>
      </c>
      <c r="I8" s="169">
        <f>DSUM(JUN_2013,importe,ING_CUOTAS)</f>
        <v>70775</v>
      </c>
      <c r="J8" s="169">
        <f>DSUM(JUL_2013,importe,ING_CUOTAS)</f>
        <v>68325</v>
      </c>
      <c r="K8" s="169">
        <f>DSUM(AGO_2013,importe,ING_CUOTAS)</f>
        <v>58975</v>
      </c>
      <c r="L8" s="169">
        <f>DSUM(SEP_2013,importe,ING_CUOTAS)</f>
        <v>76475</v>
      </c>
    </row>
    <row r="9" spans="2:17" ht="3" customHeight="1" x14ac:dyDescent="0.2">
      <c r="B9" s="132"/>
      <c r="C9" s="314"/>
      <c r="D9" s="314"/>
      <c r="E9" s="314"/>
      <c r="F9" s="314"/>
      <c r="G9" s="314"/>
      <c r="H9" s="314"/>
      <c r="I9" s="314"/>
      <c r="J9" s="314"/>
    </row>
    <row r="10" spans="2:17" x14ac:dyDescent="0.2">
      <c r="B10" s="132" t="s">
        <v>1824</v>
      </c>
      <c r="C10" s="314"/>
      <c r="D10" s="318"/>
      <c r="E10" s="317">
        <f>SUM($D8:E8)</f>
        <v>214800</v>
      </c>
      <c r="F10" s="317">
        <f>SUM($D8:F8)</f>
        <v>296775</v>
      </c>
      <c r="G10" s="317">
        <f>SUM($D8:G8)</f>
        <v>354700</v>
      </c>
      <c r="H10" s="317">
        <f>SUM($D8:H8)</f>
        <v>422795</v>
      </c>
      <c r="I10" s="317">
        <f>SUM($D8:I8)</f>
        <v>493570</v>
      </c>
      <c r="J10" s="317">
        <f>SUM($D8:J8)</f>
        <v>561895</v>
      </c>
      <c r="K10" s="317">
        <f>SUM($D8:K8)</f>
        <v>620870</v>
      </c>
      <c r="L10" s="317">
        <f>SUM($D8:L8)</f>
        <v>697345</v>
      </c>
    </row>
    <row r="11" spans="2:17" x14ac:dyDescent="0.2">
      <c r="B11" s="132" t="s">
        <v>1825</v>
      </c>
      <c r="C11" s="314"/>
      <c r="D11" s="169">
        <f>SUM($C8:D8)</f>
        <v>209200</v>
      </c>
      <c r="E11" s="169">
        <f>SUM($C8:E8)</f>
        <v>296775</v>
      </c>
      <c r="F11" s="169">
        <f>SUM($C8:F8)</f>
        <v>378750</v>
      </c>
      <c r="G11" s="169">
        <f>SUM($C8:G8)</f>
        <v>436675</v>
      </c>
      <c r="H11" s="169">
        <f>SUM($C8:H8)</f>
        <v>504770</v>
      </c>
      <c r="I11" s="169">
        <f>SUM($C8:I8)</f>
        <v>575545</v>
      </c>
      <c r="J11" s="169">
        <f>SUM($C8:J8)</f>
        <v>643870</v>
      </c>
      <c r="K11" s="169">
        <f>SUM($C8:K8)</f>
        <v>702845</v>
      </c>
      <c r="L11" s="169">
        <f>SUM($C8:L8)</f>
        <v>779320</v>
      </c>
    </row>
    <row r="12" spans="2:17" ht="6" customHeight="1" x14ac:dyDescent="0.2">
      <c r="B12" s="132"/>
      <c r="C12" s="314"/>
      <c r="D12" s="314"/>
      <c r="E12" s="320"/>
      <c r="F12" s="320"/>
      <c r="G12" s="320"/>
      <c r="H12" s="320"/>
      <c r="I12" s="320"/>
      <c r="J12" s="320"/>
      <c r="K12" s="320"/>
      <c r="L12" s="320"/>
    </row>
    <row r="13" spans="2:17" x14ac:dyDescent="0.2">
      <c r="B13" s="132" t="s">
        <v>1689</v>
      </c>
      <c r="D13" s="169">
        <f>DSUM(BCO_ENE13,deposito,DTE_01)+DSUM(BCO_ENE13,deposito,DTE_02)+DSUM(BCO_ENE13,deposito,DTE_03)+DSUM(BCO_ENE13,deposito,DTE_04)+DSUM(BCO_ENE13,deposito,DTE_05)</f>
        <v>10600</v>
      </c>
      <c r="E13" s="169">
        <f>DSUM(BCO_FEB13,deposito,DTE_01)+DSUM(BCO_FEB13,deposito,DTE_02)+DSUM(BCO_FEB13,deposito,DTE_03)+DSUM(BCO_FEB13,deposito,DTE_04)+DSUM(BCO_FEB13,deposito,DTE_05)</f>
        <v>11200</v>
      </c>
      <c r="F13" s="169">
        <f>DSUM(BCO_MAR13,deposito,DTE_01)+DSUM(BCO_MAR13,deposito,DTE_02)+DSUM(BCO_MAR13,deposito,DTE_03)+DSUM(BCO_MAR13,deposito,DTE_04)+DSUM(BCO_MAR13,deposito,DTE_05)</f>
        <v>11200</v>
      </c>
      <c r="G13" s="169">
        <f>DSUM(BCO_ABR13,deposito,DTE_01)+DSUM(BCO_ABR13,deposito,DTE_02)+DSUM(BCO_ABR13,deposito,DTE_03)+DSUM(BCO_ABR13,deposito,DTE_04)+DSUM(BCO_ABR13,deposito,DTE_05)</f>
        <v>1200</v>
      </c>
      <c r="H13" s="169">
        <f>DSUM(BCO_MAY13,deposito,DTE_01)+DSUM(BCO_MAY13,deposito,DTE_02)+DSUM(BCO_MAY13,deposito,DTE_03)+DSUM(BCO_MAY13,deposito,DTE_04)+DSUM(BCO_MAY13,deposito,DTE_05)</f>
        <v>20900</v>
      </c>
      <c r="I13" s="169">
        <f>DSUM(BCO_JUN13,deposito,DTE_01)+DSUM(BCO_JUN13,deposito,DTE_02)+DSUM(BCO_JUN13,deposito,DTE_03)+DSUM(BCO_JUN13,deposito,DTE_04)+DSUM(BCO_JUN13,deposito,DTE_05)</f>
        <v>10600</v>
      </c>
      <c r="J13" s="169">
        <f>DSUM(BCO_JUL13,deposito,DTE_01)+DSUM(BCO_JUL13,deposito,DTE_02)+DSUM(BCO_JUL13,deposito,DTE_03)+DSUM(BCO_JUL13,deposito,DTE_04)+DSUM(BCO_JUL13,deposito,DTE_05)</f>
        <v>10900</v>
      </c>
      <c r="K13" s="169">
        <f>DSUM(BCO_AGO13,deposito,DTE_01)+DSUM(BCO_AGO13,deposito,DTE_02)+DSUM(BCO_AGO13,deposito,DTE_03)+DSUM(BCO_AGO13,deposito,DTE_04)+DSUM(BCO_AGO13,deposito,DTE_05)</f>
        <v>10600</v>
      </c>
      <c r="L13" s="169">
        <f>DSUM(BCO_SEP13,deposito,DTE_01)+DSUM(BCO_SEP13,deposito,DTE_02)+DSUM(BCO_SEP13,deposito,DTE_03)+DSUM(BCO_SEP13,deposito,DTE_04)+DSUM(BCO_SEP13,deposito,DTE_05)</f>
        <v>0</v>
      </c>
    </row>
    <row r="14" spans="2:17" ht="3" customHeight="1" x14ac:dyDescent="0.2">
      <c r="B14" s="132"/>
      <c r="D14" s="314"/>
      <c r="E14" s="314"/>
      <c r="F14" s="314"/>
      <c r="G14" s="314"/>
      <c r="H14" s="314"/>
      <c r="I14" s="314"/>
      <c r="J14" s="117"/>
    </row>
    <row r="15" spans="2:17" x14ac:dyDescent="0.2">
      <c r="B15" s="132" t="s">
        <v>1821</v>
      </c>
      <c r="E15" s="167">
        <f>SUM($D13:E13)</f>
        <v>21800</v>
      </c>
      <c r="F15" s="167">
        <f>SUM($D13:F13)</f>
        <v>33000</v>
      </c>
      <c r="G15" s="167">
        <f>SUM($D13:G13)</f>
        <v>34200</v>
      </c>
      <c r="H15" s="167">
        <f>SUM($D13:H13)</f>
        <v>55100</v>
      </c>
      <c r="I15" s="167">
        <f>SUM($D13:I13)</f>
        <v>65700</v>
      </c>
      <c r="J15" s="167">
        <f>SUM($D13:J13)</f>
        <v>76600</v>
      </c>
      <c r="K15" s="167">
        <f>SUM($D13:K13)</f>
        <v>87200</v>
      </c>
      <c r="L15" s="167">
        <f>SUM($D13:L13)</f>
        <v>87200</v>
      </c>
    </row>
    <row r="17" spans="2:13" x14ac:dyDescent="0.2">
      <c r="B17" s="324" t="s">
        <v>1830</v>
      </c>
      <c r="C17" s="170"/>
      <c r="D17" s="170"/>
      <c r="E17" s="170"/>
      <c r="F17" s="170"/>
      <c r="G17" s="170"/>
      <c r="H17" s="170"/>
      <c r="I17" s="170"/>
      <c r="J17" s="325"/>
      <c r="K17" s="325"/>
      <c r="L17" s="325">
        <f>SUM(L11,L15)</f>
        <v>866520</v>
      </c>
    </row>
    <row r="18" spans="2:13" x14ac:dyDescent="0.2">
      <c r="B18" s="324" t="s">
        <v>1826</v>
      </c>
      <c r="C18" s="115"/>
      <c r="D18" s="115"/>
      <c r="E18" s="115"/>
      <c r="F18" s="115"/>
      <c r="G18" s="115"/>
      <c r="H18" s="115"/>
      <c r="I18" s="115"/>
      <c r="J18" s="326"/>
      <c r="K18" s="326"/>
      <c r="L18" s="326">
        <f>$Q4-L17</f>
        <v>5200</v>
      </c>
    </row>
    <row r="19" spans="2:13" x14ac:dyDescent="0.2">
      <c r="B19" s="324" t="s">
        <v>1827</v>
      </c>
      <c r="C19" s="115"/>
      <c r="D19" s="115"/>
      <c r="E19" s="115"/>
      <c r="F19" s="115"/>
      <c r="G19" s="115"/>
      <c r="H19" s="115"/>
      <c r="I19" s="115"/>
      <c r="J19" s="326"/>
      <c r="K19" s="326"/>
      <c r="L19" s="326">
        <f>$G$34</f>
        <v>900</v>
      </c>
    </row>
    <row r="20" spans="2:13" x14ac:dyDescent="0.2">
      <c r="B20" s="324" t="s">
        <v>1690</v>
      </c>
      <c r="C20" s="115"/>
      <c r="D20" s="115"/>
      <c r="E20" s="115"/>
      <c r="F20" s="115"/>
      <c r="G20" s="115"/>
      <c r="H20" s="115"/>
      <c r="I20" s="115"/>
      <c r="J20" s="326"/>
      <c r="K20" s="326"/>
      <c r="L20" s="326">
        <f>-$G$57</f>
        <v>-6100</v>
      </c>
    </row>
    <row r="21" spans="2:13" x14ac:dyDescent="0.2">
      <c r="B21" s="324" t="s">
        <v>1828</v>
      </c>
      <c r="C21" s="115"/>
      <c r="D21" s="115"/>
      <c r="E21" s="115"/>
      <c r="F21" s="115"/>
      <c r="G21" s="115"/>
      <c r="H21" s="115"/>
      <c r="I21" s="115"/>
      <c r="J21" s="326"/>
      <c r="K21" s="326"/>
      <c r="L21" s="326">
        <f>SUM(L18:L20)</f>
        <v>0</v>
      </c>
    </row>
    <row r="22" spans="2:13" x14ac:dyDescent="0.2">
      <c r="B22" s="324"/>
      <c r="C22" s="117"/>
      <c r="D22" s="117"/>
      <c r="E22" s="117"/>
      <c r="F22" s="117"/>
      <c r="G22" s="117"/>
      <c r="H22" s="117"/>
      <c r="I22" s="117"/>
      <c r="J22" s="327"/>
    </row>
    <row r="23" spans="2:13" x14ac:dyDescent="0.2">
      <c r="B23" s="166"/>
    </row>
    <row r="24" spans="2:13" x14ac:dyDescent="0.2">
      <c r="B24" s="324" t="s">
        <v>1831</v>
      </c>
      <c r="C24" s="170"/>
      <c r="D24" s="170"/>
      <c r="E24" s="170"/>
      <c r="F24" s="170"/>
      <c r="G24" s="170"/>
      <c r="H24" s="170"/>
      <c r="I24" s="170"/>
      <c r="J24" s="325">
        <f>estadística!$I$7*1000</f>
        <v>763494.99999999988</v>
      </c>
      <c r="K24" s="325">
        <f>estadística!$I$7*1000</f>
        <v>763494.99999999988</v>
      </c>
      <c r="L24" s="325">
        <f>estadística!$I$7*1000</f>
        <v>763494.99999999988</v>
      </c>
    </row>
    <row r="25" spans="2:13" x14ac:dyDescent="0.2">
      <c r="B25" s="324" t="s">
        <v>1832</v>
      </c>
      <c r="C25" s="170"/>
      <c r="D25" s="170"/>
      <c r="E25" s="170"/>
      <c r="F25" s="170"/>
      <c r="G25" s="170"/>
      <c r="H25" s="170"/>
      <c r="I25" s="170"/>
      <c r="J25" s="325">
        <f>SUM(J10,J15)</f>
        <v>638495</v>
      </c>
      <c r="K25" s="325">
        <f>SUM(K10,K15)</f>
        <v>708070</v>
      </c>
      <c r="L25" s="325">
        <f>SUM(L10,L15)</f>
        <v>784545</v>
      </c>
    </row>
    <row r="26" spans="2:13" x14ac:dyDescent="0.2">
      <c r="B26" s="324" t="s">
        <v>1820</v>
      </c>
      <c r="C26" s="115"/>
      <c r="D26" s="115"/>
      <c r="E26" s="115"/>
      <c r="F26" s="115"/>
      <c r="G26" s="115"/>
      <c r="H26" s="115"/>
      <c r="I26" s="115"/>
      <c r="J26" s="326">
        <v>-27600</v>
      </c>
      <c r="K26" s="326">
        <v>-27600</v>
      </c>
      <c r="L26" s="326">
        <v>-27600</v>
      </c>
      <c r="M26" s="325"/>
    </row>
    <row r="27" spans="2:13" x14ac:dyDescent="0.2">
      <c r="B27" s="324" t="s">
        <v>1819</v>
      </c>
      <c r="C27" s="115"/>
      <c r="D27" s="115"/>
      <c r="E27" s="115"/>
      <c r="F27" s="115"/>
      <c r="G27" s="115"/>
      <c r="H27" s="115"/>
      <c r="I27" s="115"/>
      <c r="J27" s="326">
        <v>7150</v>
      </c>
      <c r="K27" s="326">
        <v>7150</v>
      </c>
      <c r="L27" s="326">
        <v>7150</v>
      </c>
      <c r="M27" s="325"/>
    </row>
    <row r="28" spans="2:13" x14ac:dyDescent="0.2">
      <c r="B28" s="324" t="s">
        <v>1822</v>
      </c>
      <c r="C28" s="115"/>
      <c r="D28" s="115"/>
      <c r="E28" s="115"/>
      <c r="F28" s="115"/>
      <c r="G28" s="115"/>
      <c r="H28" s="115"/>
      <c r="I28" s="115"/>
      <c r="J28" s="326">
        <f>-SUM($F32:$F34)</f>
        <v>-600</v>
      </c>
      <c r="K28" s="326">
        <f>-SUM($F32:$F34)</f>
        <v>-600</v>
      </c>
      <c r="L28" s="326">
        <f>-SUM($F32:$F34)</f>
        <v>-600</v>
      </c>
      <c r="M28" s="325"/>
    </row>
    <row r="30" spans="2:13" x14ac:dyDescent="0.2">
      <c r="B30" s="10" t="s">
        <v>1833</v>
      </c>
    </row>
    <row r="31" spans="2:13" x14ac:dyDescent="0.2">
      <c r="B31" s="321" t="s">
        <v>1716</v>
      </c>
      <c r="C31" s="328">
        <v>41266</v>
      </c>
      <c r="D31" s="322"/>
      <c r="E31" s="322"/>
      <c r="F31" s="310">
        <v>300</v>
      </c>
      <c r="G31" s="337"/>
    </row>
    <row r="32" spans="2:13" x14ac:dyDescent="0.2">
      <c r="B32" s="321" t="s">
        <v>1691</v>
      </c>
      <c r="C32" s="328">
        <v>41427</v>
      </c>
      <c r="D32" s="322"/>
      <c r="E32" s="322"/>
      <c r="F32" s="310">
        <v>300</v>
      </c>
      <c r="G32" s="337"/>
    </row>
    <row r="33" spans="2:7" x14ac:dyDescent="0.2">
      <c r="B33" s="321" t="s">
        <v>1732</v>
      </c>
      <c r="C33" s="328">
        <v>41462</v>
      </c>
      <c r="D33" s="322"/>
      <c r="E33" s="322"/>
      <c r="F33" s="310"/>
      <c r="G33" s="337"/>
    </row>
    <row r="34" spans="2:7" x14ac:dyDescent="0.2">
      <c r="B34" s="363" t="s">
        <v>1854</v>
      </c>
      <c r="C34" s="329">
        <v>41484</v>
      </c>
      <c r="D34" s="323"/>
      <c r="E34" s="323"/>
      <c r="F34" s="311">
        <v>300</v>
      </c>
      <c r="G34" s="172">
        <f>SUM(F31:F34)</f>
        <v>900</v>
      </c>
    </row>
    <row r="36" spans="2:7" x14ac:dyDescent="0.2">
      <c r="B36" s="10" t="s">
        <v>1700</v>
      </c>
    </row>
    <row r="37" spans="2:7" x14ac:dyDescent="0.2">
      <c r="B37" s="312" t="s">
        <v>1439</v>
      </c>
      <c r="C37" s="312"/>
      <c r="D37" s="312" t="s">
        <v>355</v>
      </c>
      <c r="E37" s="312"/>
      <c r="F37" s="310">
        <v>150</v>
      </c>
      <c r="G37" s="124"/>
    </row>
    <row r="38" spans="2:7" x14ac:dyDescent="0.2">
      <c r="B38" s="312" t="s">
        <v>1443</v>
      </c>
      <c r="C38" s="312"/>
      <c r="D38" s="312" t="s">
        <v>1211</v>
      </c>
      <c r="E38" s="312"/>
      <c r="F38" s="310">
        <v>300</v>
      </c>
      <c r="G38" s="124"/>
    </row>
    <row r="39" spans="2:7" x14ac:dyDescent="0.2">
      <c r="B39" s="312" t="s">
        <v>1554</v>
      </c>
      <c r="C39" s="312"/>
      <c r="D39" s="312" t="s">
        <v>1213</v>
      </c>
      <c r="E39" s="312"/>
      <c r="F39" s="310">
        <v>300</v>
      </c>
      <c r="G39" s="124"/>
    </row>
    <row r="40" spans="2:7" x14ac:dyDescent="0.2">
      <c r="B40" s="312" t="s">
        <v>1523</v>
      </c>
      <c r="C40" s="312"/>
      <c r="D40" s="312" t="s">
        <v>411</v>
      </c>
      <c r="E40" s="312"/>
      <c r="F40" s="310">
        <v>300</v>
      </c>
      <c r="G40" s="124"/>
    </row>
    <row r="41" spans="2:7" x14ac:dyDescent="0.2">
      <c r="B41" s="312" t="s">
        <v>1441</v>
      </c>
      <c r="C41" s="312"/>
      <c r="D41" s="312" t="s">
        <v>1245</v>
      </c>
      <c r="E41" s="312"/>
      <c r="F41" s="310">
        <v>300</v>
      </c>
      <c r="G41" s="124"/>
    </row>
    <row r="42" spans="2:7" x14ac:dyDescent="0.2">
      <c r="B42" s="312" t="s">
        <v>1491</v>
      </c>
      <c r="C42" s="312"/>
      <c r="D42" s="312" t="s">
        <v>1205</v>
      </c>
      <c r="E42" s="312"/>
      <c r="F42" s="310">
        <v>300</v>
      </c>
      <c r="G42" s="124"/>
    </row>
    <row r="43" spans="2:7" x14ac:dyDescent="0.2">
      <c r="B43" s="312" t="s">
        <v>1709</v>
      </c>
      <c r="C43" s="312"/>
      <c r="D43" s="312" t="s">
        <v>708</v>
      </c>
      <c r="E43" s="312"/>
      <c r="F43" s="310">
        <v>300</v>
      </c>
      <c r="G43" s="124"/>
    </row>
    <row r="44" spans="2:7" x14ac:dyDescent="0.2">
      <c r="B44" s="312" t="s">
        <v>1457</v>
      </c>
      <c r="C44" s="312"/>
      <c r="D44" s="312" t="s">
        <v>90</v>
      </c>
      <c r="E44" s="312"/>
      <c r="F44" s="310">
        <v>300</v>
      </c>
      <c r="G44" s="124"/>
    </row>
    <row r="45" spans="2:7" x14ac:dyDescent="0.2">
      <c r="B45" s="312" t="s">
        <v>1549</v>
      </c>
      <c r="C45" s="312"/>
      <c r="D45" s="312" t="s">
        <v>1209</v>
      </c>
      <c r="E45" s="312"/>
      <c r="F45" s="310">
        <v>300</v>
      </c>
      <c r="G45" s="124"/>
    </row>
    <row r="46" spans="2:7" x14ac:dyDescent="0.2">
      <c r="B46" s="312" t="s">
        <v>1500</v>
      </c>
      <c r="C46" s="312"/>
      <c r="D46" s="312" t="s">
        <v>1210</v>
      </c>
      <c r="E46" s="312"/>
      <c r="F46" s="310">
        <v>300</v>
      </c>
      <c r="G46" s="124"/>
    </row>
    <row r="47" spans="2:7" x14ac:dyDescent="0.2">
      <c r="B47" s="312" t="s">
        <v>1454</v>
      </c>
      <c r="C47" s="312"/>
      <c r="D47" s="312" t="s">
        <v>1184</v>
      </c>
      <c r="E47" s="312"/>
      <c r="F47" s="310">
        <v>300</v>
      </c>
      <c r="G47" s="124"/>
    </row>
    <row r="48" spans="2:7" x14ac:dyDescent="0.2">
      <c r="B48" s="312" t="s">
        <v>1532</v>
      </c>
      <c r="C48" s="312"/>
      <c r="D48" s="312" t="s">
        <v>539</v>
      </c>
      <c r="E48" s="312"/>
      <c r="F48" s="310">
        <v>300</v>
      </c>
      <c r="G48" s="124"/>
    </row>
    <row r="49" spans="2:7" x14ac:dyDescent="0.2">
      <c r="B49" s="312" t="s">
        <v>1503</v>
      </c>
      <c r="C49" s="312"/>
      <c r="D49" s="312" t="s">
        <v>739</v>
      </c>
      <c r="E49" s="312"/>
      <c r="F49" s="310">
        <v>300</v>
      </c>
      <c r="G49" s="124"/>
    </row>
    <row r="50" spans="2:7" x14ac:dyDescent="0.2">
      <c r="B50" s="312" t="s">
        <v>1447</v>
      </c>
      <c r="C50" s="312"/>
      <c r="D50" s="312" t="s">
        <v>179</v>
      </c>
      <c r="E50" s="312"/>
      <c r="F50" s="310">
        <v>300</v>
      </c>
      <c r="G50" s="124"/>
    </row>
    <row r="51" spans="2:7" x14ac:dyDescent="0.2">
      <c r="B51" s="312" t="s">
        <v>1509</v>
      </c>
      <c r="C51" s="312"/>
      <c r="D51" s="312" t="s">
        <v>181</v>
      </c>
      <c r="E51" s="312"/>
      <c r="F51" s="310">
        <v>250</v>
      </c>
      <c r="G51" s="124"/>
    </row>
    <row r="52" spans="2:7" x14ac:dyDescent="0.2">
      <c r="B52" s="312" t="s">
        <v>1629</v>
      </c>
      <c r="C52" s="312"/>
      <c r="D52" s="312" t="s">
        <v>186</v>
      </c>
      <c r="E52" s="312"/>
      <c r="F52" s="310">
        <v>300</v>
      </c>
      <c r="G52" s="124"/>
    </row>
    <row r="53" spans="2:7" x14ac:dyDescent="0.2">
      <c r="B53" s="312" t="s">
        <v>1641</v>
      </c>
      <c r="C53" s="312"/>
      <c r="D53" s="312" t="s">
        <v>250</v>
      </c>
      <c r="E53" s="312"/>
      <c r="F53" s="310">
        <v>300</v>
      </c>
      <c r="G53" s="124"/>
    </row>
    <row r="54" spans="2:7" x14ac:dyDescent="0.2">
      <c r="B54" s="312" t="s">
        <v>1600</v>
      </c>
      <c r="C54" s="312"/>
      <c r="D54" s="312" t="s">
        <v>261</v>
      </c>
      <c r="E54" s="312"/>
      <c r="F54" s="310">
        <v>300</v>
      </c>
      <c r="G54" s="124"/>
    </row>
    <row r="55" spans="2:7" x14ac:dyDescent="0.2">
      <c r="B55" s="312" t="s">
        <v>1488</v>
      </c>
      <c r="C55" s="312"/>
      <c r="D55" s="312" t="s">
        <v>1222</v>
      </c>
      <c r="E55" s="312"/>
      <c r="F55" s="310">
        <v>300</v>
      </c>
      <c r="G55" s="124"/>
    </row>
    <row r="56" spans="2:7" x14ac:dyDescent="0.2">
      <c r="B56" s="312" t="s">
        <v>1490</v>
      </c>
      <c r="C56" s="312"/>
      <c r="D56" s="312" t="s">
        <v>110</v>
      </c>
      <c r="E56" s="312"/>
      <c r="F56" s="310">
        <v>300</v>
      </c>
      <c r="G56" s="124"/>
    </row>
    <row r="57" spans="2:7" x14ac:dyDescent="0.2">
      <c r="B57" s="313" t="s">
        <v>1605</v>
      </c>
      <c r="C57" s="313"/>
      <c r="D57" s="313" t="s">
        <v>1223</v>
      </c>
      <c r="E57" s="313"/>
      <c r="F57" s="311">
        <v>300</v>
      </c>
      <c r="G57" s="172">
        <f>SUM(F37:F57)</f>
        <v>6100</v>
      </c>
    </row>
    <row r="59" spans="2:7" x14ac:dyDescent="0.2">
      <c r="B59" s="10" t="s">
        <v>1819</v>
      </c>
    </row>
    <row r="60" spans="2:7" x14ac:dyDescent="0.2">
      <c r="B60" s="312" t="s">
        <v>1603</v>
      </c>
      <c r="C60" s="312"/>
      <c r="D60" s="312" t="s">
        <v>269</v>
      </c>
      <c r="E60" s="312"/>
      <c r="F60" s="310">
        <v>300</v>
      </c>
      <c r="G60" s="124"/>
    </row>
    <row r="61" spans="2:7" x14ac:dyDescent="0.2">
      <c r="B61" s="312" t="s">
        <v>1601</v>
      </c>
      <c r="C61" s="312"/>
      <c r="D61" s="312" t="s">
        <v>276</v>
      </c>
      <c r="E61" s="312"/>
      <c r="F61" s="310">
        <v>300</v>
      </c>
      <c r="G61" s="124"/>
    </row>
    <row r="62" spans="2:7" x14ac:dyDescent="0.2">
      <c r="B62" s="312" t="s">
        <v>1598</v>
      </c>
      <c r="C62" s="312"/>
      <c r="D62" s="312" t="s">
        <v>200</v>
      </c>
      <c r="E62" s="312"/>
      <c r="F62" s="310">
        <v>300</v>
      </c>
      <c r="G62" s="124"/>
    </row>
    <row r="63" spans="2:7" x14ac:dyDescent="0.2">
      <c r="B63" s="312" t="s">
        <v>1614</v>
      </c>
      <c r="C63" s="312"/>
      <c r="D63" s="312" t="s">
        <v>337</v>
      </c>
      <c r="E63" s="312"/>
      <c r="F63" s="310">
        <v>150</v>
      </c>
      <c r="G63" s="124"/>
    </row>
    <row r="64" spans="2:7" x14ac:dyDescent="0.2">
      <c r="B64" s="312" t="s">
        <v>1595</v>
      </c>
      <c r="C64" s="312"/>
      <c r="D64" s="312" t="s">
        <v>1216</v>
      </c>
      <c r="E64" s="312"/>
      <c r="F64" s="310">
        <v>300</v>
      </c>
      <c r="G64" s="124"/>
    </row>
    <row r="65" spans="2:7" x14ac:dyDescent="0.2">
      <c r="B65" s="312" t="s">
        <v>1709</v>
      </c>
      <c r="C65" s="312"/>
      <c r="D65" s="312" t="s">
        <v>708</v>
      </c>
      <c r="E65" s="312"/>
      <c r="F65" s="310">
        <v>3300</v>
      </c>
      <c r="G65" s="124"/>
    </row>
    <row r="66" spans="2:7" x14ac:dyDescent="0.2">
      <c r="B66" s="312" t="s">
        <v>1582</v>
      </c>
      <c r="C66" s="312"/>
      <c r="D66" s="312" t="s">
        <v>605</v>
      </c>
      <c r="E66" s="312"/>
      <c r="F66" s="310">
        <v>300</v>
      </c>
      <c r="G66" s="124"/>
    </row>
    <row r="67" spans="2:7" x14ac:dyDescent="0.2">
      <c r="B67" s="312" t="s">
        <v>1593</v>
      </c>
      <c r="C67" s="312"/>
      <c r="D67" s="312" t="s">
        <v>294</v>
      </c>
      <c r="E67" s="312"/>
      <c r="F67" s="310">
        <v>300</v>
      </c>
      <c r="G67" s="124"/>
    </row>
    <row r="68" spans="2:7" x14ac:dyDescent="0.2">
      <c r="B68" s="312" t="s">
        <v>1584</v>
      </c>
      <c r="C68" s="312"/>
      <c r="D68" s="312" t="s">
        <v>278</v>
      </c>
      <c r="E68" s="312"/>
      <c r="F68" s="310">
        <v>300</v>
      </c>
      <c r="G68" s="124"/>
    </row>
    <row r="69" spans="2:7" x14ac:dyDescent="0.2">
      <c r="B69" s="312" t="s">
        <v>1560</v>
      </c>
      <c r="C69" s="312"/>
      <c r="D69" s="312" t="s">
        <v>588</v>
      </c>
      <c r="E69" s="312"/>
      <c r="F69" s="310">
        <v>300</v>
      </c>
      <c r="G69" s="124"/>
    </row>
    <row r="70" spans="2:7" x14ac:dyDescent="0.2">
      <c r="B70" s="312" t="s">
        <v>1480</v>
      </c>
      <c r="C70" s="312"/>
      <c r="D70" s="312" t="s">
        <v>458</v>
      </c>
      <c r="E70" s="312"/>
      <c r="F70" s="310">
        <v>150</v>
      </c>
      <c r="G70" s="124"/>
    </row>
    <row r="71" spans="2:7" x14ac:dyDescent="0.2">
      <c r="B71" s="312" t="s">
        <v>1616</v>
      </c>
      <c r="C71" s="312"/>
      <c r="D71" s="312" t="s">
        <v>726</v>
      </c>
      <c r="E71" s="312"/>
      <c r="F71" s="310">
        <v>250</v>
      </c>
      <c r="G71" s="124"/>
    </row>
    <row r="72" spans="2:7" x14ac:dyDescent="0.2">
      <c r="B72" s="312" t="s">
        <v>1608</v>
      </c>
      <c r="C72" s="312"/>
      <c r="D72" s="312" t="s">
        <v>1275</v>
      </c>
      <c r="E72" s="312"/>
      <c r="F72" s="310">
        <v>300</v>
      </c>
      <c r="G72" s="124"/>
    </row>
    <row r="73" spans="2:7" x14ac:dyDescent="0.2">
      <c r="B73" s="312" t="s">
        <v>1573</v>
      </c>
      <c r="C73" s="312"/>
      <c r="D73" s="312" t="s">
        <v>715</v>
      </c>
      <c r="E73" s="312"/>
      <c r="F73" s="310">
        <v>300</v>
      </c>
      <c r="G73" s="124"/>
    </row>
    <row r="74" spans="2:7" x14ac:dyDescent="0.2">
      <c r="B74" s="313" t="s">
        <v>1600</v>
      </c>
      <c r="C74" s="313"/>
      <c r="D74" s="313" t="s">
        <v>261</v>
      </c>
      <c r="E74" s="313"/>
      <c r="F74" s="311">
        <v>300</v>
      </c>
      <c r="G74" s="172">
        <f>SUM(F60:F74)</f>
        <v>7150</v>
      </c>
    </row>
    <row r="76" spans="2:7" x14ac:dyDescent="0.2">
      <c r="B76" s="10" t="s">
        <v>1820</v>
      </c>
    </row>
    <row r="77" spans="2:7" x14ac:dyDescent="0.2">
      <c r="B77" s="312" t="s">
        <v>1424</v>
      </c>
      <c r="C77" s="312"/>
      <c r="D77" s="312" t="s">
        <v>361</v>
      </c>
      <c r="E77" s="312"/>
      <c r="F77" s="310">
        <v>300</v>
      </c>
      <c r="G77" s="124"/>
    </row>
    <row r="78" spans="2:7" x14ac:dyDescent="0.2">
      <c r="B78" s="312" t="s">
        <v>1588</v>
      </c>
      <c r="C78" s="312"/>
      <c r="D78" s="312" t="s">
        <v>718</v>
      </c>
      <c r="E78" s="312"/>
      <c r="F78" s="310">
        <v>600</v>
      </c>
      <c r="G78" s="124"/>
    </row>
    <row r="79" spans="2:7" x14ac:dyDescent="0.2">
      <c r="B79" s="312" t="s">
        <v>1389</v>
      </c>
      <c r="C79" s="312"/>
      <c r="D79" s="312" t="s">
        <v>375</v>
      </c>
      <c r="E79" s="312"/>
      <c r="F79" s="310">
        <v>600</v>
      </c>
      <c r="G79" s="124"/>
    </row>
    <row r="80" spans="2:7" x14ac:dyDescent="0.2">
      <c r="B80" s="312" t="s">
        <v>1389</v>
      </c>
      <c r="C80" s="312"/>
      <c r="D80" s="312" t="s">
        <v>375</v>
      </c>
      <c r="E80" s="312"/>
      <c r="F80" s="310">
        <v>300</v>
      </c>
      <c r="G80" s="124"/>
    </row>
    <row r="81" spans="2:7" x14ac:dyDescent="0.2">
      <c r="B81" s="312" t="s">
        <v>1642</v>
      </c>
      <c r="C81" s="312"/>
      <c r="D81" s="312" t="s">
        <v>380</v>
      </c>
      <c r="E81" s="312"/>
      <c r="F81" s="310">
        <v>900</v>
      </c>
      <c r="G81" s="124"/>
    </row>
    <row r="82" spans="2:7" x14ac:dyDescent="0.2">
      <c r="B82" s="312" t="s">
        <v>1535</v>
      </c>
      <c r="C82" s="312"/>
      <c r="D82" s="312" t="s">
        <v>392</v>
      </c>
      <c r="E82" s="312"/>
      <c r="F82" s="310">
        <v>600</v>
      </c>
      <c r="G82" s="124"/>
    </row>
    <row r="83" spans="2:7" x14ac:dyDescent="0.2">
      <c r="B83" s="312" t="s">
        <v>1368</v>
      </c>
      <c r="C83" s="312"/>
      <c r="D83" s="312" t="s">
        <v>35</v>
      </c>
      <c r="E83" s="312"/>
      <c r="F83" s="310">
        <v>300</v>
      </c>
      <c r="G83" s="124"/>
    </row>
    <row r="84" spans="2:7" x14ac:dyDescent="0.2">
      <c r="B84" s="312" t="s">
        <v>1368</v>
      </c>
      <c r="C84" s="312"/>
      <c r="D84" s="312" t="s">
        <v>35</v>
      </c>
      <c r="E84" s="312"/>
      <c r="F84" s="310">
        <v>300</v>
      </c>
      <c r="G84" s="124"/>
    </row>
    <row r="85" spans="2:7" x14ac:dyDescent="0.2">
      <c r="B85" s="312" t="s">
        <v>1400</v>
      </c>
      <c r="C85" s="312"/>
      <c r="D85" s="312" t="s">
        <v>418</v>
      </c>
      <c r="E85" s="312"/>
      <c r="F85" s="310">
        <v>300</v>
      </c>
      <c r="G85" s="124"/>
    </row>
    <row r="86" spans="2:7" x14ac:dyDescent="0.2">
      <c r="B86" s="312" t="s">
        <v>1449</v>
      </c>
      <c r="C86" s="312"/>
      <c r="D86" s="312" t="s">
        <v>425</v>
      </c>
      <c r="E86" s="312"/>
      <c r="F86" s="310">
        <v>400</v>
      </c>
      <c r="G86" s="124"/>
    </row>
    <row r="87" spans="2:7" x14ac:dyDescent="0.2">
      <c r="B87" s="312" t="s">
        <v>1481</v>
      </c>
      <c r="C87" s="312"/>
      <c r="D87" s="312" t="s">
        <v>449</v>
      </c>
      <c r="E87" s="312"/>
      <c r="F87" s="310">
        <v>250</v>
      </c>
      <c r="G87" s="124"/>
    </row>
    <row r="88" spans="2:7" x14ac:dyDescent="0.2">
      <c r="B88" s="312" t="s">
        <v>1397</v>
      </c>
      <c r="C88" s="312"/>
      <c r="D88" s="312" t="s">
        <v>722</v>
      </c>
      <c r="E88" s="312"/>
      <c r="F88" s="310">
        <v>300</v>
      </c>
      <c r="G88" s="124"/>
    </row>
    <row r="89" spans="2:7" x14ac:dyDescent="0.2">
      <c r="B89" s="312" t="s">
        <v>1397</v>
      </c>
      <c r="C89" s="312"/>
      <c r="D89" s="312" t="s">
        <v>722</v>
      </c>
      <c r="E89" s="312"/>
      <c r="F89" s="310">
        <v>300</v>
      </c>
      <c r="G89" s="124"/>
    </row>
    <row r="90" spans="2:7" x14ac:dyDescent="0.2">
      <c r="B90" s="312" t="s">
        <v>1526</v>
      </c>
      <c r="C90" s="312"/>
      <c r="D90" s="312" t="s">
        <v>432</v>
      </c>
      <c r="E90" s="312"/>
      <c r="F90" s="310">
        <v>250</v>
      </c>
      <c r="G90" s="124"/>
    </row>
    <row r="91" spans="2:7" x14ac:dyDescent="0.2">
      <c r="B91" s="312" t="s">
        <v>1445</v>
      </c>
      <c r="C91" s="312"/>
      <c r="D91" s="312" t="s">
        <v>1304</v>
      </c>
      <c r="E91" s="312"/>
      <c r="F91" s="310">
        <v>600</v>
      </c>
      <c r="G91" s="124"/>
    </row>
    <row r="92" spans="2:7" x14ac:dyDescent="0.2">
      <c r="B92" s="312" t="s">
        <v>1381</v>
      </c>
      <c r="C92" s="312"/>
      <c r="D92" s="312" t="s">
        <v>1306</v>
      </c>
      <c r="E92" s="312"/>
      <c r="F92" s="310">
        <v>900</v>
      </c>
      <c r="G92" s="124"/>
    </row>
    <row r="93" spans="2:7" x14ac:dyDescent="0.2">
      <c r="B93" s="312" t="s">
        <v>1361</v>
      </c>
      <c r="C93" s="312"/>
      <c r="D93" s="312" t="s">
        <v>667</v>
      </c>
      <c r="E93" s="312"/>
      <c r="F93" s="310">
        <v>300</v>
      </c>
      <c r="G93" s="124"/>
    </row>
    <row r="94" spans="2:7" x14ac:dyDescent="0.2">
      <c r="B94" s="312" t="s">
        <v>1497</v>
      </c>
      <c r="C94" s="312"/>
      <c r="D94" s="312" t="s">
        <v>8</v>
      </c>
      <c r="E94" s="312"/>
      <c r="F94" s="310">
        <v>600</v>
      </c>
      <c r="G94" s="124"/>
    </row>
    <row r="95" spans="2:7" x14ac:dyDescent="0.2">
      <c r="B95" s="312" t="s">
        <v>1417</v>
      </c>
      <c r="C95" s="312"/>
      <c r="D95" s="312" t="s">
        <v>17</v>
      </c>
      <c r="E95" s="312"/>
      <c r="F95" s="310">
        <v>900</v>
      </c>
      <c r="G95" s="124"/>
    </row>
    <row r="96" spans="2:7" x14ac:dyDescent="0.2">
      <c r="B96" s="312" t="s">
        <v>1529</v>
      </c>
      <c r="C96" s="312"/>
      <c r="D96" s="312" t="s">
        <v>704</v>
      </c>
      <c r="E96" s="312"/>
      <c r="F96" s="310">
        <v>300</v>
      </c>
      <c r="G96" s="124"/>
    </row>
    <row r="97" spans="2:7" x14ac:dyDescent="0.2">
      <c r="B97" s="312" t="s">
        <v>1615</v>
      </c>
      <c r="C97" s="312"/>
      <c r="D97" s="312" t="s">
        <v>22</v>
      </c>
      <c r="E97" s="312"/>
      <c r="F97" s="310">
        <v>200</v>
      </c>
      <c r="G97" s="124"/>
    </row>
    <row r="98" spans="2:7" x14ac:dyDescent="0.2">
      <c r="B98" s="312" t="s">
        <v>1640</v>
      </c>
      <c r="C98" s="312"/>
      <c r="D98" s="312" t="s">
        <v>61</v>
      </c>
      <c r="E98" s="312"/>
      <c r="F98" s="310">
        <v>200</v>
      </c>
      <c r="G98" s="124"/>
    </row>
    <row r="99" spans="2:7" x14ac:dyDescent="0.2">
      <c r="B99" s="312" t="s">
        <v>1365</v>
      </c>
      <c r="C99" s="312"/>
      <c r="D99" s="312" t="s">
        <v>1204</v>
      </c>
      <c r="E99" s="312"/>
      <c r="F99" s="310">
        <v>300</v>
      </c>
      <c r="G99" s="124"/>
    </row>
    <row r="100" spans="2:7" x14ac:dyDescent="0.2">
      <c r="B100" s="312" t="s">
        <v>1360</v>
      </c>
      <c r="C100" s="312"/>
      <c r="D100" s="312" t="s">
        <v>1235</v>
      </c>
      <c r="E100" s="312"/>
      <c r="F100" s="310">
        <v>1800</v>
      </c>
      <c r="G100" s="124"/>
    </row>
    <row r="101" spans="2:7" x14ac:dyDescent="0.2">
      <c r="B101" s="312" t="s">
        <v>1635</v>
      </c>
      <c r="C101" s="312"/>
      <c r="D101" s="312" t="s">
        <v>430</v>
      </c>
      <c r="E101" s="312"/>
      <c r="F101" s="310">
        <v>600</v>
      </c>
      <c r="G101" s="124"/>
    </row>
    <row r="102" spans="2:7" x14ac:dyDescent="0.2">
      <c r="B102" s="312" t="s">
        <v>1499</v>
      </c>
      <c r="C102" s="312"/>
      <c r="D102" s="312" t="s">
        <v>129</v>
      </c>
      <c r="E102" s="312"/>
      <c r="F102" s="310">
        <v>900</v>
      </c>
      <c r="G102" s="124"/>
    </row>
    <row r="103" spans="2:7" x14ac:dyDescent="0.2">
      <c r="B103" s="312" t="s">
        <v>1517</v>
      </c>
      <c r="C103" s="312"/>
      <c r="D103" s="312" t="s">
        <v>3</v>
      </c>
      <c r="E103" s="312"/>
      <c r="F103" s="310">
        <v>300</v>
      </c>
      <c r="G103" s="124"/>
    </row>
    <row r="104" spans="2:7" x14ac:dyDescent="0.2">
      <c r="B104" s="312" t="s">
        <v>1606</v>
      </c>
      <c r="C104" s="312"/>
      <c r="D104" s="312" t="s">
        <v>137</v>
      </c>
      <c r="E104" s="312"/>
      <c r="F104" s="310">
        <v>600</v>
      </c>
      <c r="G104" s="124"/>
    </row>
    <row r="105" spans="2:7" x14ac:dyDescent="0.2">
      <c r="B105" s="312" t="s">
        <v>1455</v>
      </c>
      <c r="C105" s="312"/>
      <c r="D105" s="312" t="s">
        <v>725</v>
      </c>
      <c r="E105" s="312"/>
      <c r="F105" s="310">
        <v>900</v>
      </c>
      <c r="G105" s="124"/>
    </row>
    <row r="106" spans="2:7" x14ac:dyDescent="0.2">
      <c r="B106" s="312" t="s">
        <v>1410</v>
      </c>
      <c r="C106" s="312"/>
      <c r="D106" s="312" t="s">
        <v>477</v>
      </c>
      <c r="E106" s="312"/>
      <c r="F106" s="310">
        <v>600</v>
      </c>
      <c r="G106" s="124"/>
    </row>
    <row r="107" spans="2:7" x14ac:dyDescent="0.2">
      <c r="B107" s="312" t="s">
        <v>1416</v>
      </c>
      <c r="C107" s="312"/>
      <c r="D107" s="312" t="s">
        <v>728</v>
      </c>
      <c r="E107" s="312"/>
      <c r="F107" s="310">
        <v>600</v>
      </c>
      <c r="G107" s="124"/>
    </row>
    <row r="108" spans="2:7" x14ac:dyDescent="0.2">
      <c r="B108" s="312" t="s">
        <v>1562</v>
      </c>
      <c r="C108" s="312"/>
      <c r="D108" s="312" t="s">
        <v>487</v>
      </c>
      <c r="E108" s="312"/>
      <c r="F108" s="310">
        <v>300</v>
      </c>
      <c r="G108" s="124"/>
    </row>
    <row r="109" spans="2:7" x14ac:dyDescent="0.2">
      <c r="B109" s="312" t="s">
        <v>1553</v>
      </c>
      <c r="C109" s="312"/>
      <c r="D109" s="312" t="s">
        <v>508</v>
      </c>
      <c r="E109" s="312"/>
      <c r="F109" s="310">
        <v>300</v>
      </c>
      <c r="G109" s="124"/>
    </row>
    <row r="110" spans="2:7" x14ac:dyDescent="0.2">
      <c r="B110" s="312" t="s">
        <v>1496</v>
      </c>
      <c r="C110" s="312"/>
      <c r="D110" s="312" t="s">
        <v>510</v>
      </c>
      <c r="E110" s="312"/>
      <c r="F110" s="310">
        <v>300</v>
      </c>
      <c r="G110" s="124"/>
    </row>
    <row r="111" spans="2:7" x14ac:dyDescent="0.2">
      <c r="B111" s="312" t="s">
        <v>1633</v>
      </c>
      <c r="C111" s="312"/>
      <c r="D111" s="312" t="s">
        <v>519</v>
      </c>
      <c r="E111" s="312"/>
      <c r="F111" s="310">
        <v>600</v>
      </c>
      <c r="G111" s="124"/>
    </row>
    <row r="112" spans="2:7" x14ac:dyDescent="0.2">
      <c r="B112" s="312" t="s">
        <v>1378</v>
      </c>
      <c r="C112" s="312"/>
      <c r="D112" s="312" t="s">
        <v>525</v>
      </c>
      <c r="E112" s="312"/>
      <c r="F112" s="310">
        <v>300</v>
      </c>
      <c r="G112" s="124"/>
    </row>
    <row r="113" spans="2:7" x14ac:dyDescent="0.2">
      <c r="B113" s="312" t="s">
        <v>1617</v>
      </c>
      <c r="C113" s="312"/>
      <c r="D113" s="312" t="s">
        <v>732</v>
      </c>
      <c r="E113" s="312"/>
      <c r="F113" s="310">
        <v>600</v>
      </c>
      <c r="G113" s="124"/>
    </row>
    <row r="114" spans="2:7" x14ac:dyDescent="0.2">
      <c r="B114" s="312" t="s">
        <v>1421</v>
      </c>
      <c r="C114" s="312"/>
      <c r="D114" s="312" t="s">
        <v>531</v>
      </c>
      <c r="E114" s="312"/>
      <c r="F114" s="310">
        <v>300</v>
      </c>
      <c r="G114" s="124"/>
    </row>
    <row r="115" spans="2:7" x14ac:dyDescent="0.2">
      <c r="B115" s="312" t="s">
        <v>1536</v>
      </c>
      <c r="C115" s="312"/>
      <c r="D115" s="312" t="s">
        <v>733</v>
      </c>
      <c r="E115" s="312"/>
      <c r="F115" s="310">
        <v>600</v>
      </c>
      <c r="G115" s="124"/>
    </row>
    <row r="116" spans="2:7" x14ac:dyDescent="0.2">
      <c r="B116" s="312" t="s">
        <v>1645</v>
      </c>
      <c r="C116" s="312"/>
      <c r="D116" s="312" t="s">
        <v>545</v>
      </c>
      <c r="E116" s="312"/>
      <c r="F116" s="310">
        <v>300</v>
      </c>
      <c r="G116" s="124"/>
    </row>
    <row r="117" spans="2:7" x14ac:dyDescent="0.2">
      <c r="B117" s="312" t="s">
        <v>1495</v>
      </c>
      <c r="C117" s="312"/>
      <c r="D117" s="312" t="s">
        <v>552</v>
      </c>
      <c r="E117" s="312"/>
      <c r="F117" s="310">
        <v>300</v>
      </c>
      <c r="G117" s="124"/>
    </row>
    <row r="118" spans="2:7" x14ac:dyDescent="0.2">
      <c r="B118" s="312" t="s">
        <v>1568</v>
      </c>
      <c r="C118" s="312"/>
      <c r="D118" s="312" t="s">
        <v>554</v>
      </c>
      <c r="E118" s="312"/>
      <c r="F118" s="310">
        <v>300</v>
      </c>
      <c r="G118" s="124"/>
    </row>
    <row r="119" spans="2:7" x14ac:dyDescent="0.2">
      <c r="B119" s="312" t="s">
        <v>1581</v>
      </c>
      <c r="C119" s="312"/>
      <c r="D119" s="312" t="s">
        <v>556</v>
      </c>
      <c r="E119" s="312"/>
      <c r="F119" s="310">
        <v>300</v>
      </c>
      <c r="G119" s="124"/>
    </row>
    <row r="120" spans="2:7" x14ac:dyDescent="0.2">
      <c r="B120" s="312" t="s">
        <v>1467</v>
      </c>
      <c r="C120" s="312"/>
      <c r="D120" s="312" t="s">
        <v>371</v>
      </c>
      <c r="E120" s="312"/>
      <c r="F120" s="310">
        <v>300</v>
      </c>
      <c r="G120" s="124"/>
    </row>
    <row r="121" spans="2:7" x14ac:dyDescent="0.2">
      <c r="B121" s="312" t="s">
        <v>1442</v>
      </c>
      <c r="C121" s="312"/>
      <c r="D121" s="312" t="s">
        <v>651</v>
      </c>
      <c r="E121" s="312"/>
      <c r="F121" s="310">
        <v>300</v>
      </c>
      <c r="G121" s="124"/>
    </row>
    <row r="122" spans="2:7" x14ac:dyDescent="0.2">
      <c r="B122" s="312" t="s">
        <v>1508</v>
      </c>
      <c r="C122" s="312"/>
      <c r="D122" s="312" t="s">
        <v>657</v>
      </c>
      <c r="E122" s="312"/>
      <c r="F122" s="310">
        <v>200</v>
      </c>
      <c r="G122" s="124"/>
    </row>
    <row r="123" spans="2:7" x14ac:dyDescent="0.2">
      <c r="B123" s="312" t="s">
        <v>1471</v>
      </c>
      <c r="C123" s="312"/>
      <c r="D123" s="312" t="s">
        <v>659</v>
      </c>
      <c r="E123" s="312"/>
      <c r="F123" s="310">
        <v>600</v>
      </c>
      <c r="G123" s="124"/>
    </row>
    <row r="124" spans="2:7" x14ac:dyDescent="0.2">
      <c r="B124" s="312" t="s">
        <v>1626</v>
      </c>
      <c r="C124" s="312"/>
      <c r="D124" s="312" t="s">
        <v>711</v>
      </c>
      <c r="E124" s="312"/>
      <c r="F124" s="310">
        <v>300</v>
      </c>
      <c r="G124" s="124"/>
    </row>
    <row r="125" spans="2:7" x14ac:dyDescent="0.2">
      <c r="B125" s="312" t="s">
        <v>1461</v>
      </c>
      <c r="C125" s="312"/>
      <c r="D125" s="312" t="s">
        <v>712</v>
      </c>
      <c r="E125" s="312"/>
      <c r="F125" s="310">
        <v>300</v>
      </c>
      <c r="G125" s="124"/>
    </row>
    <row r="126" spans="2:7" x14ac:dyDescent="0.2">
      <c r="B126" s="312" t="s">
        <v>1469</v>
      </c>
      <c r="C126" s="312"/>
      <c r="D126" s="312" t="s">
        <v>232</v>
      </c>
      <c r="E126" s="312"/>
      <c r="F126" s="310">
        <v>200</v>
      </c>
      <c r="G126" s="124"/>
    </row>
    <row r="127" spans="2:7" x14ac:dyDescent="0.2">
      <c r="B127" s="312" t="s">
        <v>1374</v>
      </c>
      <c r="C127" s="312"/>
      <c r="D127" s="312" t="s">
        <v>240</v>
      </c>
      <c r="E127" s="312"/>
      <c r="F127" s="310">
        <v>300</v>
      </c>
      <c r="G127" s="124"/>
    </row>
    <row r="128" spans="2:7" x14ac:dyDescent="0.2">
      <c r="B128" s="312" t="s">
        <v>1369</v>
      </c>
      <c r="C128" s="312"/>
      <c r="D128" s="312" t="s">
        <v>296</v>
      </c>
      <c r="E128" s="312"/>
      <c r="F128" s="310">
        <v>300</v>
      </c>
      <c r="G128" s="124"/>
    </row>
    <row r="129" spans="2:7" x14ac:dyDescent="0.2">
      <c r="B129" s="312" t="s">
        <v>1489</v>
      </c>
      <c r="C129" s="312"/>
      <c r="D129" s="312" t="s">
        <v>325</v>
      </c>
      <c r="E129" s="312"/>
      <c r="F129" s="310">
        <v>900</v>
      </c>
      <c r="G129" s="124"/>
    </row>
    <row r="130" spans="2:7" x14ac:dyDescent="0.2">
      <c r="B130" s="312" t="s">
        <v>1440</v>
      </c>
      <c r="C130" s="312"/>
      <c r="D130" s="312" t="s">
        <v>335</v>
      </c>
      <c r="E130" s="312"/>
      <c r="F130" s="310">
        <v>300</v>
      </c>
      <c r="G130" s="124"/>
    </row>
    <row r="131" spans="2:7" x14ac:dyDescent="0.2">
      <c r="B131" s="312" t="s">
        <v>1436</v>
      </c>
      <c r="C131" s="312"/>
      <c r="D131" s="312" t="s">
        <v>191</v>
      </c>
      <c r="E131" s="312"/>
      <c r="F131" s="310">
        <v>400</v>
      </c>
      <c r="G131" s="124"/>
    </row>
    <row r="132" spans="2:7" x14ac:dyDescent="0.2">
      <c r="B132" s="312" t="s">
        <v>1367</v>
      </c>
      <c r="C132" s="312"/>
      <c r="D132" s="312" t="s">
        <v>1239</v>
      </c>
      <c r="E132" s="312"/>
      <c r="F132" s="310">
        <v>300</v>
      </c>
      <c r="G132" s="124"/>
    </row>
    <row r="133" spans="2:7" x14ac:dyDescent="0.2">
      <c r="B133" s="312" t="s">
        <v>1422</v>
      </c>
      <c r="C133" s="312"/>
      <c r="D133" s="312" t="s">
        <v>595</v>
      </c>
      <c r="E133" s="312"/>
      <c r="F133" s="310">
        <v>300</v>
      </c>
      <c r="G133" s="124"/>
    </row>
    <row r="134" spans="2:7" x14ac:dyDescent="0.2">
      <c r="B134" s="312" t="s">
        <v>1492</v>
      </c>
      <c r="C134" s="312"/>
      <c r="D134" s="312" t="s">
        <v>1225</v>
      </c>
      <c r="E134" s="312"/>
      <c r="F134" s="310">
        <v>250</v>
      </c>
      <c r="G134" s="124"/>
    </row>
    <row r="135" spans="2:7" x14ac:dyDescent="0.2">
      <c r="B135" s="312" t="s">
        <v>1462</v>
      </c>
      <c r="C135" s="312"/>
      <c r="D135" s="312" t="s">
        <v>630</v>
      </c>
      <c r="E135" s="312"/>
      <c r="F135" s="310">
        <v>300</v>
      </c>
      <c r="G135" s="124"/>
    </row>
    <row r="136" spans="2:7" x14ac:dyDescent="0.2">
      <c r="B136" s="312" t="s">
        <v>1519</v>
      </c>
      <c r="C136" s="312"/>
      <c r="D136" s="312" t="s">
        <v>1227</v>
      </c>
      <c r="E136" s="312"/>
      <c r="F136" s="310">
        <v>450</v>
      </c>
      <c r="G136" s="124"/>
    </row>
    <row r="137" spans="2:7" x14ac:dyDescent="0.2">
      <c r="B137" s="312" t="s">
        <v>1452</v>
      </c>
      <c r="C137" s="312"/>
      <c r="D137" s="312" t="s">
        <v>639</v>
      </c>
      <c r="E137" s="312"/>
      <c r="F137" s="310">
        <v>250</v>
      </c>
      <c r="G137" s="124"/>
    </row>
    <row r="138" spans="2:7" x14ac:dyDescent="0.2">
      <c r="B138" s="312" t="s">
        <v>1578</v>
      </c>
      <c r="C138" s="312"/>
      <c r="D138" s="312" t="s">
        <v>637</v>
      </c>
      <c r="E138" s="312"/>
      <c r="F138" s="310">
        <v>300</v>
      </c>
      <c r="G138" s="124"/>
    </row>
    <row r="139" spans="2:7" x14ac:dyDescent="0.2">
      <c r="B139" s="313" t="s">
        <v>1452</v>
      </c>
      <c r="C139" s="313"/>
      <c r="D139" s="313" t="s">
        <v>639</v>
      </c>
      <c r="E139" s="313"/>
      <c r="F139" s="311">
        <v>250</v>
      </c>
      <c r="G139" s="172">
        <f>SUM(F77:F139)</f>
        <v>27600</v>
      </c>
    </row>
    <row r="142" spans="2:7" ht="13.5" thickBot="1" x14ac:dyDescent="0.25">
      <c r="B142" s="181" t="s">
        <v>1692</v>
      </c>
      <c r="C142" s="179"/>
      <c r="D142" s="179"/>
      <c r="E142" s="179" t="s">
        <v>1695</v>
      </c>
      <c r="F142" s="179" t="s">
        <v>1696</v>
      </c>
      <c r="G142" s="180">
        <f>SUM(G145,G150,G152,G159)</f>
        <v>0</v>
      </c>
    </row>
    <row r="143" spans="2:7" ht="13.5" thickTop="1" x14ac:dyDescent="0.2">
      <c r="B143" s="170" t="s">
        <v>1477</v>
      </c>
      <c r="C143" s="170" t="s">
        <v>92</v>
      </c>
      <c r="D143" s="117"/>
    </row>
    <row r="144" spans="2:7" x14ac:dyDescent="0.2">
      <c r="B144" s="174"/>
      <c r="C144" s="174"/>
      <c r="D144" s="173" t="s">
        <v>1693</v>
      </c>
      <c r="E144" s="171">
        <v>150</v>
      </c>
      <c r="F144" s="171">
        <v>300</v>
      </c>
      <c r="G144" s="115"/>
    </row>
    <row r="145" spans="2:7" x14ac:dyDescent="0.2">
      <c r="B145" s="117"/>
      <c r="C145" s="117"/>
      <c r="D145" s="173" t="s">
        <v>1694</v>
      </c>
      <c r="E145" s="171">
        <v>170</v>
      </c>
      <c r="F145" s="171">
        <v>300</v>
      </c>
      <c r="G145" s="310"/>
    </row>
    <row r="146" spans="2:7" x14ac:dyDescent="0.2">
      <c r="B146" s="170" t="s">
        <v>1587</v>
      </c>
      <c r="C146" s="170" t="s">
        <v>501</v>
      </c>
      <c r="D146" s="176"/>
    </row>
    <row r="147" spans="2:7" x14ac:dyDescent="0.2">
      <c r="B147" s="174"/>
      <c r="C147" s="174"/>
      <c r="D147" s="173" t="s">
        <v>1699</v>
      </c>
      <c r="E147" s="115"/>
      <c r="F147" s="171">
        <v>250</v>
      </c>
      <c r="G147" s="115"/>
    </row>
    <row r="148" spans="2:7" x14ac:dyDescent="0.2">
      <c r="B148" s="178"/>
      <c r="C148" s="117"/>
      <c r="D148" s="173" t="s">
        <v>1697</v>
      </c>
      <c r="E148" s="171">
        <v>500</v>
      </c>
      <c r="F148" s="171">
        <v>250</v>
      </c>
      <c r="G148" s="115"/>
    </row>
    <row r="149" spans="2:7" x14ac:dyDescent="0.2">
      <c r="B149" s="178"/>
      <c r="C149" s="117"/>
      <c r="D149" s="173" t="s">
        <v>1698</v>
      </c>
      <c r="E149" s="171">
        <v>300</v>
      </c>
      <c r="F149" s="171">
        <v>250</v>
      </c>
      <c r="G149" s="115"/>
    </row>
    <row r="150" spans="2:7" x14ac:dyDescent="0.2">
      <c r="B150" s="178"/>
      <c r="C150" s="117"/>
      <c r="D150" s="173" t="s">
        <v>1693</v>
      </c>
      <c r="E150" s="171">
        <v>250</v>
      </c>
      <c r="F150" s="171">
        <v>250</v>
      </c>
      <c r="G150" s="171"/>
    </row>
    <row r="151" spans="2:7" x14ac:dyDescent="0.2">
      <c r="B151" s="170" t="s">
        <v>1657</v>
      </c>
      <c r="C151" s="170" t="s">
        <v>227</v>
      </c>
      <c r="D151" s="175"/>
    </row>
    <row r="152" spans="2:7" x14ac:dyDescent="0.2">
      <c r="B152" s="115"/>
      <c r="C152" s="115"/>
      <c r="D152" s="165"/>
      <c r="E152" s="171">
        <v>300</v>
      </c>
      <c r="F152" s="171">
        <v>900</v>
      </c>
      <c r="G152" s="171"/>
    </row>
    <row r="153" spans="2:7" x14ac:dyDescent="0.2">
      <c r="B153" s="115" t="s">
        <v>1414</v>
      </c>
      <c r="C153" s="115" t="s">
        <v>634</v>
      </c>
      <c r="D153" s="177"/>
    </row>
    <row r="154" spans="2:7" x14ac:dyDescent="0.2">
      <c r="B154" s="174"/>
      <c r="C154" s="174"/>
      <c r="D154" s="173" t="s">
        <v>1699</v>
      </c>
      <c r="E154" s="171">
        <v>250</v>
      </c>
      <c r="F154" s="171">
        <v>300</v>
      </c>
      <c r="G154" s="115"/>
    </row>
    <row r="155" spans="2:7" x14ac:dyDescent="0.2">
      <c r="B155" s="117"/>
      <c r="C155" s="117"/>
      <c r="D155" s="173" t="s">
        <v>1697</v>
      </c>
      <c r="E155" s="171">
        <v>250</v>
      </c>
      <c r="F155" s="171">
        <v>300</v>
      </c>
      <c r="G155" s="115"/>
    </row>
    <row r="156" spans="2:7" x14ac:dyDescent="0.2">
      <c r="B156" s="117"/>
      <c r="C156" s="117"/>
      <c r="D156" s="173" t="s">
        <v>1698</v>
      </c>
      <c r="E156" s="171">
        <v>250</v>
      </c>
      <c r="F156" s="171">
        <v>300</v>
      </c>
      <c r="G156" s="115"/>
    </row>
    <row r="157" spans="2:7" x14ac:dyDescent="0.2">
      <c r="B157" s="117"/>
      <c r="C157" s="117"/>
      <c r="D157" s="173" t="s">
        <v>1693</v>
      </c>
      <c r="E157" s="171">
        <v>250</v>
      </c>
      <c r="F157" s="171">
        <v>300</v>
      </c>
      <c r="G157" s="171"/>
    </row>
    <row r="158" spans="2:7" x14ac:dyDescent="0.2">
      <c r="D158" s="173" t="s">
        <v>1694</v>
      </c>
      <c r="E158" s="171">
        <v>250</v>
      </c>
      <c r="F158" s="171">
        <v>300</v>
      </c>
      <c r="G158" s="171"/>
    </row>
    <row r="159" spans="2:7" x14ac:dyDescent="0.2">
      <c r="D159" s="173" t="s">
        <v>1717</v>
      </c>
      <c r="E159" s="171">
        <v>250</v>
      </c>
      <c r="F159" s="171">
        <v>300</v>
      </c>
      <c r="G159" s="171"/>
    </row>
  </sheetData>
  <sortState ref="B111:F117">
    <sortCondition ref="B111:B117"/>
    <sortCondition ref="C111:C117"/>
  </sortState>
  <printOptions horizontalCentered="1"/>
  <pageMargins left="0.70866141732283472" right="0.70866141732283472" top="0.74803149606299213" bottom="0.74803149606299213" header="0.31496062992125984" footer="0.31496062992125984"/>
  <pageSetup scale="33" orientation="portrait" horizontalDpi="0" verticalDpi="0" r:id="rId1"/>
  <ignoredErrors>
    <ignoredError sqref="E8 E13" formula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4"/>
  <sheetViews>
    <sheetView showGridLines="0" topLeftCell="C169" zoomScale="80" zoomScaleNormal="80" workbookViewId="0">
      <pane xSplit="10005" topLeftCell="G1"/>
      <selection activeCell="E226" sqref="E226"/>
      <selection pane="topRight" activeCell="H120" sqref="H120:H208"/>
    </sheetView>
  </sheetViews>
  <sheetFormatPr baseColWidth="10" defaultRowHeight="12.75" x14ac:dyDescent="0.2"/>
  <cols>
    <col min="4" max="4" width="50" bestFit="1" customWidth="1"/>
    <col min="5" max="5" width="53.7109375" bestFit="1" customWidth="1"/>
    <col min="6" max="6" width="12.7109375" bestFit="1" customWidth="1"/>
  </cols>
  <sheetData>
    <row r="1" spans="1:8" x14ac:dyDescent="0.2">
      <c r="H1" s="285">
        <f>SUM(H4:H169)</f>
        <v>599697.3600000001</v>
      </c>
    </row>
    <row r="2" spans="1:8" x14ac:dyDescent="0.2">
      <c r="H2" s="285"/>
    </row>
    <row r="3" spans="1:8" ht="24" customHeight="1" x14ac:dyDescent="0.2">
      <c r="A3" s="76" t="s">
        <v>687</v>
      </c>
      <c r="B3" s="76" t="s">
        <v>1780</v>
      </c>
      <c r="C3" s="76" t="s">
        <v>1781</v>
      </c>
      <c r="D3" s="289" t="s">
        <v>1782</v>
      </c>
      <c r="E3" s="289" t="s">
        <v>1783</v>
      </c>
      <c r="F3" s="76" t="s">
        <v>1784</v>
      </c>
      <c r="G3" s="76" t="s">
        <v>1785</v>
      </c>
      <c r="H3" s="76" t="s">
        <v>1757</v>
      </c>
    </row>
    <row r="4" spans="1:8" x14ac:dyDescent="0.2">
      <c r="A4" s="338"/>
      <c r="B4" s="1" t="s">
        <v>1789</v>
      </c>
      <c r="C4" s="287">
        <v>41275</v>
      </c>
      <c r="D4" s="288"/>
      <c r="E4" s="6" t="s">
        <v>1913</v>
      </c>
      <c r="F4" s="88">
        <v>8500</v>
      </c>
      <c r="G4" s="88"/>
      <c r="H4" s="88">
        <v>8500</v>
      </c>
    </row>
    <row r="5" spans="1:8" x14ac:dyDescent="0.2">
      <c r="A5" s="338"/>
      <c r="B5" s="1" t="s">
        <v>1957</v>
      </c>
      <c r="C5" s="287">
        <v>41275</v>
      </c>
      <c r="D5" s="288"/>
      <c r="E5" s="6" t="s">
        <v>1914</v>
      </c>
      <c r="F5" s="88">
        <v>2700</v>
      </c>
      <c r="G5" s="88"/>
      <c r="H5" s="88">
        <v>2700</v>
      </c>
    </row>
    <row r="6" spans="1:8" x14ac:dyDescent="0.2">
      <c r="A6" s="338"/>
      <c r="B6" s="1" t="s">
        <v>1958</v>
      </c>
      <c r="C6" s="287">
        <v>41275</v>
      </c>
      <c r="D6" s="288"/>
      <c r="E6" s="6" t="s">
        <v>1915</v>
      </c>
      <c r="F6" s="88">
        <v>6612</v>
      </c>
      <c r="G6" s="88"/>
      <c r="H6" s="88">
        <v>6612</v>
      </c>
    </row>
    <row r="7" spans="1:8" x14ac:dyDescent="0.2">
      <c r="A7" s="338"/>
      <c r="B7" s="1" t="s">
        <v>1957</v>
      </c>
      <c r="C7" s="287">
        <v>41275</v>
      </c>
      <c r="D7" s="288"/>
      <c r="E7" s="6" t="s">
        <v>1916</v>
      </c>
      <c r="F7" s="88">
        <v>5925.15</v>
      </c>
      <c r="G7" s="88"/>
      <c r="H7" s="88">
        <v>5925.15</v>
      </c>
    </row>
    <row r="8" spans="1:8" x14ac:dyDescent="0.2">
      <c r="A8" s="338"/>
      <c r="B8" s="1" t="s">
        <v>1790</v>
      </c>
      <c r="C8" s="287">
        <v>41275</v>
      </c>
      <c r="D8" s="288"/>
      <c r="E8" s="6" t="s">
        <v>1917</v>
      </c>
      <c r="F8" s="88">
        <v>2550.39</v>
      </c>
      <c r="G8" s="88"/>
      <c r="H8" s="88">
        <v>2550.39</v>
      </c>
    </row>
    <row r="9" spans="1:8" x14ac:dyDescent="0.2">
      <c r="A9" s="338"/>
      <c r="B9" s="1" t="s">
        <v>1786</v>
      </c>
      <c r="C9" s="287">
        <v>41275</v>
      </c>
      <c r="D9" s="288"/>
      <c r="E9" s="6" t="s">
        <v>1918</v>
      </c>
      <c r="F9" s="88">
        <v>1438</v>
      </c>
      <c r="G9" s="88"/>
      <c r="H9" s="88">
        <v>1438</v>
      </c>
    </row>
    <row r="10" spans="1:8" x14ac:dyDescent="0.2">
      <c r="A10" s="338"/>
      <c r="B10" s="1" t="s">
        <v>1793</v>
      </c>
      <c r="C10" s="287">
        <v>41275</v>
      </c>
      <c r="D10" s="288"/>
      <c r="E10" s="6" t="s">
        <v>1919</v>
      </c>
      <c r="F10" s="88">
        <v>26050</v>
      </c>
      <c r="G10" s="88"/>
      <c r="H10" s="88">
        <v>26050</v>
      </c>
    </row>
    <row r="11" spans="1:8" x14ac:dyDescent="0.2">
      <c r="A11" s="338"/>
      <c r="B11" s="1" t="s">
        <v>1793</v>
      </c>
      <c r="C11" s="287">
        <v>41275</v>
      </c>
      <c r="D11" s="288"/>
      <c r="E11" s="6" t="s">
        <v>1920</v>
      </c>
      <c r="F11" s="88">
        <v>30450</v>
      </c>
      <c r="G11" s="88"/>
      <c r="H11" s="88">
        <v>30450</v>
      </c>
    </row>
    <row r="12" spans="1:8" x14ac:dyDescent="0.2">
      <c r="A12" s="338"/>
      <c r="B12" s="1" t="s">
        <v>1792</v>
      </c>
      <c r="C12" s="287">
        <v>41275</v>
      </c>
      <c r="D12" s="288"/>
      <c r="E12" s="6" t="s">
        <v>1921</v>
      </c>
      <c r="F12" s="88">
        <v>2580</v>
      </c>
      <c r="G12" s="88"/>
      <c r="H12" s="88">
        <v>2580</v>
      </c>
    </row>
    <row r="13" spans="1:8" x14ac:dyDescent="0.2">
      <c r="A13" s="338"/>
      <c r="B13" t="s">
        <v>1911</v>
      </c>
      <c r="C13" s="287">
        <v>41275</v>
      </c>
      <c r="D13" s="288"/>
      <c r="E13" s="6" t="s">
        <v>1922</v>
      </c>
      <c r="F13" s="88">
        <v>35000</v>
      </c>
      <c r="G13" s="88"/>
      <c r="H13" s="88">
        <v>35000</v>
      </c>
    </row>
    <row r="14" spans="1:8" x14ac:dyDescent="0.2">
      <c r="A14" s="338"/>
      <c r="B14" s="1" t="s">
        <v>1791</v>
      </c>
      <c r="C14" s="287">
        <v>41275</v>
      </c>
      <c r="D14" s="288"/>
      <c r="E14" s="6" t="s">
        <v>1923</v>
      </c>
      <c r="F14" s="88">
        <v>4576</v>
      </c>
      <c r="G14" s="88"/>
      <c r="H14" s="88">
        <v>4576</v>
      </c>
    </row>
    <row r="15" spans="1:8" x14ac:dyDescent="0.2">
      <c r="A15" s="338"/>
      <c r="B15" s="1" t="s">
        <v>1962</v>
      </c>
      <c r="C15" s="287">
        <v>41275</v>
      </c>
      <c r="D15" s="288"/>
      <c r="E15" s="6" t="s">
        <v>1940</v>
      </c>
      <c r="F15" s="88">
        <v>1700</v>
      </c>
      <c r="G15" s="88"/>
      <c r="H15" s="88">
        <v>1700</v>
      </c>
    </row>
    <row r="16" spans="1:8" x14ac:dyDescent="0.2">
      <c r="A16" s="338"/>
      <c r="B16" s="1" t="s">
        <v>1791</v>
      </c>
      <c r="C16" s="287">
        <v>41275</v>
      </c>
      <c r="D16" s="288"/>
      <c r="E16" s="6" t="s">
        <v>1924</v>
      </c>
      <c r="F16" s="88">
        <v>1150</v>
      </c>
      <c r="G16" s="88"/>
      <c r="H16" s="88">
        <v>1150</v>
      </c>
    </row>
    <row r="17" spans="1:8" x14ac:dyDescent="0.2">
      <c r="A17" s="338"/>
      <c r="B17" s="1" t="s">
        <v>1794</v>
      </c>
      <c r="C17" s="287">
        <v>41275</v>
      </c>
      <c r="D17" s="288"/>
      <c r="E17" s="6" t="s">
        <v>1925</v>
      </c>
      <c r="F17" s="88">
        <v>1000</v>
      </c>
      <c r="G17" s="88"/>
      <c r="H17" s="88">
        <v>1000</v>
      </c>
    </row>
    <row r="18" spans="1:8" x14ac:dyDescent="0.2">
      <c r="A18" s="338"/>
      <c r="B18" s="1" t="s">
        <v>1790</v>
      </c>
      <c r="C18" s="287">
        <v>41275</v>
      </c>
      <c r="D18" s="288"/>
      <c r="E18" s="6" t="s">
        <v>1926</v>
      </c>
      <c r="F18" s="88">
        <v>3931</v>
      </c>
      <c r="G18" s="88"/>
      <c r="H18" s="88">
        <v>3931</v>
      </c>
    </row>
    <row r="19" spans="1:8" x14ac:dyDescent="0.2">
      <c r="A19" s="338"/>
      <c r="B19" s="1" t="s">
        <v>1958</v>
      </c>
      <c r="C19" s="287">
        <v>41275</v>
      </c>
      <c r="D19" s="288"/>
      <c r="E19" s="6" t="s">
        <v>1927</v>
      </c>
      <c r="F19" s="88">
        <v>1100</v>
      </c>
      <c r="G19" s="88"/>
      <c r="H19" s="88">
        <v>1100</v>
      </c>
    </row>
    <row r="20" spans="1:8" x14ac:dyDescent="0.2">
      <c r="A20" s="338"/>
      <c r="B20" s="1" t="s">
        <v>1788</v>
      </c>
      <c r="C20" s="287">
        <v>41275</v>
      </c>
      <c r="D20" s="288"/>
      <c r="E20" s="6" t="s">
        <v>1928</v>
      </c>
      <c r="F20" s="88">
        <v>689.5</v>
      </c>
      <c r="G20" s="88"/>
      <c r="H20" s="88">
        <v>689.5</v>
      </c>
    </row>
    <row r="21" spans="1:8" x14ac:dyDescent="0.2">
      <c r="A21" s="338"/>
      <c r="B21" s="1" t="s">
        <v>1904</v>
      </c>
      <c r="C21" s="287">
        <v>41275</v>
      </c>
      <c r="D21" s="288"/>
      <c r="E21" s="6" t="s">
        <v>1929</v>
      </c>
      <c r="F21" s="88">
        <v>879</v>
      </c>
      <c r="G21" s="88"/>
      <c r="H21" s="88">
        <v>879</v>
      </c>
    </row>
    <row r="22" spans="1:8" x14ac:dyDescent="0.2">
      <c r="A22" s="338"/>
      <c r="B22" s="1" t="s">
        <v>1963</v>
      </c>
      <c r="C22" s="287">
        <v>41275</v>
      </c>
      <c r="D22" s="288"/>
      <c r="E22" s="6" t="s">
        <v>1930</v>
      </c>
      <c r="F22" s="88">
        <v>1160</v>
      </c>
      <c r="G22" s="88"/>
      <c r="H22" s="88">
        <v>1160</v>
      </c>
    </row>
    <row r="23" spans="1:8" ht="24" customHeight="1" x14ac:dyDescent="0.2">
      <c r="A23" s="76" t="s">
        <v>687</v>
      </c>
      <c r="B23" s="76" t="s">
        <v>1780</v>
      </c>
      <c r="C23" s="76" t="s">
        <v>1781</v>
      </c>
      <c r="D23" s="289" t="s">
        <v>1782</v>
      </c>
      <c r="E23" s="289" t="s">
        <v>1783</v>
      </c>
      <c r="F23" s="76" t="s">
        <v>1784</v>
      </c>
      <c r="G23" s="76" t="s">
        <v>1785</v>
      </c>
      <c r="H23" s="76" t="s">
        <v>1757</v>
      </c>
    </row>
    <row r="24" spans="1:8" x14ac:dyDescent="0.2">
      <c r="A24" s="338"/>
      <c r="B24" s="1" t="s">
        <v>1911</v>
      </c>
      <c r="C24" s="287">
        <v>41306</v>
      </c>
      <c r="D24" s="288"/>
      <c r="E24" s="6" t="s">
        <v>1939</v>
      </c>
      <c r="F24" s="88">
        <v>21000</v>
      </c>
      <c r="G24" s="88"/>
      <c r="H24" s="88">
        <v>21000</v>
      </c>
    </row>
    <row r="25" spans="1:8" x14ac:dyDescent="0.2">
      <c r="A25" s="338"/>
      <c r="B25" s="1" t="s">
        <v>1957</v>
      </c>
      <c r="C25" s="287">
        <v>41306</v>
      </c>
      <c r="D25" s="288"/>
      <c r="E25" s="6" t="s">
        <v>1916</v>
      </c>
      <c r="F25" s="88">
        <v>6389.89</v>
      </c>
      <c r="G25" s="88"/>
      <c r="H25" s="88">
        <v>6389.89</v>
      </c>
    </row>
    <row r="26" spans="1:8" x14ac:dyDescent="0.2">
      <c r="A26" s="338"/>
      <c r="B26" s="1" t="s">
        <v>1786</v>
      </c>
      <c r="C26" s="287">
        <v>41306</v>
      </c>
      <c r="D26" s="288"/>
      <c r="E26" s="6" t="s">
        <v>1918</v>
      </c>
      <c r="F26" s="88">
        <v>287.5</v>
      </c>
      <c r="G26" s="88"/>
      <c r="H26" s="88">
        <v>287.5</v>
      </c>
    </row>
    <row r="27" spans="1:8" x14ac:dyDescent="0.2">
      <c r="A27" s="338"/>
      <c r="B27" s="1" t="s">
        <v>1793</v>
      </c>
      <c r="C27" s="287">
        <v>41306</v>
      </c>
      <c r="D27" s="288"/>
      <c r="E27" s="6" t="s">
        <v>1931</v>
      </c>
      <c r="F27" s="88">
        <v>27650</v>
      </c>
      <c r="G27" s="88"/>
      <c r="H27" s="88">
        <v>27650</v>
      </c>
    </row>
    <row r="28" spans="1:8" x14ac:dyDescent="0.2">
      <c r="A28" s="338"/>
      <c r="B28" s="1" t="s">
        <v>1793</v>
      </c>
      <c r="C28" s="287">
        <v>41306</v>
      </c>
      <c r="D28" s="288"/>
      <c r="E28" s="6" t="s">
        <v>1932</v>
      </c>
      <c r="F28" s="88">
        <v>26750</v>
      </c>
      <c r="G28" s="88"/>
      <c r="H28" s="88">
        <v>26750</v>
      </c>
    </row>
    <row r="29" spans="1:8" x14ac:dyDescent="0.2">
      <c r="A29" s="338"/>
      <c r="B29" s="1" t="s">
        <v>1792</v>
      </c>
      <c r="C29" s="287">
        <v>41306</v>
      </c>
      <c r="D29" s="288"/>
      <c r="E29" s="6" t="s">
        <v>1921</v>
      </c>
      <c r="F29" s="88">
        <v>2180</v>
      </c>
      <c r="G29" s="88"/>
      <c r="H29" s="88">
        <v>2180</v>
      </c>
    </row>
    <row r="30" spans="1:8" x14ac:dyDescent="0.2">
      <c r="A30" s="338"/>
      <c r="B30" s="1" t="s">
        <v>1788</v>
      </c>
      <c r="C30" s="287">
        <v>41306</v>
      </c>
      <c r="D30" s="288"/>
      <c r="E30" s="6" t="s">
        <v>1928</v>
      </c>
      <c r="F30" s="88">
        <v>478.52</v>
      </c>
      <c r="G30" s="88"/>
      <c r="H30" s="88">
        <v>478.52</v>
      </c>
    </row>
    <row r="31" spans="1:8" x14ac:dyDescent="0.2">
      <c r="A31" s="338"/>
      <c r="B31" s="1" t="s">
        <v>1790</v>
      </c>
      <c r="C31" s="287">
        <v>41306</v>
      </c>
      <c r="D31" s="288"/>
      <c r="E31" s="6" t="s">
        <v>1926</v>
      </c>
      <c r="F31" s="88">
        <v>4240</v>
      </c>
      <c r="G31" s="88"/>
      <c r="H31" s="88">
        <v>4240</v>
      </c>
    </row>
    <row r="32" spans="1:8" x14ac:dyDescent="0.2">
      <c r="A32" s="338"/>
      <c r="B32" s="1" t="s">
        <v>1790</v>
      </c>
      <c r="C32" s="287">
        <v>41306</v>
      </c>
      <c r="D32" s="288"/>
      <c r="E32" s="6" t="s">
        <v>1917</v>
      </c>
      <c r="F32" s="88">
        <v>2365.3200000000002</v>
      </c>
      <c r="G32" s="88"/>
      <c r="H32" s="88">
        <v>2365.3200000000002</v>
      </c>
    </row>
    <row r="33" spans="1:8" x14ac:dyDescent="0.2">
      <c r="A33" s="338"/>
      <c r="B33" s="1" t="s">
        <v>1963</v>
      </c>
      <c r="C33" s="287">
        <v>41306</v>
      </c>
      <c r="D33" s="288"/>
      <c r="E33" s="6" t="s">
        <v>1933</v>
      </c>
      <c r="F33" s="88">
        <v>1160</v>
      </c>
      <c r="G33" s="88"/>
      <c r="H33" s="88">
        <v>1160</v>
      </c>
    </row>
    <row r="34" spans="1:8" x14ac:dyDescent="0.2">
      <c r="A34" s="338"/>
      <c r="B34" s="1" t="s">
        <v>1794</v>
      </c>
      <c r="C34" s="287">
        <v>41306</v>
      </c>
      <c r="D34" s="288"/>
      <c r="E34" s="6" t="s">
        <v>1934</v>
      </c>
      <c r="F34" s="88">
        <v>9500</v>
      </c>
      <c r="G34" s="88"/>
      <c r="H34" s="88">
        <v>9500</v>
      </c>
    </row>
    <row r="35" spans="1:8" x14ac:dyDescent="0.2">
      <c r="A35" s="338"/>
      <c r="B35" s="1" t="s">
        <v>2057</v>
      </c>
      <c r="C35" s="287">
        <v>41306</v>
      </c>
      <c r="D35" s="288"/>
      <c r="E35" s="6" t="s">
        <v>1935</v>
      </c>
      <c r="F35" s="88">
        <v>4000</v>
      </c>
      <c r="G35" s="88"/>
      <c r="H35" s="88">
        <v>4000</v>
      </c>
    </row>
    <row r="36" spans="1:8" x14ac:dyDescent="0.2">
      <c r="A36" s="338"/>
      <c r="B36" s="1" t="s">
        <v>1957</v>
      </c>
      <c r="C36" s="287">
        <v>41306</v>
      </c>
      <c r="D36" s="288"/>
      <c r="E36" s="6" t="s">
        <v>1936</v>
      </c>
      <c r="F36" s="88">
        <v>1000</v>
      </c>
      <c r="G36" s="88"/>
      <c r="H36" s="88">
        <v>1000</v>
      </c>
    </row>
    <row r="37" spans="1:8" x14ac:dyDescent="0.2">
      <c r="A37" s="338"/>
      <c r="B37" s="1" t="s">
        <v>1791</v>
      </c>
      <c r="C37" s="287">
        <v>41306</v>
      </c>
      <c r="D37" s="288"/>
      <c r="E37" s="6" t="s">
        <v>1937</v>
      </c>
      <c r="F37" s="88">
        <v>490</v>
      </c>
      <c r="G37" s="88"/>
      <c r="H37" s="88">
        <v>490</v>
      </c>
    </row>
    <row r="38" spans="1:8" x14ac:dyDescent="0.2">
      <c r="A38" s="338"/>
      <c r="B38" s="1" t="s">
        <v>1962</v>
      </c>
      <c r="C38" s="287">
        <v>41306</v>
      </c>
      <c r="D38" s="288"/>
      <c r="E38" s="6" t="s">
        <v>1940</v>
      </c>
      <c r="F38" s="88">
        <v>1120</v>
      </c>
      <c r="G38" s="88"/>
      <c r="H38" s="88">
        <v>1120</v>
      </c>
    </row>
    <row r="39" spans="1:8" x14ac:dyDescent="0.2">
      <c r="A39" s="338"/>
      <c r="B39" s="1" t="s">
        <v>1904</v>
      </c>
      <c r="C39" s="287">
        <v>41306</v>
      </c>
      <c r="D39" s="288"/>
      <c r="E39" s="6" t="s">
        <v>1938</v>
      </c>
      <c r="F39" s="88">
        <v>938</v>
      </c>
      <c r="G39" s="88"/>
      <c r="H39" s="88">
        <v>938</v>
      </c>
    </row>
    <row r="40" spans="1:8" ht="24" customHeight="1" x14ac:dyDescent="0.2">
      <c r="A40" s="76" t="s">
        <v>687</v>
      </c>
      <c r="B40" s="76" t="s">
        <v>1780</v>
      </c>
      <c r="C40" s="76" t="s">
        <v>1781</v>
      </c>
      <c r="D40" s="289" t="s">
        <v>1782</v>
      </c>
      <c r="E40" s="289" t="s">
        <v>1783</v>
      </c>
      <c r="F40" s="76" t="s">
        <v>1784</v>
      </c>
      <c r="G40" s="76" t="s">
        <v>1785</v>
      </c>
      <c r="H40" s="76" t="s">
        <v>1757</v>
      </c>
    </row>
    <row r="41" spans="1:8" x14ac:dyDescent="0.2">
      <c r="A41" s="338"/>
      <c r="B41" s="1" t="s">
        <v>1957</v>
      </c>
      <c r="C41" s="287">
        <v>41334</v>
      </c>
      <c r="D41" s="288"/>
      <c r="E41" s="6" t="s">
        <v>1916</v>
      </c>
      <c r="F41" s="88">
        <v>4092.5</v>
      </c>
      <c r="G41" s="88"/>
      <c r="H41" s="88">
        <v>4092.5</v>
      </c>
    </row>
    <row r="42" spans="1:8" x14ac:dyDescent="0.2">
      <c r="A42" s="338"/>
      <c r="B42" s="1" t="s">
        <v>1957</v>
      </c>
      <c r="C42" s="287">
        <v>41334</v>
      </c>
      <c r="D42" s="288"/>
      <c r="E42" s="6" t="s">
        <v>1941</v>
      </c>
      <c r="F42" s="88">
        <v>4000</v>
      </c>
      <c r="G42" s="88"/>
      <c r="H42" s="88">
        <v>4000</v>
      </c>
    </row>
    <row r="43" spans="1:8" x14ac:dyDescent="0.2">
      <c r="A43" s="338"/>
      <c r="B43" s="1" t="s">
        <v>1786</v>
      </c>
      <c r="C43" s="287">
        <v>41334</v>
      </c>
      <c r="D43" s="288"/>
      <c r="E43" s="6" t="s">
        <v>1918</v>
      </c>
      <c r="F43" s="88">
        <v>1002.69</v>
      </c>
      <c r="G43" s="88"/>
      <c r="H43" s="88">
        <v>1002.69</v>
      </c>
    </row>
    <row r="44" spans="1:8" x14ac:dyDescent="0.2">
      <c r="A44" s="338"/>
      <c r="B44" s="1" t="s">
        <v>1908</v>
      </c>
      <c r="C44" s="287">
        <v>41334</v>
      </c>
      <c r="D44" s="288"/>
      <c r="E44" s="6" t="s">
        <v>1942</v>
      </c>
      <c r="F44" s="88">
        <v>1582.5</v>
      </c>
      <c r="G44" s="88"/>
      <c r="H44" s="88">
        <v>1582.5</v>
      </c>
    </row>
    <row r="45" spans="1:8" x14ac:dyDescent="0.2">
      <c r="A45" s="338"/>
      <c r="B45" s="1" t="s">
        <v>1793</v>
      </c>
      <c r="C45" s="287">
        <v>41334</v>
      </c>
      <c r="D45" s="288"/>
      <c r="E45" s="6" t="s">
        <v>1943</v>
      </c>
      <c r="F45" s="88">
        <v>28373</v>
      </c>
      <c r="G45" s="88"/>
      <c r="H45" s="88">
        <v>28373</v>
      </c>
    </row>
    <row r="46" spans="1:8" x14ac:dyDescent="0.2">
      <c r="A46" s="338"/>
      <c r="B46" s="1" t="s">
        <v>1793</v>
      </c>
      <c r="C46" s="287">
        <v>41334</v>
      </c>
      <c r="D46" s="288"/>
      <c r="E46" s="6" t="s">
        <v>1944</v>
      </c>
      <c r="F46" s="88">
        <v>28650</v>
      </c>
      <c r="G46" s="88"/>
      <c r="H46" s="88">
        <v>28650</v>
      </c>
    </row>
    <row r="47" spans="1:8" x14ac:dyDescent="0.2">
      <c r="A47" s="338"/>
      <c r="B47" s="1" t="s">
        <v>1792</v>
      </c>
      <c r="C47" s="287">
        <v>41334</v>
      </c>
      <c r="D47" s="288"/>
      <c r="E47" s="6" t="s">
        <v>1921</v>
      </c>
      <c r="F47" s="88">
        <v>2320</v>
      </c>
      <c r="G47" s="88"/>
      <c r="H47" s="88">
        <v>2320</v>
      </c>
    </row>
    <row r="48" spans="1:8" x14ac:dyDescent="0.2">
      <c r="A48" s="338"/>
      <c r="B48" s="1" t="s">
        <v>1794</v>
      </c>
      <c r="C48" s="287">
        <v>41334</v>
      </c>
      <c r="D48" s="288"/>
      <c r="E48" s="6" t="s">
        <v>1945</v>
      </c>
      <c r="F48" s="88">
        <v>1000</v>
      </c>
      <c r="G48" s="88"/>
      <c r="H48" s="88">
        <v>1000</v>
      </c>
    </row>
    <row r="49" spans="1:8" x14ac:dyDescent="0.2">
      <c r="A49" s="338"/>
      <c r="B49" s="1" t="s">
        <v>1790</v>
      </c>
      <c r="C49" s="287">
        <v>41334</v>
      </c>
      <c r="D49" s="288"/>
      <c r="E49" s="6" t="s">
        <v>1917</v>
      </c>
      <c r="F49" s="88">
        <v>865.01</v>
      </c>
      <c r="G49" s="88"/>
      <c r="H49" s="88">
        <v>865.01</v>
      </c>
    </row>
    <row r="50" spans="1:8" x14ac:dyDescent="0.2">
      <c r="A50" s="338"/>
      <c r="B50" s="1" t="s">
        <v>1788</v>
      </c>
      <c r="C50" s="287">
        <v>41334</v>
      </c>
      <c r="D50" s="288"/>
      <c r="E50" s="6" t="s">
        <v>1928</v>
      </c>
      <c r="F50" s="88">
        <v>420</v>
      </c>
      <c r="G50" s="88"/>
      <c r="H50" s="88">
        <v>420</v>
      </c>
    </row>
    <row r="51" spans="1:8" x14ac:dyDescent="0.2">
      <c r="A51" s="338"/>
      <c r="B51" s="1" t="s">
        <v>1958</v>
      </c>
      <c r="C51" s="287">
        <v>41334</v>
      </c>
      <c r="D51" s="288"/>
      <c r="E51" s="6" t="s">
        <v>1927</v>
      </c>
      <c r="F51" s="88">
        <v>4950</v>
      </c>
      <c r="G51" s="88"/>
      <c r="H51" s="88">
        <v>4950</v>
      </c>
    </row>
    <row r="52" spans="1:8" x14ac:dyDescent="0.2">
      <c r="A52" s="338"/>
      <c r="B52" s="1" t="s">
        <v>1962</v>
      </c>
      <c r="C52" s="287">
        <v>41334</v>
      </c>
      <c r="D52" s="288"/>
      <c r="E52" s="6" t="s">
        <v>1940</v>
      </c>
      <c r="F52" s="88">
        <v>1000</v>
      </c>
      <c r="G52" s="88"/>
      <c r="H52" s="88">
        <v>1000</v>
      </c>
    </row>
    <row r="53" spans="1:8" x14ac:dyDescent="0.2">
      <c r="A53" s="338"/>
      <c r="B53" s="1" t="s">
        <v>1790</v>
      </c>
      <c r="C53" s="287">
        <v>41334</v>
      </c>
      <c r="D53" s="288"/>
      <c r="E53" s="6" t="s">
        <v>1926</v>
      </c>
      <c r="F53" s="88">
        <v>3714.5</v>
      </c>
      <c r="G53" s="88"/>
      <c r="H53" s="88">
        <v>3714.5</v>
      </c>
    </row>
    <row r="54" spans="1:8" x14ac:dyDescent="0.2">
      <c r="A54" s="338"/>
      <c r="B54" s="1" t="s">
        <v>1963</v>
      </c>
      <c r="C54" s="287">
        <v>41334</v>
      </c>
      <c r="D54" s="288"/>
      <c r="E54" s="6" t="s">
        <v>1930</v>
      </c>
      <c r="F54" s="88">
        <v>2320</v>
      </c>
      <c r="G54" s="88"/>
      <c r="H54" s="88">
        <v>2320</v>
      </c>
    </row>
    <row r="55" spans="1:8" x14ac:dyDescent="0.2">
      <c r="A55" s="338"/>
      <c r="B55" s="1" t="s">
        <v>1904</v>
      </c>
      <c r="C55" s="287">
        <v>41334</v>
      </c>
      <c r="D55" s="288"/>
      <c r="E55" s="6" t="s">
        <v>1946</v>
      </c>
      <c r="F55" s="88">
        <v>871</v>
      </c>
      <c r="G55" s="88"/>
      <c r="H55" s="88">
        <v>871</v>
      </c>
    </row>
    <row r="56" spans="1:8" ht="24" customHeight="1" x14ac:dyDescent="0.2">
      <c r="A56" s="76" t="s">
        <v>687</v>
      </c>
      <c r="B56" s="76" t="s">
        <v>1780</v>
      </c>
      <c r="C56" s="76" t="s">
        <v>1781</v>
      </c>
      <c r="D56" s="289" t="s">
        <v>1782</v>
      </c>
      <c r="E56" s="289" t="s">
        <v>1783</v>
      </c>
      <c r="F56" s="76" t="s">
        <v>1784</v>
      </c>
      <c r="G56" s="76" t="s">
        <v>1785</v>
      </c>
      <c r="H56" s="76" t="s">
        <v>1757</v>
      </c>
    </row>
    <row r="57" spans="1:8" x14ac:dyDescent="0.2">
      <c r="A57" s="338"/>
      <c r="B57" s="1" t="s">
        <v>1789</v>
      </c>
      <c r="C57" s="287">
        <v>41365</v>
      </c>
      <c r="D57" s="288"/>
      <c r="E57" s="6" t="s">
        <v>1913</v>
      </c>
      <c r="F57" s="88">
        <v>750</v>
      </c>
      <c r="G57" s="88"/>
      <c r="H57" s="88">
        <v>750</v>
      </c>
    </row>
    <row r="58" spans="1:8" x14ac:dyDescent="0.2">
      <c r="A58" s="338"/>
      <c r="B58" s="1" t="s">
        <v>1957</v>
      </c>
      <c r="C58" s="287">
        <v>41365</v>
      </c>
      <c r="D58" s="288"/>
      <c r="E58" s="6" t="s">
        <v>1916</v>
      </c>
      <c r="F58" s="88">
        <v>300</v>
      </c>
      <c r="G58" s="88"/>
      <c r="H58" s="88">
        <v>300</v>
      </c>
    </row>
    <row r="59" spans="1:8" x14ac:dyDescent="0.2">
      <c r="A59" s="338"/>
      <c r="B59" s="1" t="s">
        <v>1958</v>
      </c>
      <c r="C59" s="287">
        <v>41365</v>
      </c>
      <c r="D59" s="288"/>
      <c r="E59" s="6" t="s">
        <v>1947</v>
      </c>
      <c r="F59" s="88">
        <v>2400</v>
      </c>
      <c r="G59" s="88"/>
      <c r="H59" s="88">
        <v>2400</v>
      </c>
    </row>
    <row r="60" spans="1:8" x14ac:dyDescent="0.2">
      <c r="A60" s="338"/>
      <c r="B60" s="1" t="s">
        <v>1906</v>
      </c>
      <c r="C60" s="287">
        <v>41365</v>
      </c>
      <c r="D60" s="288"/>
      <c r="E60" s="6" t="s">
        <v>1948</v>
      </c>
      <c r="F60" s="88">
        <v>1088</v>
      </c>
      <c r="G60" s="88"/>
      <c r="H60" s="88">
        <v>1088</v>
      </c>
    </row>
    <row r="61" spans="1:8" x14ac:dyDescent="0.2">
      <c r="A61" s="338"/>
      <c r="B61" s="1" t="s">
        <v>1788</v>
      </c>
      <c r="C61" s="287">
        <v>41365</v>
      </c>
      <c r="D61" s="288"/>
      <c r="E61" s="6" t="s">
        <v>1928</v>
      </c>
      <c r="F61" s="88">
        <v>501</v>
      </c>
      <c r="G61" s="88"/>
      <c r="H61" s="88">
        <v>501</v>
      </c>
    </row>
    <row r="62" spans="1:8" x14ac:dyDescent="0.2">
      <c r="A62" s="338"/>
      <c r="B62" s="1" t="s">
        <v>1786</v>
      </c>
      <c r="C62" s="287">
        <v>41365</v>
      </c>
      <c r="D62" s="288"/>
      <c r="E62" s="6" t="s">
        <v>1918</v>
      </c>
      <c r="F62" s="88">
        <v>984</v>
      </c>
      <c r="G62" s="88"/>
      <c r="H62" s="88">
        <v>984</v>
      </c>
    </row>
    <row r="63" spans="1:8" x14ac:dyDescent="0.2">
      <c r="A63" s="338"/>
      <c r="B63" s="1" t="s">
        <v>1793</v>
      </c>
      <c r="C63" s="287">
        <v>41365</v>
      </c>
      <c r="D63" s="288"/>
      <c r="E63" s="6" t="s">
        <v>1949</v>
      </c>
      <c r="F63" s="88">
        <v>28220</v>
      </c>
      <c r="G63" s="88"/>
      <c r="H63" s="88">
        <v>28220</v>
      </c>
    </row>
    <row r="64" spans="1:8" x14ac:dyDescent="0.2">
      <c r="A64" s="338"/>
      <c r="B64" s="1" t="s">
        <v>1793</v>
      </c>
      <c r="C64" s="287">
        <v>41365</v>
      </c>
      <c r="D64" s="288"/>
      <c r="E64" s="6" t="s">
        <v>1950</v>
      </c>
      <c r="F64" s="88">
        <v>26900</v>
      </c>
      <c r="G64" s="88"/>
      <c r="H64" s="88">
        <v>26900</v>
      </c>
    </row>
    <row r="65" spans="1:11" x14ac:dyDescent="0.2">
      <c r="A65" s="338"/>
      <c r="B65" s="1" t="s">
        <v>1792</v>
      </c>
      <c r="C65" s="287">
        <v>41365</v>
      </c>
      <c r="D65" s="288"/>
      <c r="E65" s="6" t="s">
        <v>1921</v>
      </c>
      <c r="F65" s="88">
        <v>2200</v>
      </c>
      <c r="G65" s="88"/>
      <c r="H65" s="88">
        <v>2200</v>
      </c>
    </row>
    <row r="66" spans="1:11" x14ac:dyDescent="0.2">
      <c r="A66" s="338"/>
      <c r="B66" s="1" t="s">
        <v>1962</v>
      </c>
      <c r="C66" s="287">
        <v>41365</v>
      </c>
      <c r="D66" s="288"/>
      <c r="E66" s="6" t="s">
        <v>1940</v>
      </c>
      <c r="F66" s="88">
        <v>520</v>
      </c>
      <c r="G66" s="88"/>
      <c r="H66" s="88">
        <v>520</v>
      </c>
    </row>
    <row r="67" spans="1:11" x14ac:dyDescent="0.2">
      <c r="A67" s="338"/>
      <c r="B67" s="1" t="s">
        <v>1790</v>
      </c>
      <c r="C67" s="287">
        <v>41365</v>
      </c>
      <c r="D67" s="288"/>
      <c r="E67" s="6" t="s">
        <v>1926</v>
      </c>
      <c r="F67" s="88">
        <v>3600</v>
      </c>
      <c r="G67" s="88"/>
      <c r="H67" s="88">
        <v>3600</v>
      </c>
    </row>
    <row r="68" spans="1:11" x14ac:dyDescent="0.2">
      <c r="A68" s="338"/>
      <c r="B68" s="1" t="s">
        <v>1902</v>
      </c>
      <c r="C68" s="287">
        <v>41365</v>
      </c>
      <c r="D68" s="288"/>
      <c r="E68" s="6" t="s">
        <v>1951</v>
      </c>
      <c r="F68" s="88">
        <v>2500</v>
      </c>
      <c r="G68" s="88"/>
      <c r="H68" s="88">
        <v>2500</v>
      </c>
    </row>
    <row r="69" spans="1:11" x14ac:dyDescent="0.2">
      <c r="A69" s="338"/>
      <c r="B69" s="1" t="s">
        <v>1790</v>
      </c>
      <c r="C69" s="287">
        <v>41365</v>
      </c>
      <c r="D69" s="288"/>
      <c r="E69" s="6" t="s">
        <v>1917</v>
      </c>
      <c r="F69" s="88">
        <v>1500</v>
      </c>
      <c r="G69" s="88"/>
      <c r="H69" s="88">
        <v>1500</v>
      </c>
    </row>
    <row r="70" spans="1:11" x14ac:dyDescent="0.2">
      <c r="A70" s="338"/>
      <c r="B70" s="1" t="s">
        <v>1904</v>
      </c>
      <c r="C70" s="287">
        <v>41365</v>
      </c>
      <c r="D70" s="288"/>
      <c r="E70" s="6" t="s">
        <v>1952</v>
      </c>
      <c r="F70" s="88">
        <v>812</v>
      </c>
      <c r="G70" s="88"/>
      <c r="H70" s="88">
        <v>812</v>
      </c>
    </row>
    <row r="71" spans="1:11" x14ac:dyDescent="0.2">
      <c r="A71" s="338"/>
      <c r="B71" s="1" t="s">
        <v>1963</v>
      </c>
      <c r="C71" s="287">
        <v>41365</v>
      </c>
      <c r="D71" s="288"/>
      <c r="E71" s="6" t="s">
        <v>1930</v>
      </c>
      <c r="F71" s="88">
        <v>1160</v>
      </c>
      <c r="G71" s="88"/>
      <c r="H71" s="88">
        <v>1160</v>
      </c>
    </row>
    <row r="72" spans="1:11" x14ac:dyDescent="0.2">
      <c r="A72" s="338">
        <v>1</v>
      </c>
      <c r="B72" s="1" t="s">
        <v>1786</v>
      </c>
      <c r="C72" s="287">
        <v>41383</v>
      </c>
      <c r="D72" s="288" t="s">
        <v>1752</v>
      </c>
      <c r="E72" s="6" t="s">
        <v>1753</v>
      </c>
      <c r="F72" s="88">
        <v>233.31</v>
      </c>
      <c r="G72" s="88">
        <v>37.33</v>
      </c>
      <c r="H72" s="88">
        <v>270.64</v>
      </c>
    </row>
    <row r="73" spans="1:11" ht="24" customHeight="1" x14ac:dyDescent="0.2">
      <c r="A73" s="76" t="s">
        <v>687</v>
      </c>
      <c r="B73" s="76" t="s">
        <v>1780</v>
      </c>
      <c r="C73" s="76" t="s">
        <v>1781</v>
      </c>
      <c r="D73" s="289" t="s">
        <v>1782</v>
      </c>
      <c r="E73" s="289" t="s">
        <v>1783</v>
      </c>
      <c r="F73" s="76" t="s">
        <v>1784</v>
      </c>
      <c r="G73" s="76" t="s">
        <v>1785</v>
      </c>
      <c r="H73" s="76" t="s">
        <v>1757</v>
      </c>
    </row>
    <row r="74" spans="1:11" x14ac:dyDescent="0.2">
      <c r="A74" s="390"/>
      <c r="B74" s="397" t="s">
        <v>1793</v>
      </c>
      <c r="C74" s="398">
        <v>41395</v>
      </c>
      <c r="D74" s="399"/>
      <c r="E74" s="400" t="s">
        <v>2043</v>
      </c>
      <c r="F74" s="401">
        <v>23200</v>
      </c>
      <c r="G74" s="401"/>
      <c r="H74" s="401">
        <v>23200</v>
      </c>
      <c r="J74" s="285"/>
    </row>
    <row r="75" spans="1:11" x14ac:dyDescent="0.2">
      <c r="A75" s="338"/>
      <c r="B75" s="111" t="s">
        <v>1793</v>
      </c>
      <c r="C75" s="402">
        <v>41395</v>
      </c>
      <c r="D75" s="403"/>
      <c r="E75" s="404" t="s">
        <v>2044</v>
      </c>
      <c r="F75" s="384">
        <v>5800</v>
      </c>
      <c r="G75" s="384"/>
      <c r="H75" s="384">
        <v>5800</v>
      </c>
      <c r="J75" s="285"/>
    </row>
    <row r="76" spans="1:11" x14ac:dyDescent="0.2">
      <c r="A76" s="338"/>
      <c r="B76" s="111" t="s">
        <v>1958</v>
      </c>
      <c r="C76" s="402">
        <v>41395</v>
      </c>
      <c r="D76" s="403"/>
      <c r="E76" s="404" t="s">
        <v>2045</v>
      </c>
      <c r="F76" s="384">
        <v>2400</v>
      </c>
      <c r="G76" s="384"/>
      <c r="H76" s="384">
        <v>2400</v>
      </c>
      <c r="J76" s="285"/>
    </row>
    <row r="77" spans="1:11" x14ac:dyDescent="0.2">
      <c r="A77" s="338"/>
      <c r="B77" s="111" t="s">
        <v>1786</v>
      </c>
      <c r="C77" s="402">
        <v>41395</v>
      </c>
      <c r="D77" s="403"/>
      <c r="E77" s="404" t="s">
        <v>2046</v>
      </c>
      <c r="F77" s="384">
        <v>1497</v>
      </c>
      <c r="G77" s="384"/>
      <c r="H77" s="384">
        <v>1497</v>
      </c>
      <c r="J77" s="285"/>
    </row>
    <row r="78" spans="1:11" x14ac:dyDescent="0.2">
      <c r="A78" s="338"/>
      <c r="B78" s="111" t="s">
        <v>1788</v>
      </c>
      <c r="C78" s="402">
        <v>41395</v>
      </c>
      <c r="D78" s="403"/>
      <c r="E78" s="404" t="s">
        <v>2047</v>
      </c>
      <c r="F78" s="384">
        <v>420</v>
      </c>
      <c r="G78" s="384"/>
      <c r="H78" s="384">
        <v>420</v>
      </c>
      <c r="J78" s="285"/>
    </row>
    <row r="79" spans="1:11" x14ac:dyDescent="0.2">
      <c r="A79" s="338"/>
      <c r="B79" s="111" t="s">
        <v>1792</v>
      </c>
      <c r="C79" s="402">
        <v>41395</v>
      </c>
      <c r="D79" s="403"/>
      <c r="E79" s="404" t="s">
        <v>1953</v>
      </c>
      <c r="F79" s="384">
        <v>800</v>
      </c>
      <c r="G79" s="384"/>
      <c r="H79" s="384">
        <v>800</v>
      </c>
      <c r="J79" s="285"/>
    </row>
    <row r="80" spans="1:11" x14ac:dyDescent="0.2">
      <c r="A80" s="338"/>
      <c r="B80" s="111" t="s">
        <v>1791</v>
      </c>
      <c r="C80" s="402">
        <v>41395</v>
      </c>
      <c r="D80" s="403"/>
      <c r="E80" s="404" t="s">
        <v>1954</v>
      </c>
      <c r="F80" s="384">
        <v>620</v>
      </c>
      <c r="G80" s="384"/>
      <c r="H80" s="384">
        <v>620</v>
      </c>
      <c r="J80" s="285"/>
      <c r="K80" s="285"/>
    </row>
    <row r="81" spans="1:10" x14ac:dyDescent="0.2">
      <c r="A81" s="338"/>
      <c r="B81" s="111" t="s">
        <v>1790</v>
      </c>
      <c r="C81" s="402">
        <v>41395</v>
      </c>
      <c r="D81" s="403"/>
      <c r="E81" s="404" t="s">
        <v>2048</v>
      </c>
      <c r="F81" s="384">
        <v>1934</v>
      </c>
      <c r="G81" s="384"/>
      <c r="H81" s="384">
        <v>1934</v>
      </c>
      <c r="J81" s="285"/>
    </row>
    <row r="82" spans="1:10" x14ac:dyDescent="0.2">
      <c r="A82" s="338"/>
      <c r="B82" s="111" t="s">
        <v>1790</v>
      </c>
      <c r="C82" s="402">
        <v>41395</v>
      </c>
      <c r="D82" s="403"/>
      <c r="E82" s="404" t="s">
        <v>2049</v>
      </c>
      <c r="F82" s="384">
        <v>735.19</v>
      </c>
      <c r="G82" s="384"/>
      <c r="H82" s="384">
        <v>735.19</v>
      </c>
      <c r="J82" s="285"/>
    </row>
    <row r="83" spans="1:10" x14ac:dyDescent="0.2">
      <c r="A83" s="338"/>
      <c r="B83" s="111" t="s">
        <v>1902</v>
      </c>
      <c r="C83" s="402">
        <v>41395</v>
      </c>
      <c r="D83" s="403"/>
      <c r="E83" s="404" t="s">
        <v>2050</v>
      </c>
      <c r="F83" s="384">
        <v>2500</v>
      </c>
      <c r="G83" s="384"/>
      <c r="H83" s="384">
        <v>2500</v>
      </c>
      <c r="J83" s="285"/>
    </row>
    <row r="84" spans="1:10" x14ac:dyDescent="0.2">
      <c r="A84" s="338"/>
      <c r="B84" s="111" t="s">
        <v>1965</v>
      </c>
      <c r="C84" s="402">
        <v>41395</v>
      </c>
      <c r="D84" s="403"/>
      <c r="E84" s="404" t="s">
        <v>2051</v>
      </c>
      <c r="F84" s="384">
        <v>7500</v>
      </c>
      <c r="G84" s="384"/>
      <c r="H84" s="384">
        <v>7500</v>
      </c>
      <c r="J84" s="285"/>
    </row>
    <row r="85" spans="1:10" x14ac:dyDescent="0.2">
      <c r="A85" s="338">
        <v>2</v>
      </c>
      <c r="B85" s="111" t="s">
        <v>1787</v>
      </c>
      <c r="C85" s="402">
        <v>41400</v>
      </c>
      <c r="D85" s="403" t="s">
        <v>1770</v>
      </c>
      <c r="E85" s="404" t="s">
        <v>1771</v>
      </c>
      <c r="F85" s="384">
        <v>245.68</v>
      </c>
      <c r="G85" s="384">
        <v>39.31</v>
      </c>
      <c r="H85" s="384">
        <v>284.99</v>
      </c>
      <c r="J85" s="285"/>
    </row>
    <row r="86" spans="1:10" x14ac:dyDescent="0.2">
      <c r="A86" s="338">
        <v>3</v>
      </c>
      <c r="B86" s="111" t="s">
        <v>1787</v>
      </c>
      <c r="C86" s="402">
        <v>41419</v>
      </c>
      <c r="D86" s="403" t="s">
        <v>1801</v>
      </c>
      <c r="E86" s="404" t="s">
        <v>1802</v>
      </c>
      <c r="F86" s="384">
        <v>517.24</v>
      </c>
      <c r="G86" s="384">
        <v>82.46</v>
      </c>
      <c r="H86" s="384">
        <v>599.70000000000005</v>
      </c>
      <c r="J86" s="285"/>
    </row>
    <row r="87" spans="1:10" x14ac:dyDescent="0.2">
      <c r="A87" s="338"/>
      <c r="B87" s="111" t="s">
        <v>1793</v>
      </c>
      <c r="C87" s="402">
        <v>41425</v>
      </c>
      <c r="D87" s="403" t="s">
        <v>1767</v>
      </c>
      <c r="E87" s="404" t="s">
        <v>1767</v>
      </c>
      <c r="F87" s="384">
        <v>22790</v>
      </c>
      <c r="G87" s="384"/>
      <c r="H87" s="384">
        <v>22790</v>
      </c>
      <c r="J87" s="285"/>
    </row>
    <row r="88" spans="1:10" x14ac:dyDescent="0.2">
      <c r="A88" s="338"/>
      <c r="B88" s="385" t="s">
        <v>1788</v>
      </c>
      <c r="C88" s="386">
        <v>41534</v>
      </c>
      <c r="D88" s="387"/>
      <c r="E88" s="388" t="s">
        <v>2047</v>
      </c>
      <c r="F88" s="389">
        <v>258</v>
      </c>
      <c r="G88" s="389"/>
      <c r="H88" s="389">
        <v>258</v>
      </c>
      <c r="J88" s="285"/>
    </row>
    <row r="89" spans="1:10" x14ac:dyDescent="0.2">
      <c r="A89" s="338"/>
      <c r="B89" s="385" t="s">
        <v>1792</v>
      </c>
      <c r="C89" s="386">
        <v>41534</v>
      </c>
      <c r="D89" s="387"/>
      <c r="E89" s="388" t="s">
        <v>2042</v>
      </c>
      <c r="F89" s="389">
        <v>1200</v>
      </c>
      <c r="G89" s="389"/>
      <c r="H89" s="389">
        <v>1200</v>
      </c>
      <c r="J89" s="285"/>
    </row>
    <row r="90" spans="1:10" x14ac:dyDescent="0.2">
      <c r="A90" s="338"/>
      <c r="B90" s="385" t="s">
        <v>1791</v>
      </c>
      <c r="C90" s="386">
        <v>41534</v>
      </c>
      <c r="D90" s="387"/>
      <c r="E90" s="388" t="s">
        <v>1954</v>
      </c>
      <c r="F90" s="389">
        <v>550</v>
      </c>
      <c r="G90" s="389"/>
      <c r="H90" s="389">
        <v>550</v>
      </c>
      <c r="J90" s="285"/>
    </row>
    <row r="91" spans="1:10" x14ac:dyDescent="0.2">
      <c r="A91" s="338"/>
      <c r="B91" s="385" t="s">
        <v>1965</v>
      </c>
      <c r="C91" s="386">
        <v>41534</v>
      </c>
      <c r="D91" s="387"/>
      <c r="E91" s="388"/>
      <c r="F91" s="389">
        <v>552</v>
      </c>
      <c r="G91" s="389"/>
      <c r="H91" s="389">
        <v>552</v>
      </c>
    </row>
    <row r="92" spans="1:10" x14ac:dyDescent="0.2">
      <c r="A92" s="338"/>
      <c r="B92" s="385" t="s">
        <v>1790</v>
      </c>
      <c r="C92" s="386">
        <v>41534</v>
      </c>
      <c r="D92" s="387"/>
      <c r="E92" s="388" t="s">
        <v>2052</v>
      </c>
      <c r="F92" s="389">
        <v>339</v>
      </c>
      <c r="G92" s="389"/>
      <c r="H92" s="389">
        <v>339</v>
      </c>
    </row>
    <row r="93" spans="1:10" x14ac:dyDescent="0.2">
      <c r="A93" s="338"/>
      <c r="B93" s="385" t="s">
        <v>1904</v>
      </c>
      <c r="C93" s="386">
        <v>41534</v>
      </c>
      <c r="D93" s="387"/>
      <c r="E93" s="388"/>
      <c r="F93" s="389">
        <v>7.4</v>
      </c>
      <c r="G93" s="389"/>
      <c r="H93" s="389">
        <v>7.4</v>
      </c>
    </row>
    <row r="94" spans="1:10" x14ac:dyDescent="0.2">
      <c r="A94" s="391"/>
      <c r="B94" s="392" t="s">
        <v>1904</v>
      </c>
      <c r="C94" s="393">
        <v>41534</v>
      </c>
      <c r="D94" s="394" t="s">
        <v>1858</v>
      </c>
      <c r="E94" s="395"/>
      <c r="F94" s="396">
        <v>677.63</v>
      </c>
      <c r="G94" s="396">
        <v>108.42</v>
      </c>
      <c r="H94" s="396">
        <v>786.05</v>
      </c>
    </row>
    <row r="95" spans="1:10" ht="24" customHeight="1" x14ac:dyDescent="0.2">
      <c r="A95" s="76" t="s">
        <v>687</v>
      </c>
      <c r="B95" s="76" t="s">
        <v>1780</v>
      </c>
      <c r="C95" s="76" t="s">
        <v>1781</v>
      </c>
      <c r="D95" s="289" t="s">
        <v>1782</v>
      </c>
      <c r="E95" s="289" t="s">
        <v>1783</v>
      </c>
      <c r="F95" s="76" t="s">
        <v>1784</v>
      </c>
      <c r="G95" s="76" t="s">
        <v>1785</v>
      </c>
      <c r="H95" s="76" t="s">
        <v>1757</v>
      </c>
    </row>
    <row r="96" spans="1:10" x14ac:dyDescent="0.2">
      <c r="A96" s="338">
        <v>4</v>
      </c>
      <c r="B96" s="1" t="s">
        <v>1788</v>
      </c>
      <c r="C96" s="287">
        <v>41428</v>
      </c>
      <c r="D96" s="288" t="s">
        <v>1743</v>
      </c>
      <c r="E96" s="6" t="s">
        <v>1738</v>
      </c>
      <c r="F96" s="88">
        <f>H96</f>
        <v>90</v>
      </c>
      <c r="G96" s="88"/>
      <c r="H96" s="88">
        <v>90</v>
      </c>
    </row>
    <row r="97" spans="1:8" x14ac:dyDescent="0.2">
      <c r="A97" s="338">
        <v>5</v>
      </c>
      <c r="B97" s="1" t="s">
        <v>1789</v>
      </c>
      <c r="C97" s="287">
        <v>41430</v>
      </c>
      <c r="D97" s="288" t="s">
        <v>1744</v>
      </c>
      <c r="E97" s="6" t="s">
        <v>1739</v>
      </c>
      <c r="F97" s="88">
        <f>H97</f>
        <v>350</v>
      </c>
      <c r="G97" s="88"/>
      <c r="H97" s="88">
        <v>350</v>
      </c>
    </row>
    <row r="98" spans="1:8" x14ac:dyDescent="0.2">
      <c r="A98" s="338">
        <v>6</v>
      </c>
      <c r="B98" s="1" t="s">
        <v>1790</v>
      </c>
      <c r="C98" s="287">
        <v>41431</v>
      </c>
      <c r="D98" s="288" t="s">
        <v>1748</v>
      </c>
      <c r="E98" s="6" t="s">
        <v>1749</v>
      </c>
      <c r="F98" s="88">
        <v>53.92</v>
      </c>
      <c r="G98" s="88">
        <v>7.58</v>
      </c>
      <c r="H98" s="88">
        <v>61.5</v>
      </c>
    </row>
    <row r="99" spans="1:8" x14ac:dyDescent="0.2">
      <c r="A99" s="338">
        <v>7</v>
      </c>
      <c r="B99" s="1" t="s">
        <v>1791</v>
      </c>
      <c r="C99" s="287">
        <v>41432</v>
      </c>
      <c r="D99" s="288" t="s">
        <v>1745</v>
      </c>
      <c r="E99" s="6" t="s">
        <v>1740</v>
      </c>
      <c r="F99" s="88">
        <f t="shared" ref="F99:F102" si="0">H99</f>
        <v>100</v>
      </c>
      <c r="G99" s="88"/>
      <c r="H99" s="88">
        <v>100</v>
      </c>
    </row>
    <row r="100" spans="1:8" x14ac:dyDescent="0.2">
      <c r="A100" s="338">
        <v>8</v>
      </c>
      <c r="B100" s="1" t="s">
        <v>1958</v>
      </c>
      <c r="C100" s="287">
        <v>41433</v>
      </c>
      <c r="D100" s="288" t="s">
        <v>1747</v>
      </c>
      <c r="E100" s="6" t="s">
        <v>1741</v>
      </c>
      <c r="F100" s="88">
        <f t="shared" si="0"/>
        <v>1800</v>
      </c>
      <c r="G100" s="88"/>
      <c r="H100" s="88">
        <v>1800</v>
      </c>
    </row>
    <row r="101" spans="1:8" x14ac:dyDescent="0.2">
      <c r="A101" s="338">
        <v>9</v>
      </c>
      <c r="B101" s="1" t="s">
        <v>1791</v>
      </c>
      <c r="C101" s="287">
        <v>41433</v>
      </c>
      <c r="D101" s="288" t="s">
        <v>1746</v>
      </c>
      <c r="E101" s="6" t="s">
        <v>1740</v>
      </c>
      <c r="F101" s="88">
        <f t="shared" si="0"/>
        <v>250</v>
      </c>
      <c r="G101" s="88"/>
      <c r="H101" s="88">
        <v>250</v>
      </c>
    </row>
    <row r="102" spans="1:8" x14ac:dyDescent="0.2">
      <c r="A102" s="338">
        <v>10</v>
      </c>
      <c r="B102" s="1" t="s">
        <v>1788</v>
      </c>
      <c r="C102" s="287">
        <v>41435</v>
      </c>
      <c r="D102" s="288" t="s">
        <v>1743</v>
      </c>
      <c r="E102" s="6" t="s">
        <v>1738</v>
      </c>
      <c r="F102" s="88">
        <f t="shared" si="0"/>
        <v>60</v>
      </c>
      <c r="G102" s="88"/>
      <c r="H102" s="88">
        <v>60</v>
      </c>
    </row>
    <row r="103" spans="1:8" x14ac:dyDescent="0.2">
      <c r="A103" s="338">
        <v>11</v>
      </c>
      <c r="B103" s="1" t="s">
        <v>1786</v>
      </c>
      <c r="C103" s="287">
        <v>41436</v>
      </c>
      <c r="D103" s="288" t="s">
        <v>1752</v>
      </c>
      <c r="E103" s="6" t="s">
        <v>1753</v>
      </c>
      <c r="F103" s="88">
        <v>93.03</v>
      </c>
      <c r="G103" s="88">
        <v>14.88</v>
      </c>
      <c r="H103" s="88">
        <v>107.91</v>
      </c>
    </row>
    <row r="104" spans="1:8" x14ac:dyDescent="0.2">
      <c r="A104" s="338">
        <v>12</v>
      </c>
      <c r="B104" s="1" t="s">
        <v>1792</v>
      </c>
      <c r="C104" s="287">
        <v>41436</v>
      </c>
      <c r="D104" s="288" t="s">
        <v>1751</v>
      </c>
      <c r="E104" s="288" t="s">
        <v>1750</v>
      </c>
      <c r="F104" s="88">
        <f t="shared" ref="F104:F113" si="1">H104</f>
        <v>400</v>
      </c>
      <c r="G104" s="88"/>
      <c r="H104" s="88">
        <v>400</v>
      </c>
    </row>
    <row r="105" spans="1:8" x14ac:dyDescent="0.2">
      <c r="A105" s="338">
        <v>13</v>
      </c>
      <c r="B105" s="1" t="s">
        <v>1793</v>
      </c>
      <c r="C105" s="287">
        <v>41440</v>
      </c>
      <c r="D105" s="288" t="s">
        <v>1767</v>
      </c>
      <c r="E105" s="288" t="s">
        <v>1767</v>
      </c>
      <c r="F105" s="88">
        <f t="shared" si="1"/>
        <v>23200</v>
      </c>
      <c r="G105" s="88"/>
      <c r="H105" s="88">
        <v>23200</v>
      </c>
    </row>
    <row r="106" spans="1:8" x14ac:dyDescent="0.2">
      <c r="A106" s="338">
        <v>14</v>
      </c>
      <c r="B106" s="1" t="s">
        <v>1791</v>
      </c>
      <c r="C106" s="287">
        <v>41440</v>
      </c>
      <c r="D106" s="288" t="s">
        <v>1745</v>
      </c>
      <c r="E106" s="6" t="s">
        <v>1740</v>
      </c>
      <c r="F106" s="88">
        <f t="shared" si="1"/>
        <v>100</v>
      </c>
      <c r="G106" s="88"/>
      <c r="H106" s="88">
        <v>100</v>
      </c>
    </row>
    <row r="107" spans="1:8" x14ac:dyDescent="0.2">
      <c r="A107" s="338">
        <v>15</v>
      </c>
      <c r="B107" s="1" t="s">
        <v>1788</v>
      </c>
      <c r="C107" s="287">
        <v>41442</v>
      </c>
      <c r="D107" s="288" t="s">
        <v>1743</v>
      </c>
      <c r="E107" s="6" t="s">
        <v>1738</v>
      </c>
      <c r="F107" s="88">
        <f t="shared" si="1"/>
        <v>90</v>
      </c>
      <c r="G107" s="88"/>
      <c r="H107" s="88">
        <v>90</v>
      </c>
    </row>
    <row r="108" spans="1:8" x14ac:dyDescent="0.2">
      <c r="A108" s="338">
        <v>16</v>
      </c>
      <c r="B108" s="1" t="s">
        <v>1792</v>
      </c>
      <c r="C108" s="287">
        <v>41444</v>
      </c>
      <c r="D108" s="288" t="s">
        <v>1751</v>
      </c>
      <c r="E108" s="288" t="s">
        <v>1750</v>
      </c>
      <c r="F108" s="88">
        <f t="shared" si="1"/>
        <v>400</v>
      </c>
      <c r="G108" s="88"/>
      <c r="H108" s="88">
        <v>400</v>
      </c>
    </row>
    <row r="109" spans="1:8" x14ac:dyDescent="0.2">
      <c r="A109" s="338">
        <v>17</v>
      </c>
      <c r="B109" s="1" t="s">
        <v>1788</v>
      </c>
      <c r="C109" s="287">
        <v>41449</v>
      </c>
      <c r="D109" s="288" t="s">
        <v>1743</v>
      </c>
      <c r="E109" s="6" t="s">
        <v>1738</v>
      </c>
      <c r="F109" s="88">
        <f t="shared" si="1"/>
        <v>60</v>
      </c>
      <c r="G109" s="88"/>
      <c r="H109" s="88">
        <v>60</v>
      </c>
    </row>
    <row r="110" spans="1:8" x14ac:dyDescent="0.2">
      <c r="A110" s="338">
        <v>18</v>
      </c>
      <c r="B110" s="1" t="s">
        <v>1786</v>
      </c>
      <c r="C110" s="287">
        <v>41449</v>
      </c>
      <c r="D110" s="288" t="s">
        <v>1772</v>
      </c>
      <c r="E110" s="6" t="s">
        <v>1753</v>
      </c>
      <c r="F110" s="88">
        <f t="shared" si="1"/>
        <v>20</v>
      </c>
      <c r="G110" s="88"/>
      <c r="H110" s="88">
        <v>20</v>
      </c>
    </row>
    <row r="111" spans="1:8" x14ac:dyDescent="0.2">
      <c r="A111" s="338">
        <v>19</v>
      </c>
      <c r="B111" s="1" t="s">
        <v>1786</v>
      </c>
      <c r="C111" s="287">
        <v>41450</v>
      </c>
      <c r="D111" s="288" t="s">
        <v>1769</v>
      </c>
      <c r="E111" s="6" t="s">
        <v>1753</v>
      </c>
      <c r="F111" s="88">
        <f t="shared" si="1"/>
        <v>11</v>
      </c>
      <c r="G111" s="88"/>
      <c r="H111" s="88">
        <v>11</v>
      </c>
    </row>
    <row r="112" spans="1:8" x14ac:dyDescent="0.2">
      <c r="A112" s="338">
        <v>20</v>
      </c>
      <c r="B112" s="1" t="s">
        <v>1794</v>
      </c>
      <c r="C112" s="287">
        <v>41450</v>
      </c>
      <c r="D112" s="288" t="s">
        <v>1776</v>
      </c>
      <c r="E112" s="6" t="s">
        <v>1777</v>
      </c>
      <c r="F112" s="88">
        <f t="shared" si="1"/>
        <v>1200</v>
      </c>
      <c r="G112" s="88"/>
      <c r="H112" s="88">
        <v>1200</v>
      </c>
    </row>
    <row r="113" spans="1:8" x14ac:dyDescent="0.2">
      <c r="A113" s="338">
        <v>21</v>
      </c>
      <c r="B113" s="1" t="s">
        <v>1792</v>
      </c>
      <c r="C113" s="287">
        <v>41450</v>
      </c>
      <c r="D113" s="288" t="s">
        <v>1751</v>
      </c>
      <c r="E113" s="288" t="s">
        <v>1750</v>
      </c>
      <c r="F113" s="88">
        <f t="shared" si="1"/>
        <v>400</v>
      </c>
      <c r="G113" s="88"/>
      <c r="H113" s="88">
        <v>400</v>
      </c>
    </row>
    <row r="114" spans="1:8" x14ac:dyDescent="0.2">
      <c r="A114" s="338">
        <v>22</v>
      </c>
      <c r="B114" s="1" t="s">
        <v>1795</v>
      </c>
      <c r="C114" s="287">
        <v>41450</v>
      </c>
      <c r="D114" s="288" t="s">
        <v>1768</v>
      </c>
      <c r="E114" s="6" t="s">
        <v>1737</v>
      </c>
      <c r="F114" s="88">
        <f>H114-G114</f>
        <v>137.84</v>
      </c>
      <c r="G114" s="88">
        <v>22.06</v>
      </c>
      <c r="H114" s="88">
        <v>159.9</v>
      </c>
    </row>
    <row r="115" spans="1:8" x14ac:dyDescent="0.2">
      <c r="A115" s="338">
        <v>23</v>
      </c>
      <c r="B115" s="1" t="s">
        <v>1796</v>
      </c>
      <c r="C115" s="287">
        <v>41452</v>
      </c>
      <c r="D115" s="288" t="s">
        <v>1774</v>
      </c>
      <c r="E115" s="6" t="s">
        <v>1775</v>
      </c>
      <c r="F115" s="88">
        <v>392</v>
      </c>
      <c r="G115" s="88">
        <v>62.72</v>
      </c>
      <c r="H115" s="88">
        <v>454.72</v>
      </c>
    </row>
    <row r="116" spans="1:8" x14ac:dyDescent="0.2">
      <c r="A116" s="338">
        <v>24</v>
      </c>
      <c r="B116" s="1" t="s">
        <v>1792</v>
      </c>
      <c r="C116" s="287">
        <v>41453</v>
      </c>
      <c r="D116" s="288" t="s">
        <v>1751</v>
      </c>
      <c r="E116" s="288" t="s">
        <v>1750</v>
      </c>
      <c r="F116" s="88">
        <f t="shared" ref="F116:F117" si="2">H116</f>
        <v>400</v>
      </c>
      <c r="G116" s="88"/>
      <c r="H116" s="88">
        <v>400</v>
      </c>
    </row>
    <row r="117" spans="1:8" x14ac:dyDescent="0.2">
      <c r="A117" s="338">
        <v>25</v>
      </c>
      <c r="B117" s="1" t="s">
        <v>1793</v>
      </c>
      <c r="C117" s="287">
        <v>41455</v>
      </c>
      <c r="D117" s="288" t="s">
        <v>1767</v>
      </c>
      <c r="E117" s="288" t="s">
        <v>1767</v>
      </c>
      <c r="F117" s="88">
        <f t="shared" si="2"/>
        <v>23200</v>
      </c>
      <c r="G117" s="88"/>
      <c r="H117" s="88">
        <v>23200</v>
      </c>
    </row>
    <row r="118" spans="1:8" ht="24" customHeight="1" x14ac:dyDescent="0.2">
      <c r="A118" s="76" t="s">
        <v>687</v>
      </c>
      <c r="B118" s="76" t="s">
        <v>1780</v>
      </c>
      <c r="C118" s="76" t="s">
        <v>1781</v>
      </c>
      <c r="D118" s="289" t="s">
        <v>1782</v>
      </c>
      <c r="E118" s="289" t="s">
        <v>1783</v>
      </c>
      <c r="F118" s="76" t="s">
        <v>1784</v>
      </c>
      <c r="G118" s="76" t="s">
        <v>1785</v>
      </c>
      <c r="H118" s="76" t="s">
        <v>1757</v>
      </c>
    </row>
    <row r="119" spans="1:8" x14ac:dyDescent="0.2">
      <c r="A119" s="338">
        <v>26</v>
      </c>
      <c r="B119" s="1" t="s">
        <v>1788</v>
      </c>
      <c r="C119" s="287">
        <v>41456</v>
      </c>
      <c r="D119" s="288" t="s">
        <v>1743</v>
      </c>
      <c r="E119" s="6" t="s">
        <v>1738</v>
      </c>
      <c r="F119" s="88">
        <v>90</v>
      </c>
      <c r="G119" s="88"/>
      <c r="H119" s="88">
        <v>90</v>
      </c>
    </row>
    <row r="120" spans="1:8" x14ac:dyDescent="0.2">
      <c r="A120" s="338">
        <v>27</v>
      </c>
      <c r="B120" s="1" t="s">
        <v>1902</v>
      </c>
      <c r="C120" s="287">
        <v>41457</v>
      </c>
      <c r="D120" s="288" t="s">
        <v>1871</v>
      </c>
      <c r="E120" s="6" t="s">
        <v>1857</v>
      </c>
      <c r="F120" s="88">
        <v>1000</v>
      </c>
      <c r="G120" s="88"/>
      <c r="H120" s="88">
        <v>1000</v>
      </c>
    </row>
    <row r="121" spans="1:8" x14ac:dyDescent="0.2">
      <c r="A121" s="338">
        <v>28</v>
      </c>
      <c r="B121" s="1" t="s">
        <v>1791</v>
      </c>
      <c r="C121" s="287">
        <v>41457</v>
      </c>
      <c r="D121" s="288" t="s">
        <v>1745</v>
      </c>
      <c r="E121" s="6" t="s">
        <v>1740</v>
      </c>
      <c r="F121" s="88">
        <v>100</v>
      </c>
      <c r="G121" s="88"/>
      <c r="H121" s="88">
        <v>100</v>
      </c>
    </row>
    <row r="122" spans="1:8" x14ac:dyDescent="0.2">
      <c r="A122" s="338">
        <v>29</v>
      </c>
      <c r="B122" s="1" t="s">
        <v>1786</v>
      </c>
      <c r="C122" s="287">
        <v>41458</v>
      </c>
      <c r="D122" s="288" t="s">
        <v>1752</v>
      </c>
      <c r="E122" s="6" t="s">
        <v>1866</v>
      </c>
      <c r="F122" s="88">
        <v>125.69</v>
      </c>
      <c r="G122" s="88">
        <v>20.11</v>
      </c>
      <c r="H122" s="88">
        <v>145.80000000000001</v>
      </c>
    </row>
    <row r="123" spans="1:8" x14ac:dyDescent="0.2">
      <c r="A123" s="338">
        <v>30</v>
      </c>
      <c r="B123" s="1" t="s">
        <v>1904</v>
      </c>
      <c r="C123" s="287">
        <v>41460</v>
      </c>
      <c r="D123" s="288" t="s">
        <v>1858</v>
      </c>
      <c r="E123" s="6"/>
      <c r="F123" s="88">
        <v>692.37</v>
      </c>
      <c r="G123" s="88">
        <v>128.63</v>
      </c>
      <c r="H123" s="88">
        <v>821</v>
      </c>
    </row>
    <row r="124" spans="1:8" x14ac:dyDescent="0.2">
      <c r="A124" s="338">
        <v>31</v>
      </c>
      <c r="B124" s="1" t="s">
        <v>1795</v>
      </c>
      <c r="C124" s="287">
        <v>41461</v>
      </c>
      <c r="D124" s="288" t="s">
        <v>1742</v>
      </c>
      <c r="E124" s="6" t="s">
        <v>1737</v>
      </c>
      <c r="F124" s="88">
        <f>H124-G124</f>
        <v>151.63793103448276</v>
      </c>
      <c r="G124" s="88">
        <f>(H124/1.16)*0.16</f>
        <v>24.262068965517244</v>
      </c>
      <c r="H124" s="88">
        <v>175.9</v>
      </c>
    </row>
    <row r="125" spans="1:8" x14ac:dyDescent="0.2">
      <c r="A125" s="338">
        <v>32</v>
      </c>
      <c r="B125" s="1" t="s">
        <v>1906</v>
      </c>
      <c r="C125" s="287">
        <v>41462</v>
      </c>
      <c r="D125" s="288" t="s">
        <v>1867</v>
      </c>
      <c r="E125" s="6" t="s">
        <v>1868</v>
      </c>
      <c r="F125" s="88">
        <v>50</v>
      </c>
      <c r="G125" s="88"/>
      <c r="H125" s="88">
        <v>50</v>
      </c>
    </row>
    <row r="126" spans="1:8" x14ac:dyDescent="0.2">
      <c r="A126" s="338">
        <v>33</v>
      </c>
      <c r="B126" s="1" t="s">
        <v>1788</v>
      </c>
      <c r="C126" s="287">
        <v>41463</v>
      </c>
      <c r="D126" s="288" t="s">
        <v>1743</v>
      </c>
      <c r="E126" s="6" t="s">
        <v>1738</v>
      </c>
      <c r="F126" s="88">
        <v>60</v>
      </c>
      <c r="G126" s="88"/>
      <c r="H126" s="88">
        <v>60</v>
      </c>
    </row>
    <row r="127" spans="1:8" x14ac:dyDescent="0.2">
      <c r="A127" s="338">
        <v>34</v>
      </c>
      <c r="B127" s="1" t="s">
        <v>1786</v>
      </c>
      <c r="C127" s="287">
        <v>41463</v>
      </c>
      <c r="D127" s="288" t="s">
        <v>1752</v>
      </c>
      <c r="E127" s="6" t="s">
        <v>1865</v>
      </c>
      <c r="F127" s="88">
        <v>75.849999999999994</v>
      </c>
      <c r="G127" s="88">
        <v>12.15</v>
      </c>
      <c r="H127" s="88">
        <v>88</v>
      </c>
    </row>
    <row r="128" spans="1:8" x14ac:dyDescent="0.2">
      <c r="A128" s="338">
        <v>35</v>
      </c>
      <c r="B128" s="1" t="s">
        <v>1958</v>
      </c>
      <c r="C128" s="287">
        <v>41464</v>
      </c>
      <c r="D128" s="288" t="s">
        <v>1871</v>
      </c>
      <c r="E128" s="6" t="s">
        <v>1872</v>
      </c>
      <c r="F128" s="88">
        <v>1100</v>
      </c>
      <c r="G128" s="88"/>
      <c r="H128" s="88">
        <v>1100</v>
      </c>
    </row>
    <row r="129" spans="1:8" x14ac:dyDescent="0.2">
      <c r="A129" s="338">
        <v>36</v>
      </c>
      <c r="B129" s="1" t="s">
        <v>1906</v>
      </c>
      <c r="C129" s="287">
        <v>41464</v>
      </c>
      <c r="D129" s="288" t="s">
        <v>1869</v>
      </c>
      <c r="E129" s="6" t="s">
        <v>1870</v>
      </c>
      <c r="F129" s="88">
        <v>69.5</v>
      </c>
      <c r="G129" s="88"/>
      <c r="H129" s="88">
        <v>69.5</v>
      </c>
    </row>
    <row r="130" spans="1:8" x14ac:dyDescent="0.2">
      <c r="A130" s="338">
        <v>37</v>
      </c>
      <c r="B130" s="1" t="s">
        <v>1792</v>
      </c>
      <c r="C130" s="287">
        <v>41464</v>
      </c>
      <c r="D130" s="288" t="s">
        <v>1751</v>
      </c>
      <c r="E130" s="6" t="s">
        <v>1750</v>
      </c>
      <c r="F130" s="88">
        <v>400</v>
      </c>
      <c r="G130" s="88"/>
      <c r="H130" s="88">
        <v>400</v>
      </c>
    </row>
    <row r="131" spans="1:8" x14ac:dyDescent="0.2">
      <c r="A131" s="338">
        <v>38</v>
      </c>
      <c r="B131" s="1" t="s">
        <v>1789</v>
      </c>
      <c r="C131" s="287">
        <v>41465</v>
      </c>
      <c r="D131" s="288" t="s">
        <v>1859</v>
      </c>
      <c r="E131" s="6" t="s">
        <v>1860</v>
      </c>
      <c r="F131" s="88">
        <v>43.96</v>
      </c>
      <c r="G131" s="88">
        <v>7.04</v>
      </c>
      <c r="H131" s="88">
        <v>51</v>
      </c>
    </row>
    <row r="132" spans="1:8" x14ac:dyDescent="0.2">
      <c r="A132" s="338">
        <v>39</v>
      </c>
      <c r="B132" s="1" t="s">
        <v>1789</v>
      </c>
      <c r="C132" s="287">
        <v>41466</v>
      </c>
      <c r="D132" s="288" t="s">
        <v>1862</v>
      </c>
      <c r="E132" s="6" t="s">
        <v>1863</v>
      </c>
      <c r="F132" s="88">
        <v>84.48</v>
      </c>
      <c r="G132" s="88">
        <v>13.52</v>
      </c>
      <c r="H132" s="88">
        <v>98</v>
      </c>
    </row>
    <row r="133" spans="1:8" x14ac:dyDescent="0.2">
      <c r="A133" s="338">
        <v>40</v>
      </c>
      <c r="B133" s="1" t="s">
        <v>1906</v>
      </c>
      <c r="C133" s="287">
        <v>41466</v>
      </c>
      <c r="D133" s="288" t="s">
        <v>1869</v>
      </c>
      <c r="E133" s="6" t="s">
        <v>1870</v>
      </c>
      <c r="F133" s="88">
        <v>62.75</v>
      </c>
      <c r="G133" s="88"/>
      <c r="H133" s="88">
        <v>62.75</v>
      </c>
    </row>
    <row r="134" spans="1:8" x14ac:dyDescent="0.2">
      <c r="A134" s="338">
        <v>41</v>
      </c>
      <c r="B134" s="1" t="s">
        <v>1789</v>
      </c>
      <c r="C134" s="287">
        <v>41467</v>
      </c>
      <c r="D134" s="288" t="s">
        <v>1859</v>
      </c>
      <c r="E134" s="6" t="s">
        <v>1861</v>
      </c>
      <c r="F134" s="88">
        <v>264.64999999999998</v>
      </c>
      <c r="G134" s="88">
        <v>42.35</v>
      </c>
      <c r="H134" s="88">
        <v>307</v>
      </c>
    </row>
    <row r="135" spans="1:8" x14ac:dyDescent="0.2">
      <c r="A135" s="338">
        <v>42</v>
      </c>
      <c r="B135" s="1" t="s">
        <v>1906</v>
      </c>
      <c r="C135" s="287">
        <v>41470</v>
      </c>
      <c r="D135" s="288" t="s">
        <v>1874</v>
      </c>
      <c r="E135" s="6" t="s">
        <v>1870</v>
      </c>
      <c r="F135" s="88">
        <v>33.75</v>
      </c>
      <c r="G135" s="88"/>
      <c r="H135" s="88">
        <v>33.75</v>
      </c>
    </row>
    <row r="136" spans="1:8" x14ac:dyDescent="0.2">
      <c r="A136" s="338">
        <v>43</v>
      </c>
      <c r="B136" s="1" t="s">
        <v>1791</v>
      </c>
      <c r="C136" s="287">
        <v>41470</v>
      </c>
      <c r="D136" s="288" t="s">
        <v>1875</v>
      </c>
      <c r="E136" s="6" t="s">
        <v>1740</v>
      </c>
      <c r="F136" s="88">
        <v>150</v>
      </c>
      <c r="G136" s="88"/>
      <c r="H136" s="88">
        <v>150</v>
      </c>
    </row>
    <row r="137" spans="1:8" x14ac:dyDescent="0.2">
      <c r="A137" s="338">
        <v>44</v>
      </c>
      <c r="B137" s="1" t="s">
        <v>1906</v>
      </c>
      <c r="C137" s="287">
        <v>41470</v>
      </c>
      <c r="D137" s="288" t="s">
        <v>1873</v>
      </c>
      <c r="E137" s="6" t="s">
        <v>1868</v>
      </c>
      <c r="F137" s="88">
        <v>30</v>
      </c>
      <c r="G137" s="88"/>
      <c r="H137" s="88">
        <v>30</v>
      </c>
    </row>
    <row r="138" spans="1:8" x14ac:dyDescent="0.2">
      <c r="A138" s="338">
        <v>45</v>
      </c>
      <c r="B138" s="1" t="s">
        <v>1788</v>
      </c>
      <c r="C138" s="287">
        <v>41470</v>
      </c>
      <c r="D138" s="288" t="s">
        <v>1743</v>
      </c>
      <c r="E138" s="6" t="s">
        <v>1738</v>
      </c>
      <c r="F138" s="88">
        <v>90</v>
      </c>
      <c r="G138" s="88"/>
      <c r="H138" s="88">
        <v>90</v>
      </c>
    </row>
    <row r="139" spans="1:8" x14ac:dyDescent="0.2">
      <c r="A139" s="338">
        <v>46</v>
      </c>
      <c r="B139" s="1" t="s">
        <v>1906</v>
      </c>
      <c r="C139" s="287">
        <v>41470</v>
      </c>
      <c r="D139" s="288" t="s">
        <v>1869</v>
      </c>
      <c r="E139" s="6" t="s">
        <v>1870</v>
      </c>
      <c r="F139" s="88">
        <v>118.55</v>
      </c>
      <c r="G139" s="88"/>
      <c r="H139" s="88">
        <v>118.55</v>
      </c>
    </row>
    <row r="140" spans="1:8" x14ac:dyDescent="0.2">
      <c r="A140" s="338">
        <v>47</v>
      </c>
      <c r="B140" s="1" t="s">
        <v>1793</v>
      </c>
      <c r="C140" s="287">
        <v>41470</v>
      </c>
      <c r="D140" s="288" t="s">
        <v>1767</v>
      </c>
      <c r="E140" s="6" t="s">
        <v>1767</v>
      </c>
      <c r="F140" s="88">
        <v>22950</v>
      </c>
      <c r="G140" s="88"/>
      <c r="H140" s="88">
        <v>22950</v>
      </c>
    </row>
    <row r="141" spans="1:8" x14ac:dyDescent="0.2">
      <c r="A141" s="338">
        <v>48</v>
      </c>
      <c r="B141" s="1" t="s">
        <v>1791</v>
      </c>
      <c r="C141" s="287">
        <v>41470</v>
      </c>
      <c r="D141" s="288" t="s">
        <v>1745</v>
      </c>
      <c r="E141" s="6" t="s">
        <v>1740</v>
      </c>
      <c r="F141" s="88">
        <v>100</v>
      </c>
      <c r="G141" s="88"/>
      <c r="H141" s="88">
        <v>100</v>
      </c>
    </row>
    <row r="142" spans="1:8" x14ac:dyDescent="0.2">
      <c r="A142" s="338">
        <v>49</v>
      </c>
      <c r="B142" s="1" t="s">
        <v>1792</v>
      </c>
      <c r="C142" s="287">
        <v>41470</v>
      </c>
      <c r="D142" s="288" t="s">
        <v>1751</v>
      </c>
      <c r="E142" s="6" t="s">
        <v>1750</v>
      </c>
      <c r="F142" s="88">
        <v>400</v>
      </c>
      <c r="G142" s="88"/>
      <c r="H142" s="88">
        <v>400</v>
      </c>
    </row>
    <row r="143" spans="1:8" x14ac:dyDescent="0.2">
      <c r="A143" s="338">
        <v>50</v>
      </c>
      <c r="B143" s="1" t="s">
        <v>1789</v>
      </c>
      <c r="C143" s="287">
        <v>41471</v>
      </c>
      <c r="D143" s="288" t="s">
        <v>1871</v>
      </c>
      <c r="E143" s="6" t="s">
        <v>1876</v>
      </c>
      <c r="F143" s="88">
        <v>200</v>
      </c>
      <c r="G143" s="88"/>
      <c r="H143" s="88">
        <v>200</v>
      </c>
    </row>
    <row r="144" spans="1:8" x14ac:dyDescent="0.2">
      <c r="A144" s="338">
        <v>51</v>
      </c>
      <c r="B144" s="1" t="s">
        <v>1789</v>
      </c>
      <c r="C144" s="287">
        <v>41471</v>
      </c>
      <c r="D144" s="288" t="s">
        <v>1871</v>
      </c>
      <c r="E144" s="6" t="s">
        <v>1877</v>
      </c>
      <c r="F144" s="88">
        <v>300</v>
      </c>
      <c r="G144" s="88"/>
      <c r="H144" s="88">
        <v>300</v>
      </c>
    </row>
    <row r="145" spans="1:8" x14ac:dyDescent="0.2">
      <c r="A145" s="338">
        <v>52</v>
      </c>
      <c r="B145" s="1" t="s">
        <v>1906</v>
      </c>
      <c r="C145" s="287">
        <v>41474</v>
      </c>
      <c r="D145" s="288" t="s">
        <v>1879</v>
      </c>
      <c r="E145" s="6" t="s">
        <v>1880</v>
      </c>
      <c r="F145" s="88">
        <v>500</v>
      </c>
      <c r="G145" s="88"/>
      <c r="H145" s="88">
        <v>500</v>
      </c>
    </row>
    <row r="146" spans="1:8" x14ac:dyDescent="0.2">
      <c r="A146" s="338">
        <v>53</v>
      </c>
      <c r="B146" s="1" t="s">
        <v>1791</v>
      </c>
      <c r="C146" s="287">
        <v>41474</v>
      </c>
      <c r="D146" s="288" t="s">
        <v>1878</v>
      </c>
      <c r="E146" s="6" t="s">
        <v>1740</v>
      </c>
      <c r="F146" s="88">
        <v>200</v>
      </c>
      <c r="G146" s="88"/>
      <c r="H146" s="88">
        <v>200</v>
      </c>
    </row>
    <row r="147" spans="1:8" x14ac:dyDescent="0.2">
      <c r="A147" s="338">
        <v>54</v>
      </c>
      <c r="B147" s="1" t="s">
        <v>1789</v>
      </c>
      <c r="C147" s="287">
        <v>41474</v>
      </c>
      <c r="D147" s="288" t="s">
        <v>1859</v>
      </c>
      <c r="E147" s="6" t="s">
        <v>1864</v>
      </c>
      <c r="F147" s="88">
        <v>256.45999999999998</v>
      </c>
      <c r="G147" s="88">
        <v>41.04</v>
      </c>
      <c r="H147" s="88">
        <v>297.5</v>
      </c>
    </row>
    <row r="148" spans="1:8" x14ac:dyDescent="0.2">
      <c r="A148" s="338">
        <v>55</v>
      </c>
      <c r="B148" s="1" t="s">
        <v>1789</v>
      </c>
      <c r="C148" s="287">
        <v>41475</v>
      </c>
      <c r="D148" s="288" t="s">
        <v>1883</v>
      </c>
      <c r="E148" s="6" t="s">
        <v>1884</v>
      </c>
      <c r="F148" s="88">
        <v>250</v>
      </c>
      <c r="G148" s="88"/>
      <c r="H148" s="88">
        <v>250</v>
      </c>
    </row>
    <row r="149" spans="1:8" x14ac:dyDescent="0.2">
      <c r="A149" s="338">
        <v>56</v>
      </c>
      <c r="B149" s="1" t="s">
        <v>1908</v>
      </c>
      <c r="C149" s="287">
        <v>41475</v>
      </c>
      <c r="D149" s="288" t="s">
        <v>1885</v>
      </c>
      <c r="E149" s="6" t="s">
        <v>1886</v>
      </c>
      <c r="F149" s="88">
        <v>758.62</v>
      </c>
      <c r="G149" s="88">
        <v>121.38</v>
      </c>
      <c r="H149" s="88">
        <v>880</v>
      </c>
    </row>
    <row r="150" spans="1:8" x14ac:dyDescent="0.2">
      <c r="A150" s="338">
        <v>57</v>
      </c>
      <c r="B150" s="1" t="s">
        <v>1789</v>
      </c>
      <c r="C150" s="287">
        <v>41476</v>
      </c>
      <c r="D150" s="288" t="s">
        <v>1859</v>
      </c>
      <c r="E150" s="6" t="s">
        <v>1881</v>
      </c>
      <c r="F150" s="88">
        <v>231.46</v>
      </c>
      <c r="G150" s="88">
        <v>37.04</v>
      </c>
      <c r="H150" s="88">
        <v>268.5</v>
      </c>
    </row>
    <row r="151" spans="1:8" x14ac:dyDescent="0.2">
      <c r="A151" s="338">
        <v>58</v>
      </c>
      <c r="B151" s="1" t="s">
        <v>1789</v>
      </c>
      <c r="C151" s="287">
        <v>41477</v>
      </c>
      <c r="D151" s="288" t="s">
        <v>1871</v>
      </c>
      <c r="E151" s="6" t="s">
        <v>1888</v>
      </c>
      <c r="F151" s="88">
        <v>500</v>
      </c>
      <c r="G151" s="88"/>
      <c r="H151" s="88">
        <v>500</v>
      </c>
    </row>
    <row r="152" spans="1:8" x14ac:dyDescent="0.2">
      <c r="A152" s="338">
        <v>59</v>
      </c>
      <c r="B152" s="1" t="s">
        <v>1788</v>
      </c>
      <c r="C152" s="287">
        <v>41477</v>
      </c>
      <c r="D152" s="288" t="s">
        <v>1743</v>
      </c>
      <c r="E152" s="6" t="s">
        <v>1738</v>
      </c>
      <c r="F152" s="88">
        <v>90</v>
      </c>
      <c r="G152" s="88"/>
      <c r="H152" s="88">
        <v>90</v>
      </c>
    </row>
    <row r="153" spans="1:8" x14ac:dyDescent="0.2">
      <c r="A153" s="338">
        <v>60</v>
      </c>
      <c r="B153" s="1" t="s">
        <v>1910</v>
      </c>
      <c r="C153" s="287">
        <v>41477</v>
      </c>
      <c r="D153" s="288" t="s">
        <v>1752</v>
      </c>
      <c r="E153" s="6" t="s">
        <v>1882</v>
      </c>
      <c r="F153" s="88">
        <v>111.21</v>
      </c>
      <c r="G153" s="88">
        <v>17.79</v>
      </c>
      <c r="H153" s="88">
        <v>129</v>
      </c>
    </row>
    <row r="154" spans="1:8" x14ac:dyDescent="0.2">
      <c r="A154" s="338">
        <v>61</v>
      </c>
      <c r="B154" s="1" t="s">
        <v>1910</v>
      </c>
      <c r="C154" s="287">
        <v>41477</v>
      </c>
      <c r="D154" s="288" t="s">
        <v>1887</v>
      </c>
      <c r="E154" s="6" t="s">
        <v>1882</v>
      </c>
      <c r="F154" s="88">
        <v>129.31</v>
      </c>
      <c r="G154" s="88">
        <v>20.69</v>
      </c>
      <c r="H154" s="88">
        <v>150</v>
      </c>
    </row>
    <row r="155" spans="1:8" x14ac:dyDescent="0.2">
      <c r="A155" s="338">
        <v>62</v>
      </c>
      <c r="B155" s="1" t="s">
        <v>1794</v>
      </c>
      <c r="C155" s="287">
        <v>41478</v>
      </c>
      <c r="D155" s="288" t="s">
        <v>1776</v>
      </c>
      <c r="E155" s="6" t="s">
        <v>1777</v>
      </c>
      <c r="F155" s="88">
        <v>200</v>
      </c>
      <c r="G155" s="88"/>
      <c r="H155" s="88">
        <v>200</v>
      </c>
    </row>
    <row r="156" spans="1:8" x14ac:dyDescent="0.2">
      <c r="A156" s="338">
        <v>63</v>
      </c>
      <c r="B156" s="1" t="s">
        <v>1902</v>
      </c>
      <c r="C156" s="287">
        <v>41479</v>
      </c>
      <c r="D156" s="288" t="s">
        <v>1871</v>
      </c>
      <c r="E156" s="6" t="s">
        <v>1889</v>
      </c>
      <c r="F156" s="88">
        <v>600</v>
      </c>
      <c r="G156" s="88"/>
      <c r="H156" s="88">
        <v>600</v>
      </c>
    </row>
    <row r="157" spans="1:8" x14ac:dyDescent="0.2">
      <c r="A157" s="338">
        <v>64</v>
      </c>
      <c r="B157" s="1" t="s">
        <v>1911</v>
      </c>
      <c r="C157" s="287">
        <v>41479</v>
      </c>
      <c r="D157" s="288" t="s">
        <v>1871</v>
      </c>
      <c r="E157" s="6" t="s">
        <v>1890</v>
      </c>
      <c r="F157" s="88">
        <v>1200</v>
      </c>
      <c r="G157" s="88"/>
      <c r="H157" s="88">
        <v>1200</v>
      </c>
    </row>
    <row r="158" spans="1:8" x14ac:dyDescent="0.2">
      <c r="A158" s="338">
        <v>65</v>
      </c>
      <c r="B158" s="1" t="s">
        <v>1789</v>
      </c>
      <c r="C158" s="287">
        <v>41479</v>
      </c>
      <c r="D158" s="288" t="s">
        <v>1859</v>
      </c>
      <c r="E158" s="6" t="s">
        <v>1256</v>
      </c>
      <c r="F158" s="88">
        <v>56.46</v>
      </c>
      <c r="G158" s="88">
        <v>9.0399999999999991</v>
      </c>
      <c r="H158" s="88">
        <v>65.5</v>
      </c>
    </row>
    <row r="159" spans="1:8" x14ac:dyDescent="0.2">
      <c r="A159" s="338">
        <v>66</v>
      </c>
      <c r="B159" s="1" t="s">
        <v>1789</v>
      </c>
      <c r="C159" s="287">
        <v>41479</v>
      </c>
      <c r="D159" s="288" t="s">
        <v>1891</v>
      </c>
      <c r="E159" s="6" t="s">
        <v>1892</v>
      </c>
      <c r="F159" s="88">
        <v>3900</v>
      </c>
      <c r="G159" s="88"/>
      <c r="H159" s="88">
        <v>3900</v>
      </c>
    </row>
    <row r="160" spans="1:8" x14ac:dyDescent="0.2">
      <c r="A160" s="338">
        <v>67</v>
      </c>
      <c r="B160" s="1" t="s">
        <v>1792</v>
      </c>
      <c r="C160" s="287">
        <v>41479</v>
      </c>
      <c r="D160" s="288" t="s">
        <v>1751</v>
      </c>
      <c r="E160" s="6" t="s">
        <v>1750</v>
      </c>
      <c r="F160" s="88">
        <v>400</v>
      </c>
      <c r="G160" s="88"/>
      <c r="H160" s="88">
        <v>400</v>
      </c>
    </row>
    <row r="161" spans="1:8" x14ac:dyDescent="0.2">
      <c r="A161" s="338">
        <v>68</v>
      </c>
      <c r="B161" s="1" t="s">
        <v>1787</v>
      </c>
      <c r="C161" s="287">
        <v>41481</v>
      </c>
      <c r="D161" s="288" t="s">
        <v>1893</v>
      </c>
      <c r="E161" s="6" t="s">
        <v>1844</v>
      </c>
      <c r="F161" s="88">
        <v>116.38</v>
      </c>
      <c r="G161" s="88">
        <v>18.62</v>
      </c>
      <c r="H161" s="88">
        <v>135</v>
      </c>
    </row>
    <row r="162" spans="1:8" x14ac:dyDescent="0.2">
      <c r="A162" s="338">
        <v>69</v>
      </c>
      <c r="B162" s="1" t="s">
        <v>1786</v>
      </c>
      <c r="C162" s="287">
        <v>41482</v>
      </c>
      <c r="D162" s="288" t="s">
        <v>1752</v>
      </c>
      <c r="E162" s="6" t="s">
        <v>1894</v>
      </c>
      <c r="F162" s="88">
        <v>484.82</v>
      </c>
      <c r="G162" s="88">
        <v>77.58</v>
      </c>
      <c r="H162" s="88">
        <v>562.4</v>
      </c>
    </row>
    <row r="163" spans="1:8" x14ac:dyDescent="0.2">
      <c r="A163" s="338">
        <v>70</v>
      </c>
      <c r="B163" s="1" t="s">
        <v>1788</v>
      </c>
      <c r="C163" s="287">
        <v>41484</v>
      </c>
      <c r="D163" s="288" t="s">
        <v>1743</v>
      </c>
      <c r="E163" s="6" t="s">
        <v>1738</v>
      </c>
      <c r="F163" s="88">
        <v>60</v>
      </c>
      <c r="G163" s="88"/>
      <c r="H163" s="88">
        <v>60</v>
      </c>
    </row>
    <row r="164" spans="1:8" x14ac:dyDescent="0.2">
      <c r="A164" s="338">
        <v>71</v>
      </c>
      <c r="B164" s="1" t="s">
        <v>1908</v>
      </c>
      <c r="C164" s="287">
        <v>41485</v>
      </c>
      <c r="D164" s="288" t="s">
        <v>1895</v>
      </c>
      <c r="E164" s="6" t="s">
        <v>1896</v>
      </c>
      <c r="F164" s="88">
        <v>1251.5</v>
      </c>
      <c r="G164" s="88">
        <v>200.24</v>
      </c>
      <c r="H164" s="88">
        <v>1451.74</v>
      </c>
    </row>
    <row r="165" spans="1:8" x14ac:dyDescent="0.2">
      <c r="A165" s="338"/>
      <c r="B165" s="1" t="s">
        <v>1791</v>
      </c>
      <c r="C165" s="287">
        <v>41486</v>
      </c>
      <c r="D165" s="288" t="s">
        <v>1745</v>
      </c>
      <c r="E165" s="6" t="s">
        <v>1740</v>
      </c>
      <c r="F165" s="88">
        <v>125</v>
      </c>
      <c r="G165" s="88"/>
      <c r="H165" s="88">
        <v>125</v>
      </c>
    </row>
    <row r="166" spans="1:8" x14ac:dyDescent="0.2">
      <c r="A166" s="338">
        <v>72</v>
      </c>
      <c r="B166" s="1" t="s">
        <v>1904</v>
      </c>
      <c r="C166" s="287">
        <v>41486</v>
      </c>
      <c r="D166" s="288" t="s">
        <v>1899</v>
      </c>
      <c r="E166" s="6" t="s">
        <v>1900</v>
      </c>
      <c r="F166" s="88">
        <v>6.9</v>
      </c>
      <c r="G166" s="88">
        <v>1.1000000000000001</v>
      </c>
      <c r="H166" s="88">
        <v>8</v>
      </c>
    </row>
    <row r="167" spans="1:8" x14ac:dyDescent="0.2">
      <c r="A167" s="338">
        <v>73</v>
      </c>
      <c r="B167" s="1" t="s">
        <v>1793</v>
      </c>
      <c r="C167" s="287">
        <v>41486</v>
      </c>
      <c r="D167" s="288" t="s">
        <v>1767</v>
      </c>
      <c r="E167" s="6" t="s">
        <v>1767</v>
      </c>
      <c r="F167" s="88">
        <v>23200</v>
      </c>
      <c r="G167" s="88"/>
      <c r="H167" s="88">
        <v>23200</v>
      </c>
    </row>
    <row r="168" spans="1:8" x14ac:dyDescent="0.2">
      <c r="A168" s="338">
        <v>74</v>
      </c>
      <c r="B168" s="1" t="s">
        <v>1792</v>
      </c>
      <c r="C168" s="287">
        <v>41486</v>
      </c>
      <c r="D168" s="288" t="s">
        <v>1751</v>
      </c>
      <c r="E168" s="6" t="s">
        <v>1750</v>
      </c>
      <c r="F168" s="88">
        <v>400</v>
      </c>
      <c r="G168" s="88"/>
      <c r="H168" s="88">
        <v>400</v>
      </c>
    </row>
    <row r="169" spans="1:8" x14ac:dyDescent="0.2">
      <c r="A169" s="338">
        <v>75</v>
      </c>
      <c r="B169" s="1" t="s">
        <v>1904</v>
      </c>
      <c r="C169" s="287">
        <v>41486</v>
      </c>
      <c r="D169" s="288" t="s">
        <v>1858</v>
      </c>
      <c r="E169" s="6"/>
      <c r="F169" s="88">
        <v>894.82</v>
      </c>
      <c r="G169" s="88">
        <v>143.18</v>
      </c>
      <c r="H169" s="88">
        <v>1038</v>
      </c>
    </row>
    <row r="170" spans="1:8" x14ac:dyDescent="0.2">
      <c r="A170" s="357"/>
      <c r="B170" s="358" t="s">
        <v>1787</v>
      </c>
      <c r="C170" s="359">
        <v>41486</v>
      </c>
      <c r="D170" s="360" t="s">
        <v>1801</v>
      </c>
      <c r="E170" s="361" t="s">
        <v>1802</v>
      </c>
      <c r="F170" s="362">
        <v>206.88</v>
      </c>
      <c r="G170" s="362">
        <v>33.119999999999997</v>
      </c>
      <c r="H170" s="362">
        <f>SUM(F170:G170)</f>
        <v>240</v>
      </c>
    </row>
    <row r="171" spans="1:8" ht="24" customHeight="1" x14ac:dyDescent="0.2">
      <c r="A171" s="76" t="s">
        <v>687</v>
      </c>
      <c r="B171" s="76" t="s">
        <v>1780</v>
      </c>
      <c r="C171" s="76" t="s">
        <v>1781</v>
      </c>
      <c r="D171" s="289" t="s">
        <v>1782</v>
      </c>
      <c r="E171" s="289" t="s">
        <v>1783</v>
      </c>
      <c r="F171" s="76" t="s">
        <v>1784</v>
      </c>
      <c r="G171" s="76" t="s">
        <v>1785</v>
      </c>
      <c r="H171" s="76" t="s">
        <v>1757</v>
      </c>
    </row>
    <row r="172" spans="1:8" x14ac:dyDescent="0.2">
      <c r="A172" s="338"/>
      <c r="B172" s="1" t="s">
        <v>1786</v>
      </c>
      <c r="C172" s="287">
        <v>41487</v>
      </c>
      <c r="D172" s="288" t="s">
        <v>1997</v>
      </c>
      <c r="E172" s="6" t="s">
        <v>1998</v>
      </c>
      <c r="F172" s="88">
        <v>32.76</v>
      </c>
      <c r="G172" s="88">
        <v>5.24</v>
      </c>
      <c r="H172" s="88">
        <f t="shared" ref="H172:H197" si="3">SUM(F172:G172)</f>
        <v>38</v>
      </c>
    </row>
    <row r="173" spans="1:8" x14ac:dyDescent="0.2">
      <c r="A173" s="338"/>
      <c r="B173" s="1" t="s">
        <v>1789</v>
      </c>
      <c r="C173" s="287">
        <v>41487</v>
      </c>
      <c r="D173" s="288" t="s">
        <v>2023</v>
      </c>
      <c r="E173" s="6" t="s">
        <v>1884</v>
      </c>
      <c r="F173" s="88">
        <v>120</v>
      </c>
      <c r="G173" s="88"/>
      <c r="H173" s="88">
        <v>120</v>
      </c>
    </row>
    <row r="174" spans="1:8" x14ac:dyDescent="0.2">
      <c r="A174" s="338"/>
      <c r="B174" s="1" t="s">
        <v>1788</v>
      </c>
      <c r="C174" s="287">
        <v>41491</v>
      </c>
      <c r="D174" s="288" t="s">
        <v>1743</v>
      </c>
      <c r="E174" s="6" t="s">
        <v>1738</v>
      </c>
      <c r="F174" s="88">
        <v>90</v>
      </c>
      <c r="G174" s="88"/>
      <c r="H174" s="88">
        <f t="shared" si="3"/>
        <v>90</v>
      </c>
    </row>
    <row r="175" spans="1:8" x14ac:dyDescent="0.2">
      <c r="A175" s="338"/>
      <c r="B175" s="1" t="s">
        <v>1786</v>
      </c>
      <c r="C175" s="287">
        <v>41494</v>
      </c>
      <c r="D175" s="288" t="s">
        <v>1999</v>
      </c>
      <c r="E175" s="6" t="s">
        <v>2000</v>
      </c>
      <c r="F175" s="88">
        <v>200</v>
      </c>
      <c r="G175" s="88">
        <v>32</v>
      </c>
      <c r="H175" s="88">
        <f t="shared" si="3"/>
        <v>232</v>
      </c>
    </row>
    <row r="176" spans="1:8" x14ac:dyDescent="0.2">
      <c r="A176" s="338"/>
      <c r="B176" s="1" t="s">
        <v>1792</v>
      </c>
      <c r="C176" s="287">
        <v>41494</v>
      </c>
      <c r="D176" s="288" t="s">
        <v>1751</v>
      </c>
      <c r="E176" s="6" t="s">
        <v>1750</v>
      </c>
      <c r="F176" s="88">
        <v>400</v>
      </c>
      <c r="G176" s="88"/>
      <c r="H176" s="88">
        <v>400</v>
      </c>
    </row>
    <row r="177" spans="1:8" x14ac:dyDescent="0.2">
      <c r="A177" s="338"/>
      <c r="B177" s="1" t="s">
        <v>1902</v>
      </c>
      <c r="C177" s="287">
        <v>41496</v>
      </c>
      <c r="D177" s="288" t="s">
        <v>1871</v>
      </c>
      <c r="E177" s="6" t="s">
        <v>2024</v>
      </c>
      <c r="F177" s="88">
        <v>200</v>
      </c>
      <c r="G177" s="88"/>
      <c r="H177" s="88">
        <v>200</v>
      </c>
    </row>
    <row r="178" spans="1:8" x14ac:dyDescent="0.2">
      <c r="A178" s="338"/>
      <c r="B178" s="1" t="s">
        <v>1788</v>
      </c>
      <c r="C178" s="287">
        <v>41498</v>
      </c>
      <c r="D178" s="288" t="s">
        <v>1743</v>
      </c>
      <c r="E178" s="6" t="s">
        <v>1738</v>
      </c>
      <c r="F178" s="88">
        <v>60</v>
      </c>
      <c r="G178" s="88"/>
      <c r="H178" s="88">
        <f t="shared" si="3"/>
        <v>60</v>
      </c>
    </row>
    <row r="179" spans="1:8" x14ac:dyDescent="0.2">
      <c r="A179" s="338"/>
      <c r="B179" s="1" t="s">
        <v>1958</v>
      </c>
      <c r="C179" s="287">
        <v>41498</v>
      </c>
      <c r="D179" s="288" t="s">
        <v>1871</v>
      </c>
      <c r="E179" s="6" t="s">
        <v>2025</v>
      </c>
      <c r="F179" s="88">
        <v>150</v>
      </c>
      <c r="G179" s="88"/>
      <c r="H179" s="88">
        <v>150</v>
      </c>
    </row>
    <row r="180" spans="1:8" x14ac:dyDescent="0.2">
      <c r="A180" s="338"/>
      <c r="B180" s="1" t="s">
        <v>1902</v>
      </c>
      <c r="C180" s="287">
        <v>41499</v>
      </c>
      <c r="D180" s="288" t="s">
        <v>1871</v>
      </c>
      <c r="E180" s="6" t="s">
        <v>2026</v>
      </c>
      <c r="F180" s="88">
        <v>400</v>
      </c>
      <c r="G180" s="88"/>
      <c r="H180" s="88">
        <v>400</v>
      </c>
    </row>
    <row r="181" spans="1:8" x14ac:dyDescent="0.2">
      <c r="A181" s="338"/>
      <c r="B181" s="1" t="s">
        <v>1793</v>
      </c>
      <c r="C181" s="287">
        <v>41501</v>
      </c>
      <c r="D181" s="288" t="s">
        <v>1767</v>
      </c>
      <c r="E181" s="6" t="s">
        <v>1767</v>
      </c>
      <c r="F181" s="88">
        <v>24613.34</v>
      </c>
      <c r="G181" s="88"/>
      <c r="H181" s="88">
        <f t="shared" si="3"/>
        <v>24613.34</v>
      </c>
    </row>
    <row r="182" spans="1:8" x14ac:dyDescent="0.2">
      <c r="A182" s="338"/>
      <c r="B182" s="1" t="s">
        <v>1902</v>
      </c>
      <c r="C182" s="287">
        <v>41501</v>
      </c>
      <c r="D182" s="288" t="s">
        <v>1871</v>
      </c>
      <c r="E182" s="6" t="s">
        <v>2027</v>
      </c>
      <c r="F182" s="88">
        <v>320</v>
      </c>
      <c r="G182" s="88"/>
      <c r="H182" s="88">
        <v>320</v>
      </c>
    </row>
    <row r="183" spans="1:8" x14ac:dyDescent="0.2">
      <c r="A183" s="338"/>
      <c r="B183" s="1" t="s">
        <v>1791</v>
      </c>
      <c r="C183" s="287">
        <v>41501</v>
      </c>
      <c r="D183" s="288" t="s">
        <v>2028</v>
      </c>
      <c r="E183" s="6" t="s">
        <v>2029</v>
      </c>
      <c r="F183" s="88">
        <v>800</v>
      </c>
      <c r="G183" s="88"/>
      <c r="H183" s="88">
        <v>800</v>
      </c>
    </row>
    <row r="184" spans="1:8" x14ac:dyDescent="0.2">
      <c r="A184" s="338"/>
      <c r="B184" s="1" t="s">
        <v>1793</v>
      </c>
      <c r="C184" s="287">
        <v>41502</v>
      </c>
      <c r="D184" s="288" t="s">
        <v>2001</v>
      </c>
      <c r="E184" s="6" t="s">
        <v>2002</v>
      </c>
      <c r="F184" s="88">
        <v>150</v>
      </c>
      <c r="G184" s="88"/>
      <c r="H184" s="88">
        <f t="shared" si="3"/>
        <v>150</v>
      </c>
    </row>
    <row r="185" spans="1:8" x14ac:dyDescent="0.2">
      <c r="A185" s="338"/>
      <c r="B185" s="1" t="s">
        <v>1902</v>
      </c>
      <c r="C185" s="287">
        <v>41502</v>
      </c>
      <c r="D185" s="288" t="s">
        <v>1871</v>
      </c>
      <c r="E185" s="6" t="s">
        <v>2030</v>
      </c>
      <c r="F185" s="88">
        <v>500</v>
      </c>
      <c r="G185" s="88"/>
      <c r="H185" s="88">
        <v>500</v>
      </c>
    </row>
    <row r="186" spans="1:8" x14ac:dyDescent="0.2">
      <c r="A186" s="338"/>
      <c r="B186" s="1" t="s">
        <v>1792</v>
      </c>
      <c r="C186" s="287">
        <v>41502</v>
      </c>
      <c r="D186" s="288" t="s">
        <v>1751</v>
      </c>
      <c r="E186" s="6" t="s">
        <v>1750</v>
      </c>
      <c r="F186" s="88">
        <v>400</v>
      </c>
      <c r="G186" s="88"/>
      <c r="H186" s="88">
        <v>400</v>
      </c>
    </row>
    <row r="187" spans="1:8" x14ac:dyDescent="0.2">
      <c r="A187" s="338"/>
      <c r="B187" s="1" t="s">
        <v>1789</v>
      </c>
      <c r="C187" s="287">
        <v>41503</v>
      </c>
      <c r="D187" s="288" t="s">
        <v>2003</v>
      </c>
      <c r="E187" s="6" t="s">
        <v>2004</v>
      </c>
      <c r="F187" s="88">
        <v>37.71551724137931</v>
      </c>
      <c r="G187" s="88">
        <f>F187*0.16</f>
        <v>6.0344827586206895</v>
      </c>
      <c r="H187" s="88">
        <f t="shared" si="3"/>
        <v>43.75</v>
      </c>
    </row>
    <row r="188" spans="1:8" x14ac:dyDescent="0.2">
      <c r="A188" s="338"/>
      <c r="B188" s="1" t="s">
        <v>1789</v>
      </c>
      <c r="C188" s="287">
        <v>41503</v>
      </c>
      <c r="D188" s="288" t="s">
        <v>2005</v>
      </c>
      <c r="E188" s="6" t="s">
        <v>2006</v>
      </c>
      <c r="F188" s="88">
        <v>1000</v>
      </c>
      <c r="G188" s="88"/>
      <c r="H188" s="88">
        <f t="shared" si="3"/>
        <v>1000</v>
      </c>
    </row>
    <row r="189" spans="1:8" x14ac:dyDescent="0.2">
      <c r="A189" s="338"/>
      <c r="B189" s="1" t="s">
        <v>1902</v>
      </c>
      <c r="C189" s="287">
        <v>41503</v>
      </c>
      <c r="D189" s="288" t="s">
        <v>1871</v>
      </c>
      <c r="E189" s="6" t="s">
        <v>2031</v>
      </c>
      <c r="F189" s="88">
        <v>2235</v>
      </c>
      <c r="G189" s="88"/>
      <c r="H189" s="88">
        <v>2235</v>
      </c>
    </row>
    <row r="190" spans="1:8" x14ac:dyDescent="0.2">
      <c r="A190" s="338"/>
      <c r="B190" s="1" t="s">
        <v>2021</v>
      </c>
      <c r="C190" s="287">
        <v>41504</v>
      </c>
      <c r="D190" s="288" t="s">
        <v>1859</v>
      </c>
      <c r="E190" s="6" t="s">
        <v>2007</v>
      </c>
      <c r="F190" s="88">
        <v>99.57</v>
      </c>
      <c r="G190" s="88">
        <v>15.93</v>
      </c>
      <c r="H190" s="88">
        <f t="shared" si="3"/>
        <v>115.5</v>
      </c>
    </row>
    <row r="191" spans="1:8" x14ac:dyDescent="0.2">
      <c r="A191" s="338"/>
      <c r="B191" s="1" t="s">
        <v>1791</v>
      </c>
      <c r="C191" s="287">
        <v>41504</v>
      </c>
      <c r="D191" s="288" t="s">
        <v>1745</v>
      </c>
      <c r="E191" s="6" t="s">
        <v>2032</v>
      </c>
      <c r="F191" s="88">
        <v>125</v>
      </c>
      <c r="G191" s="88"/>
      <c r="H191" s="88">
        <v>125</v>
      </c>
    </row>
    <row r="192" spans="1:8" x14ac:dyDescent="0.2">
      <c r="A192" s="338"/>
      <c r="B192" s="1" t="s">
        <v>2021</v>
      </c>
      <c r="C192" s="287">
        <v>41505</v>
      </c>
      <c r="D192" s="288" t="s">
        <v>1862</v>
      </c>
      <c r="E192" s="6" t="s">
        <v>1863</v>
      </c>
      <c r="F192" s="88">
        <v>84.48</v>
      </c>
      <c r="G192" s="88">
        <v>13.52</v>
      </c>
      <c r="H192" s="88">
        <f t="shared" si="3"/>
        <v>98</v>
      </c>
    </row>
    <row r="193" spans="1:8" x14ac:dyDescent="0.2">
      <c r="A193" s="338"/>
      <c r="B193" s="1" t="s">
        <v>1788</v>
      </c>
      <c r="C193" s="287">
        <v>41505</v>
      </c>
      <c r="D193" s="288" t="s">
        <v>1743</v>
      </c>
      <c r="E193" s="6" t="s">
        <v>1738</v>
      </c>
      <c r="F193" s="88">
        <v>30</v>
      </c>
      <c r="G193" s="88"/>
      <c r="H193" s="88">
        <f t="shared" si="3"/>
        <v>30</v>
      </c>
    </row>
    <row r="194" spans="1:8" x14ac:dyDescent="0.2">
      <c r="A194" s="338"/>
      <c r="B194" s="1" t="s">
        <v>1792</v>
      </c>
      <c r="C194" s="287">
        <v>41505</v>
      </c>
      <c r="D194" s="288" t="s">
        <v>1751</v>
      </c>
      <c r="E194" s="6" t="s">
        <v>1750</v>
      </c>
      <c r="F194" s="88">
        <v>500</v>
      </c>
      <c r="G194" s="88"/>
      <c r="H194" s="88">
        <v>500</v>
      </c>
    </row>
    <row r="195" spans="1:8" x14ac:dyDescent="0.2">
      <c r="A195" s="338"/>
      <c r="B195" s="1" t="s">
        <v>1908</v>
      </c>
      <c r="C195" s="287">
        <v>41506</v>
      </c>
      <c r="D195" s="288" t="s">
        <v>1895</v>
      </c>
      <c r="E195" s="6" t="s">
        <v>2008</v>
      </c>
      <c r="F195" s="88">
        <v>470</v>
      </c>
      <c r="G195" s="88">
        <v>75.2</v>
      </c>
      <c r="H195" s="88">
        <f t="shared" si="3"/>
        <v>545.20000000000005</v>
      </c>
    </row>
    <row r="196" spans="1:8" x14ac:dyDescent="0.2">
      <c r="A196" s="338"/>
      <c r="B196" s="1" t="s">
        <v>2021</v>
      </c>
      <c r="C196" s="287">
        <v>41506</v>
      </c>
      <c r="D196" s="288" t="s">
        <v>2033</v>
      </c>
      <c r="E196" s="6" t="s">
        <v>2034</v>
      </c>
      <c r="F196" s="88">
        <v>200</v>
      </c>
      <c r="G196" s="88"/>
      <c r="H196" s="88">
        <v>200</v>
      </c>
    </row>
    <row r="197" spans="1:8" x14ac:dyDescent="0.2">
      <c r="A197" s="338"/>
      <c r="B197" s="1" t="s">
        <v>1786</v>
      </c>
      <c r="C197" s="287">
        <v>41507</v>
      </c>
      <c r="D197" s="288" t="s">
        <v>1752</v>
      </c>
      <c r="E197" s="6" t="s">
        <v>2009</v>
      </c>
      <c r="F197" s="88">
        <v>58.11</v>
      </c>
      <c r="G197" s="88">
        <v>9.2899999999999991</v>
      </c>
      <c r="H197" s="88">
        <f t="shared" si="3"/>
        <v>67.400000000000006</v>
      </c>
    </row>
    <row r="198" spans="1:8" x14ac:dyDescent="0.2">
      <c r="A198" s="338"/>
      <c r="B198" s="1" t="s">
        <v>1795</v>
      </c>
      <c r="C198" s="287">
        <v>41508</v>
      </c>
      <c r="D198" s="288" t="s">
        <v>1768</v>
      </c>
      <c r="E198" s="6" t="s">
        <v>1737</v>
      </c>
      <c r="F198" s="88">
        <f>H198-G198</f>
        <v>213.28</v>
      </c>
      <c r="G198" s="88">
        <v>34.119999999999997</v>
      </c>
      <c r="H198" s="88">
        <v>247.4</v>
      </c>
    </row>
    <row r="199" spans="1:8" x14ac:dyDescent="0.2">
      <c r="A199" s="338"/>
      <c r="B199" s="1" t="s">
        <v>1786</v>
      </c>
      <c r="C199" s="287">
        <v>41509</v>
      </c>
      <c r="D199" s="288" t="s">
        <v>1752</v>
      </c>
      <c r="E199" s="6" t="s">
        <v>2010</v>
      </c>
      <c r="F199" s="88">
        <v>51.64</v>
      </c>
      <c r="G199" s="88">
        <v>8.26</v>
      </c>
      <c r="H199" s="88">
        <f t="shared" ref="H199:H214" si="4">SUM(F199:G199)</f>
        <v>59.9</v>
      </c>
    </row>
    <row r="200" spans="1:8" x14ac:dyDescent="0.2">
      <c r="A200" s="338"/>
      <c r="B200" s="1" t="s">
        <v>2021</v>
      </c>
      <c r="C200" s="287">
        <v>41509</v>
      </c>
      <c r="D200" s="288" t="s">
        <v>1891</v>
      </c>
      <c r="E200" s="6" t="s">
        <v>2011</v>
      </c>
      <c r="F200" s="88">
        <v>700</v>
      </c>
      <c r="G200" s="88"/>
      <c r="H200" s="88">
        <f t="shared" si="4"/>
        <v>700</v>
      </c>
    </row>
    <row r="201" spans="1:8" x14ac:dyDescent="0.2">
      <c r="A201" s="338"/>
      <c r="B201" s="1" t="s">
        <v>1791</v>
      </c>
      <c r="C201" s="287">
        <v>41509</v>
      </c>
      <c r="D201" s="288" t="s">
        <v>1875</v>
      </c>
      <c r="E201" s="6" t="s">
        <v>2035</v>
      </c>
      <c r="F201" s="88">
        <v>200</v>
      </c>
      <c r="G201" s="88"/>
      <c r="H201" s="88">
        <v>200</v>
      </c>
    </row>
    <row r="202" spans="1:8" x14ac:dyDescent="0.2">
      <c r="A202" s="338"/>
      <c r="B202" s="1" t="s">
        <v>2021</v>
      </c>
      <c r="C202" s="287">
        <v>41510</v>
      </c>
      <c r="D202" s="288" t="s">
        <v>1859</v>
      </c>
      <c r="E202" s="6" t="s">
        <v>2007</v>
      </c>
      <c r="F202" s="88">
        <v>164.05</v>
      </c>
      <c r="G202" s="88">
        <v>26.25</v>
      </c>
      <c r="H202" s="88">
        <f t="shared" si="4"/>
        <v>190.3</v>
      </c>
    </row>
    <row r="203" spans="1:8" x14ac:dyDescent="0.2">
      <c r="A203" s="338"/>
      <c r="B203" s="1" t="s">
        <v>1791</v>
      </c>
      <c r="C203" s="287">
        <v>41510</v>
      </c>
      <c r="D203" s="288" t="s">
        <v>2036</v>
      </c>
      <c r="E203" s="6" t="s">
        <v>2037</v>
      </c>
      <c r="F203" s="88">
        <v>250</v>
      </c>
      <c r="G203" s="88"/>
      <c r="H203" s="88">
        <v>250</v>
      </c>
    </row>
    <row r="204" spans="1:8" x14ac:dyDescent="0.2">
      <c r="A204" s="338"/>
      <c r="B204" s="1" t="s">
        <v>1788</v>
      </c>
      <c r="C204" s="287">
        <v>41512</v>
      </c>
      <c r="D204" s="288" t="s">
        <v>1743</v>
      </c>
      <c r="E204" s="6" t="s">
        <v>1738</v>
      </c>
      <c r="F204" s="88">
        <v>90</v>
      </c>
      <c r="G204" s="88"/>
      <c r="H204" s="88">
        <f t="shared" si="4"/>
        <v>90</v>
      </c>
    </row>
    <row r="205" spans="1:8" x14ac:dyDescent="0.2">
      <c r="A205" s="338"/>
      <c r="B205" s="1" t="s">
        <v>2021</v>
      </c>
      <c r="C205" s="287">
        <v>41512</v>
      </c>
      <c r="D205" s="288" t="s">
        <v>1891</v>
      </c>
      <c r="E205" s="6" t="s">
        <v>2011</v>
      </c>
      <c r="F205" s="88">
        <v>500</v>
      </c>
      <c r="G205" s="88"/>
      <c r="H205" s="88">
        <f t="shared" si="4"/>
        <v>500</v>
      </c>
    </row>
    <row r="206" spans="1:8" x14ac:dyDescent="0.2">
      <c r="A206" s="338"/>
      <c r="B206" s="1" t="s">
        <v>1957</v>
      </c>
      <c r="C206" s="287">
        <v>41512</v>
      </c>
      <c r="D206" s="288" t="s">
        <v>1891</v>
      </c>
      <c r="E206" s="6" t="s">
        <v>2022</v>
      </c>
      <c r="F206" s="88">
        <v>400</v>
      </c>
      <c r="G206" s="88"/>
      <c r="H206" s="88">
        <f t="shared" si="4"/>
        <v>400</v>
      </c>
    </row>
    <row r="207" spans="1:8" x14ac:dyDescent="0.2">
      <c r="A207" s="338"/>
      <c r="B207" s="1" t="s">
        <v>2021</v>
      </c>
      <c r="C207" s="287">
        <v>41513</v>
      </c>
      <c r="D207" s="288" t="s">
        <v>1875</v>
      </c>
      <c r="E207" s="6" t="s">
        <v>2038</v>
      </c>
      <c r="F207" s="88">
        <v>150</v>
      </c>
      <c r="G207" s="88"/>
      <c r="H207" s="88">
        <f t="shared" si="4"/>
        <v>150</v>
      </c>
    </row>
    <row r="208" spans="1:8" x14ac:dyDescent="0.2">
      <c r="A208" s="338"/>
      <c r="B208" s="1" t="s">
        <v>1902</v>
      </c>
      <c r="C208" s="287">
        <v>41513</v>
      </c>
      <c r="D208" s="288" t="s">
        <v>1871</v>
      </c>
      <c r="E208" s="6" t="s">
        <v>2039</v>
      </c>
      <c r="F208" s="88">
        <v>300</v>
      </c>
      <c r="G208" s="88"/>
      <c r="H208" s="88">
        <f t="shared" si="4"/>
        <v>300</v>
      </c>
    </row>
    <row r="209" spans="1:8" x14ac:dyDescent="0.2">
      <c r="A209" s="338"/>
      <c r="B209" s="1" t="s">
        <v>1957</v>
      </c>
      <c r="C209" s="287">
        <v>41514</v>
      </c>
      <c r="D209" s="288" t="s">
        <v>1862</v>
      </c>
      <c r="E209" s="6" t="s">
        <v>2012</v>
      </c>
      <c r="F209" s="88">
        <v>102.58</v>
      </c>
      <c r="G209" s="88">
        <v>16.41</v>
      </c>
      <c r="H209" s="88">
        <f t="shared" si="4"/>
        <v>118.99</v>
      </c>
    </row>
    <row r="210" spans="1:8" x14ac:dyDescent="0.2">
      <c r="A210" s="338"/>
      <c r="B210" s="1" t="s">
        <v>1957</v>
      </c>
      <c r="C210" s="287">
        <v>41514</v>
      </c>
      <c r="D210" s="288" t="s">
        <v>1859</v>
      </c>
      <c r="E210" s="6" t="s">
        <v>2013</v>
      </c>
      <c r="F210" s="88">
        <v>555</v>
      </c>
      <c r="G210" s="88">
        <v>88.8</v>
      </c>
      <c r="H210" s="88">
        <f t="shared" si="4"/>
        <v>643.79999999999995</v>
      </c>
    </row>
    <row r="211" spans="1:8" x14ac:dyDescent="0.2">
      <c r="A211" s="338"/>
      <c r="B211" s="1" t="s">
        <v>1792</v>
      </c>
      <c r="C211" s="287">
        <v>41514</v>
      </c>
      <c r="D211" s="288" t="s">
        <v>1751</v>
      </c>
      <c r="E211" s="6" t="s">
        <v>1750</v>
      </c>
      <c r="F211" s="88">
        <v>500</v>
      </c>
      <c r="G211" s="88"/>
      <c r="H211" s="88">
        <v>500</v>
      </c>
    </row>
    <row r="212" spans="1:8" x14ac:dyDescent="0.2">
      <c r="A212" s="338"/>
      <c r="B212" s="1" t="s">
        <v>1789</v>
      </c>
      <c r="C212" s="287">
        <v>41515</v>
      </c>
      <c r="D212" s="288" t="s">
        <v>2014</v>
      </c>
      <c r="E212" s="6" t="s">
        <v>2015</v>
      </c>
      <c r="F212" s="88">
        <v>450</v>
      </c>
      <c r="G212" s="88"/>
      <c r="H212" s="88">
        <f t="shared" si="4"/>
        <v>450</v>
      </c>
    </row>
    <row r="213" spans="1:8" x14ac:dyDescent="0.2">
      <c r="A213" s="338"/>
      <c r="B213" s="1" t="s">
        <v>2019</v>
      </c>
      <c r="C213" s="287">
        <v>41515</v>
      </c>
      <c r="D213" s="288" t="s">
        <v>2016</v>
      </c>
      <c r="E213" s="6" t="s">
        <v>2017</v>
      </c>
      <c r="F213" s="88">
        <v>633.63</v>
      </c>
      <c r="G213" s="88">
        <v>101.37</v>
      </c>
      <c r="H213" s="88">
        <f t="shared" si="4"/>
        <v>735</v>
      </c>
    </row>
    <row r="214" spans="1:8" x14ac:dyDescent="0.2">
      <c r="A214" s="338"/>
      <c r="B214" s="1" t="s">
        <v>1793</v>
      </c>
      <c r="C214" s="287">
        <v>41517</v>
      </c>
      <c r="D214" s="288" t="s">
        <v>1767</v>
      </c>
      <c r="E214" s="6" t="s">
        <v>1767</v>
      </c>
      <c r="F214" s="88">
        <v>26590</v>
      </c>
      <c r="G214" s="88"/>
      <c r="H214" s="88">
        <f t="shared" si="4"/>
        <v>26590</v>
      </c>
    </row>
  </sheetData>
  <autoFilter ref="A3:H214"/>
  <sortState ref="B88:H93">
    <sortCondition ref="B88:B93"/>
    <sortCondition ref="F88:F93"/>
  </sortState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20"/>
  <sheetViews>
    <sheetView showGridLines="0" topLeftCell="B1" workbookViewId="0">
      <selection activeCell="D10" sqref="D10"/>
    </sheetView>
  </sheetViews>
  <sheetFormatPr baseColWidth="10" defaultRowHeight="12.75" x14ac:dyDescent="0.2"/>
  <cols>
    <col min="2" max="2" width="30.7109375" customWidth="1"/>
    <col min="3" max="14" width="11.42578125" customWidth="1"/>
  </cols>
  <sheetData>
    <row r="2" spans="2:23" ht="18.75" customHeight="1" x14ac:dyDescent="0.2">
      <c r="B2" s="446" t="s">
        <v>1817</v>
      </c>
      <c r="C2" s="443" t="s">
        <v>1967</v>
      </c>
      <c r="D2" s="444"/>
      <c r="E2" s="445"/>
      <c r="F2" s="443" t="s">
        <v>1758</v>
      </c>
      <c r="G2" s="444"/>
      <c r="H2" s="445"/>
      <c r="I2" s="443" t="s">
        <v>1773</v>
      </c>
      <c r="J2" s="444"/>
      <c r="K2" s="445"/>
      <c r="L2" s="443" t="s">
        <v>1897</v>
      </c>
      <c r="M2" s="444"/>
      <c r="N2" s="445"/>
      <c r="O2" s="443" t="s">
        <v>1898</v>
      </c>
      <c r="P2" s="444"/>
      <c r="Q2" s="445"/>
      <c r="R2" s="443" t="s">
        <v>1996</v>
      </c>
      <c r="S2" s="444"/>
      <c r="T2" s="445"/>
      <c r="U2" s="443" t="s">
        <v>1994</v>
      </c>
      <c r="V2" s="444"/>
      <c r="W2" s="445"/>
    </row>
    <row r="3" spans="2:23" ht="18" customHeight="1" x14ac:dyDescent="0.2">
      <c r="B3" s="447"/>
      <c r="C3" s="76"/>
      <c r="D3" s="76"/>
      <c r="E3" s="76"/>
      <c r="F3" s="76" t="s">
        <v>1755</v>
      </c>
      <c r="G3" s="76" t="s">
        <v>1756</v>
      </c>
      <c r="H3" s="76" t="s">
        <v>1757</v>
      </c>
      <c r="I3" s="76" t="s">
        <v>1755</v>
      </c>
      <c r="J3" s="76" t="s">
        <v>1756</v>
      </c>
      <c r="K3" s="76" t="s">
        <v>1757</v>
      </c>
      <c r="L3" s="76" t="s">
        <v>1755</v>
      </c>
      <c r="M3" s="76" t="s">
        <v>1756</v>
      </c>
      <c r="N3" s="76" t="s">
        <v>1757</v>
      </c>
      <c r="O3" s="76" t="s">
        <v>1755</v>
      </c>
      <c r="P3" s="76" t="s">
        <v>1756</v>
      </c>
      <c r="Q3" s="76" t="s">
        <v>1757</v>
      </c>
      <c r="R3" s="76" t="s">
        <v>1755</v>
      </c>
      <c r="S3" s="76" t="s">
        <v>1756</v>
      </c>
      <c r="T3" s="76" t="s">
        <v>1757</v>
      </c>
      <c r="U3" s="76" t="s">
        <v>1755</v>
      </c>
      <c r="V3" s="76" t="s">
        <v>1756</v>
      </c>
      <c r="W3" s="76" t="s">
        <v>1757</v>
      </c>
    </row>
    <row r="4" spans="2:23" x14ac:dyDescent="0.2">
      <c r="B4" s="8" t="s">
        <v>1754</v>
      </c>
      <c r="C4" s="89"/>
      <c r="D4" s="89"/>
      <c r="E4" s="89"/>
      <c r="F4" s="89">
        <v>2700</v>
      </c>
      <c r="G4" s="89">
        <v>500</v>
      </c>
      <c r="H4" s="89">
        <f t="shared" ref="H4:H12" si="0">SUM(F4:G4)</f>
        <v>3200</v>
      </c>
      <c r="I4" s="89">
        <v>2700</v>
      </c>
      <c r="J4" s="89">
        <v>500</v>
      </c>
      <c r="K4" s="89">
        <f t="shared" ref="K4:K12" si="1">SUM(I4:J4)</f>
        <v>3200</v>
      </c>
      <c r="L4" s="89">
        <v>2700</v>
      </c>
      <c r="M4" s="89">
        <v>500</v>
      </c>
      <c r="N4" s="89">
        <f t="shared" ref="N4:N12" si="2">SUM(L4:M4)</f>
        <v>3200</v>
      </c>
      <c r="O4" s="89">
        <v>2700</v>
      </c>
      <c r="P4" s="89">
        <v>500</v>
      </c>
      <c r="Q4" s="89">
        <f t="shared" ref="Q4:Q12" si="3">SUM(O4:P4)</f>
        <v>3200</v>
      </c>
      <c r="R4" s="89">
        <v>2700</v>
      </c>
      <c r="S4" s="89">
        <v>500</v>
      </c>
      <c r="T4" s="89">
        <f t="shared" ref="T4:T12" si="4">SUM(R4:S4)</f>
        <v>3200</v>
      </c>
      <c r="U4" s="89">
        <v>2700</v>
      </c>
      <c r="V4" s="89">
        <v>500</v>
      </c>
      <c r="W4" s="89">
        <f t="shared" ref="W4" si="5">SUM(U4:V4)</f>
        <v>3200</v>
      </c>
    </row>
    <row r="5" spans="2:23" x14ac:dyDescent="0.2">
      <c r="B5" s="6" t="s">
        <v>1759</v>
      </c>
      <c r="C5" s="88"/>
      <c r="D5" s="88"/>
      <c r="E5" s="88"/>
      <c r="F5" s="88">
        <v>2700</v>
      </c>
      <c r="G5" s="88">
        <v>500</v>
      </c>
      <c r="H5" s="88">
        <f t="shared" si="0"/>
        <v>3200</v>
      </c>
      <c r="I5" s="88">
        <v>2700</v>
      </c>
      <c r="J5" s="88">
        <v>500</v>
      </c>
      <c r="K5" s="88">
        <f t="shared" si="1"/>
        <v>3200</v>
      </c>
      <c r="L5" s="88">
        <v>2700</v>
      </c>
      <c r="M5" s="88">
        <v>500</v>
      </c>
      <c r="N5" s="88">
        <f t="shared" si="2"/>
        <v>3200</v>
      </c>
      <c r="O5" s="88">
        <v>2700</v>
      </c>
      <c r="P5" s="88">
        <v>500</v>
      </c>
      <c r="Q5" s="88">
        <f t="shared" si="3"/>
        <v>3200</v>
      </c>
      <c r="R5" s="88">
        <v>2700</v>
      </c>
      <c r="S5" s="88">
        <v>500</v>
      </c>
      <c r="T5" s="88">
        <f t="shared" si="4"/>
        <v>3200</v>
      </c>
      <c r="U5" s="88">
        <v>2700</v>
      </c>
      <c r="V5" s="88">
        <v>500</v>
      </c>
      <c r="W5" s="88">
        <f t="shared" ref="W5" si="6">SUM(U5:V5)</f>
        <v>3200</v>
      </c>
    </row>
    <row r="6" spans="2:23" x14ac:dyDescent="0.2">
      <c r="B6" s="6" t="s">
        <v>1760</v>
      </c>
      <c r="C6" s="88"/>
      <c r="D6" s="88"/>
      <c r="E6" s="88"/>
      <c r="F6" s="88">
        <v>2300</v>
      </c>
      <c r="G6" s="88">
        <v>500</v>
      </c>
      <c r="H6" s="88">
        <f t="shared" si="0"/>
        <v>2800</v>
      </c>
      <c r="I6" s="88">
        <v>2300</v>
      </c>
      <c r="J6" s="88">
        <v>500</v>
      </c>
      <c r="K6" s="88">
        <f t="shared" si="1"/>
        <v>2800</v>
      </c>
      <c r="L6" s="88">
        <v>2300</v>
      </c>
      <c r="M6" s="88">
        <v>500</v>
      </c>
      <c r="N6" s="88">
        <f t="shared" si="2"/>
        <v>2800</v>
      </c>
      <c r="O6" s="88">
        <v>2300</v>
      </c>
      <c r="P6" s="88">
        <v>500</v>
      </c>
      <c r="Q6" s="88">
        <f t="shared" si="3"/>
        <v>2800</v>
      </c>
      <c r="R6" s="88">
        <v>2300</v>
      </c>
      <c r="S6" s="88"/>
      <c r="T6" s="88">
        <f t="shared" si="4"/>
        <v>2300</v>
      </c>
      <c r="U6" s="88">
        <v>2300</v>
      </c>
      <c r="V6" s="88">
        <v>500</v>
      </c>
      <c r="W6" s="88">
        <f t="shared" ref="W6:W7" si="7">SUM(U6:V6)</f>
        <v>2800</v>
      </c>
    </row>
    <row r="7" spans="2:23" x14ac:dyDescent="0.2">
      <c r="B7" s="6" t="s">
        <v>1761</v>
      </c>
      <c r="C7" s="88"/>
      <c r="D7" s="88"/>
      <c r="E7" s="88"/>
      <c r="F7" s="88">
        <v>2300</v>
      </c>
      <c r="G7" s="88">
        <v>500</v>
      </c>
      <c r="H7" s="88">
        <f t="shared" si="0"/>
        <v>2800</v>
      </c>
      <c r="I7" s="88">
        <v>2300</v>
      </c>
      <c r="J7" s="88">
        <v>500</v>
      </c>
      <c r="K7" s="88">
        <f t="shared" si="1"/>
        <v>2800</v>
      </c>
      <c r="L7" s="88">
        <v>2300</v>
      </c>
      <c r="M7" s="88">
        <v>500</v>
      </c>
      <c r="N7" s="88">
        <f t="shared" si="2"/>
        <v>2800</v>
      </c>
      <c r="O7" s="88">
        <v>2300</v>
      </c>
      <c r="P7" s="88">
        <v>500</v>
      </c>
      <c r="Q7" s="88">
        <f t="shared" si="3"/>
        <v>2800</v>
      </c>
      <c r="R7" s="88">
        <v>2300</v>
      </c>
      <c r="S7" s="88">
        <v>500</v>
      </c>
      <c r="T7" s="88">
        <f t="shared" si="4"/>
        <v>2800</v>
      </c>
      <c r="U7" s="88">
        <v>2300</v>
      </c>
      <c r="V7" s="88">
        <v>500</v>
      </c>
      <c r="W7" s="88">
        <f t="shared" si="7"/>
        <v>2800</v>
      </c>
    </row>
    <row r="8" spans="2:23" x14ac:dyDescent="0.2">
      <c r="B8" s="6" t="s">
        <v>1762</v>
      </c>
      <c r="C8" s="88"/>
      <c r="D8" s="88"/>
      <c r="E8" s="88"/>
      <c r="F8" s="88">
        <v>2300</v>
      </c>
      <c r="G8" s="88">
        <v>500</v>
      </c>
      <c r="H8" s="88">
        <f t="shared" si="0"/>
        <v>2800</v>
      </c>
      <c r="I8" s="88">
        <v>2300</v>
      </c>
      <c r="J8" s="88">
        <v>500</v>
      </c>
      <c r="K8" s="88">
        <f t="shared" si="1"/>
        <v>2800</v>
      </c>
      <c r="L8" s="88">
        <v>2300</v>
      </c>
      <c r="M8" s="88">
        <v>500</v>
      </c>
      <c r="N8" s="88">
        <f t="shared" si="2"/>
        <v>2800</v>
      </c>
      <c r="O8" s="88">
        <v>2300</v>
      </c>
      <c r="P8" s="88">
        <v>500</v>
      </c>
      <c r="Q8" s="88">
        <f t="shared" si="3"/>
        <v>2800</v>
      </c>
      <c r="R8" s="88">
        <v>2300</v>
      </c>
      <c r="S8" s="88">
        <v>500</v>
      </c>
      <c r="T8" s="88">
        <f t="shared" si="4"/>
        <v>2800</v>
      </c>
      <c r="U8" s="88">
        <v>2300</v>
      </c>
      <c r="V8" s="88">
        <v>500</v>
      </c>
      <c r="W8" s="88">
        <f t="shared" ref="W8" si="8">SUM(U8:V8)</f>
        <v>2800</v>
      </c>
    </row>
    <row r="9" spans="2:23" x14ac:dyDescent="0.2">
      <c r="B9" s="6" t="s">
        <v>1763</v>
      </c>
      <c r="C9" s="88"/>
      <c r="D9" s="88"/>
      <c r="E9" s="88"/>
      <c r="F9" s="88">
        <v>2300</v>
      </c>
      <c r="G9" s="88">
        <v>500</v>
      </c>
      <c r="H9" s="88">
        <f t="shared" si="0"/>
        <v>2800</v>
      </c>
      <c r="I9" s="88">
        <v>2300</v>
      </c>
      <c r="J9" s="88">
        <v>500</v>
      </c>
      <c r="K9" s="88">
        <f t="shared" si="1"/>
        <v>2800</v>
      </c>
      <c r="L9" s="88">
        <v>2300</v>
      </c>
      <c r="M9" s="88">
        <v>500</v>
      </c>
      <c r="N9" s="88">
        <f t="shared" si="2"/>
        <v>2800</v>
      </c>
      <c r="O9" s="88">
        <v>2300</v>
      </c>
      <c r="P9" s="88">
        <v>500</v>
      </c>
      <c r="Q9" s="88">
        <f t="shared" si="3"/>
        <v>2800</v>
      </c>
      <c r="R9" s="88">
        <v>2300</v>
      </c>
      <c r="S9" s="88"/>
      <c r="T9" s="88">
        <f t="shared" si="4"/>
        <v>2300</v>
      </c>
      <c r="U9" s="88">
        <v>2300</v>
      </c>
      <c r="V9" s="88">
        <v>500</v>
      </c>
      <c r="W9" s="88">
        <f t="shared" ref="W9" si="9">SUM(U9:V9)</f>
        <v>2800</v>
      </c>
    </row>
    <row r="10" spans="2:23" x14ac:dyDescent="0.2">
      <c r="B10" s="6" t="s">
        <v>1764</v>
      </c>
      <c r="C10" s="88"/>
      <c r="D10" s="88"/>
      <c r="E10" s="88"/>
      <c r="F10" s="88">
        <v>2300</v>
      </c>
      <c r="G10" s="88">
        <v>500</v>
      </c>
      <c r="H10" s="88">
        <f t="shared" si="0"/>
        <v>2800</v>
      </c>
      <c r="I10" s="88">
        <v>2300</v>
      </c>
      <c r="J10" s="88">
        <v>500</v>
      </c>
      <c r="K10" s="88">
        <f t="shared" si="1"/>
        <v>2800</v>
      </c>
      <c r="L10" s="88">
        <v>2300</v>
      </c>
      <c r="M10" s="88">
        <v>500</v>
      </c>
      <c r="N10" s="88">
        <f t="shared" si="2"/>
        <v>2800</v>
      </c>
      <c r="O10" s="88">
        <v>2300</v>
      </c>
      <c r="P10" s="88">
        <v>500</v>
      </c>
      <c r="Q10" s="88">
        <f t="shared" si="3"/>
        <v>2800</v>
      </c>
      <c r="R10" s="88">
        <v>2300</v>
      </c>
      <c r="S10" s="88">
        <v>250</v>
      </c>
      <c r="T10" s="88">
        <f t="shared" si="4"/>
        <v>2550</v>
      </c>
      <c r="U10" s="88">
        <v>2300</v>
      </c>
      <c r="V10" s="88">
        <v>500</v>
      </c>
      <c r="W10" s="88">
        <f t="shared" ref="W10:W12" si="10">SUM(U10:V10)</f>
        <v>2800</v>
      </c>
    </row>
    <row r="11" spans="2:23" x14ac:dyDescent="0.2">
      <c r="B11" s="75" t="s">
        <v>1995</v>
      </c>
      <c r="C11" s="380"/>
      <c r="D11" s="380"/>
      <c r="E11" s="380"/>
      <c r="F11" s="380"/>
      <c r="G11" s="380"/>
      <c r="H11" s="380"/>
      <c r="I11" s="380"/>
      <c r="J11" s="380"/>
      <c r="K11" s="380"/>
      <c r="L11" s="380"/>
      <c r="M11" s="380"/>
      <c r="N11" s="380"/>
      <c r="O11" s="380"/>
      <c r="P11" s="380"/>
      <c r="Q11" s="380"/>
      <c r="R11" s="380">
        <v>2446.67</v>
      </c>
      <c r="S11" s="380">
        <v>466.67</v>
      </c>
      <c r="T11" s="380">
        <f t="shared" si="4"/>
        <v>2913.34</v>
      </c>
      <c r="U11" s="380">
        <v>2450</v>
      </c>
      <c r="V11" s="380">
        <v>500</v>
      </c>
      <c r="W11" s="380">
        <f t="shared" si="10"/>
        <v>2950</v>
      </c>
    </row>
    <row r="12" spans="2:23" x14ac:dyDescent="0.2">
      <c r="B12" s="9" t="s">
        <v>1765</v>
      </c>
      <c r="C12" s="307"/>
      <c r="D12" s="307"/>
      <c r="E12" s="307"/>
      <c r="F12" s="307">
        <v>2300</v>
      </c>
      <c r="G12" s="307">
        <v>500</v>
      </c>
      <c r="H12" s="307">
        <f t="shared" si="0"/>
        <v>2800</v>
      </c>
      <c r="I12" s="307">
        <v>2300</v>
      </c>
      <c r="J12" s="307">
        <v>500</v>
      </c>
      <c r="K12" s="307">
        <f t="shared" si="1"/>
        <v>2800</v>
      </c>
      <c r="L12" s="307">
        <v>2300</v>
      </c>
      <c r="M12" s="307">
        <v>250</v>
      </c>
      <c r="N12" s="307">
        <f t="shared" si="2"/>
        <v>2550</v>
      </c>
      <c r="O12" s="307">
        <v>2300</v>
      </c>
      <c r="P12" s="307">
        <v>500</v>
      </c>
      <c r="Q12" s="307">
        <f t="shared" si="3"/>
        <v>2800</v>
      </c>
      <c r="R12" s="307">
        <v>2300</v>
      </c>
      <c r="S12" s="307">
        <v>250</v>
      </c>
      <c r="T12" s="307">
        <f t="shared" si="4"/>
        <v>2550</v>
      </c>
      <c r="U12" s="307">
        <v>2840</v>
      </c>
      <c r="V12" s="307">
        <v>400</v>
      </c>
      <c r="W12" s="307">
        <f t="shared" si="10"/>
        <v>3240</v>
      </c>
    </row>
    <row r="13" spans="2:23" ht="18" customHeight="1" x14ac:dyDescent="0.2">
      <c r="B13" s="308" t="s">
        <v>1766</v>
      </c>
      <c r="C13" s="309"/>
      <c r="D13" s="309"/>
      <c r="E13" s="309"/>
      <c r="F13" s="309">
        <f t="shared" ref="F13:P13" si="11">SUM(F4:F12)</f>
        <v>19200</v>
      </c>
      <c r="G13" s="309">
        <f t="shared" si="11"/>
        <v>4000</v>
      </c>
      <c r="H13" s="309">
        <f t="shared" si="11"/>
        <v>23200</v>
      </c>
      <c r="I13" s="309">
        <f t="shared" si="11"/>
        <v>19200</v>
      </c>
      <c r="J13" s="309">
        <f t="shared" si="11"/>
        <v>4000</v>
      </c>
      <c r="K13" s="309">
        <f t="shared" si="11"/>
        <v>23200</v>
      </c>
      <c r="L13" s="309">
        <f t="shared" si="11"/>
        <v>19200</v>
      </c>
      <c r="M13" s="309">
        <f t="shared" si="11"/>
        <v>3750</v>
      </c>
      <c r="N13" s="309">
        <f t="shared" si="11"/>
        <v>22950</v>
      </c>
      <c r="O13" s="309">
        <f t="shared" si="11"/>
        <v>19200</v>
      </c>
      <c r="P13" s="309">
        <f t="shared" si="11"/>
        <v>4000</v>
      </c>
      <c r="Q13" s="309">
        <f t="shared" ref="Q13" si="12">SUM(Q4:Q12)</f>
        <v>23200</v>
      </c>
      <c r="R13" s="309">
        <f>SUM(R4:R12)</f>
        <v>21646.67</v>
      </c>
      <c r="S13" s="309">
        <f>SUM(S4:S12)</f>
        <v>2966.67</v>
      </c>
      <c r="T13" s="309">
        <f t="shared" ref="T13" si="13">SUM(T4:T12)</f>
        <v>24613.34</v>
      </c>
      <c r="U13" s="309">
        <f>SUM(U4:U12)</f>
        <v>22190</v>
      </c>
      <c r="V13" s="309">
        <f>SUM(V4:V12)</f>
        <v>4400</v>
      </c>
      <c r="W13" s="309">
        <f>SUM(W4:W12)</f>
        <v>26590</v>
      </c>
    </row>
    <row r="14" spans="2:23" x14ac:dyDescent="0.2">
      <c r="C14" s="285"/>
      <c r="D14" s="285"/>
      <c r="E14" s="285"/>
      <c r="F14" s="285"/>
      <c r="G14" s="285"/>
      <c r="H14" s="285"/>
    </row>
    <row r="15" spans="2:23" x14ac:dyDescent="0.2">
      <c r="C15" s="285"/>
      <c r="D15" s="285"/>
      <c r="E15" s="285"/>
      <c r="F15" s="285"/>
      <c r="G15" s="285"/>
      <c r="H15" s="285"/>
    </row>
    <row r="16" spans="2:23" x14ac:dyDescent="0.2">
      <c r="C16" s="285"/>
      <c r="D16" s="285"/>
      <c r="E16" s="285"/>
      <c r="F16" s="285"/>
      <c r="G16" s="285"/>
      <c r="H16" s="285"/>
    </row>
    <row r="17" spans="3:8" x14ac:dyDescent="0.2">
      <c r="C17" s="285"/>
      <c r="D17" s="285"/>
      <c r="E17" s="285"/>
      <c r="F17" s="285"/>
      <c r="G17" s="285"/>
      <c r="H17" s="285"/>
    </row>
    <row r="18" spans="3:8" x14ac:dyDescent="0.2">
      <c r="C18" s="285"/>
      <c r="D18" s="285"/>
      <c r="E18" s="285"/>
      <c r="F18" s="285"/>
      <c r="G18" s="285"/>
      <c r="H18" s="285"/>
    </row>
    <row r="19" spans="3:8" x14ac:dyDescent="0.2">
      <c r="C19" s="285"/>
      <c r="D19" s="285"/>
      <c r="E19" s="285"/>
      <c r="F19" s="285"/>
      <c r="G19" s="285"/>
      <c r="H19" s="285"/>
    </row>
    <row r="20" spans="3:8" x14ac:dyDescent="0.2">
      <c r="C20" s="285"/>
      <c r="D20" s="285"/>
      <c r="E20" s="285"/>
      <c r="F20" s="285"/>
      <c r="G20" s="285"/>
      <c r="H20" s="285"/>
    </row>
  </sheetData>
  <mergeCells count="8">
    <mergeCell ref="R2:T2"/>
    <mergeCell ref="U2:W2"/>
    <mergeCell ref="F2:H2"/>
    <mergeCell ref="I2:K2"/>
    <mergeCell ref="B2:B3"/>
    <mergeCell ref="L2:N2"/>
    <mergeCell ref="O2:Q2"/>
    <mergeCell ref="C2:E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590</vt:i4>
      </vt:variant>
    </vt:vector>
  </HeadingPairs>
  <TitlesOfParts>
    <vt:vector size="601" baseType="lpstr">
      <vt:lpstr>base</vt:lpstr>
      <vt:lpstr>recibos</vt:lpstr>
      <vt:lpstr>criterios</vt:lpstr>
      <vt:lpstr>cobranza 2013</vt:lpstr>
      <vt:lpstr>financiero</vt:lpstr>
      <vt:lpstr>estadística</vt:lpstr>
      <vt:lpstr>consulta</vt:lpstr>
      <vt:lpstr>chequera</vt:lpstr>
      <vt:lpstr>conciliaciones</vt:lpstr>
      <vt:lpstr>Gastos</vt:lpstr>
      <vt:lpstr>Nómina</vt:lpstr>
      <vt:lpstr>AA</vt:lpstr>
      <vt:lpstr>ABR_2013</vt:lpstr>
      <vt:lpstr>AGO_2013</vt:lpstr>
      <vt:lpstr>AGO_2013_A</vt:lpstr>
      <vt:lpstr>base!Área_de_impresión</vt:lpstr>
      <vt:lpstr>'cobranza 2013'!Área_de_impresión</vt:lpstr>
      <vt:lpstr>consulta!Área_de_impresión</vt:lpstr>
      <vt:lpstr>estadística!Área_de_impresión</vt:lpstr>
      <vt:lpstr>financiero!Área_de_impresión</vt:lpstr>
      <vt:lpstr>BASE_A</vt:lpstr>
      <vt:lpstr>BASE_B</vt:lpstr>
      <vt:lpstr>BCO_ABR13</vt:lpstr>
      <vt:lpstr>BCO_AGO13</vt:lpstr>
      <vt:lpstr>BCO_AGO13_A</vt:lpstr>
      <vt:lpstr>BCO_ENE13</vt:lpstr>
      <vt:lpstr>BCO_FEB13</vt:lpstr>
      <vt:lpstr>BCO_JUL13</vt:lpstr>
      <vt:lpstr>BCO_JUL13_A</vt:lpstr>
      <vt:lpstr>BCO_JUN13</vt:lpstr>
      <vt:lpstr>BCO_JUN13_A</vt:lpstr>
      <vt:lpstr>BCO_MAR13</vt:lpstr>
      <vt:lpstr>BCO_MAY13</vt:lpstr>
      <vt:lpstr>BCO_MAY13_A</vt:lpstr>
      <vt:lpstr>BCO_SEP13</vt:lpstr>
      <vt:lpstr>BCO_SEP13_A</vt:lpstr>
      <vt:lpstr>Cafetales</vt:lpstr>
      <vt:lpstr>CALLES</vt:lpstr>
      <vt:lpstr>Calzada_del_Hueso</vt:lpstr>
      <vt:lpstr>Carmel</vt:lpstr>
      <vt:lpstr>CL</vt:lpstr>
      <vt:lpstr>CL_101_</vt:lpstr>
      <vt:lpstr>CL_107_</vt:lpstr>
      <vt:lpstr>CL_11_</vt:lpstr>
      <vt:lpstr>CL_110_</vt:lpstr>
      <vt:lpstr>CL_111_</vt:lpstr>
      <vt:lpstr>CL_112_PA</vt:lpstr>
      <vt:lpstr>CL_112_PB</vt:lpstr>
      <vt:lpstr>CL_115_</vt:lpstr>
      <vt:lpstr>CL_116_</vt:lpstr>
      <vt:lpstr>CL_117_</vt:lpstr>
      <vt:lpstr>CL_118_</vt:lpstr>
      <vt:lpstr>CL_119_</vt:lpstr>
      <vt:lpstr>CL_12_</vt:lpstr>
      <vt:lpstr>CL_120_</vt:lpstr>
      <vt:lpstr>CL_121_</vt:lpstr>
      <vt:lpstr>CL_122_</vt:lpstr>
      <vt:lpstr>CL_125_</vt:lpstr>
      <vt:lpstr>CL_127_</vt:lpstr>
      <vt:lpstr>CL_129_</vt:lpstr>
      <vt:lpstr>CL_13_</vt:lpstr>
      <vt:lpstr>CL_130_</vt:lpstr>
      <vt:lpstr>CL_131_</vt:lpstr>
      <vt:lpstr>CL_132_</vt:lpstr>
      <vt:lpstr>CL_133_</vt:lpstr>
      <vt:lpstr>CL_134_</vt:lpstr>
      <vt:lpstr>CL_135_</vt:lpstr>
      <vt:lpstr>CL_137_</vt:lpstr>
      <vt:lpstr>CL_139_</vt:lpstr>
      <vt:lpstr>CL_14_</vt:lpstr>
      <vt:lpstr>CL_141_</vt:lpstr>
      <vt:lpstr>CL_144_</vt:lpstr>
      <vt:lpstr>CL_145_</vt:lpstr>
      <vt:lpstr>CL_147_</vt:lpstr>
      <vt:lpstr>CL_148_</vt:lpstr>
      <vt:lpstr>CL_149_</vt:lpstr>
      <vt:lpstr>CL_15_</vt:lpstr>
      <vt:lpstr>CL_18_</vt:lpstr>
      <vt:lpstr>CL_19_</vt:lpstr>
      <vt:lpstr>CL_20_</vt:lpstr>
      <vt:lpstr>CL_21_</vt:lpstr>
      <vt:lpstr>CL_23_</vt:lpstr>
      <vt:lpstr>CL_25_</vt:lpstr>
      <vt:lpstr>CL_27_</vt:lpstr>
      <vt:lpstr>CL_28_</vt:lpstr>
      <vt:lpstr>CL_29_</vt:lpstr>
      <vt:lpstr>CL_30_</vt:lpstr>
      <vt:lpstr>CL_31_</vt:lpstr>
      <vt:lpstr>CL_32_</vt:lpstr>
      <vt:lpstr>CL_33_</vt:lpstr>
      <vt:lpstr>CL_35_</vt:lpstr>
      <vt:lpstr>CL_36_</vt:lpstr>
      <vt:lpstr>CL_38_</vt:lpstr>
      <vt:lpstr>CL_39_</vt:lpstr>
      <vt:lpstr>CL_40_</vt:lpstr>
      <vt:lpstr>CL_41_</vt:lpstr>
      <vt:lpstr>CL_42_</vt:lpstr>
      <vt:lpstr>CL_43_A</vt:lpstr>
      <vt:lpstr>CL_43_B</vt:lpstr>
      <vt:lpstr>CL_44_</vt:lpstr>
      <vt:lpstr>CL_45_</vt:lpstr>
      <vt:lpstr>CL_46_</vt:lpstr>
      <vt:lpstr>CL_47_</vt:lpstr>
      <vt:lpstr>CL_49_</vt:lpstr>
      <vt:lpstr>CL_52_</vt:lpstr>
      <vt:lpstr>CL_53_</vt:lpstr>
      <vt:lpstr>CL_54_</vt:lpstr>
      <vt:lpstr>CL_55_</vt:lpstr>
      <vt:lpstr>CL_57_</vt:lpstr>
      <vt:lpstr>CL_58_</vt:lpstr>
      <vt:lpstr>CL_59_</vt:lpstr>
      <vt:lpstr>CL_60_</vt:lpstr>
      <vt:lpstr>CL_61_</vt:lpstr>
      <vt:lpstr>CL_62_</vt:lpstr>
      <vt:lpstr>CL_63_</vt:lpstr>
      <vt:lpstr>CL_65_</vt:lpstr>
      <vt:lpstr>CL_66_</vt:lpstr>
      <vt:lpstr>CL_67_</vt:lpstr>
      <vt:lpstr>CL_68_</vt:lpstr>
      <vt:lpstr>CL_69_</vt:lpstr>
      <vt:lpstr>CL_7_101</vt:lpstr>
      <vt:lpstr>CL_7_102</vt:lpstr>
      <vt:lpstr>CL_7_201</vt:lpstr>
      <vt:lpstr>CL_7_202</vt:lpstr>
      <vt:lpstr>CL_70_</vt:lpstr>
      <vt:lpstr>CL_71_</vt:lpstr>
      <vt:lpstr>CL_72_</vt:lpstr>
      <vt:lpstr>CL_73_</vt:lpstr>
      <vt:lpstr>CL_74_</vt:lpstr>
      <vt:lpstr>CL_75_</vt:lpstr>
      <vt:lpstr>CL_76_</vt:lpstr>
      <vt:lpstr>CL_77_</vt:lpstr>
      <vt:lpstr>CL_79_</vt:lpstr>
      <vt:lpstr>CL_80_</vt:lpstr>
      <vt:lpstr>CL_81_A</vt:lpstr>
      <vt:lpstr>CL_81_B</vt:lpstr>
      <vt:lpstr>CL_82_</vt:lpstr>
      <vt:lpstr>CL_83_</vt:lpstr>
      <vt:lpstr>CL_86_</vt:lpstr>
      <vt:lpstr>CL_87_</vt:lpstr>
      <vt:lpstr>CL_88_</vt:lpstr>
      <vt:lpstr>CL_89_</vt:lpstr>
      <vt:lpstr>CL_9_</vt:lpstr>
      <vt:lpstr>CL_90_</vt:lpstr>
      <vt:lpstr>CL_91_</vt:lpstr>
      <vt:lpstr>CL_92_</vt:lpstr>
      <vt:lpstr>CL_93_</vt:lpstr>
      <vt:lpstr>CL_94_</vt:lpstr>
      <vt:lpstr>CL_95_</vt:lpstr>
      <vt:lpstr>CL_96_</vt:lpstr>
      <vt:lpstr>CL_97_</vt:lpstr>
      <vt:lpstr>CL_PAGA</vt:lpstr>
      <vt:lpstr>CL_terreno_</vt:lpstr>
      <vt:lpstr>CL_TODO</vt:lpstr>
      <vt:lpstr>CM</vt:lpstr>
      <vt:lpstr>CM_130_A</vt:lpstr>
      <vt:lpstr>CM_PAGA</vt:lpstr>
      <vt:lpstr>CM_TODO</vt:lpstr>
      <vt:lpstr>CT_PAGA</vt:lpstr>
      <vt:lpstr>CT_TODO</vt:lpstr>
      <vt:lpstr>CUCHILLA</vt:lpstr>
      <vt:lpstr>CUOTA</vt:lpstr>
      <vt:lpstr>CZ_AGO_2013</vt:lpstr>
      <vt:lpstr>deposito</vt:lpstr>
      <vt:lpstr>DIC_2012</vt:lpstr>
      <vt:lpstr>DTE_01</vt:lpstr>
      <vt:lpstr>DTE_02</vt:lpstr>
      <vt:lpstr>DTE_03</vt:lpstr>
      <vt:lpstr>DTE_04</vt:lpstr>
      <vt:lpstr>DTE_05</vt:lpstr>
      <vt:lpstr>ENE_2013</vt:lpstr>
      <vt:lpstr>EP</vt:lpstr>
      <vt:lpstr>EP_15_</vt:lpstr>
      <vt:lpstr>EP_18_</vt:lpstr>
      <vt:lpstr>EP_22_A</vt:lpstr>
      <vt:lpstr>EP_22_B</vt:lpstr>
      <vt:lpstr>EP_44_</vt:lpstr>
      <vt:lpstr>EP_PAGA</vt:lpstr>
      <vt:lpstr>EP_TODO</vt:lpstr>
      <vt:lpstr>ESTANZUELA</vt:lpstr>
      <vt:lpstr>ESTOPILA</vt:lpstr>
      <vt:lpstr>EZ</vt:lpstr>
      <vt:lpstr>EZ_100_</vt:lpstr>
      <vt:lpstr>EZ_101_</vt:lpstr>
      <vt:lpstr>EZ_103_</vt:lpstr>
      <vt:lpstr>EZ_105_</vt:lpstr>
      <vt:lpstr>EZ_11_A</vt:lpstr>
      <vt:lpstr>EZ_11_B</vt:lpstr>
      <vt:lpstr>EZ_111_</vt:lpstr>
      <vt:lpstr>EZ_115_</vt:lpstr>
      <vt:lpstr>EZ_117_</vt:lpstr>
      <vt:lpstr>EZ_119_0</vt:lpstr>
      <vt:lpstr>EZ_119_2</vt:lpstr>
      <vt:lpstr>EZ_121_</vt:lpstr>
      <vt:lpstr>EZ_123_</vt:lpstr>
      <vt:lpstr>EZ_127_</vt:lpstr>
      <vt:lpstr>EZ_129_</vt:lpstr>
      <vt:lpstr>EZ_130_B</vt:lpstr>
      <vt:lpstr>EZ_133_</vt:lpstr>
      <vt:lpstr>EZ_135_</vt:lpstr>
      <vt:lpstr>EZ_139_</vt:lpstr>
      <vt:lpstr>EZ_141_</vt:lpstr>
      <vt:lpstr>EZ_147_1</vt:lpstr>
      <vt:lpstr>EZ_147_2</vt:lpstr>
      <vt:lpstr>EZ_147_3</vt:lpstr>
      <vt:lpstr>EZ_149_</vt:lpstr>
      <vt:lpstr>EZ_15_A</vt:lpstr>
      <vt:lpstr>EZ_15_B</vt:lpstr>
      <vt:lpstr>EZ_151_</vt:lpstr>
      <vt:lpstr>EZ_153_</vt:lpstr>
      <vt:lpstr>EZ_155_</vt:lpstr>
      <vt:lpstr>EZ_157_1</vt:lpstr>
      <vt:lpstr>EZ_157_2</vt:lpstr>
      <vt:lpstr>EZ_157_3</vt:lpstr>
      <vt:lpstr>EZ_159_</vt:lpstr>
      <vt:lpstr>EZ_161_1</vt:lpstr>
      <vt:lpstr>EZ_161_B</vt:lpstr>
      <vt:lpstr>EZ_163_</vt:lpstr>
      <vt:lpstr>EZ_165_A</vt:lpstr>
      <vt:lpstr>EZ_165_B</vt:lpstr>
      <vt:lpstr>EZ_17_</vt:lpstr>
      <vt:lpstr>EZ_19_</vt:lpstr>
      <vt:lpstr>EZ_21_</vt:lpstr>
      <vt:lpstr>EZ_25_</vt:lpstr>
      <vt:lpstr>EZ_3_</vt:lpstr>
      <vt:lpstr>EZ_31_</vt:lpstr>
      <vt:lpstr>EZ_33_</vt:lpstr>
      <vt:lpstr>EZ_35_</vt:lpstr>
      <vt:lpstr>EZ_37_</vt:lpstr>
      <vt:lpstr>EZ_41_</vt:lpstr>
      <vt:lpstr>EZ_43_</vt:lpstr>
      <vt:lpstr>EZ_45_</vt:lpstr>
      <vt:lpstr>EZ_47_</vt:lpstr>
      <vt:lpstr>EZ_49_</vt:lpstr>
      <vt:lpstr>EZ_5_A</vt:lpstr>
      <vt:lpstr>EZ_5_B</vt:lpstr>
      <vt:lpstr>EZ_53_</vt:lpstr>
      <vt:lpstr>EZ_55_</vt:lpstr>
      <vt:lpstr>EZ_57_</vt:lpstr>
      <vt:lpstr>EZ_59_</vt:lpstr>
      <vt:lpstr>EZ_61_</vt:lpstr>
      <vt:lpstr>EZ_63_</vt:lpstr>
      <vt:lpstr>EZ_65_</vt:lpstr>
      <vt:lpstr>EZ_67_</vt:lpstr>
      <vt:lpstr>EZ_69_</vt:lpstr>
      <vt:lpstr>EZ_7_A</vt:lpstr>
      <vt:lpstr>EZ_7_B</vt:lpstr>
      <vt:lpstr>EZ_71_</vt:lpstr>
      <vt:lpstr>EZ_73_</vt:lpstr>
      <vt:lpstr>EZ_75_</vt:lpstr>
      <vt:lpstr>EZ_77_</vt:lpstr>
      <vt:lpstr>EZ_79_</vt:lpstr>
      <vt:lpstr>EZ_89_</vt:lpstr>
      <vt:lpstr>EZ_9_A</vt:lpstr>
      <vt:lpstr>EZ_9_B</vt:lpstr>
      <vt:lpstr>EZ_91_</vt:lpstr>
      <vt:lpstr>EZ_93_</vt:lpstr>
      <vt:lpstr>EZ_95_</vt:lpstr>
      <vt:lpstr>EZ_97_</vt:lpstr>
      <vt:lpstr>EZ_99_</vt:lpstr>
      <vt:lpstr>EZ_PAGA</vt:lpstr>
      <vt:lpstr>EZ_TODO</vt:lpstr>
      <vt:lpstr>FEB_2013</vt:lpstr>
      <vt:lpstr>G_ABR_2013</vt:lpstr>
      <vt:lpstr>G_ADQ</vt:lpstr>
      <vt:lpstr>G_AGO_2013</vt:lpstr>
      <vt:lpstr>G_AGUA</vt:lpstr>
      <vt:lpstr>G_ALMVG</vt:lpstr>
      <vt:lpstr>G_ASLE</vt:lpstr>
      <vt:lpstr>G_CBR</vt:lpstr>
      <vt:lpstr>G_DIF</vt:lpstr>
      <vt:lpstr>G_ENE_2013</vt:lpstr>
      <vt:lpstr>G_FEB_2013</vt:lpstr>
      <vt:lpstr>G_HCTB</vt:lpstr>
      <vt:lpstr>G_HJRD</vt:lpstr>
      <vt:lpstr>G_INFRA</vt:lpstr>
      <vt:lpstr>G_JDN</vt:lpstr>
      <vt:lpstr>G_JUL_2013</vt:lpstr>
      <vt:lpstr>G_JUN_2013</vt:lpstr>
      <vt:lpstr>G_MAR_2013</vt:lpstr>
      <vt:lpstr>G_MAY_2013</vt:lpstr>
      <vt:lpstr>G_MDC</vt:lpstr>
      <vt:lpstr>G_MTCBQ</vt:lpstr>
      <vt:lpstr>G_MTCST</vt:lpstr>
      <vt:lpstr>G_MTCYP</vt:lpstr>
      <vt:lpstr>G_MTILM</vt:lpstr>
      <vt:lpstr>G_MTLPZ</vt:lpstr>
      <vt:lpstr>G_MTPTA</vt:lpstr>
      <vt:lpstr>G_NMNVG</vt:lpstr>
      <vt:lpstr>G_ORG</vt:lpstr>
      <vt:lpstr>G_P_Fin</vt:lpstr>
      <vt:lpstr>G_PAPE</vt:lpstr>
      <vt:lpstr>G_SÑ</vt:lpstr>
      <vt:lpstr>G_TLF</vt:lpstr>
      <vt:lpstr>G_TOTAL</vt:lpstr>
      <vt:lpstr>G_TRSP</vt:lpstr>
      <vt:lpstr>G_UNF</vt:lpstr>
      <vt:lpstr>G_USB</vt:lpstr>
      <vt:lpstr>GASTO</vt:lpstr>
      <vt:lpstr>HJRD</vt:lpstr>
      <vt:lpstr>HS</vt:lpstr>
      <vt:lpstr>HS_828_</vt:lpstr>
      <vt:lpstr>HS_840_</vt:lpstr>
      <vt:lpstr>HS_A_</vt:lpstr>
      <vt:lpstr>HS_B_</vt:lpstr>
      <vt:lpstr>HS_C_</vt:lpstr>
      <vt:lpstr>HS_PAGA</vt:lpstr>
      <vt:lpstr>HS_TODO</vt:lpstr>
      <vt:lpstr>HUESO</vt:lpstr>
      <vt:lpstr>importe</vt:lpstr>
      <vt:lpstr>INDICE</vt:lpstr>
      <vt:lpstr>INFRA</vt:lpstr>
      <vt:lpstr>ING_CARMEL</vt:lpstr>
      <vt:lpstr>ING_CUOTAS</vt:lpstr>
      <vt:lpstr>ING_EXTRA</vt:lpstr>
      <vt:lpstr>ING_LLAVES</vt:lpstr>
      <vt:lpstr>ING_OTROS</vt:lpstr>
      <vt:lpstr>ING_SUMA</vt:lpstr>
      <vt:lpstr>ING_TAR</vt:lpstr>
      <vt:lpstr>ING_TELE</vt:lpstr>
      <vt:lpstr>IVA</vt:lpstr>
      <vt:lpstr>JUL_2013</vt:lpstr>
      <vt:lpstr>JUL_2013_A</vt:lpstr>
      <vt:lpstr>JUN_2013</vt:lpstr>
      <vt:lpstr>JUN_2013_A</vt:lpstr>
      <vt:lpstr>LANDERO</vt:lpstr>
      <vt:lpstr>LD</vt:lpstr>
      <vt:lpstr>LD_1_A</vt:lpstr>
      <vt:lpstr>LD_1_B</vt:lpstr>
      <vt:lpstr>LD_10_</vt:lpstr>
      <vt:lpstr>LD_100_</vt:lpstr>
      <vt:lpstr>LD_101_</vt:lpstr>
      <vt:lpstr>LD_11_</vt:lpstr>
      <vt:lpstr>LD_12_</vt:lpstr>
      <vt:lpstr>LD_13_</vt:lpstr>
      <vt:lpstr>LD_14_</vt:lpstr>
      <vt:lpstr>LD_15_</vt:lpstr>
      <vt:lpstr>LD_17_</vt:lpstr>
      <vt:lpstr>LD_18_</vt:lpstr>
      <vt:lpstr>LD_19_</vt:lpstr>
      <vt:lpstr>LD_2_3</vt:lpstr>
      <vt:lpstr>LD_2_A</vt:lpstr>
      <vt:lpstr>LD_2_B</vt:lpstr>
      <vt:lpstr>LD_20_</vt:lpstr>
      <vt:lpstr>LD_21_</vt:lpstr>
      <vt:lpstr>LD_22_</vt:lpstr>
      <vt:lpstr>LD_24_</vt:lpstr>
      <vt:lpstr>LD_25_</vt:lpstr>
      <vt:lpstr>LD_26_</vt:lpstr>
      <vt:lpstr>LD_28_</vt:lpstr>
      <vt:lpstr>LD_29_</vt:lpstr>
      <vt:lpstr>LD_30_</vt:lpstr>
      <vt:lpstr>LD_31_</vt:lpstr>
      <vt:lpstr>LD_33_</vt:lpstr>
      <vt:lpstr>LD_34_</vt:lpstr>
      <vt:lpstr>LD_35_</vt:lpstr>
      <vt:lpstr>LD_36_</vt:lpstr>
      <vt:lpstr>LD_37_</vt:lpstr>
      <vt:lpstr>LD_38_</vt:lpstr>
      <vt:lpstr>LD_39_</vt:lpstr>
      <vt:lpstr>LD_40_</vt:lpstr>
      <vt:lpstr>LD_41_</vt:lpstr>
      <vt:lpstr>LD_42_</vt:lpstr>
      <vt:lpstr>LD_44_</vt:lpstr>
      <vt:lpstr>LD_45_</vt:lpstr>
      <vt:lpstr>LD_47_</vt:lpstr>
      <vt:lpstr>LD_49_</vt:lpstr>
      <vt:lpstr>LD_50_</vt:lpstr>
      <vt:lpstr>LD_51_</vt:lpstr>
      <vt:lpstr>LD_52_</vt:lpstr>
      <vt:lpstr>LD_54_1</vt:lpstr>
      <vt:lpstr>LD_54_2</vt:lpstr>
      <vt:lpstr>LD_58_</vt:lpstr>
      <vt:lpstr>LD_60_</vt:lpstr>
      <vt:lpstr>LD_61_</vt:lpstr>
      <vt:lpstr>LD_62_</vt:lpstr>
      <vt:lpstr>LD_63_</vt:lpstr>
      <vt:lpstr>LD_64_</vt:lpstr>
      <vt:lpstr>LD_65_</vt:lpstr>
      <vt:lpstr>LD_66_</vt:lpstr>
      <vt:lpstr>LD_68_</vt:lpstr>
      <vt:lpstr>LD_69_</vt:lpstr>
      <vt:lpstr>LD_7_</vt:lpstr>
      <vt:lpstr>LD_70_</vt:lpstr>
      <vt:lpstr>LD_71_</vt:lpstr>
      <vt:lpstr>LD_72_</vt:lpstr>
      <vt:lpstr>LD_73_</vt:lpstr>
      <vt:lpstr>LD_74_</vt:lpstr>
      <vt:lpstr>LD_75_</vt:lpstr>
      <vt:lpstr>LD_76_</vt:lpstr>
      <vt:lpstr>LD_77_</vt:lpstr>
      <vt:lpstr>LD_8_</vt:lpstr>
      <vt:lpstr>LD_80_</vt:lpstr>
      <vt:lpstr>LD_81_</vt:lpstr>
      <vt:lpstr>LD_83_</vt:lpstr>
      <vt:lpstr>LD_84_</vt:lpstr>
      <vt:lpstr>LD_85_</vt:lpstr>
      <vt:lpstr>LD_86_</vt:lpstr>
      <vt:lpstr>LD_87_</vt:lpstr>
      <vt:lpstr>LD_88_</vt:lpstr>
      <vt:lpstr>LD_89_</vt:lpstr>
      <vt:lpstr>LD_90_</vt:lpstr>
      <vt:lpstr>LD_91_</vt:lpstr>
      <vt:lpstr>LD_92_</vt:lpstr>
      <vt:lpstr>LD_93_</vt:lpstr>
      <vt:lpstr>LD_94_</vt:lpstr>
      <vt:lpstr>LD_95_</vt:lpstr>
      <vt:lpstr>LD_96_</vt:lpstr>
      <vt:lpstr>LD_99_</vt:lpstr>
      <vt:lpstr>LD_PAGA</vt:lpstr>
      <vt:lpstr>LD_TODO</vt:lpstr>
      <vt:lpstr>MAR_2013</vt:lpstr>
      <vt:lpstr>MAY_2013</vt:lpstr>
      <vt:lpstr>MAY_2013_A</vt:lpstr>
      <vt:lpstr>Rancho_Estanzuela</vt:lpstr>
      <vt:lpstr>Rancho_Estopila</vt:lpstr>
      <vt:lpstr>Rancho_La_Cuchilla</vt:lpstr>
      <vt:lpstr>Rancho_Landero</vt:lpstr>
      <vt:lpstr>Rancho_Recoveco</vt:lpstr>
      <vt:lpstr>Rancho_Romeral</vt:lpstr>
      <vt:lpstr>Rancho_Upácuaro</vt:lpstr>
      <vt:lpstr>Rancho_Zinamba</vt:lpstr>
      <vt:lpstr>RECOVECO</vt:lpstr>
      <vt:lpstr>retiro</vt:lpstr>
      <vt:lpstr>RM</vt:lpstr>
      <vt:lpstr>RM_10_A</vt:lpstr>
      <vt:lpstr>RM_10_B</vt:lpstr>
      <vt:lpstr>RM_17_</vt:lpstr>
      <vt:lpstr>RM_23_A</vt:lpstr>
      <vt:lpstr>RM_23_B</vt:lpstr>
      <vt:lpstr>RM_30_</vt:lpstr>
      <vt:lpstr>RM_33_</vt:lpstr>
      <vt:lpstr>RM_58_</vt:lpstr>
      <vt:lpstr>RM_9_A</vt:lpstr>
      <vt:lpstr>RM_9_B</vt:lpstr>
      <vt:lpstr>RM_PAGA</vt:lpstr>
      <vt:lpstr>RM_TODO</vt:lpstr>
      <vt:lpstr>ROMERAL</vt:lpstr>
      <vt:lpstr>RV</vt:lpstr>
      <vt:lpstr>RV_1_</vt:lpstr>
      <vt:lpstr>RV_173_</vt:lpstr>
      <vt:lpstr>RV_175_0</vt:lpstr>
      <vt:lpstr>RV_175_A</vt:lpstr>
      <vt:lpstr>RV_175_B</vt:lpstr>
      <vt:lpstr>RV_179_</vt:lpstr>
      <vt:lpstr>RV_181_</vt:lpstr>
      <vt:lpstr>RV_183_</vt:lpstr>
      <vt:lpstr>RV_187_</vt:lpstr>
      <vt:lpstr>RV_189_</vt:lpstr>
      <vt:lpstr>RV_193_</vt:lpstr>
      <vt:lpstr>RV_195_</vt:lpstr>
      <vt:lpstr>RV_197_</vt:lpstr>
      <vt:lpstr>RV_2_</vt:lpstr>
      <vt:lpstr>RV_3_</vt:lpstr>
      <vt:lpstr>RV_PAGA</vt:lpstr>
      <vt:lpstr>RV_TODO</vt:lpstr>
      <vt:lpstr>SEP_2013</vt:lpstr>
      <vt:lpstr>SEP_2013_A</vt:lpstr>
      <vt:lpstr>'cobranza 2013'!Títulos_a_imprimir</vt:lpstr>
      <vt:lpstr>UP</vt:lpstr>
      <vt:lpstr>UP_10_</vt:lpstr>
      <vt:lpstr>UP_100_</vt:lpstr>
      <vt:lpstr>UP_101_</vt:lpstr>
      <vt:lpstr>UP_102_</vt:lpstr>
      <vt:lpstr>UP_103_</vt:lpstr>
      <vt:lpstr>UP_104_</vt:lpstr>
      <vt:lpstr>UP_106_</vt:lpstr>
      <vt:lpstr>UP_108_</vt:lpstr>
      <vt:lpstr>UP_11_</vt:lpstr>
      <vt:lpstr>UP_110_</vt:lpstr>
      <vt:lpstr>UP_114_</vt:lpstr>
      <vt:lpstr>UP_116_</vt:lpstr>
      <vt:lpstr>UP_118_</vt:lpstr>
      <vt:lpstr>UP_12_</vt:lpstr>
      <vt:lpstr>UP_120_</vt:lpstr>
      <vt:lpstr>UP_122_</vt:lpstr>
      <vt:lpstr>UP_124_</vt:lpstr>
      <vt:lpstr>UP_128_</vt:lpstr>
      <vt:lpstr>UP_130_</vt:lpstr>
      <vt:lpstr>UP_132_</vt:lpstr>
      <vt:lpstr>UP_134_</vt:lpstr>
      <vt:lpstr>UP_136_</vt:lpstr>
      <vt:lpstr>UP_138_</vt:lpstr>
      <vt:lpstr>UP_14_</vt:lpstr>
      <vt:lpstr>UP_140_</vt:lpstr>
      <vt:lpstr>UP_142_</vt:lpstr>
      <vt:lpstr>UP_144_</vt:lpstr>
      <vt:lpstr>UP_146_</vt:lpstr>
      <vt:lpstr>UP_148_</vt:lpstr>
      <vt:lpstr>UP_15_</vt:lpstr>
      <vt:lpstr>UP_16_</vt:lpstr>
      <vt:lpstr>UP_18_</vt:lpstr>
      <vt:lpstr>UP_19_</vt:lpstr>
      <vt:lpstr>UP_20_</vt:lpstr>
      <vt:lpstr>UP_21_</vt:lpstr>
      <vt:lpstr>UP_23_</vt:lpstr>
      <vt:lpstr>UP_24_</vt:lpstr>
      <vt:lpstr>UP_26_</vt:lpstr>
      <vt:lpstr>UP_30_</vt:lpstr>
      <vt:lpstr>UP_31_</vt:lpstr>
      <vt:lpstr>UP_32_</vt:lpstr>
      <vt:lpstr>UP_33_</vt:lpstr>
      <vt:lpstr>UP_34_</vt:lpstr>
      <vt:lpstr>UP_35_</vt:lpstr>
      <vt:lpstr>UP_36_</vt:lpstr>
      <vt:lpstr>UP_37_</vt:lpstr>
      <vt:lpstr>UP_39_</vt:lpstr>
      <vt:lpstr>UP_40_</vt:lpstr>
      <vt:lpstr>UP_42_</vt:lpstr>
      <vt:lpstr>UP_43_</vt:lpstr>
      <vt:lpstr>UP_44_</vt:lpstr>
      <vt:lpstr>UP_45_</vt:lpstr>
      <vt:lpstr>UP_46_</vt:lpstr>
      <vt:lpstr>UP_47_</vt:lpstr>
      <vt:lpstr>UP_48_</vt:lpstr>
      <vt:lpstr>UP_49_</vt:lpstr>
      <vt:lpstr>UP_5_B</vt:lpstr>
      <vt:lpstr>UP_50_</vt:lpstr>
      <vt:lpstr>UP_51_1</vt:lpstr>
      <vt:lpstr>UP_51_2</vt:lpstr>
      <vt:lpstr>UP_52_</vt:lpstr>
      <vt:lpstr>UP_54_</vt:lpstr>
      <vt:lpstr>UP_55_</vt:lpstr>
      <vt:lpstr>UP_56_</vt:lpstr>
      <vt:lpstr>UP_57_</vt:lpstr>
      <vt:lpstr>UP_60_</vt:lpstr>
      <vt:lpstr>UP_61_</vt:lpstr>
      <vt:lpstr>UP_62_</vt:lpstr>
      <vt:lpstr>UP_63_</vt:lpstr>
      <vt:lpstr>UP_64_</vt:lpstr>
      <vt:lpstr>UP_65_</vt:lpstr>
      <vt:lpstr>UP_68_</vt:lpstr>
      <vt:lpstr>UP_69_</vt:lpstr>
      <vt:lpstr>UP_7_</vt:lpstr>
      <vt:lpstr>UP_70_</vt:lpstr>
      <vt:lpstr>UP_71_</vt:lpstr>
      <vt:lpstr>UP_72_</vt:lpstr>
      <vt:lpstr>UP_73_A</vt:lpstr>
      <vt:lpstr>UP_73_B</vt:lpstr>
      <vt:lpstr>UP_74_</vt:lpstr>
      <vt:lpstr>UP_75_</vt:lpstr>
      <vt:lpstr>UP_76_</vt:lpstr>
      <vt:lpstr>UP_77_</vt:lpstr>
      <vt:lpstr>UP_78_</vt:lpstr>
      <vt:lpstr>UP_79_</vt:lpstr>
      <vt:lpstr>UP_8_</vt:lpstr>
      <vt:lpstr>UP_80_</vt:lpstr>
      <vt:lpstr>UP_85_</vt:lpstr>
      <vt:lpstr>UP_86_</vt:lpstr>
      <vt:lpstr>UP_87_</vt:lpstr>
      <vt:lpstr>UP_88_</vt:lpstr>
      <vt:lpstr>UP_89_</vt:lpstr>
      <vt:lpstr>UP_9_</vt:lpstr>
      <vt:lpstr>UP_90_</vt:lpstr>
      <vt:lpstr>UP_91_</vt:lpstr>
      <vt:lpstr>UP_92_</vt:lpstr>
      <vt:lpstr>UP_93_</vt:lpstr>
      <vt:lpstr>UP_94_</vt:lpstr>
      <vt:lpstr>UP_95_</vt:lpstr>
      <vt:lpstr>UP_96_</vt:lpstr>
      <vt:lpstr>UP_99_</vt:lpstr>
      <vt:lpstr>UP_PAGA</vt:lpstr>
      <vt:lpstr>UP_TODO</vt:lpstr>
      <vt:lpstr>UPACUARO</vt:lpstr>
      <vt:lpstr>ZB</vt:lpstr>
      <vt:lpstr>ZB_10_</vt:lpstr>
      <vt:lpstr>ZB_12_</vt:lpstr>
      <vt:lpstr>ZB_14_</vt:lpstr>
      <vt:lpstr>ZB_18_</vt:lpstr>
      <vt:lpstr>ZB_20_</vt:lpstr>
      <vt:lpstr>ZB_22_</vt:lpstr>
      <vt:lpstr>ZB_24_</vt:lpstr>
      <vt:lpstr>ZB_26_</vt:lpstr>
      <vt:lpstr>ZB_30_</vt:lpstr>
      <vt:lpstr>ZB_34_</vt:lpstr>
      <vt:lpstr>ZB_36_</vt:lpstr>
      <vt:lpstr>ZB_38_</vt:lpstr>
      <vt:lpstr>ZB_40_</vt:lpstr>
      <vt:lpstr>ZB_42_</vt:lpstr>
      <vt:lpstr>ZB_44_</vt:lpstr>
      <vt:lpstr>ZB_46_</vt:lpstr>
      <vt:lpstr>ZB_50_</vt:lpstr>
      <vt:lpstr>ZB_54_</vt:lpstr>
      <vt:lpstr>ZB_56_</vt:lpstr>
      <vt:lpstr>ZB_58_</vt:lpstr>
      <vt:lpstr>ZB_6_</vt:lpstr>
      <vt:lpstr>ZB_60_</vt:lpstr>
      <vt:lpstr>ZB_62_</vt:lpstr>
      <vt:lpstr>ZB_66_</vt:lpstr>
      <vt:lpstr>ZB_68_</vt:lpstr>
      <vt:lpstr>ZB_72_</vt:lpstr>
      <vt:lpstr>ZB_74_</vt:lpstr>
      <vt:lpstr>ZB_76_</vt:lpstr>
      <vt:lpstr>ZB_8_</vt:lpstr>
      <vt:lpstr>ZB_80_</vt:lpstr>
      <vt:lpstr>ZB_82_</vt:lpstr>
      <vt:lpstr>ZB_84_</vt:lpstr>
      <vt:lpstr>ZB_88_</vt:lpstr>
      <vt:lpstr>ZB_PAGA</vt:lpstr>
      <vt:lpstr>ZB_TODO</vt:lpstr>
      <vt:lpstr>ZINAMBA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ERamírez Lepe</dc:creator>
  <cp:lastModifiedBy>Baldemar Sala Bay</cp:lastModifiedBy>
  <cp:lastPrinted>2014-01-21T23:11:31Z</cp:lastPrinted>
  <dcterms:created xsi:type="dcterms:W3CDTF">2013-06-01T15:08:31Z</dcterms:created>
  <dcterms:modified xsi:type="dcterms:W3CDTF">2014-12-12T20:02:31Z</dcterms:modified>
</cp:coreProperties>
</file>