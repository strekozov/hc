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65" windowWidth="23715" windowHeight="9465" activeTab="1"/>
  </bookViews>
  <sheets>
    <sheet name="RECIBOS MAYO-13  " sheetId="1" r:id="rId1"/>
    <sheet name="RECIBOS JUNIO-13 " sheetId="4" r:id="rId2"/>
  </sheets>
  <definedNames>
    <definedName name="_xlnm._FilterDatabase" localSheetId="0" hidden="1">'RECIBOS MAYO-13  '!$A$4:$H$211</definedName>
  </definedNames>
  <calcPr calcId="145621"/>
</workbook>
</file>

<file path=xl/calcChain.xml><?xml version="1.0" encoding="utf-8"?>
<calcChain xmlns="http://schemas.openxmlformats.org/spreadsheetml/2006/main">
  <c r="Q90" i="4" l="1"/>
  <c r="B115" i="1" l="1"/>
  <c r="A215" i="1"/>
  <c r="B119" i="1"/>
  <c r="B82" i="1"/>
  <c r="B153" i="1"/>
  <c r="B183" i="1"/>
  <c r="B215" i="1" l="1"/>
  <c r="B50" i="4"/>
  <c r="H151" i="1"/>
  <c r="Q50" i="4" l="1"/>
  <c r="H238" i="4" l="1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C219" i="4"/>
  <c r="A219" i="4"/>
  <c r="G215" i="4"/>
  <c r="F215" i="4"/>
  <c r="L3" i="4" s="1"/>
  <c r="E215" i="4"/>
  <c r="K3" i="4" s="1"/>
  <c r="D215" i="4"/>
  <c r="J3" i="4" s="1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B219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M3" i="4"/>
  <c r="H215" i="4" l="1"/>
  <c r="N3" i="4" s="1"/>
  <c r="D219" i="4"/>
  <c r="H110" i="1" l="1"/>
  <c r="C215" i="1" l="1"/>
  <c r="G211" i="1"/>
  <c r="F211" i="1"/>
  <c r="E211" i="1"/>
  <c r="D211" i="1"/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4" i="1"/>
  <c r="Q4" i="1" l="1"/>
  <c r="Q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Q115" i="1" l="1"/>
  <c r="Q153" i="1"/>
  <c r="D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M3" i="1"/>
  <c r="K3" i="1"/>
  <c r="L3" i="1"/>
  <c r="J3" i="1" l="1"/>
  <c r="H211" i="1"/>
  <c r="N3" i="1" s="1"/>
</calcChain>
</file>

<file path=xl/comments1.xml><?xml version="1.0" encoding="utf-8"?>
<comments xmlns="http://schemas.openxmlformats.org/spreadsheetml/2006/main">
  <authors>
    <author>Baldemar Sala Bay</author>
  </authors>
  <commentList>
    <comment ref="H117" authorId="0">
      <text>
        <r>
          <rPr>
            <b/>
            <sz val="9"/>
            <color indexed="81"/>
            <rFont val="Tahoma"/>
            <charset val="1"/>
          </rPr>
          <t>Baldemar Sala Bay:
Efectivo y recibo entregado a Olivia.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Baldemar Sala Bay</author>
  </authors>
  <commentList>
    <comment ref="H119" authorId="0">
      <text>
        <r>
          <rPr>
            <b/>
            <sz val="9"/>
            <color indexed="81"/>
            <rFont val="Tahoma"/>
            <charset val="1"/>
          </rPr>
          <t>Baldemar Sala Bay:
Efectivo y recibo entregado a Olivia.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<sst xmlns="http://schemas.openxmlformats.org/spreadsheetml/2006/main" count="59" uniqueCount="25">
  <si>
    <t>TOTAL</t>
  </si>
  <si>
    <t>RECIBO</t>
  </si>
  <si>
    <t>CANTIDAD</t>
  </si>
  <si>
    <t>VIGILANCIA</t>
  </si>
  <si>
    <t>LLAVES</t>
  </si>
  <si>
    <t>TARJETONES</t>
  </si>
  <si>
    <t xml:space="preserve"> T.ELECTRON </t>
  </si>
  <si>
    <t>T.ELECTRONICA</t>
  </si>
  <si>
    <t>T   O   T   A   L   E    S</t>
  </si>
  <si>
    <t>G  R  A  N</t>
  </si>
  <si>
    <t>CANCELADO</t>
  </si>
  <si>
    <t>EXPEDIDOS</t>
  </si>
  <si>
    <t>CANCELADOS</t>
  </si>
  <si>
    <t>R E C I B O S</t>
  </si>
  <si>
    <t>RECIBOS</t>
  </si>
  <si>
    <t>COBRO DOMINGO</t>
  </si>
  <si>
    <t>FECHA</t>
  </si>
  <si>
    <t>IMPORTE</t>
  </si>
  <si>
    <t>RECIBOS DE MAYO 2013</t>
  </si>
  <si>
    <t>Cancelado</t>
  </si>
  <si>
    <t>No RECIBOS</t>
  </si>
  <si>
    <t>ACUMULADOS</t>
  </si>
  <si>
    <t>Jorge-Pedro</t>
  </si>
  <si>
    <t>Ludi y Ernesto</t>
  </si>
  <si>
    <t>Jose Luis-Antonio Sánchez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</si>
</sst>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;[Red]\-&quot;$&quot;#,##0.00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8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4" fontId="2" fillId="3" borderId="6" xfId="0" applyNumberFormat="1" applyFont="1" applyFill="1" applyBorder="1" applyAlignment="1">
      <alignment horizontal="center"/>
    </xf>
    <xf numFmtId="8" fontId="2" fillId="3" borderId="11" xfId="0" applyNumberFormat="1" applyFont="1" applyFill="1" applyBorder="1" applyAlignment="1">
      <alignment horizontal="center"/>
    </xf>
    <xf numFmtId="8" fontId="2" fillId="4" borderId="7" xfId="0" applyNumberFormat="1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0" xfId="0" applyFont="1" applyFill="1" applyAlignment="1"/>
    <xf numFmtId="164" fontId="2" fillId="0" borderId="0" xfId="0" applyNumberFormat="1" applyFont="1" applyFill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14" fontId="0" fillId="0" borderId="0" xfId="0" applyNumberFormat="1"/>
    <xf numFmtId="14" fontId="2" fillId="0" borderId="0" xfId="0" applyNumberFormat="1" applyFont="1"/>
    <xf numFmtId="14" fontId="2" fillId="0" borderId="0" xfId="0" applyNumberFormat="1" applyFont="1" applyFill="1"/>
    <xf numFmtId="164" fontId="2" fillId="4" borderId="0" xfId="0" applyNumberFormat="1" applyFont="1" applyFill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64" fontId="2" fillId="4" borderId="0" xfId="0" applyNumberFormat="1" applyFont="1" applyFill="1"/>
    <xf numFmtId="14" fontId="2" fillId="6" borderId="0" xfId="0" applyNumberFormat="1" applyFont="1" applyFill="1"/>
    <xf numFmtId="164" fontId="0" fillId="0" borderId="0" xfId="0" applyNumberFormat="1" applyFont="1" applyAlignment="1">
      <alignment horizontal="center"/>
    </xf>
    <xf numFmtId="0" fontId="2" fillId="4" borderId="8" xfId="0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64" fontId="0" fillId="0" borderId="0" xfId="0" applyNumberFormat="1" applyFill="1"/>
    <xf numFmtId="0" fontId="2" fillId="0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164" fontId="2" fillId="0" borderId="0" xfId="0" applyNumberFormat="1" applyFont="1" applyFill="1"/>
    <xf numFmtId="14" fontId="0" fillId="0" borderId="0" xfId="0" applyNumberFormat="1" applyFill="1"/>
    <xf numFmtId="164" fontId="0" fillId="0" borderId="0" xfId="0" applyNumberFormat="1" applyFont="1" applyFill="1" applyAlignment="1">
      <alignment horizontal="center"/>
    </xf>
    <xf numFmtId="0" fontId="2" fillId="0" borderId="0" xfId="0" applyFon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266"/>
  <sheetViews>
    <sheetView workbookViewId="0">
      <pane ySplit="1200" topLeftCell="A173" activePane="bottomLeft"/>
      <selection activeCell="A359" sqref="A359"/>
      <selection pane="bottomLeft" activeCell="H183" sqref="H183"/>
    </sheetView>
  </sheetViews>
  <sheetFormatPr baseColWidth="10" defaultRowHeight="15" x14ac:dyDescent="0.25"/>
  <cols>
    <col min="1" max="1" width="11.28515625" style="3" customWidth="1"/>
    <col min="2" max="2" width="13.85546875" style="3" customWidth="1"/>
    <col min="3" max="3" width="12.42578125" style="3" customWidth="1"/>
    <col min="4" max="4" width="11.42578125" style="3"/>
    <col min="5" max="5" width="9.28515625" style="3" customWidth="1"/>
    <col min="6" max="6" width="12.28515625" style="3" customWidth="1"/>
    <col min="7" max="7" width="12.5703125" style="3" customWidth="1"/>
    <col min="8" max="8" width="10.7109375" customWidth="1"/>
    <col min="9" max="9" width="2.28515625" customWidth="1"/>
    <col min="10" max="10" width="11.42578125" customWidth="1"/>
    <col min="11" max="11" width="9.7109375" customWidth="1"/>
    <col min="12" max="12" width="12.5703125" customWidth="1"/>
    <col min="13" max="13" width="14.42578125" customWidth="1"/>
    <col min="14" max="14" width="10.5703125" customWidth="1"/>
    <col min="15" max="15" width="2.140625" customWidth="1"/>
    <col min="16" max="16" width="10.42578125" customWidth="1"/>
    <col min="17" max="17" width="11.42578125" customWidth="1"/>
  </cols>
  <sheetData>
    <row r="1" spans="1:17" x14ac:dyDescent="0.25">
      <c r="A1" s="51" t="s">
        <v>18</v>
      </c>
      <c r="B1" s="51"/>
      <c r="C1" s="51"/>
      <c r="D1" s="51"/>
      <c r="E1" s="51"/>
      <c r="F1" s="51"/>
      <c r="G1" s="51"/>
      <c r="H1" s="51"/>
      <c r="J1" s="52" t="s">
        <v>8</v>
      </c>
      <c r="K1" s="52"/>
      <c r="L1" s="52"/>
      <c r="M1" s="52"/>
      <c r="N1" s="5" t="s">
        <v>9</v>
      </c>
      <c r="P1" s="56" t="s">
        <v>15</v>
      </c>
      <c r="Q1" s="56"/>
    </row>
    <row r="2" spans="1:17" x14ac:dyDescent="0.25">
      <c r="A2" s="5" t="s">
        <v>1</v>
      </c>
      <c r="B2" s="25" t="s">
        <v>20</v>
      </c>
      <c r="C2" s="5" t="s">
        <v>10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2</v>
      </c>
      <c r="J2" s="5" t="s">
        <v>3</v>
      </c>
      <c r="K2" s="5" t="s">
        <v>4</v>
      </c>
      <c r="L2" s="5" t="s">
        <v>5</v>
      </c>
      <c r="M2" s="5" t="s">
        <v>7</v>
      </c>
      <c r="N2" s="5" t="s">
        <v>0</v>
      </c>
      <c r="P2" s="20" t="s">
        <v>16</v>
      </c>
      <c r="Q2" s="21" t="s">
        <v>17</v>
      </c>
    </row>
    <row r="3" spans="1:17" x14ac:dyDescent="0.25">
      <c r="J3" s="17">
        <f>D211</f>
        <v>67095</v>
      </c>
      <c r="K3" s="18">
        <f>E211</f>
        <v>1650</v>
      </c>
      <c r="L3" s="18">
        <f>F211</f>
        <v>60</v>
      </c>
      <c r="M3" s="18">
        <f>G211</f>
        <v>2880</v>
      </c>
      <c r="N3" s="19">
        <f>H211</f>
        <v>71685</v>
      </c>
    </row>
    <row r="4" spans="1:17" x14ac:dyDescent="0.25">
      <c r="A4" s="3">
        <v>4774</v>
      </c>
      <c r="D4" s="6">
        <v>300</v>
      </c>
      <c r="E4" s="6"/>
      <c r="F4" s="6"/>
      <c r="G4" s="6"/>
      <c r="H4" s="6">
        <f t="shared" ref="H4:H67" si="0">IF(SUM(D4:G4)=0,"",SUM(D4:G4))</f>
        <v>300</v>
      </c>
      <c r="J4" s="2"/>
      <c r="K4" s="1"/>
      <c r="L4" s="1"/>
      <c r="M4" s="1"/>
      <c r="N4" s="1"/>
      <c r="P4" s="27">
        <v>41399</v>
      </c>
      <c r="Q4" s="34">
        <f>SUM(H4:H82)</f>
        <v>33905</v>
      </c>
    </row>
    <row r="5" spans="1:17" x14ac:dyDescent="0.25">
      <c r="A5" s="3">
        <v>4775</v>
      </c>
      <c r="D5" s="6">
        <v>600</v>
      </c>
      <c r="E5" s="6"/>
      <c r="F5" s="6"/>
      <c r="G5" s="6"/>
      <c r="H5" s="6">
        <f t="shared" si="0"/>
        <v>600</v>
      </c>
      <c r="M5" s="1"/>
      <c r="N5" s="1"/>
      <c r="P5" s="26"/>
    </row>
    <row r="6" spans="1:17" x14ac:dyDescent="0.25">
      <c r="A6" s="3">
        <v>4776</v>
      </c>
      <c r="D6" s="6">
        <v>600</v>
      </c>
      <c r="E6" s="6"/>
      <c r="F6" s="6"/>
      <c r="G6" s="6"/>
      <c r="H6" s="6">
        <f t="shared" si="0"/>
        <v>600</v>
      </c>
      <c r="M6" s="1"/>
      <c r="N6" s="1"/>
      <c r="P6" s="26"/>
    </row>
    <row r="7" spans="1:17" x14ac:dyDescent="0.25">
      <c r="A7" s="3">
        <v>4777</v>
      </c>
      <c r="D7" s="6">
        <v>200</v>
      </c>
      <c r="E7" s="6"/>
      <c r="F7" s="6"/>
      <c r="G7" s="6"/>
      <c r="H7" s="6">
        <f t="shared" si="0"/>
        <v>200</v>
      </c>
      <c r="P7" s="26"/>
    </row>
    <row r="8" spans="1:17" x14ac:dyDescent="0.25">
      <c r="A8" s="3">
        <v>4778</v>
      </c>
      <c r="D8" s="6">
        <v>900</v>
      </c>
      <c r="E8" s="6"/>
      <c r="F8" s="6"/>
      <c r="G8" s="6"/>
      <c r="H8" s="6">
        <f t="shared" si="0"/>
        <v>900</v>
      </c>
      <c r="P8" s="26"/>
    </row>
    <row r="9" spans="1:17" x14ac:dyDescent="0.25">
      <c r="A9" s="3">
        <v>4779</v>
      </c>
      <c r="D9" s="6">
        <v>900</v>
      </c>
      <c r="E9" s="6"/>
      <c r="F9" s="6"/>
      <c r="G9" s="6"/>
      <c r="H9" s="6">
        <f t="shared" si="0"/>
        <v>900</v>
      </c>
      <c r="P9" s="26"/>
    </row>
    <row r="10" spans="1:17" x14ac:dyDescent="0.25">
      <c r="A10" s="3">
        <v>4780</v>
      </c>
      <c r="D10" s="43">
        <v>300</v>
      </c>
      <c r="E10" s="6"/>
      <c r="F10" s="6"/>
      <c r="G10" s="6"/>
      <c r="H10" s="6">
        <f t="shared" si="0"/>
        <v>300</v>
      </c>
      <c r="P10" s="26"/>
    </row>
    <row r="11" spans="1:17" x14ac:dyDescent="0.25">
      <c r="A11" s="3">
        <v>4781</v>
      </c>
      <c r="D11" s="43">
        <v>300</v>
      </c>
      <c r="E11" s="6"/>
      <c r="F11" s="6"/>
      <c r="G11" s="6"/>
      <c r="H11" s="6">
        <f t="shared" si="0"/>
        <v>300</v>
      </c>
      <c r="P11" s="26"/>
    </row>
    <row r="12" spans="1:17" x14ac:dyDescent="0.25">
      <c r="A12" s="3">
        <v>4782</v>
      </c>
      <c r="D12" s="6">
        <v>600</v>
      </c>
      <c r="E12" s="6"/>
      <c r="F12" s="6"/>
      <c r="G12" s="6"/>
      <c r="H12" s="6">
        <f t="shared" si="0"/>
        <v>600</v>
      </c>
      <c r="P12" s="26"/>
    </row>
    <row r="13" spans="1:17" x14ac:dyDescent="0.25">
      <c r="A13" s="3">
        <v>4783</v>
      </c>
      <c r="D13" s="6">
        <v>300</v>
      </c>
      <c r="E13" s="6"/>
      <c r="F13" s="6"/>
      <c r="G13" s="6"/>
      <c r="H13" s="6">
        <f t="shared" si="0"/>
        <v>300</v>
      </c>
      <c r="P13" s="26"/>
    </row>
    <row r="14" spans="1:17" x14ac:dyDescent="0.25">
      <c r="A14" s="3">
        <v>4784</v>
      </c>
      <c r="D14" s="6">
        <v>300</v>
      </c>
      <c r="E14" s="6"/>
      <c r="F14" s="6"/>
      <c r="G14" s="6"/>
      <c r="H14" s="6">
        <f t="shared" si="0"/>
        <v>300</v>
      </c>
      <c r="P14" s="26"/>
    </row>
    <row r="15" spans="1:17" x14ac:dyDescent="0.25">
      <c r="A15" s="3">
        <v>4785</v>
      </c>
      <c r="D15" s="6">
        <v>125</v>
      </c>
      <c r="E15" s="6"/>
      <c r="F15" s="6"/>
      <c r="G15" s="6"/>
      <c r="H15" s="6">
        <f t="shared" si="0"/>
        <v>125</v>
      </c>
      <c r="P15" s="26"/>
    </row>
    <row r="16" spans="1:17" x14ac:dyDescent="0.25">
      <c r="A16" s="3">
        <v>4786</v>
      </c>
      <c r="D16" s="6">
        <v>300</v>
      </c>
      <c r="E16" s="6"/>
      <c r="F16" s="6"/>
      <c r="G16" s="6"/>
      <c r="H16" s="6">
        <f t="shared" si="0"/>
        <v>300</v>
      </c>
      <c r="P16" s="26"/>
    </row>
    <row r="17" spans="1:16" x14ac:dyDescent="0.25">
      <c r="A17" s="3">
        <v>4787</v>
      </c>
      <c r="D17" s="6">
        <v>300</v>
      </c>
      <c r="E17" s="6"/>
      <c r="F17" s="6"/>
      <c r="G17" s="6"/>
      <c r="H17" s="6">
        <f t="shared" si="0"/>
        <v>300</v>
      </c>
      <c r="P17" s="26"/>
    </row>
    <row r="18" spans="1:16" x14ac:dyDescent="0.25">
      <c r="A18" s="3">
        <v>4788</v>
      </c>
      <c r="D18" s="6">
        <v>300</v>
      </c>
      <c r="E18" s="6"/>
      <c r="F18" s="6"/>
      <c r="G18" s="6"/>
      <c r="H18" s="6">
        <f t="shared" si="0"/>
        <v>300</v>
      </c>
      <c r="P18" s="26"/>
    </row>
    <row r="19" spans="1:16" x14ac:dyDescent="0.25">
      <c r="A19" s="3">
        <v>4789</v>
      </c>
      <c r="D19" s="6">
        <v>300</v>
      </c>
      <c r="E19" s="6"/>
      <c r="F19" s="6"/>
      <c r="G19" s="6"/>
      <c r="H19" s="6">
        <f t="shared" si="0"/>
        <v>300</v>
      </c>
      <c r="P19" s="26"/>
    </row>
    <row r="20" spans="1:16" x14ac:dyDescent="0.25">
      <c r="A20" s="3">
        <v>4790</v>
      </c>
      <c r="D20" s="6"/>
      <c r="E20" s="6"/>
      <c r="F20" s="6"/>
      <c r="G20" s="6">
        <v>320</v>
      </c>
      <c r="H20" s="6">
        <f t="shared" si="0"/>
        <v>320</v>
      </c>
      <c r="P20" s="26"/>
    </row>
    <row r="21" spans="1:16" x14ac:dyDescent="0.25">
      <c r="A21" s="3">
        <v>4791</v>
      </c>
      <c r="D21" s="6">
        <v>300</v>
      </c>
      <c r="E21" s="6"/>
      <c r="F21" s="6"/>
      <c r="G21" s="6"/>
      <c r="H21" s="6">
        <f t="shared" si="0"/>
        <v>300</v>
      </c>
      <c r="P21" s="26"/>
    </row>
    <row r="22" spans="1:16" x14ac:dyDescent="0.25">
      <c r="A22" s="3">
        <v>4792</v>
      </c>
      <c r="C22" s="3" t="s">
        <v>19</v>
      </c>
      <c r="D22" s="6"/>
      <c r="E22" s="6"/>
      <c r="F22" s="6"/>
      <c r="G22" s="6"/>
      <c r="H22" s="6" t="str">
        <f t="shared" si="0"/>
        <v/>
      </c>
      <c r="P22" s="26"/>
    </row>
    <row r="23" spans="1:16" x14ac:dyDescent="0.25">
      <c r="A23" s="3">
        <v>4793</v>
      </c>
      <c r="D23" s="6">
        <v>300</v>
      </c>
      <c r="E23" s="6"/>
      <c r="F23" s="6"/>
      <c r="G23" s="6"/>
      <c r="H23" s="6">
        <f t="shared" si="0"/>
        <v>300</v>
      </c>
      <c r="P23" s="26"/>
    </row>
    <row r="24" spans="1:16" x14ac:dyDescent="0.25">
      <c r="A24" s="3">
        <v>4794</v>
      </c>
      <c r="D24" s="6">
        <v>300</v>
      </c>
      <c r="E24" s="6"/>
      <c r="F24" s="6"/>
      <c r="G24" s="6"/>
      <c r="H24" s="6">
        <f t="shared" si="0"/>
        <v>300</v>
      </c>
      <c r="P24" s="26"/>
    </row>
    <row r="25" spans="1:16" x14ac:dyDescent="0.25">
      <c r="A25" s="3">
        <v>4795</v>
      </c>
      <c r="D25" s="6">
        <v>300</v>
      </c>
      <c r="E25" s="6"/>
      <c r="F25" s="6"/>
      <c r="G25" s="6"/>
      <c r="H25" s="6">
        <f t="shared" si="0"/>
        <v>300</v>
      </c>
      <c r="P25" s="26"/>
    </row>
    <row r="26" spans="1:16" x14ac:dyDescent="0.25">
      <c r="A26" s="3">
        <v>4796</v>
      </c>
      <c r="D26" s="6">
        <v>300</v>
      </c>
      <c r="E26" s="6"/>
      <c r="F26" s="6"/>
      <c r="G26" s="6"/>
      <c r="H26" s="6">
        <f t="shared" si="0"/>
        <v>300</v>
      </c>
      <c r="P26" s="26"/>
    </row>
    <row r="27" spans="1:16" x14ac:dyDescent="0.25">
      <c r="A27" s="3">
        <v>4797</v>
      </c>
      <c r="D27" s="6">
        <v>300</v>
      </c>
      <c r="E27" s="6"/>
      <c r="F27" s="6"/>
      <c r="G27" s="6"/>
      <c r="H27" s="6">
        <f t="shared" si="0"/>
        <v>300</v>
      </c>
      <c r="P27" s="26"/>
    </row>
    <row r="28" spans="1:16" x14ac:dyDescent="0.25">
      <c r="A28" s="3">
        <v>4798</v>
      </c>
      <c r="D28" s="6">
        <v>300</v>
      </c>
      <c r="E28" s="6"/>
      <c r="F28" s="6"/>
      <c r="G28" s="6"/>
      <c r="H28" s="6">
        <f t="shared" si="0"/>
        <v>300</v>
      </c>
      <c r="P28" s="26"/>
    </row>
    <row r="29" spans="1:16" x14ac:dyDescent="0.25">
      <c r="A29" s="3">
        <v>4799</v>
      </c>
      <c r="D29" s="6">
        <v>600</v>
      </c>
      <c r="E29" s="6"/>
      <c r="F29" s="6"/>
      <c r="G29" s="6"/>
      <c r="H29" s="6">
        <f t="shared" si="0"/>
        <v>600</v>
      </c>
      <c r="P29" s="26"/>
    </row>
    <row r="30" spans="1:16" x14ac:dyDescent="0.25">
      <c r="A30" s="3">
        <v>4800</v>
      </c>
      <c r="D30" s="6"/>
      <c r="E30" s="6"/>
      <c r="F30" s="6"/>
      <c r="G30" s="6">
        <v>160</v>
      </c>
      <c r="H30" s="6">
        <f t="shared" si="0"/>
        <v>160</v>
      </c>
      <c r="P30" s="26"/>
    </row>
    <row r="31" spans="1:16" x14ac:dyDescent="0.25">
      <c r="A31" s="3">
        <v>4801</v>
      </c>
      <c r="D31" s="6">
        <v>300</v>
      </c>
      <c r="E31" s="6"/>
      <c r="F31" s="6"/>
      <c r="G31" s="6"/>
      <c r="H31" s="6">
        <f t="shared" si="0"/>
        <v>300</v>
      </c>
      <c r="P31" s="26"/>
    </row>
    <row r="32" spans="1:16" x14ac:dyDescent="0.25">
      <c r="A32" s="3">
        <v>4802</v>
      </c>
      <c r="D32" s="6">
        <v>300</v>
      </c>
      <c r="E32" s="6"/>
      <c r="F32" s="6"/>
      <c r="G32" s="6"/>
      <c r="H32" s="6">
        <f t="shared" si="0"/>
        <v>300</v>
      </c>
      <c r="P32" s="26"/>
    </row>
    <row r="33" spans="1:17" x14ac:dyDescent="0.25">
      <c r="A33" s="3">
        <v>4803</v>
      </c>
      <c r="D33" s="6">
        <v>300</v>
      </c>
      <c r="E33" s="6"/>
      <c r="F33" s="6"/>
      <c r="G33" s="6"/>
      <c r="H33" s="6">
        <f t="shared" si="0"/>
        <v>300</v>
      </c>
      <c r="P33" s="26"/>
    </row>
    <row r="34" spans="1:17" x14ac:dyDescent="0.25">
      <c r="A34" s="3">
        <v>4804</v>
      </c>
      <c r="C34" s="3" t="s">
        <v>19</v>
      </c>
      <c r="D34" s="6"/>
      <c r="E34" s="6"/>
      <c r="F34" s="6"/>
      <c r="G34" s="6"/>
      <c r="H34" s="6" t="str">
        <f t="shared" si="0"/>
        <v/>
      </c>
      <c r="P34" s="26"/>
    </row>
    <row r="35" spans="1:17" x14ac:dyDescent="0.25">
      <c r="A35" s="3">
        <v>4805</v>
      </c>
      <c r="D35" s="6">
        <v>300</v>
      </c>
      <c r="E35" s="6"/>
      <c r="F35" s="6"/>
      <c r="G35" s="6"/>
      <c r="H35" s="6">
        <f t="shared" si="0"/>
        <v>300</v>
      </c>
      <c r="P35" s="26"/>
    </row>
    <row r="36" spans="1:17" x14ac:dyDescent="0.25">
      <c r="A36" s="3">
        <v>4806</v>
      </c>
      <c r="D36" s="6">
        <v>300</v>
      </c>
      <c r="E36" s="6"/>
      <c r="F36" s="6"/>
      <c r="G36" s="6"/>
      <c r="H36" s="6">
        <f t="shared" si="0"/>
        <v>300</v>
      </c>
      <c r="P36" s="26"/>
    </row>
    <row r="37" spans="1:17" x14ac:dyDescent="0.25">
      <c r="A37" s="3">
        <v>4807</v>
      </c>
      <c r="D37" s="6">
        <v>300</v>
      </c>
      <c r="E37" s="6"/>
      <c r="F37" s="6"/>
      <c r="G37" s="6"/>
      <c r="H37" s="6">
        <f t="shared" si="0"/>
        <v>300</v>
      </c>
      <c r="P37" s="26"/>
    </row>
    <row r="38" spans="1:17" x14ac:dyDescent="0.25">
      <c r="A38" s="3">
        <v>4808</v>
      </c>
      <c r="D38" s="6">
        <v>300</v>
      </c>
      <c r="E38" s="6"/>
      <c r="F38" s="6"/>
      <c r="G38" s="6"/>
      <c r="H38" s="6">
        <f t="shared" si="0"/>
        <v>300</v>
      </c>
      <c r="P38" s="26"/>
    </row>
    <row r="39" spans="1:17" x14ac:dyDescent="0.25">
      <c r="A39" s="3">
        <v>4809</v>
      </c>
      <c r="D39" s="6">
        <v>3600</v>
      </c>
      <c r="E39" s="6">
        <v>450</v>
      </c>
      <c r="F39" s="6"/>
      <c r="G39" s="6">
        <v>320</v>
      </c>
      <c r="H39" s="6">
        <f t="shared" si="0"/>
        <v>4370</v>
      </c>
      <c r="P39" s="26"/>
    </row>
    <row r="40" spans="1:17" x14ac:dyDescent="0.25">
      <c r="A40" s="3">
        <v>4810</v>
      </c>
      <c r="D40" s="6">
        <v>250</v>
      </c>
      <c r="E40" s="6"/>
      <c r="F40" s="6"/>
      <c r="G40" s="6"/>
      <c r="H40" s="6">
        <f t="shared" si="0"/>
        <v>250</v>
      </c>
      <c r="P40" s="26"/>
    </row>
    <row r="41" spans="1:17" x14ac:dyDescent="0.25">
      <c r="A41" s="3">
        <v>4811</v>
      </c>
      <c r="D41" s="6">
        <v>300</v>
      </c>
      <c r="E41" s="6"/>
      <c r="F41" s="6"/>
      <c r="G41" s="6"/>
      <c r="H41" s="6">
        <f t="shared" si="0"/>
        <v>300</v>
      </c>
      <c r="P41" s="26"/>
    </row>
    <row r="42" spans="1:17" x14ac:dyDescent="0.25">
      <c r="A42" s="3">
        <v>4812</v>
      </c>
      <c r="D42" s="6">
        <v>300</v>
      </c>
      <c r="E42" s="6"/>
      <c r="F42" s="6"/>
      <c r="G42" s="6"/>
      <c r="H42" s="6">
        <f t="shared" si="0"/>
        <v>300</v>
      </c>
      <c r="P42" s="26"/>
    </row>
    <row r="43" spans="1:17" x14ac:dyDescent="0.25">
      <c r="A43" s="3">
        <v>4813</v>
      </c>
      <c r="D43" s="6">
        <v>200</v>
      </c>
      <c r="E43" s="6"/>
      <c r="F43" s="6"/>
      <c r="G43" s="6"/>
      <c r="H43" s="6">
        <f t="shared" si="0"/>
        <v>200</v>
      </c>
      <c r="P43" s="28"/>
      <c r="Q43" s="22"/>
    </row>
    <row r="44" spans="1:17" x14ac:dyDescent="0.25">
      <c r="A44" s="3">
        <v>4814</v>
      </c>
      <c r="D44" s="6">
        <v>300</v>
      </c>
      <c r="E44" s="6"/>
      <c r="F44" s="6"/>
      <c r="G44" s="6"/>
      <c r="H44" s="6">
        <f t="shared" si="0"/>
        <v>300</v>
      </c>
      <c r="P44" s="26"/>
    </row>
    <row r="45" spans="1:17" x14ac:dyDescent="0.25">
      <c r="A45" s="3">
        <v>4815</v>
      </c>
      <c r="D45" s="6">
        <v>300</v>
      </c>
      <c r="E45" s="6"/>
      <c r="F45" s="6"/>
      <c r="G45" s="6"/>
      <c r="H45" s="6">
        <f t="shared" si="0"/>
        <v>300</v>
      </c>
      <c r="P45" s="26"/>
    </row>
    <row r="46" spans="1:17" x14ac:dyDescent="0.25">
      <c r="A46" s="3">
        <v>4816</v>
      </c>
      <c r="D46" s="6">
        <v>300</v>
      </c>
      <c r="E46" s="6"/>
      <c r="F46" s="6"/>
      <c r="G46" s="6"/>
      <c r="H46" s="6">
        <f t="shared" si="0"/>
        <v>300</v>
      </c>
      <c r="P46" s="26"/>
    </row>
    <row r="47" spans="1:17" x14ac:dyDescent="0.25">
      <c r="A47" s="3">
        <v>4817</v>
      </c>
      <c r="D47" s="6">
        <v>900</v>
      </c>
      <c r="E47" s="6"/>
      <c r="F47" s="6"/>
      <c r="G47" s="6">
        <v>160</v>
      </c>
      <c r="H47" s="6">
        <f t="shared" si="0"/>
        <v>1060</v>
      </c>
      <c r="P47" s="26"/>
    </row>
    <row r="48" spans="1:17" x14ac:dyDescent="0.25">
      <c r="A48" s="3">
        <v>4818</v>
      </c>
      <c r="D48" s="6">
        <v>300</v>
      </c>
      <c r="E48" s="6"/>
      <c r="F48" s="6"/>
      <c r="G48" s="6">
        <v>160</v>
      </c>
      <c r="H48" s="6">
        <f t="shared" si="0"/>
        <v>460</v>
      </c>
      <c r="P48" s="26"/>
    </row>
    <row r="49" spans="1:16" x14ac:dyDescent="0.25">
      <c r="A49" s="3">
        <v>4819</v>
      </c>
      <c r="D49" s="6">
        <v>600</v>
      </c>
      <c r="E49" s="6"/>
      <c r="F49" s="6"/>
      <c r="G49" s="6"/>
      <c r="H49" s="6">
        <f t="shared" si="0"/>
        <v>600</v>
      </c>
      <c r="P49" s="26"/>
    </row>
    <row r="50" spans="1:16" x14ac:dyDescent="0.25">
      <c r="A50" s="3">
        <v>4820</v>
      </c>
      <c r="D50" s="6">
        <v>1800</v>
      </c>
      <c r="E50" s="6"/>
      <c r="F50" s="6"/>
      <c r="G50" s="6"/>
      <c r="H50" s="6">
        <f t="shared" si="0"/>
        <v>1800</v>
      </c>
      <c r="P50" s="26"/>
    </row>
    <row r="51" spans="1:16" x14ac:dyDescent="0.25">
      <c r="A51" s="3">
        <v>4821</v>
      </c>
      <c r="D51" s="6">
        <v>300</v>
      </c>
      <c r="E51" s="6"/>
      <c r="F51" s="6"/>
      <c r="G51" s="6"/>
      <c r="H51" s="6">
        <f t="shared" si="0"/>
        <v>300</v>
      </c>
      <c r="P51" s="26"/>
    </row>
    <row r="52" spans="1:16" x14ac:dyDescent="0.25">
      <c r="A52" s="3">
        <v>4822</v>
      </c>
      <c r="D52" s="6">
        <v>300</v>
      </c>
      <c r="E52" s="6"/>
      <c r="F52" s="6"/>
      <c r="G52" s="6"/>
      <c r="H52" s="6">
        <f t="shared" si="0"/>
        <v>300</v>
      </c>
      <c r="P52" s="26"/>
    </row>
    <row r="53" spans="1:16" x14ac:dyDescent="0.25">
      <c r="A53" s="3">
        <v>4823</v>
      </c>
      <c r="D53" s="6">
        <v>300</v>
      </c>
      <c r="E53" s="6"/>
      <c r="F53" s="6"/>
      <c r="G53" s="6"/>
      <c r="H53" s="6">
        <f t="shared" si="0"/>
        <v>300</v>
      </c>
      <c r="P53" s="26"/>
    </row>
    <row r="54" spans="1:16" x14ac:dyDescent="0.25">
      <c r="A54" s="3">
        <v>4824</v>
      </c>
      <c r="D54" s="6">
        <v>300</v>
      </c>
      <c r="E54" s="6"/>
      <c r="F54" s="6"/>
      <c r="G54" s="6"/>
      <c r="H54" s="6">
        <f t="shared" si="0"/>
        <v>300</v>
      </c>
      <c r="P54" s="26"/>
    </row>
    <row r="55" spans="1:16" x14ac:dyDescent="0.25">
      <c r="A55" s="3">
        <v>4825</v>
      </c>
      <c r="D55" s="6">
        <v>300</v>
      </c>
      <c r="E55" s="6"/>
      <c r="F55" s="6"/>
      <c r="G55" s="6"/>
      <c r="H55" s="6">
        <f t="shared" si="0"/>
        <v>300</v>
      </c>
      <c r="P55" s="26"/>
    </row>
    <row r="56" spans="1:16" x14ac:dyDescent="0.25">
      <c r="A56" s="3">
        <v>4826</v>
      </c>
      <c r="D56" s="6">
        <v>300</v>
      </c>
      <c r="E56" s="6"/>
      <c r="F56" s="6"/>
      <c r="G56" s="6"/>
      <c r="H56" s="6">
        <f t="shared" si="0"/>
        <v>300</v>
      </c>
      <c r="P56" s="26"/>
    </row>
    <row r="57" spans="1:16" x14ac:dyDescent="0.25">
      <c r="A57" s="3">
        <v>4827</v>
      </c>
      <c r="D57" s="6"/>
      <c r="E57" s="6"/>
      <c r="F57" s="6">
        <v>20</v>
      </c>
      <c r="G57" s="6"/>
      <c r="H57" s="6">
        <f t="shared" si="0"/>
        <v>20</v>
      </c>
      <c r="P57" s="26"/>
    </row>
    <row r="58" spans="1:16" x14ac:dyDescent="0.25">
      <c r="A58" s="3">
        <v>4828</v>
      </c>
      <c r="D58" s="6">
        <v>500</v>
      </c>
      <c r="E58" s="6"/>
      <c r="F58" s="6"/>
      <c r="G58" s="6"/>
      <c r="H58" s="6">
        <f t="shared" si="0"/>
        <v>500</v>
      </c>
      <c r="P58" s="26"/>
    </row>
    <row r="59" spans="1:16" x14ac:dyDescent="0.25">
      <c r="A59" s="3">
        <v>4829</v>
      </c>
      <c r="D59" s="6">
        <v>250</v>
      </c>
      <c r="E59" s="6"/>
      <c r="F59" s="6"/>
      <c r="G59" s="6"/>
      <c r="H59" s="6">
        <f t="shared" si="0"/>
        <v>250</v>
      </c>
      <c r="P59" s="26"/>
    </row>
    <row r="60" spans="1:16" x14ac:dyDescent="0.25">
      <c r="A60" s="3">
        <v>4830</v>
      </c>
      <c r="D60" s="6">
        <v>300</v>
      </c>
      <c r="E60" s="6"/>
      <c r="F60" s="6"/>
      <c r="G60" s="6"/>
      <c r="H60" s="6">
        <f t="shared" si="0"/>
        <v>300</v>
      </c>
      <c r="P60" s="26"/>
    </row>
    <row r="61" spans="1:16" x14ac:dyDescent="0.25">
      <c r="A61" s="3">
        <v>4831</v>
      </c>
      <c r="D61" s="6">
        <v>600</v>
      </c>
      <c r="E61" s="6"/>
      <c r="F61" s="6"/>
      <c r="G61" s="6"/>
      <c r="H61" s="6">
        <f t="shared" si="0"/>
        <v>600</v>
      </c>
      <c r="P61" s="26"/>
    </row>
    <row r="62" spans="1:16" x14ac:dyDescent="0.25">
      <c r="A62" s="3">
        <v>4832</v>
      </c>
      <c r="D62" s="6">
        <v>300</v>
      </c>
      <c r="E62" s="6"/>
      <c r="F62" s="6"/>
      <c r="G62" s="6"/>
      <c r="H62" s="6">
        <f t="shared" si="0"/>
        <v>300</v>
      </c>
      <c r="P62" s="26"/>
    </row>
    <row r="63" spans="1:16" x14ac:dyDescent="0.25">
      <c r="A63" s="3">
        <v>4833</v>
      </c>
      <c r="D63" s="6">
        <v>400</v>
      </c>
      <c r="E63" s="6"/>
      <c r="F63" s="6"/>
      <c r="G63" s="6"/>
      <c r="H63" s="6">
        <f t="shared" si="0"/>
        <v>400</v>
      </c>
      <c r="P63" s="26"/>
    </row>
    <row r="64" spans="1:16" x14ac:dyDescent="0.25">
      <c r="A64" s="3">
        <v>4834</v>
      </c>
      <c r="D64" s="6">
        <v>200</v>
      </c>
      <c r="E64" s="6"/>
      <c r="F64" s="6"/>
      <c r="G64" s="6"/>
      <c r="H64" s="6">
        <f t="shared" si="0"/>
        <v>200</v>
      </c>
      <c r="P64" s="26"/>
    </row>
    <row r="65" spans="1:16" x14ac:dyDescent="0.25">
      <c r="A65" s="3">
        <v>4835</v>
      </c>
      <c r="D65" s="6">
        <v>600</v>
      </c>
      <c r="E65" s="6"/>
      <c r="F65" s="6"/>
      <c r="G65" s="6"/>
      <c r="H65" s="6">
        <f t="shared" si="0"/>
        <v>600</v>
      </c>
      <c r="P65" s="26"/>
    </row>
    <row r="66" spans="1:16" x14ac:dyDescent="0.25">
      <c r="A66" s="3">
        <v>4836</v>
      </c>
      <c r="D66" s="6">
        <v>300</v>
      </c>
      <c r="E66" s="6"/>
      <c r="F66" s="6"/>
      <c r="G66" s="6"/>
      <c r="H66" s="6">
        <f t="shared" si="0"/>
        <v>300</v>
      </c>
      <c r="P66" s="26"/>
    </row>
    <row r="67" spans="1:16" x14ac:dyDescent="0.25">
      <c r="A67" s="3">
        <v>4837</v>
      </c>
      <c r="D67" s="6">
        <v>300</v>
      </c>
      <c r="E67" s="6"/>
      <c r="F67" s="6"/>
      <c r="G67" s="6"/>
      <c r="H67" s="6">
        <f t="shared" si="0"/>
        <v>300</v>
      </c>
      <c r="P67" s="26"/>
    </row>
    <row r="68" spans="1:16" x14ac:dyDescent="0.25">
      <c r="A68" s="3">
        <v>4838</v>
      </c>
      <c r="D68" s="6">
        <v>600</v>
      </c>
      <c r="E68" s="6"/>
      <c r="F68" s="6"/>
      <c r="G68" s="6"/>
      <c r="H68" s="6">
        <f t="shared" ref="H68:H82" si="1">IF(SUM(D68:G68)=0,"",SUM(D68:G68))</f>
        <v>600</v>
      </c>
      <c r="P68" s="26"/>
    </row>
    <row r="69" spans="1:16" x14ac:dyDescent="0.25">
      <c r="A69" s="3">
        <v>4839</v>
      </c>
      <c r="D69" s="6">
        <v>500</v>
      </c>
      <c r="E69" s="6"/>
      <c r="F69" s="6">
        <v>20</v>
      </c>
      <c r="G69" s="6"/>
      <c r="H69" s="6">
        <f t="shared" si="1"/>
        <v>520</v>
      </c>
      <c r="P69" s="26"/>
    </row>
    <row r="70" spans="1:16" x14ac:dyDescent="0.25">
      <c r="A70" s="3">
        <v>4840</v>
      </c>
      <c r="D70" s="6"/>
      <c r="E70" s="6"/>
      <c r="F70" s="6">
        <v>20</v>
      </c>
      <c r="G70" s="6"/>
      <c r="H70" s="6">
        <f t="shared" si="1"/>
        <v>20</v>
      </c>
      <c r="P70" s="26"/>
    </row>
    <row r="71" spans="1:16" x14ac:dyDescent="0.25">
      <c r="A71" s="3">
        <v>4841</v>
      </c>
      <c r="D71" s="6">
        <v>300</v>
      </c>
      <c r="E71" s="6"/>
      <c r="F71" s="6"/>
      <c r="G71" s="6"/>
      <c r="H71" s="6">
        <f t="shared" si="1"/>
        <v>300</v>
      </c>
      <c r="P71" s="26"/>
    </row>
    <row r="72" spans="1:16" x14ac:dyDescent="0.25">
      <c r="A72" s="3">
        <v>4842</v>
      </c>
      <c r="D72" s="6">
        <v>900</v>
      </c>
      <c r="E72" s="6"/>
      <c r="F72" s="6"/>
      <c r="G72" s="6"/>
      <c r="H72" s="6">
        <f t="shared" si="1"/>
        <v>900</v>
      </c>
      <c r="P72" s="26"/>
    </row>
    <row r="73" spans="1:16" x14ac:dyDescent="0.25">
      <c r="A73" s="3">
        <v>4843</v>
      </c>
      <c r="D73" s="3">
        <v>400</v>
      </c>
      <c r="E73" s="6">
        <v>150</v>
      </c>
      <c r="H73" s="6">
        <f t="shared" si="1"/>
        <v>550</v>
      </c>
      <c r="P73" s="26"/>
    </row>
    <row r="74" spans="1:16" x14ac:dyDescent="0.25">
      <c r="A74" s="3">
        <v>4844</v>
      </c>
      <c r="D74" s="3">
        <v>300</v>
      </c>
      <c r="H74" s="6">
        <f t="shared" si="1"/>
        <v>300</v>
      </c>
      <c r="P74" s="26"/>
    </row>
    <row r="75" spans="1:16" x14ac:dyDescent="0.25">
      <c r="A75" s="3">
        <v>4845</v>
      </c>
      <c r="D75" s="3">
        <v>300</v>
      </c>
      <c r="H75" s="6">
        <f t="shared" si="1"/>
        <v>300</v>
      </c>
      <c r="P75" s="26"/>
    </row>
    <row r="76" spans="1:16" x14ac:dyDescent="0.25">
      <c r="A76" s="3">
        <v>4846</v>
      </c>
      <c r="C76" s="3" t="s">
        <v>19</v>
      </c>
      <c r="H76" s="6" t="str">
        <f t="shared" si="1"/>
        <v/>
      </c>
      <c r="P76" s="26"/>
    </row>
    <row r="77" spans="1:16" x14ac:dyDescent="0.25">
      <c r="A77" s="3">
        <v>4847</v>
      </c>
      <c r="D77" s="3">
        <v>300</v>
      </c>
      <c r="H77" s="6">
        <f t="shared" si="1"/>
        <v>300</v>
      </c>
      <c r="P77" s="26"/>
    </row>
    <row r="78" spans="1:16" x14ac:dyDescent="0.25">
      <c r="A78" s="3">
        <v>4848</v>
      </c>
      <c r="D78" s="3">
        <v>300</v>
      </c>
      <c r="H78" s="6">
        <f t="shared" si="1"/>
        <v>300</v>
      </c>
      <c r="P78" s="26"/>
    </row>
    <row r="79" spans="1:16" x14ac:dyDescent="0.25">
      <c r="A79" s="3">
        <v>4849</v>
      </c>
      <c r="D79" s="3">
        <v>600</v>
      </c>
      <c r="H79" s="6">
        <f t="shared" si="1"/>
        <v>600</v>
      </c>
      <c r="P79" s="26"/>
    </row>
    <row r="80" spans="1:16" x14ac:dyDescent="0.25">
      <c r="A80" s="3">
        <v>4850</v>
      </c>
      <c r="C80" s="3" t="s">
        <v>19</v>
      </c>
      <c r="H80" s="6" t="str">
        <f t="shared" si="1"/>
        <v/>
      </c>
      <c r="P80" s="26"/>
    </row>
    <row r="81" spans="1:17" x14ac:dyDescent="0.25">
      <c r="A81" s="3">
        <v>4851</v>
      </c>
      <c r="D81" s="3">
        <v>600</v>
      </c>
      <c r="H81" s="6">
        <f t="shared" si="1"/>
        <v>600</v>
      </c>
      <c r="P81" s="26"/>
    </row>
    <row r="82" spans="1:17" x14ac:dyDescent="0.25">
      <c r="A82" s="3">
        <v>4852</v>
      </c>
      <c r="B82" s="32">
        <f>COUNT(A4:A81)</f>
        <v>78</v>
      </c>
      <c r="D82" s="3">
        <v>900</v>
      </c>
      <c r="H82" s="6">
        <f t="shared" si="1"/>
        <v>900</v>
      </c>
      <c r="P82" s="35">
        <v>41399</v>
      </c>
      <c r="Q82" s="34">
        <f>SUM(H4:H82)</f>
        <v>33905</v>
      </c>
    </row>
    <row r="83" spans="1:17" x14ac:dyDescent="0.25">
      <c r="A83" s="3">
        <v>4853</v>
      </c>
      <c r="D83" s="6">
        <v>300</v>
      </c>
      <c r="E83" s="6"/>
      <c r="F83" s="6"/>
      <c r="G83" s="6"/>
      <c r="H83" s="6">
        <f t="shared" ref="H83:H117" si="2">IF(SUM(D83:G83)=0,"",SUM(D83:G83))</f>
        <v>300</v>
      </c>
      <c r="P83" s="28"/>
      <c r="Q83" s="47"/>
    </row>
    <row r="84" spans="1:17" x14ac:dyDescent="0.25">
      <c r="A84" s="3">
        <v>4854</v>
      </c>
      <c r="D84" s="6">
        <v>600</v>
      </c>
      <c r="E84" s="6"/>
      <c r="F84" s="6"/>
      <c r="G84" s="6"/>
      <c r="H84" s="6">
        <f t="shared" si="2"/>
        <v>600</v>
      </c>
      <c r="P84" s="26"/>
    </row>
    <row r="85" spans="1:17" x14ac:dyDescent="0.25">
      <c r="A85" s="3">
        <v>4855</v>
      </c>
      <c r="D85" s="6">
        <v>300</v>
      </c>
      <c r="E85" s="6"/>
      <c r="F85" s="6"/>
      <c r="G85" s="6"/>
      <c r="H85" s="6">
        <f t="shared" si="2"/>
        <v>300</v>
      </c>
      <c r="P85" s="26"/>
    </row>
    <row r="86" spans="1:17" x14ac:dyDescent="0.25">
      <c r="A86" s="3">
        <v>4856</v>
      </c>
      <c r="D86" s="6">
        <v>600</v>
      </c>
      <c r="E86" s="6"/>
      <c r="F86" s="6"/>
      <c r="G86" s="6"/>
      <c r="H86" s="6">
        <f t="shared" si="2"/>
        <v>600</v>
      </c>
      <c r="P86" s="26"/>
    </row>
    <row r="87" spans="1:17" x14ac:dyDescent="0.25">
      <c r="A87" s="3">
        <v>4857</v>
      </c>
      <c r="D87" s="6">
        <v>150</v>
      </c>
      <c r="E87" s="6"/>
      <c r="F87" s="6"/>
      <c r="G87" s="6"/>
      <c r="H87" s="6">
        <f t="shared" si="2"/>
        <v>150</v>
      </c>
      <c r="P87" s="26"/>
    </row>
    <row r="88" spans="1:17" x14ac:dyDescent="0.25">
      <c r="A88" s="3">
        <v>4858</v>
      </c>
      <c r="D88" s="6">
        <v>300</v>
      </c>
      <c r="E88" s="6"/>
      <c r="F88" s="6"/>
      <c r="G88" s="6"/>
      <c r="H88" s="6">
        <f t="shared" si="2"/>
        <v>300</v>
      </c>
      <c r="P88" s="26"/>
    </row>
    <row r="89" spans="1:17" x14ac:dyDescent="0.25">
      <c r="A89" s="3">
        <v>4859</v>
      </c>
      <c r="D89" s="6">
        <v>200</v>
      </c>
      <c r="E89" s="6"/>
      <c r="F89" s="6"/>
      <c r="G89" s="6"/>
      <c r="H89" s="6">
        <f t="shared" si="2"/>
        <v>200</v>
      </c>
      <c r="P89" s="26"/>
    </row>
    <row r="90" spans="1:17" x14ac:dyDescent="0.25">
      <c r="A90" s="3">
        <v>4860</v>
      </c>
      <c r="D90" s="6">
        <v>300</v>
      </c>
      <c r="E90" s="6"/>
      <c r="F90" s="6"/>
      <c r="G90" s="6"/>
      <c r="H90" s="6">
        <f t="shared" si="2"/>
        <v>300</v>
      </c>
      <c r="P90" s="26"/>
    </row>
    <row r="91" spans="1:17" x14ac:dyDescent="0.25">
      <c r="A91" s="3">
        <v>4861</v>
      </c>
      <c r="D91" s="6">
        <v>600</v>
      </c>
      <c r="E91" s="6"/>
      <c r="F91" s="6"/>
      <c r="G91" s="6"/>
      <c r="H91" s="6">
        <f t="shared" si="2"/>
        <v>600</v>
      </c>
      <c r="P91" s="26"/>
    </row>
    <row r="92" spans="1:17" x14ac:dyDescent="0.25">
      <c r="A92" s="3">
        <v>4862</v>
      </c>
      <c r="D92" s="6">
        <v>300</v>
      </c>
      <c r="E92" s="6"/>
      <c r="F92" s="6"/>
      <c r="G92" s="6"/>
      <c r="H92" s="6">
        <f t="shared" si="2"/>
        <v>300</v>
      </c>
      <c r="P92" s="26"/>
    </row>
    <row r="93" spans="1:17" x14ac:dyDescent="0.25">
      <c r="A93" s="3">
        <v>4863</v>
      </c>
      <c r="D93" s="6"/>
      <c r="E93" s="6"/>
      <c r="F93" s="6"/>
      <c r="G93" s="6">
        <v>160</v>
      </c>
      <c r="H93" s="6">
        <f t="shared" si="2"/>
        <v>160</v>
      </c>
      <c r="P93" s="26"/>
    </row>
    <row r="94" spans="1:17" x14ac:dyDescent="0.25">
      <c r="A94" s="3">
        <v>4864</v>
      </c>
      <c r="D94" s="6">
        <v>1500</v>
      </c>
      <c r="E94" s="6"/>
      <c r="F94" s="6"/>
      <c r="G94" s="6"/>
      <c r="H94" s="6">
        <f t="shared" si="2"/>
        <v>1500</v>
      </c>
      <c r="P94" s="26"/>
    </row>
    <row r="95" spans="1:17" x14ac:dyDescent="0.25">
      <c r="A95" s="3">
        <v>4865</v>
      </c>
      <c r="D95" s="6">
        <v>500</v>
      </c>
      <c r="E95" s="6"/>
      <c r="F95" s="6"/>
      <c r="G95" s="6"/>
      <c r="H95" s="6">
        <f t="shared" si="2"/>
        <v>500</v>
      </c>
      <c r="P95" s="26"/>
    </row>
    <row r="96" spans="1:17" x14ac:dyDescent="0.25">
      <c r="A96" s="3">
        <v>4866</v>
      </c>
      <c r="D96" s="6">
        <v>300</v>
      </c>
      <c r="E96" s="6"/>
      <c r="F96" s="6"/>
      <c r="G96" s="6"/>
      <c r="H96" s="6">
        <f t="shared" si="2"/>
        <v>300</v>
      </c>
      <c r="P96" s="26"/>
    </row>
    <row r="97" spans="1:16" x14ac:dyDescent="0.25">
      <c r="A97" s="3">
        <v>4867</v>
      </c>
      <c r="D97" s="6">
        <v>600</v>
      </c>
      <c r="E97" s="6"/>
      <c r="F97" s="6"/>
      <c r="G97" s="6"/>
      <c r="H97" s="6">
        <f t="shared" si="2"/>
        <v>600</v>
      </c>
      <c r="P97" s="26"/>
    </row>
    <row r="98" spans="1:16" x14ac:dyDescent="0.25">
      <c r="A98" s="3">
        <v>4868</v>
      </c>
      <c r="D98" s="6">
        <v>150</v>
      </c>
      <c r="E98" s="6"/>
      <c r="F98" s="6"/>
      <c r="G98" s="6"/>
      <c r="H98" s="6">
        <f t="shared" si="2"/>
        <v>150</v>
      </c>
      <c r="P98" s="26"/>
    </row>
    <row r="99" spans="1:16" x14ac:dyDescent="0.25">
      <c r="A99" s="3">
        <v>4869</v>
      </c>
      <c r="D99" s="6">
        <v>300</v>
      </c>
      <c r="E99" s="6"/>
      <c r="F99" s="6"/>
      <c r="G99" s="6"/>
      <c r="H99" s="6">
        <f t="shared" si="2"/>
        <v>300</v>
      </c>
      <c r="P99" s="26"/>
    </row>
    <row r="100" spans="1:16" x14ac:dyDescent="0.25">
      <c r="A100" s="3">
        <v>4870</v>
      </c>
      <c r="D100" s="6">
        <v>300</v>
      </c>
      <c r="E100" s="6"/>
      <c r="F100" s="6"/>
      <c r="G100" s="6"/>
      <c r="H100" s="6">
        <f t="shared" si="2"/>
        <v>300</v>
      </c>
      <c r="P100" s="26"/>
    </row>
    <row r="101" spans="1:16" x14ac:dyDescent="0.25">
      <c r="A101" s="3">
        <v>4871</v>
      </c>
      <c r="D101" s="6">
        <v>250</v>
      </c>
      <c r="E101" s="6"/>
      <c r="F101" s="6"/>
      <c r="G101" s="6"/>
      <c r="H101" s="6">
        <f t="shared" si="2"/>
        <v>250</v>
      </c>
      <c r="P101" s="26"/>
    </row>
    <row r="102" spans="1:16" x14ac:dyDescent="0.25">
      <c r="A102" s="3">
        <v>4872</v>
      </c>
      <c r="D102" s="6">
        <v>900</v>
      </c>
      <c r="E102" s="6"/>
      <c r="F102" s="6"/>
      <c r="G102" s="6"/>
      <c r="H102" s="6">
        <f t="shared" si="2"/>
        <v>900</v>
      </c>
      <c r="P102" s="26"/>
    </row>
    <row r="103" spans="1:16" x14ac:dyDescent="0.25">
      <c r="A103" s="3">
        <v>4873</v>
      </c>
      <c r="D103" s="43"/>
      <c r="E103" s="6">
        <v>150</v>
      </c>
      <c r="F103" s="6"/>
      <c r="G103" s="6"/>
      <c r="H103" s="6">
        <f t="shared" si="2"/>
        <v>150</v>
      </c>
      <c r="P103" s="26"/>
    </row>
    <row r="104" spans="1:16" x14ac:dyDescent="0.25">
      <c r="A104" s="3">
        <v>4874</v>
      </c>
      <c r="D104" s="6">
        <v>150</v>
      </c>
      <c r="E104" s="6"/>
      <c r="F104" s="6"/>
      <c r="G104" s="6"/>
      <c r="H104" s="6">
        <f t="shared" si="2"/>
        <v>150</v>
      </c>
      <c r="P104" s="26"/>
    </row>
    <row r="105" spans="1:16" x14ac:dyDescent="0.25">
      <c r="A105" s="3">
        <v>4875</v>
      </c>
      <c r="D105" s="6">
        <v>300</v>
      </c>
      <c r="E105" s="6"/>
      <c r="F105" s="6"/>
      <c r="G105" s="6"/>
      <c r="H105" s="6">
        <f t="shared" si="2"/>
        <v>300</v>
      </c>
      <c r="P105" s="26"/>
    </row>
    <row r="106" spans="1:16" x14ac:dyDescent="0.25">
      <c r="A106" s="3">
        <v>4876</v>
      </c>
      <c r="D106" s="6">
        <v>300</v>
      </c>
      <c r="E106" s="6"/>
      <c r="F106" s="6"/>
      <c r="G106" s="6"/>
      <c r="H106" s="6">
        <f t="shared" si="2"/>
        <v>300</v>
      </c>
      <c r="P106" s="26"/>
    </row>
    <row r="107" spans="1:16" x14ac:dyDescent="0.25">
      <c r="A107" s="3">
        <v>4877</v>
      </c>
      <c r="D107" s="6">
        <v>300</v>
      </c>
      <c r="E107" s="6"/>
      <c r="F107" s="6"/>
      <c r="G107" s="6"/>
      <c r="H107" s="6">
        <f t="shared" si="2"/>
        <v>300</v>
      </c>
      <c r="P107" s="26"/>
    </row>
    <row r="108" spans="1:16" x14ac:dyDescent="0.25">
      <c r="A108" s="3">
        <v>4878</v>
      </c>
      <c r="D108" s="6">
        <v>450</v>
      </c>
      <c r="E108" s="6"/>
      <c r="F108" s="6"/>
      <c r="G108" s="6"/>
      <c r="H108" s="6">
        <f t="shared" si="2"/>
        <v>450</v>
      </c>
      <c r="P108" s="26"/>
    </row>
    <row r="109" spans="1:16" x14ac:dyDescent="0.25">
      <c r="A109" s="3">
        <v>4879</v>
      </c>
      <c r="D109" s="6">
        <v>300</v>
      </c>
      <c r="E109" s="6"/>
      <c r="F109" s="6"/>
      <c r="G109" s="6"/>
      <c r="H109" s="6">
        <f t="shared" si="2"/>
        <v>300</v>
      </c>
      <c r="P109" s="26"/>
    </row>
    <row r="110" spans="1:16" x14ac:dyDescent="0.25">
      <c r="A110" s="3">
        <v>4880</v>
      </c>
      <c r="D110" s="6">
        <v>150</v>
      </c>
      <c r="E110" s="6"/>
      <c r="F110" s="6"/>
      <c r="G110" s="6"/>
      <c r="H110" s="6">
        <f t="shared" si="2"/>
        <v>150</v>
      </c>
      <c r="P110" s="26"/>
    </row>
    <row r="111" spans="1:16" x14ac:dyDescent="0.25">
      <c r="A111" s="3">
        <v>4881</v>
      </c>
      <c r="D111" s="6">
        <v>300</v>
      </c>
      <c r="E111" s="6"/>
      <c r="F111" s="6"/>
      <c r="G111" s="6"/>
      <c r="H111" s="6">
        <f t="shared" si="2"/>
        <v>300</v>
      </c>
      <c r="P111" s="26"/>
    </row>
    <row r="112" spans="1:16" x14ac:dyDescent="0.25">
      <c r="A112" s="3">
        <v>4882</v>
      </c>
      <c r="D112" s="6">
        <v>300</v>
      </c>
      <c r="E112" s="6"/>
      <c r="F112" s="6"/>
      <c r="G112" s="6"/>
      <c r="H112" s="6">
        <f t="shared" si="2"/>
        <v>300</v>
      </c>
      <c r="P112" s="26"/>
    </row>
    <row r="113" spans="1:18" x14ac:dyDescent="0.25">
      <c r="A113" s="3">
        <v>4883</v>
      </c>
      <c r="D113" s="6">
        <v>300</v>
      </c>
      <c r="E113" s="6"/>
      <c r="F113" s="6"/>
      <c r="G113" s="6"/>
      <c r="H113" s="6">
        <f t="shared" si="2"/>
        <v>300</v>
      </c>
      <c r="P113" s="26"/>
    </row>
    <row r="114" spans="1:18" x14ac:dyDescent="0.25">
      <c r="A114" s="3">
        <v>4884</v>
      </c>
      <c r="D114" s="6">
        <v>300</v>
      </c>
      <c r="E114" s="6"/>
      <c r="F114" s="6"/>
      <c r="G114" s="6"/>
      <c r="H114" s="6">
        <f t="shared" si="2"/>
        <v>300</v>
      </c>
      <c r="P114" s="26"/>
    </row>
    <row r="115" spans="1:18" x14ac:dyDescent="0.25">
      <c r="A115" s="3">
        <v>4885</v>
      </c>
      <c r="B115" s="32">
        <f>COUNT(A83:A115)</f>
        <v>33</v>
      </c>
      <c r="D115" s="6">
        <v>300</v>
      </c>
      <c r="E115" s="6"/>
      <c r="F115" s="6"/>
      <c r="G115" s="6"/>
      <c r="H115" s="6">
        <f t="shared" si="2"/>
        <v>300</v>
      </c>
      <c r="P115" s="35">
        <v>41406</v>
      </c>
      <c r="Q115" s="29">
        <f>SUM(H83:H115)</f>
        <v>12210</v>
      </c>
      <c r="R115" s="24"/>
    </row>
    <row r="116" spans="1:18" x14ac:dyDescent="0.25">
      <c r="A116" s="3">
        <v>4886</v>
      </c>
      <c r="D116" s="6">
        <v>300</v>
      </c>
      <c r="E116" s="6"/>
      <c r="F116" s="6"/>
      <c r="G116" s="6"/>
      <c r="H116" s="6">
        <f t="shared" si="2"/>
        <v>300</v>
      </c>
      <c r="P116" s="27"/>
    </row>
    <row r="117" spans="1:18" x14ac:dyDescent="0.25">
      <c r="A117" s="3">
        <v>4887</v>
      </c>
      <c r="D117" s="6">
        <v>300</v>
      </c>
      <c r="E117" s="6"/>
      <c r="F117" s="6"/>
      <c r="G117" s="6"/>
      <c r="H117" s="6">
        <f t="shared" si="2"/>
        <v>300</v>
      </c>
      <c r="P117" s="27"/>
    </row>
    <row r="118" spans="1:18" x14ac:dyDescent="0.25">
      <c r="A118" s="3">
        <v>4888</v>
      </c>
      <c r="D118" s="6">
        <v>300</v>
      </c>
      <c r="E118" s="6"/>
      <c r="F118" s="6"/>
      <c r="G118" s="6"/>
      <c r="H118" s="6">
        <f t="shared" ref="H118:H163" si="3">IF(SUM(D118:G118)=0,"",SUM(D118:G118))</f>
        <v>300</v>
      </c>
      <c r="P118" s="27"/>
    </row>
    <row r="119" spans="1:18" x14ac:dyDescent="0.25">
      <c r="A119" s="3">
        <v>4889</v>
      </c>
      <c r="B119" s="33">
        <f>COUNT(A116:A119)</f>
        <v>4</v>
      </c>
      <c r="D119" s="6">
        <v>400</v>
      </c>
      <c r="E119" s="6"/>
      <c r="F119" s="6"/>
      <c r="G119" s="6"/>
      <c r="H119" s="6">
        <f t="shared" si="3"/>
        <v>400</v>
      </c>
      <c r="P119" s="27"/>
    </row>
    <row r="120" spans="1:18" x14ac:dyDescent="0.25">
      <c r="A120" s="3">
        <v>4890</v>
      </c>
      <c r="D120" s="6">
        <v>600</v>
      </c>
      <c r="E120" s="6"/>
      <c r="F120" s="6"/>
      <c r="G120" s="6">
        <v>160</v>
      </c>
      <c r="H120" s="6">
        <f t="shared" si="3"/>
        <v>760</v>
      </c>
      <c r="P120" s="28"/>
      <c r="Q120" s="47"/>
    </row>
    <row r="121" spans="1:18" x14ac:dyDescent="0.25">
      <c r="A121" s="3">
        <v>4891</v>
      </c>
      <c r="D121" s="6"/>
      <c r="E121" s="6">
        <v>150</v>
      </c>
      <c r="F121" s="6"/>
      <c r="G121" s="6"/>
      <c r="H121" s="6">
        <f t="shared" si="3"/>
        <v>150</v>
      </c>
    </row>
    <row r="122" spans="1:18" x14ac:dyDescent="0.25">
      <c r="A122" s="3">
        <v>4892</v>
      </c>
      <c r="D122" s="6">
        <v>300</v>
      </c>
      <c r="E122" s="6"/>
      <c r="F122" s="6"/>
      <c r="G122" s="6"/>
      <c r="H122" s="6">
        <f t="shared" si="3"/>
        <v>300</v>
      </c>
      <c r="P122" s="27"/>
    </row>
    <row r="123" spans="1:18" x14ac:dyDescent="0.25">
      <c r="A123" s="3">
        <v>4893</v>
      </c>
      <c r="D123" s="6">
        <v>300</v>
      </c>
      <c r="E123" s="6"/>
      <c r="F123" s="6"/>
      <c r="G123" s="6"/>
      <c r="H123" s="6">
        <f t="shared" si="3"/>
        <v>300</v>
      </c>
      <c r="P123" s="27"/>
    </row>
    <row r="124" spans="1:18" x14ac:dyDescent="0.25">
      <c r="A124" s="3">
        <v>4894</v>
      </c>
      <c r="D124" s="6"/>
      <c r="E124" s="6">
        <v>150</v>
      </c>
      <c r="F124" s="6"/>
      <c r="G124" s="6">
        <v>160</v>
      </c>
      <c r="H124" s="6">
        <f t="shared" si="3"/>
        <v>310</v>
      </c>
      <c r="P124" s="27"/>
    </row>
    <row r="125" spans="1:18" x14ac:dyDescent="0.25">
      <c r="A125" s="3">
        <v>4895</v>
      </c>
      <c r="D125" s="6">
        <v>150</v>
      </c>
      <c r="E125" s="6"/>
      <c r="F125" s="6"/>
      <c r="G125" s="6"/>
      <c r="H125" s="6">
        <f t="shared" si="3"/>
        <v>150</v>
      </c>
      <c r="P125" s="27"/>
    </row>
    <row r="126" spans="1:18" x14ac:dyDescent="0.25">
      <c r="A126" s="3">
        <v>4896</v>
      </c>
      <c r="D126" s="6">
        <v>600</v>
      </c>
      <c r="E126" s="6"/>
      <c r="F126" s="6"/>
      <c r="G126" s="6"/>
      <c r="H126" s="6">
        <f t="shared" si="3"/>
        <v>600</v>
      </c>
      <c r="P126" s="27"/>
    </row>
    <row r="127" spans="1:18" x14ac:dyDescent="0.25">
      <c r="A127" s="3">
        <v>4897</v>
      </c>
      <c r="D127" s="6">
        <v>300</v>
      </c>
      <c r="E127" s="6"/>
      <c r="F127" s="6"/>
      <c r="G127" s="6"/>
      <c r="H127" s="6">
        <f t="shared" si="3"/>
        <v>300</v>
      </c>
      <c r="P127" s="27"/>
    </row>
    <row r="128" spans="1:18" x14ac:dyDescent="0.25">
      <c r="A128" s="3">
        <v>4898</v>
      </c>
      <c r="D128" s="6">
        <v>300</v>
      </c>
      <c r="E128" s="6"/>
      <c r="F128" s="6"/>
      <c r="G128" s="6"/>
      <c r="H128" s="6">
        <f t="shared" si="3"/>
        <v>300</v>
      </c>
      <c r="P128" s="27"/>
    </row>
    <row r="129" spans="1:16" x14ac:dyDescent="0.25">
      <c r="A129" s="3">
        <v>4899</v>
      </c>
      <c r="D129" s="6">
        <v>300</v>
      </c>
      <c r="E129" s="6">
        <v>150</v>
      </c>
      <c r="F129" s="6"/>
      <c r="G129" s="6"/>
      <c r="H129" s="6">
        <f t="shared" si="3"/>
        <v>450</v>
      </c>
      <c r="P129" s="27"/>
    </row>
    <row r="130" spans="1:16" x14ac:dyDescent="0.25">
      <c r="A130" s="3">
        <v>4900</v>
      </c>
      <c r="D130" s="6">
        <v>300</v>
      </c>
      <c r="E130" s="6"/>
      <c r="F130" s="6"/>
      <c r="G130" s="6">
        <v>160</v>
      </c>
      <c r="H130" s="6">
        <f t="shared" si="3"/>
        <v>460</v>
      </c>
      <c r="P130" s="27"/>
    </row>
    <row r="131" spans="1:16" x14ac:dyDescent="0.25">
      <c r="A131" s="3">
        <v>4901</v>
      </c>
      <c r="D131" s="6">
        <v>300</v>
      </c>
      <c r="E131" s="6"/>
      <c r="F131" s="6"/>
      <c r="G131" s="6"/>
      <c r="H131" s="6">
        <f t="shared" si="3"/>
        <v>300</v>
      </c>
      <c r="P131" s="27"/>
    </row>
    <row r="132" spans="1:16" x14ac:dyDescent="0.25">
      <c r="A132" s="3">
        <v>4902</v>
      </c>
      <c r="D132" s="6">
        <v>300</v>
      </c>
      <c r="E132" s="6"/>
      <c r="F132" s="6"/>
      <c r="G132" s="6"/>
      <c r="H132" s="6">
        <f t="shared" si="3"/>
        <v>300</v>
      </c>
      <c r="P132" s="27"/>
    </row>
    <row r="133" spans="1:16" x14ac:dyDescent="0.25">
      <c r="A133" s="3">
        <v>4903</v>
      </c>
      <c r="D133" s="6">
        <v>600</v>
      </c>
      <c r="E133" s="6"/>
      <c r="F133" s="6"/>
      <c r="G133" s="6"/>
      <c r="H133" s="6">
        <f t="shared" si="3"/>
        <v>600</v>
      </c>
      <c r="P133" s="27"/>
    </row>
    <row r="134" spans="1:16" x14ac:dyDescent="0.25">
      <c r="A134" s="3">
        <v>4904</v>
      </c>
      <c r="D134" s="6">
        <v>300</v>
      </c>
      <c r="E134" s="6"/>
      <c r="F134" s="6"/>
      <c r="G134" s="6"/>
      <c r="H134" s="6">
        <f t="shared" si="3"/>
        <v>300</v>
      </c>
      <c r="P134" s="27"/>
    </row>
    <row r="135" spans="1:16" x14ac:dyDescent="0.25">
      <c r="A135" s="3">
        <v>4905</v>
      </c>
      <c r="D135" s="6">
        <v>600</v>
      </c>
      <c r="E135" s="6"/>
      <c r="F135" s="6"/>
      <c r="G135" s="6"/>
      <c r="H135" s="6">
        <f t="shared" si="3"/>
        <v>600</v>
      </c>
      <c r="P135" s="27"/>
    </row>
    <row r="136" spans="1:16" x14ac:dyDescent="0.25">
      <c r="A136" s="3">
        <v>4906</v>
      </c>
      <c r="D136" s="6">
        <v>300</v>
      </c>
      <c r="E136" s="6"/>
      <c r="F136" s="6"/>
      <c r="G136" s="6"/>
      <c r="H136" s="6">
        <f t="shared" si="3"/>
        <v>300</v>
      </c>
      <c r="P136" s="27"/>
    </row>
    <row r="137" spans="1:16" x14ac:dyDescent="0.25">
      <c r="A137" s="3">
        <v>4907</v>
      </c>
      <c r="D137" s="6"/>
      <c r="E137" s="6">
        <v>150</v>
      </c>
      <c r="F137" s="6"/>
      <c r="G137" s="6"/>
      <c r="H137" s="6">
        <f t="shared" si="3"/>
        <v>150</v>
      </c>
      <c r="P137" s="27"/>
    </row>
    <row r="138" spans="1:16" x14ac:dyDescent="0.25">
      <c r="A138" s="3">
        <v>4908</v>
      </c>
      <c r="D138" s="6">
        <v>600</v>
      </c>
      <c r="E138" s="6"/>
      <c r="F138" s="6"/>
      <c r="G138" s="6">
        <v>160</v>
      </c>
      <c r="H138" s="6">
        <f t="shared" si="3"/>
        <v>760</v>
      </c>
      <c r="P138" s="27"/>
    </row>
    <row r="139" spans="1:16" x14ac:dyDescent="0.25">
      <c r="A139" s="3">
        <v>4909</v>
      </c>
      <c r="D139" s="6">
        <v>600</v>
      </c>
      <c r="E139" s="6"/>
      <c r="F139" s="6"/>
      <c r="G139" s="6"/>
      <c r="H139" s="6">
        <f t="shared" si="3"/>
        <v>600</v>
      </c>
      <c r="P139" s="27"/>
    </row>
    <row r="140" spans="1:16" x14ac:dyDescent="0.25">
      <c r="A140" s="3">
        <v>4910</v>
      </c>
      <c r="D140" s="6">
        <v>300</v>
      </c>
      <c r="E140" s="6"/>
      <c r="F140" s="6"/>
      <c r="G140" s="6"/>
      <c r="H140" s="6">
        <f t="shared" si="3"/>
        <v>300</v>
      </c>
      <c r="P140" s="27"/>
    </row>
    <row r="141" spans="1:16" x14ac:dyDescent="0.25">
      <c r="A141" s="3">
        <v>4911</v>
      </c>
      <c r="D141" s="6"/>
      <c r="E141" s="6"/>
      <c r="F141" s="6"/>
      <c r="G141" s="6">
        <v>160</v>
      </c>
      <c r="H141" s="6">
        <f t="shared" si="3"/>
        <v>160</v>
      </c>
      <c r="P141" s="27"/>
    </row>
    <row r="142" spans="1:16" x14ac:dyDescent="0.25">
      <c r="A142" s="3">
        <v>4912</v>
      </c>
      <c r="D142" s="6">
        <v>170</v>
      </c>
      <c r="E142" s="6"/>
      <c r="F142" s="6"/>
      <c r="G142" s="6"/>
      <c r="H142" s="6">
        <f t="shared" si="3"/>
        <v>170</v>
      </c>
      <c r="P142" s="27"/>
    </row>
    <row r="143" spans="1:16" x14ac:dyDescent="0.25">
      <c r="A143" s="3">
        <v>4913</v>
      </c>
      <c r="D143" s="6">
        <v>1500</v>
      </c>
      <c r="E143" s="6"/>
      <c r="F143" s="6"/>
      <c r="G143" s="6"/>
      <c r="H143" s="6">
        <f t="shared" si="3"/>
        <v>1500</v>
      </c>
      <c r="P143" s="27"/>
    </row>
    <row r="144" spans="1:16" x14ac:dyDescent="0.25">
      <c r="A144" s="3">
        <v>4914</v>
      </c>
      <c r="D144" s="6">
        <v>200</v>
      </c>
      <c r="E144" s="6"/>
      <c r="F144" s="6"/>
      <c r="G144" s="6"/>
      <c r="H144" s="6">
        <f t="shared" si="3"/>
        <v>200</v>
      </c>
      <c r="P144" s="27"/>
    </row>
    <row r="145" spans="1:17" x14ac:dyDescent="0.25">
      <c r="A145" s="3">
        <v>4915</v>
      </c>
      <c r="D145" s="6">
        <v>150</v>
      </c>
      <c r="E145" s="6"/>
      <c r="F145" s="6"/>
      <c r="G145" s="6"/>
      <c r="H145" s="6">
        <f t="shared" si="3"/>
        <v>150</v>
      </c>
      <c r="P145" s="27"/>
    </row>
    <row r="146" spans="1:17" x14ac:dyDescent="0.25">
      <c r="A146" s="3">
        <v>4916</v>
      </c>
      <c r="D146" s="6">
        <v>150</v>
      </c>
      <c r="E146" s="6"/>
      <c r="F146" s="6"/>
      <c r="G146" s="6"/>
      <c r="H146" s="6">
        <f t="shared" si="3"/>
        <v>150</v>
      </c>
      <c r="P146" s="27"/>
    </row>
    <row r="147" spans="1:17" x14ac:dyDescent="0.25">
      <c r="A147" s="3">
        <v>4917</v>
      </c>
      <c r="D147" s="6">
        <v>300</v>
      </c>
      <c r="E147" s="6"/>
      <c r="F147" s="6"/>
      <c r="G147" s="6"/>
      <c r="H147" s="6">
        <f t="shared" si="3"/>
        <v>300</v>
      </c>
      <c r="P147" s="27"/>
    </row>
    <row r="148" spans="1:17" x14ac:dyDescent="0.25">
      <c r="A148" s="3">
        <v>4918</v>
      </c>
      <c r="D148" s="6">
        <v>500</v>
      </c>
      <c r="E148" s="6"/>
      <c r="F148" s="6"/>
      <c r="G148" s="6"/>
      <c r="H148" s="6">
        <f t="shared" si="3"/>
        <v>500</v>
      </c>
      <c r="P148" s="27"/>
    </row>
    <row r="149" spans="1:17" x14ac:dyDescent="0.25">
      <c r="A149" s="3">
        <v>4919</v>
      </c>
      <c r="D149" s="6">
        <v>600</v>
      </c>
      <c r="E149" s="6"/>
      <c r="F149" s="6"/>
      <c r="G149" s="6"/>
      <c r="H149" s="6">
        <f t="shared" si="3"/>
        <v>600</v>
      </c>
      <c r="P149" s="27"/>
    </row>
    <row r="150" spans="1:17" x14ac:dyDescent="0.25">
      <c r="A150" s="3">
        <v>4920</v>
      </c>
      <c r="D150" s="6">
        <v>900</v>
      </c>
      <c r="E150" s="6"/>
      <c r="F150" s="6"/>
      <c r="G150" s="6"/>
      <c r="H150" s="6">
        <f t="shared" si="3"/>
        <v>900</v>
      </c>
      <c r="P150" s="27"/>
    </row>
    <row r="151" spans="1:17" x14ac:dyDescent="0.25">
      <c r="A151" s="3">
        <v>4921</v>
      </c>
      <c r="D151" s="6">
        <v>300</v>
      </c>
      <c r="E151" s="6"/>
      <c r="F151" s="6"/>
      <c r="G151" s="6"/>
      <c r="H151" s="6">
        <f t="shared" si="3"/>
        <v>300</v>
      </c>
      <c r="P151" s="27"/>
    </row>
    <row r="152" spans="1:17" x14ac:dyDescent="0.25">
      <c r="A152" s="3">
        <v>4922</v>
      </c>
      <c r="D152" s="6">
        <v>300</v>
      </c>
      <c r="E152" s="6"/>
      <c r="F152" s="6"/>
      <c r="G152" s="6"/>
      <c r="H152" s="6">
        <f t="shared" si="3"/>
        <v>300</v>
      </c>
      <c r="P152" s="27"/>
    </row>
    <row r="153" spans="1:17" x14ac:dyDescent="0.25">
      <c r="A153" s="3">
        <v>4923</v>
      </c>
      <c r="B153" s="32">
        <f>COUNT(A120:A153)</f>
        <v>34</v>
      </c>
      <c r="D153" s="6">
        <v>300</v>
      </c>
      <c r="E153" s="6"/>
      <c r="F153" s="6"/>
      <c r="G153" s="6"/>
      <c r="H153" s="36">
        <f t="shared" si="3"/>
        <v>300</v>
      </c>
      <c r="P153" s="35">
        <v>41413</v>
      </c>
      <c r="Q153" s="34">
        <f>SUM(H120:H153)</f>
        <v>13820</v>
      </c>
    </row>
    <row r="154" spans="1:17" x14ac:dyDescent="0.25">
      <c r="A154" s="3">
        <v>4924</v>
      </c>
      <c r="D154" s="6">
        <v>300</v>
      </c>
      <c r="E154" s="6"/>
      <c r="F154" s="6"/>
      <c r="G154" s="6"/>
      <c r="H154" s="6">
        <f t="shared" si="3"/>
        <v>300</v>
      </c>
    </row>
    <row r="155" spans="1:17" x14ac:dyDescent="0.25">
      <c r="A155" s="3">
        <v>4925</v>
      </c>
      <c r="D155" s="6">
        <v>150</v>
      </c>
      <c r="E155" s="6"/>
      <c r="F155" s="6"/>
      <c r="G155" s="6"/>
      <c r="H155" s="6">
        <f t="shared" si="3"/>
        <v>150</v>
      </c>
      <c r="P155" s="27"/>
    </row>
    <row r="156" spans="1:17" x14ac:dyDescent="0.25">
      <c r="A156" s="3">
        <v>4926</v>
      </c>
      <c r="D156" s="6">
        <v>300</v>
      </c>
      <c r="E156" s="6"/>
      <c r="F156" s="6"/>
      <c r="G156" s="6"/>
      <c r="H156" s="6">
        <f t="shared" si="3"/>
        <v>300</v>
      </c>
      <c r="P156" s="27"/>
    </row>
    <row r="157" spans="1:17" x14ac:dyDescent="0.25">
      <c r="A157" s="3">
        <v>4927</v>
      </c>
      <c r="B157" s="40"/>
      <c r="D157" s="6">
        <v>900</v>
      </c>
      <c r="E157" s="6"/>
      <c r="F157" s="6"/>
      <c r="G157" s="6"/>
      <c r="H157" s="6">
        <f t="shared" si="3"/>
        <v>900</v>
      </c>
      <c r="P157" s="27"/>
    </row>
    <row r="158" spans="1:17" x14ac:dyDescent="0.25">
      <c r="A158" s="3">
        <v>4928</v>
      </c>
      <c r="D158" s="6">
        <v>300</v>
      </c>
      <c r="E158" s="6"/>
      <c r="F158" s="6"/>
      <c r="G158" s="6"/>
      <c r="H158" s="6">
        <f t="shared" si="3"/>
        <v>300</v>
      </c>
      <c r="P158" s="27"/>
    </row>
    <row r="159" spans="1:17" x14ac:dyDescent="0.25">
      <c r="A159" s="3">
        <v>4929</v>
      </c>
      <c r="D159" s="6"/>
      <c r="E159" s="6"/>
      <c r="F159" s="6"/>
      <c r="G159" s="6">
        <v>160</v>
      </c>
      <c r="H159" s="6">
        <f t="shared" si="3"/>
        <v>160</v>
      </c>
      <c r="P159" s="27"/>
    </row>
    <row r="160" spans="1:17" x14ac:dyDescent="0.25">
      <c r="A160" s="3">
        <v>4930</v>
      </c>
      <c r="D160" s="6"/>
      <c r="E160" s="6"/>
      <c r="F160" s="6"/>
      <c r="G160" s="6">
        <v>160</v>
      </c>
      <c r="H160" s="6">
        <f t="shared" si="3"/>
        <v>160</v>
      </c>
      <c r="P160" s="27"/>
    </row>
    <row r="161" spans="1:16" x14ac:dyDescent="0.25">
      <c r="A161" s="3">
        <v>4931</v>
      </c>
      <c r="D161" s="6">
        <v>150</v>
      </c>
      <c r="E161" s="6"/>
      <c r="F161" s="6"/>
      <c r="G161" s="6"/>
      <c r="H161" s="6">
        <f t="shared" si="3"/>
        <v>150</v>
      </c>
      <c r="P161" s="27"/>
    </row>
    <row r="162" spans="1:16" x14ac:dyDescent="0.25">
      <c r="A162" s="3">
        <v>4932</v>
      </c>
      <c r="D162" s="6">
        <v>300</v>
      </c>
      <c r="E162" s="6"/>
      <c r="F162" s="6"/>
      <c r="G162" s="6"/>
      <c r="H162" s="6">
        <f t="shared" si="3"/>
        <v>300</v>
      </c>
      <c r="P162" s="27"/>
    </row>
    <row r="163" spans="1:16" x14ac:dyDescent="0.25">
      <c r="A163" s="3">
        <v>4933</v>
      </c>
      <c r="D163" s="6">
        <v>300</v>
      </c>
      <c r="E163" s="6"/>
      <c r="F163" s="6"/>
      <c r="G163" s="6"/>
      <c r="H163" s="6">
        <f t="shared" si="3"/>
        <v>300</v>
      </c>
      <c r="P163" s="27"/>
    </row>
    <row r="164" spans="1:16" x14ac:dyDescent="0.25">
      <c r="A164" s="3">
        <v>4934</v>
      </c>
      <c r="D164" s="6">
        <v>300</v>
      </c>
      <c r="E164" s="6"/>
      <c r="F164" s="6"/>
      <c r="G164" s="6"/>
      <c r="H164" s="6">
        <f t="shared" ref="H164:H206" si="4">IF(SUM(D164:G164)=0,"",SUM(D164:G164))</f>
        <v>300</v>
      </c>
      <c r="P164" s="27"/>
    </row>
    <row r="165" spans="1:16" x14ac:dyDescent="0.25">
      <c r="A165" s="3">
        <v>4935</v>
      </c>
      <c r="D165" s="6"/>
      <c r="E165" s="6"/>
      <c r="F165" s="6"/>
      <c r="G165" s="6">
        <v>160</v>
      </c>
      <c r="H165" s="6">
        <f t="shared" si="4"/>
        <v>160</v>
      </c>
      <c r="P165" s="27"/>
    </row>
    <row r="166" spans="1:16" x14ac:dyDescent="0.25">
      <c r="A166" s="3">
        <v>4936</v>
      </c>
      <c r="D166" s="6">
        <v>150</v>
      </c>
      <c r="E166" s="6">
        <v>150</v>
      </c>
      <c r="F166" s="6"/>
      <c r="G166" s="6"/>
      <c r="H166" s="6">
        <f t="shared" si="4"/>
        <v>300</v>
      </c>
      <c r="P166" s="27"/>
    </row>
    <row r="167" spans="1:16" x14ac:dyDescent="0.25">
      <c r="A167" s="3">
        <v>4937</v>
      </c>
      <c r="D167" s="6">
        <v>600</v>
      </c>
      <c r="E167" s="6"/>
      <c r="F167" s="6"/>
      <c r="G167" s="6"/>
      <c r="H167" s="6">
        <f t="shared" si="4"/>
        <v>600</v>
      </c>
      <c r="P167" s="27"/>
    </row>
    <row r="168" spans="1:16" x14ac:dyDescent="0.25">
      <c r="A168" s="3">
        <v>4938</v>
      </c>
      <c r="D168" s="6"/>
      <c r="E168" s="6"/>
      <c r="F168" s="6"/>
      <c r="G168" s="6">
        <v>160</v>
      </c>
      <c r="H168" s="6">
        <f t="shared" si="4"/>
        <v>160</v>
      </c>
      <c r="P168" s="26"/>
    </row>
    <row r="169" spans="1:16" x14ac:dyDescent="0.25">
      <c r="A169" s="3">
        <v>4939</v>
      </c>
      <c r="D169" s="6">
        <v>200</v>
      </c>
      <c r="E169" s="6"/>
      <c r="F169" s="6"/>
      <c r="G169" s="6"/>
      <c r="H169" s="6">
        <f t="shared" si="4"/>
        <v>200</v>
      </c>
      <c r="P169" s="26"/>
    </row>
    <row r="170" spans="1:16" x14ac:dyDescent="0.25">
      <c r="A170" s="3">
        <v>4940</v>
      </c>
      <c r="D170" s="6">
        <v>900</v>
      </c>
      <c r="E170" s="6"/>
      <c r="F170" s="6"/>
      <c r="G170" s="6"/>
      <c r="H170" s="6">
        <f t="shared" si="4"/>
        <v>900</v>
      </c>
      <c r="P170" s="26"/>
    </row>
    <row r="171" spans="1:16" x14ac:dyDescent="0.25">
      <c r="A171" s="3">
        <v>4941</v>
      </c>
      <c r="D171" s="6">
        <v>300</v>
      </c>
      <c r="E171" s="6"/>
      <c r="F171" s="6"/>
      <c r="G171" s="6"/>
      <c r="H171" s="6">
        <f t="shared" si="4"/>
        <v>300</v>
      </c>
      <c r="P171" s="26"/>
    </row>
    <row r="172" spans="1:16" x14ac:dyDescent="0.25">
      <c r="A172" s="3">
        <v>4942</v>
      </c>
      <c r="D172" s="6">
        <v>300</v>
      </c>
      <c r="E172" s="6"/>
      <c r="F172" s="6"/>
      <c r="G172" s="6"/>
      <c r="H172" s="6">
        <f t="shared" si="4"/>
        <v>300</v>
      </c>
      <c r="P172" s="26"/>
    </row>
    <row r="173" spans="1:16" x14ac:dyDescent="0.25">
      <c r="A173" s="3">
        <v>4943</v>
      </c>
      <c r="D173" s="6">
        <v>600</v>
      </c>
      <c r="E173" s="6"/>
      <c r="F173" s="6"/>
      <c r="G173" s="6"/>
      <c r="H173" s="6">
        <f t="shared" si="4"/>
        <v>600</v>
      </c>
      <c r="P173" s="26"/>
    </row>
    <row r="174" spans="1:16" x14ac:dyDescent="0.25">
      <c r="A174" s="3">
        <v>4944</v>
      </c>
      <c r="D174" s="6">
        <v>900</v>
      </c>
      <c r="E174" s="6"/>
      <c r="F174" s="6"/>
      <c r="G174" s="6"/>
      <c r="H174" s="6">
        <f t="shared" si="4"/>
        <v>900</v>
      </c>
      <c r="P174" s="26"/>
    </row>
    <row r="175" spans="1:16" x14ac:dyDescent="0.25">
      <c r="A175" s="3">
        <v>4945</v>
      </c>
      <c r="D175" s="6">
        <v>300</v>
      </c>
      <c r="E175" s="6"/>
      <c r="F175" s="6"/>
      <c r="G175" s="6"/>
      <c r="H175" s="6">
        <f t="shared" si="4"/>
        <v>300</v>
      </c>
      <c r="P175" s="26"/>
    </row>
    <row r="176" spans="1:16" x14ac:dyDescent="0.25">
      <c r="A176" s="3">
        <v>4946</v>
      </c>
      <c r="D176" s="6">
        <v>900</v>
      </c>
      <c r="E176" s="6"/>
      <c r="F176" s="6"/>
      <c r="G176" s="6"/>
      <c r="H176" s="6">
        <f t="shared" si="4"/>
        <v>900</v>
      </c>
      <c r="P176" s="26"/>
    </row>
    <row r="177" spans="1:16" x14ac:dyDescent="0.25">
      <c r="A177" s="3">
        <v>4947</v>
      </c>
      <c r="D177" s="6"/>
      <c r="E177" s="6"/>
      <c r="F177" s="6"/>
      <c r="G177" s="6">
        <v>160</v>
      </c>
      <c r="H177" s="6">
        <f t="shared" si="4"/>
        <v>160</v>
      </c>
      <c r="P177" s="26"/>
    </row>
    <row r="178" spans="1:16" x14ac:dyDescent="0.25">
      <c r="A178" s="3">
        <v>4948</v>
      </c>
      <c r="D178" s="6">
        <v>300</v>
      </c>
      <c r="E178" s="6"/>
      <c r="F178" s="6"/>
      <c r="G178" s="6"/>
      <c r="H178" s="6">
        <f t="shared" si="4"/>
        <v>300</v>
      </c>
      <c r="P178" s="26"/>
    </row>
    <row r="179" spans="1:16" x14ac:dyDescent="0.25">
      <c r="A179" s="3">
        <v>4949</v>
      </c>
      <c r="D179" s="6">
        <v>100</v>
      </c>
      <c r="E179" s="6"/>
      <c r="F179" s="6"/>
      <c r="G179" s="6"/>
      <c r="H179" s="6">
        <f t="shared" si="4"/>
        <v>100</v>
      </c>
      <c r="P179" s="26"/>
    </row>
    <row r="180" spans="1:16" x14ac:dyDescent="0.25">
      <c r="A180" s="3">
        <v>4950</v>
      </c>
      <c r="D180" s="6">
        <v>300</v>
      </c>
      <c r="E180" s="6"/>
      <c r="F180" s="6"/>
      <c r="G180" s="6"/>
      <c r="H180" s="6">
        <f t="shared" si="4"/>
        <v>300</v>
      </c>
      <c r="P180" s="26"/>
    </row>
    <row r="181" spans="1:16" x14ac:dyDescent="0.25">
      <c r="A181" s="3">
        <v>4951</v>
      </c>
      <c r="D181" s="6">
        <v>200</v>
      </c>
      <c r="E181" s="6"/>
      <c r="F181" s="6"/>
      <c r="G181" s="6"/>
      <c r="H181" s="6">
        <f t="shared" si="4"/>
        <v>200</v>
      </c>
      <c r="P181" s="26"/>
    </row>
    <row r="182" spans="1:16" x14ac:dyDescent="0.25">
      <c r="A182" s="3">
        <v>4952</v>
      </c>
      <c r="D182" s="6">
        <v>300</v>
      </c>
      <c r="E182" s="6"/>
      <c r="F182" s="6"/>
      <c r="G182" s="6"/>
      <c r="H182" s="6">
        <f t="shared" si="4"/>
        <v>300</v>
      </c>
      <c r="P182" s="26"/>
    </row>
    <row r="183" spans="1:16" x14ac:dyDescent="0.25">
      <c r="A183" s="3">
        <v>4953</v>
      </c>
      <c r="B183" s="32">
        <f>COUNT(A154:A182)</f>
        <v>29</v>
      </c>
      <c r="D183" s="6"/>
      <c r="E183" s="6">
        <v>150</v>
      </c>
      <c r="F183" s="6"/>
      <c r="G183" s="6"/>
      <c r="H183" s="6">
        <f t="shared" si="4"/>
        <v>150</v>
      </c>
      <c r="P183" s="26"/>
    </row>
    <row r="184" spans="1:16" x14ac:dyDescent="0.25">
      <c r="D184" s="6"/>
      <c r="E184" s="6"/>
      <c r="F184" s="6"/>
      <c r="G184" s="6"/>
      <c r="H184" s="6" t="str">
        <f t="shared" si="4"/>
        <v/>
      </c>
      <c r="P184" s="26"/>
    </row>
    <row r="185" spans="1:16" x14ac:dyDescent="0.25">
      <c r="D185" s="6"/>
      <c r="E185" s="6"/>
      <c r="F185" s="6"/>
      <c r="G185" s="6"/>
      <c r="H185" s="6" t="str">
        <f t="shared" si="4"/>
        <v/>
      </c>
      <c r="P185" s="26"/>
    </row>
    <row r="186" spans="1:16" x14ac:dyDescent="0.25">
      <c r="D186" s="6"/>
      <c r="E186" s="6"/>
      <c r="F186" s="6"/>
      <c r="G186" s="6"/>
      <c r="H186" s="6" t="str">
        <f t="shared" si="4"/>
        <v/>
      </c>
      <c r="P186" s="26"/>
    </row>
    <row r="187" spans="1:16" x14ac:dyDescent="0.25">
      <c r="D187" s="6"/>
      <c r="E187" s="6"/>
      <c r="F187" s="6"/>
      <c r="G187" s="6"/>
      <c r="H187" s="6" t="str">
        <f t="shared" si="4"/>
        <v/>
      </c>
      <c r="P187" s="26"/>
    </row>
    <row r="188" spans="1:16" x14ac:dyDescent="0.25">
      <c r="D188" s="6"/>
      <c r="E188" s="6"/>
      <c r="F188" s="6"/>
      <c r="G188" s="6"/>
      <c r="H188" s="6" t="str">
        <f t="shared" si="4"/>
        <v/>
      </c>
      <c r="P188" s="26"/>
    </row>
    <row r="189" spans="1:16" x14ac:dyDescent="0.25">
      <c r="D189" s="6"/>
      <c r="E189" s="6"/>
      <c r="F189" s="6"/>
      <c r="G189" s="6"/>
      <c r="H189" s="6" t="str">
        <f t="shared" si="4"/>
        <v/>
      </c>
      <c r="P189" s="26"/>
    </row>
    <row r="190" spans="1:16" x14ac:dyDescent="0.25">
      <c r="D190" s="6"/>
      <c r="E190" s="6"/>
      <c r="F190" s="6"/>
      <c r="G190" s="6"/>
      <c r="H190" s="6" t="str">
        <f t="shared" si="4"/>
        <v/>
      </c>
      <c r="P190" s="26"/>
    </row>
    <row r="191" spans="1:16" x14ac:dyDescent="0.25">
      <c r="D191" s="6"/>
      <c r="E191" s="6"/>
      <c r="F191" s="6"/>
      <c r="G191" s="6"/>
      <c r="H191" s="6" t="str">
        <f t="shared" si="4"/>
        <v/>
      </c>
      <c r="P191" s="26"/>
    </row>
    <row r="192" spans="1:16" x14ac:dyDescent="0.25">
      <c r="D192" s="6"/>
      <c r="E192" s="6"/>
      <c r="F192" s="6"/>
      <c r="G192" s="6"/>
      <c r="H192" s="6" t="str">
        <f t="shared" si="4"/>
        <v/>
      </c>
      <c r="P192" s="26"/>
    </row>
    <row r="193" spans="4:16" x14ac:dyDescent="0.25">
      <c r="D193" s="6"/>
      <c r="E193" s="6"/>
      <c r="F193" s="6"/>
      <c r="G193" s="6"/>
      <c r="H193" s="6" t="str">
        <f t="shared" si="4"/>
        <v/>
      </c>
      <c r="P193" s="26"/>
    </row>
    <row r="194" spans="4:16" x14ac:dyDescent="0.25">
      <c r="D194" s="6"/>
      <c r="E194" s="6"/>
      <c r="F194" s="6"/>
      <c r="G194" s="6"/>
      <c r="H194" s="6" t="str">
        <f t="shared" si="4"/>
        <v/>
      </c>
      <c r="P194" s="26"/>
    </row>
    <row r="195" spans="4:16" x14ac:dyDescent="0.25">
      <c r="D195" s="6"/>
      <c r="E195" s="6"/>
      <c r="F195" s="6"/>
      <c r="G195" s="6"/>
      <c r="H195" s="6" t="str">
        <f t="shared" si="4"/>
        <v/>
      </c>
      <c r="P195" s="26"/>
    </row>
    <row r="196" spans="4:16" x14ac:dyDescent="0.25">
      <c r="D196" s="6"/>
      <c r="E196" s="6"/>
      <c r="F196" s="6"/>
      <c r="G196" s="6"/>
      <c r="H196" s="6" t="str">
        <f t="shared" si="4"/>
        <v/>
      </c>
      <c r="P196" s="26"/>
    </row>
    <row r="197" spans="4:16" x14ac:dyDescent="0.25">
      <c r="D197" s="6"/>
      <c r="E197" s="6"/>
      <c r="F197" s="6"/>
      <c r="G197" s="6"/>
      <c r="H197" s="6" t="str">
        <f t="shared" si="4"/>
        <v/>
      </c>
      <c r="P197" s="26"/>
    </row>
    <row r="198" spans="4:16" x14ac:dyDescent="0.25">
      <c r="D198" s="6"/>
      <c r="E198" s="6"/>
      <c r="F198" s="6"/>
      <c r="G198" s="6"/>
      <c r="H198" s="6" t="str">
        <f t="shared" si="4"/>
        <v/>
      </c>
      <c r="P198" s="26"/>
    </row>
    <row r="199" spans="4:16" x14ac:dyDescent="0.25">
      <c r="D199" s="6"/>
      <c r="E199" s="6"/>
      <c r="F199" s="6"/>
      <c r="G199" s="6"/>
      <c r="H199" s="6" t="str">
        <f t="shared" si="4"/>
        <v/>
      </c>
      <c r="P199" s="26"/>
    </row>
    <row r="200" spans="4:16" x14ac:dyDescent="0.25">
      <c r="D200" s="6"/>
      <c r="E200" s="6"/>
      <c r="F200" s="6"/>
      <c r="G200" s="6"/>
      <c r="H200" s="6" t="str">
        <f t="shared" si="4"/>
        <v/>
      </c>
      <c r="P200" s="26"/>
    </row>
    <row r="201" spans="4:16" x14ac:dyDescent="0.25">
      <c r="D201" s="6"/>
      <c r="E201" s="6"/>
      <c r="F201" s="6"/>
      <c r="G201" s="6"/>
      <c r="H201" s="6" t="str">
        <f t="shared" si="4"/>
        <v/>
      </c>
      <c r="P201" s="26"/>
    </row>
    <row r="202" spans="4:16" x14ac:dyDescent="0.25">
      <c r="D202" s="6"/>
      <c r="E202" s="6"/>
      <c r="F202" s="6"/>
      <c r="G202" s="6"/>
      <c r="H202" s="6" t="str">
        <f t="shared" si="4"/>
        <v/>
      </c>
      <c r="P202" s="26"/>
    </row>
    <row r="203" spans="4:16" x14ac:dyDescent="0.25">
      <c r="D203" s="6"/>
      <c r="E203" s="6"/>
      <c r="F203" s="6"/>
      <c r="G203" s="6"/>
      <c r="H203" s="6" t="str">
        <f t="shared" si="4"/>
        <v/>
      </c>
      <c r="P203" s="26"/>
    </row>
    <row r="204" spans="4:16" x14ac:dyDescent="0.25">
      <c r="D204" s="6"/>
      <c r="E204" s="6"/>
      <c r="F204" s="6"/>
      <c r="G204" s="6"/>
      <c r="H204" s="6" t="str">
        <f t="shared" si="4"/>
        <v/>
      </c>
      <c r="P204" s="26"/>
    </row>
    <row r="205" spans="4:16" x14ac:dyDescent="0.25">
      <c r="D205" s="6"/>
      <c r="E205" s="6"/>
      <c r="F205" s="6"/>
      <c r="G205" s="6"/>
      <c r="H205" s="6" t="str">
        <f t="shared" si="4"/>
        <v/>
      </c>
      <c r="P205" s="26"/>
    </row>
    <row r="206" spans="4:16" x14ac:dyDescent="0.25">
      <c r="D206" s="6"/>
      <c r="E206" s="6"/>
      <c r="F206" s="6"/>
      <c r="G206" s="6"/>
      <c r="H206" s="6" t="str">
        <f t="shared" si="4"/>
        <v/>
      </c>
      <c r="P206" s="26"/>
    </row>
    <row r="207" spans="4:16" x14ac:dyDescent="0.25">
      <c r="D207" s="6"/>
      <c r="E207" s="6"/>
      <c r="F207" s="6"/>
      <c r="G207" s="6"/>
      <c r="H207" s="6" t="str">
        <f t="shared" ref="H207:H211" si="5">IF(SUM(D207:G207)=0,"",SUM(D207:G207))</f>
        <v/>
      </c>
      <c r="P207" s="26"/>
    </row>
    <row r="208" spans="4:16" x14ac:dyDescent="0.25">
      <c r="D208" s="6"/>
      <c r="E208" s="6"/>
      <c r="F208" s="6"/>
      <c r="G208" s="6"/>
      <c r="H208" s="6" t="str">
        <f t="shared" si="5"/>
        <v/>
      </c>
      <c r="P208" s="26"/>
    </row>
    <row r="209" spans="1:17" x14ac:dyDescent="0.25">
      <c r="D209" s="6"/>
      <c r="E209" s="6"/>
      <c r="F209" s="6"/>
      <c r="G209" s="6"/>
      <c r="H209" s="6" t="str">
        <f t="shared" si="5"/>
        <v/>
      </c>
      <c r="P209" s="26"/>
    </row>
    <row r="210" spans="1:17" x14ac:dyDescent="0.25">
      <c r="E210" s="6"/>
      <c r="F210" s="6"/>
      <c r="G210" s="6"/>
      <c r="H210" s="6" t="str">
        <f t="shared" si="5"/>
        <v/>
      </c>
      <c r="P210" s="26"/>
    </row>
    <row r="211" spans="1:17" ht="15.75" thickBot="1" x14ac:dyDescent="0.3">
      <c r="C211" s="14" t="s">
        <v>0</v>
      </c>
      <c r="D211" s="7">
        <f>SUM(D4:D210)</f>
        <v>67095</v>
      </c>
      <c r="E211" s="7">
        <f>SUM(E4:E210)</f>
        <v>1650</v>
      </c>
      <c r="F211" s="7">
        <f>SUM(F4:F210)</f>
        <v>60</v>
      </c>
      <c r="G211" s="7">
        <f>SUM(G4:G210)</f>
        <v>2880</v>
      </c>
      <c r="H211" s="23">
        <f t="shared" si="5"/>
        <v>71685</v>
      </c>
      <c r="P211" s="38"/>
      <c r="Q211" s="39"/>
    </row>
    <row r="212" spans="1:17" ht="15" customHeight="1" thickTop="1" x14ac:dyDescent="0.25">
      <c r="C212" s="13"/>
      <c r="D212" s="12"/>
      <c r="E212" s="12"/>
      <c r="F212" s="12"/>
      <c r="G212" s="12"/>
      <c r="H212" s="12"/>
      <c r="P212" s="26"/>
    </row>
    <row r="213" spans="1:17" x14ac:dyDescent="0.25">
      <c r="A213" s="53" t="s">
        <v>13</v>
      </c>
      <c r="B213" s="54"/>
      <c r="C213" s="55"/>
      <c r="D213" s="15" t="s">
        <v>14</v>
      </c>
      <c r="E213" s="6"/>
      <c r="F213" s="6"/>
      <c r="G213" s="6"/>
      <c r="H213" s="6"/>
      <c r="P213" s="26"/>
    </row>
    <row r="214" spans="1:17" x14ac:dyDescent="0.25">
      <c r="A214" s="8" t="s">
        <v>11</v>
      </c>
      <c r="B214" s="30" t="s">
        <v>21</v>
      </c>
      <c r="C214" s="9" t="s">
        <v>12</v>
      </c>
      <c r="D214" s="16" t="s">
        <v>0</v>
      </c>
      <c r="E214" s="6"/>
      <c r="F214" s="6"/>
      <c r="G214" s="6"/>
      <c r="H214" s="6"/>
      <c r="P214" s="26"/>
    </row>
    <row r="215" spans="1:17" x14ac:dyDescent="0.25">
      <c r="A215" s="10">
        <f>COUNT(A4:A210)</f>
        <v>180</v>
      </c>
      <c r="B215" s="31">
        <f>SUM(B82:B210)</f>
        <v>178</v>
      </c>
      <c r="C215" s="11">
        <f>COUNTIF(C4:C210,"CANCELADO")</f>
        <v>4</v>
      </c>
      <c r="D215" s="37">
        <f>+A215-C215</f>
        <v>176</v>
      </c>
      <c r="E215" s="6"/>
      <c r="F215" s="6"/>
      <c r="G215" s="6"/>
      <c r="H215" s="6"/>
      <c r="P215" s="26"/>
    </row>
    <row r="216" spans="1:17" x14ac:dyDescent="0.25">
      <c r="D216" s="6"/>
      <c r="E216" s="6"/>
      <c r="F216" s="6"/>
      <c r="G216" s="6"/>
      <c r="H216" s="6" t="str">
        <f t="shared" ref="H216:H234" si="6">IF(SUM(D216:G216)=0,"",SUM(D216:G216))</f>
        <v/>
      </c>
      <c r="P216" s="26"/>
    </row>
    <row r="217" spans="1:17" x14ac:dyDescent="0.25">
      <c r="D217" s="6"/>
      <c r="E217" s="6"/>
      <c r="F217" s="6"/>
      <c r="G217" s="6"/>
      <c r="H217" s="6" t="str">
        <f t="shared" si="6"/>
        <v/>
      </c>
      <c r="P217" s="26"/>
    </row>
    <row r="218" spans="1:17" x14ac:dyDescent="0.25">
      <c r="D218" s="6"/>
      <c r="E218" s="6"/>
      <c r="F218" s="6"/>
      <c r="G218" s="6"/>
      <c r="H218" s="6" t="str">
        <f t="shared" si="6"/>
        <v/>
      </c>
      <c r="P218" s="26"/>
    </row>
    <row r="219" spans="1:17" x14ac:dyDescent="0.25">
      <c r="D219" s="6"/>
      <c r="E219" s="6"/>
      <c r="F219" s="6"/>
      <c r="G219" s="6"/>
      <c r="H219" s="6" t="str">
        <f t="shared" si="6"/>
        <v/>
      </c>
      <c r="P219" s="26"/>
    </row>
    <row r="220" spans="1:17" x14ac:dyDescent="0.25">
      <c r="D220" s="6"/>
      <c r="E220" s="6"/>
      <c r="F220" s="6"/>
      <c r="G220" s="6"/>
      <c r="H220" s="6" t="str">
        <f t="shared" si="6"/>
        <v/>
      </c>
      <c r="P220" s="26"/>
    </row>
    <row r="221" spans="1:17" x14ac:dyDescent="0.25">
      <c r="D221" s="6"/>
      <c r="E221" s="6"/>
      <c r="F221" s="6"/>
      <c r="G221" s="6"/>
      <c r="H221" s="6" t="str">
        <f t="shared" si="6"/>
        <v/>
      </c>
      <c r="P221" s="26"/>
    </row>
    <row r="222" spans="1:17" x14ac:dyDescent="0.25">
      <c r="D222" s="6"/>
      <c r="E222" s="6"/>
      <c r="F222" s="6"/>
      <c r="G222" s="6"/>
      <c r="H222" s="6" t="str">
        <f t="shared" si="6"/>
        <v/>
      </c>
      <c r="P222" s="26"/>
    </row>
    <row r="223" spans="1:17" x14ac:dyDescent="0.25">
      <c r="D223" s="6"/>
      <c r="E223" s="6"/>
      <c r="F223" s="6"/>
      <c r="G223" s="6"/>
      <c r="H223" s="6" t="str">
        <f t="shared" si="6"/>
        <v/>
      </c>
      <c r="P223" s="26"/>
    </row>
    <row r="224" spans="1:17" x14ac:dyDescent="0.25">
      <c r="D224" s="6"/>
      <c r="E224" s="6"/>
      <c r="F224" s="6"/>
      <c r="G224" s="6"/>
      <c r="H224" s="6" t="str">
        <f t="shared" si="6"/>
        <v/>
      </c>
      <c r="P224" s="26"/>
    </row>
    <row r="225" spans="4:16" x14ac:dyDescent="0.25">
      <c r="D225" s="6"/>
      <c r="E225" s="6"/>
      <c r="F225" s="6"/>
      <c r="G225" s="6"/>
      <c r="H225" s="6" t="str">
        <f t="shared" si="6"/>
        <v/>
      </c>
      <c r="P225" s="26"/>
    </row>
    <row r="226" spans="4:16" x14ac:dyDescent="0.25">
      <c r="D226" s="6"/>
      <c r="E226" s="6"/>
      <c r="F226" s="6"/>
      <c r="G226" s="6"/>
      <c r="H226" s="6" t="str">
        <f t="shared" si="6"/>
        <v/>
      </c>
      <c r="P226" s="26"/>
    </row>
    <row r="227" spans="4:16" x14ac:dyDescent="0.25">
      <c r="D227" s="6"/>
      <c r="E227" s="6"/>
      <c r="F227" s="6"/>
      <c r="G227" s="6"/>
      <c r="H227" s="6" t="str">
        <f t="shared" si="6"/>
        <v/>
      </c>
      <c r="P227" s="26"/>
    </row>
    <row r="228" spans="4:16" x14ac:dyDescent="0.25">
      <c r="D228" s="6"/>
      <c r="E228" s="6"/>
      <c r="F228" s="6"/>
      <c r="G228" s="6"/>
      <c r="H228" s="6" t="str">
        <f t="shared" si="6"/>
        <v/>
      </c>
      <c r="P228" s="26"/>
    </row>
    <row r="229" spans="4:16" x14ac:dyDescent="0.25">
      <c r="D229" s="6"/>
      <c r="E229" s="6"/>
      <c r="F229" s="6"/>
      <c r="G229" s="6"/>
      <c r="H229" s="6" t="str">
        <f t="shared" si="6"/>
        <v/>
      </c>
      <c r="P229" s="26"/>
    </row>
    <row r="230" spans="4:16" x14ac:dyDescent="0.25">
      <c r="D230" s="6"/>
      <c r="E230" s="6"/>
      <c r="F230" s="6"/>
      <c r="G230" s="6"/>
      <c r="H230" s="6" t="str">
        <f t="shared" si="6"/>
        <v/>
      </c>
      <c r="P230" s="26"/>
    </row>
    <row r="231" spans="4:16" x14ac:dyDescent="0.25">
      <c r="D231" s="6"/>
      <c r="E231" s="6"/>
      <c r="F231" s="6"/>
      <c r="G231" s="6"/>
      <c r="H231" s="6" t="str">
        <f t="shared" si="6"/>
        <v/>
      </c>
      <c r="P231" s="26"/>
    </row>
    <row r="232" spans="4:16" x14ac:dyDescent="0.25">
      <c r="D232" s="6"/>
      <c r="E232" s="6"/>
      <c r="F232" s="6"/>
      <c r="G232" s="6"/>
      <c r="H232" s="6" t="str">
        <f t="shared" si="6"/>
        <v/>
      </c>
      <c r="P232" s="26"/>
    </row>
    <row r="233" spans="4:16" x14ac:dyDescent="0.25">
      <c r="D233" s="6"/>
      <c r="E233" s="6"/>
      <c r="F233" s="6"/>
      <c r="G233" s="6"/>
      <c r="H233" s="6" t="str">
        <f t="shared" si="6"/>
        <v/>
      </c>
      <c r="P233" s="26"/>
    </row>
    <row r="234" spans="4:16" x14ac:dyDescent="0.25">
      <c r="H234" s="4" t="str">
        <f t="shared" si="6"/>
        <v/>
      </c>
      <c r="P234" s="26"/>
    </row>
    <row r="235" spans="4:16" x14ac:dyDescent="0.25">
      <c r="P235" s="26"/>
    </row>
    <row r="236" spans="4:16" x14ac:dyDescent="0.25">
      <c r="P236" s="26"/>
    </row>
    <row r="237" spans="4:16" x14ac:dyDescent="0.25">
      <c r="P237" s="26"/>
    </row>
    <row r="238" spans="4:16" x14ac:dyDescent="0.25">
      <c r="P238" s="26"/>
    </row>
    <row r="239" spans="4:16" x14ac:dyDescent="0.25">
      <c r="P239" s="26"/>
    </row>
    <row r="240" spans="4:16" x14ac:dyDescent="0.25">
      <c r="P240" s="26"/>
    </row>
    <row r="241" spans="16:16" x14ac:dyDescent="0.25">
      <c r="P241" s="26"/>
    </row>
    <row r="242" spans="16:16" x14ac:dyDescent="0.25">
      <c r="P242" s="26"/>
    </row>
    <row r="243" spans="16:16" x14ac:dyDescent="0.25">
      <c r="P243" s="26"/>
    </row>
    <row r="244" spans="16:16" x14ac:dyDescent="0.25">
      <c r="P244" s="26"/>
    </row>
    <row r="245" spans="16:16" x14ac:dyDescent="0.25">
      <c r="P245" s="26"/>
    </row>
    <row r="246" spans="16:16" x14ac:dyDescent="0.25">
      <c r="P246" s="26"/>
    </row>
    <row r="247" spans="16:16" x14ac:dyDescent="0.25">
      <c r="P247" s="26"/>
    </row>
    <row r="248" spans="16:16" x14ac:dyDescent="0.25">
      <c r="P248" s="26"/>
    </row>
    <row r="249" spans="16:16" x14ac:dyDescent="0.25">
      <c r="P249" s="26"/>
    </row>
    <row r="250" spans="16:16" x14ac:dyDescent="0.25">
      <c r="P250" s="26"/>
    </row>
    <row r="251" spans="16:16" x14ac:dyDescent="0.25">
      <c r="P251" s="26"/>
    </row>
    <row r="252" spans="16:16" x14ac:dyDescent="0.25">
      <c r="P252" s="26"/>
    </row>
    <row r="253" spans="16:16" x14ac:dyDescent="0.25">
      <c r="P253" s="26"/>
    </row>
    <row r="254" spans="16:16" x14ac:dyDescent="0.25">
      <c r="P254" s="26"/>
    </row>
    <row r="255" spans="16:16" x14ac:dyDescent="0.25">
      <c r="P255" s="26"/>
    </row>
    <row r="256" spans="16:16" x14ac:dyDescent="0.25">
      <c r="P256" s="26"/>
    </row>
    <row r="257" spans="16:16" x14ac:dyDescent="0.25">
      <c r="P257" s="26"/>
    </row>
    <row r="258" spans="16:16" x14ac:dyDescent="0.25">
      <c r="P258" s="26"/>
    </row>
    <row r="259" spans="16:16" x14ac:dyDescent="0.25">
      <c r="P259" s="26"/>
    </row>
    <row r="260" spans="16:16" x14ac:dyDescent="0.25">
      <c r="P260" s="26"/>
    </row>
    <row r="261" spans="16:16" x14ac:dyDescent="0.25">
      <c r="P261" s="26"/>
    </row>
    <row r="262" spans="16:16" x14ac:dyDescent="0.25">
      <c r="P262" s="26"/>
    </row>
    <row r="263" spans="16:16" x14ac:dyDescent="0.25">
      <c r="P263" s="26"/>
    </row>
    <row r="264" spans="16:16" x14ac:dyDescent="0.25">
      <c r="P264" s="26"/>
    </row>
    <row r="265" spans="16:16" x14ac:dyDescent="0.25">
      <c r="P265" s="26"/>
    </row>
    <row r="266" spans="16:16" x14ac:dyDescent="0.25">
      <c r="P266" s="26"/>
    </row>
  </sheetData>
  <autoFilter ref="A4:H211"/>
  <mergeCells count="4">
    <mergeCell ref="A1:H1"/>
    <mergeCell ref="J1:M1"/>
    <mergeCell ref="A213:C213"/>
    <mergeCell ref="P1:Q1"/>
  </mergeCells>
  <pageMargins left="0.7" right="0.7" top="0.75" bottom="0.75" header="0.3" footer="0.3"/>
  <pageSetup paperSize="9" orientation="portrait" horizontalDpi="0" verticalDpi="0" r:id="rId1"/>
  <ignoredErrors>
    <ignoredError sqref="H216:H236 B82 B119 B153 B183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270"/>
  <sheetViews>
    <sheetView tabSelected="1" workbookViewId="0">
      <pane ySplit="1200" topLeftCell="A77" activePane="bottomLeft"/>
      <selection sqref="A1:H1"/>
      <selection pane="bottomLeft" activeCell="P100" sqref="P100"/>
    </sheetView>
  </sheetViews>
  <sheetFormatPr baseColWidth="10" defaultRowHeight="15" x14ac:dyDescent="0.25"/>
  <cols>
    <col min="1" max="1" width="10.5703125" style="3" customWidth="1"/>
    <col min="2" max="2" width="12.85546875" style="3" customWidth="1"/>
    <col min="3" max="3" width="12.42578125" style="3" customWidth="1"/>
    <col min="4" max="4" width="11.42578125" style="3"/>
    <col min="5" max="5" width="9.28515625" style="3" customWidth="1"/>
    <col min="6" max="6" width="12.28515625" style="3" customWidth="1"/>
    <col min="7" max="7" width="12.5703125" style="3" customWidth="1"/>
    <col min="8" max="8" width="10.7109375" customWidth="1"/>
    <col min="9" max="9" width="2.28515625" customWidth="1"/>
    <col min="10" max="10" width="11.42578125" customWidth="1"/>
    <col min="11" max="11" width="9.7109375" customWidth="1"/>
    <col min="12" max="12" width="12.5703125" customWidth="1"/>
    <col min="13" max="13" width="14.42578125" customWidth="1"/>
    <col min="14" max="14" width="10.5703125" customWidth="1"/>
    <col min="15" max="15" width="2.140625" customWidth="1"/>
    <col min="16" max="16" width="10.42578125" customWidth="1"/>
    <col min="17" max="17" width="11.42578125" customWidth="1"/>
  </cols>
  <sheetData>
    <row r="1" spans="1:17" x14ac:dyDescent="0.25">
      <c r="A1" s="51" t="s">
        <v>18</v>
      </c>
      <c r="B1" s="51"/>
      <c r="C1" s="51"/>
      <c r="D1" s="51"/>
      <c r="E1" s="51"/>
      <c r="F1" s="51"/>
      <c r="G1" s="51"/>
      <c r="H1" s="51"/>
      <c r="J1" s="52" t="s">
        <v>8</v>
      </c>
      <c r="K1" s="52"/>
      <c r="L1" s="52"/>
      <c r="M1" s="52"/>
      <c r="N1" s="41" t="s">
        <v>9</v>
      </c>
      <c r="P1" s="56" t="s">
        <v>15</v>
      </c>
      <c r="Q1" s="56"/>
    </row>
    <row r="2" spans="1:17" x14ac:dyDescent="0.25">
      <c r="A2" s="41" t="s">
        <v>1</v>
      </c>
      <c r="B2" s="41" t="s">
        <v>20</v>
      </c>
      <c r="C2" s="41" t="s">
        <v>10</v>
      </c>
      <c r="D2" s="41" t="s">
        <v>3</v>
      </c>
      <c r="E2" s="41" t="s">
        <v>4</v>
      </c>
      <c r="F2" s="41" t="s">
        <v>5</v>
      </c>
      <c r="G2" s="41" t="s">
        <v>6</v>
      </c>
      <c r="H2" s="41" t="s">
        <v>2</v>
      </c>
      <c r="J2" s="41" t="s">
        <v>3</v>
      </c>
      <c r="K2" s="41" t="s">
        <v>4</v>
      </c>
      <c r="L2" s="41" t="s">
        <v>5</v>
      </c>
      <c r="M2" s="41" t="s">
        <v>7</v>
      </c>
      <c r="N2" s="41" t="s">
        <v>0</v>
      </c>
      <c r="P2" s="42" t="s">
        <v>16</v>
      </c>
      <c r="Q2" s="21" t="s">
        <v>17</v>
      </c>
    </row>
    <row r="3" spans="1:17" x14ac:dyDescent="0.25">
      <c r="J3" s="17">
        <f>D215</f>
        <v>30525</v>
      </c>
      <c r="K3" s="18">
        <f>E215</f>
        <v>0</v>
      </c>
      <c r="L3" s="18">
        <f>F215</f>
        <v>0</v>
      </c>
      <c r="M3" s="18">
        <f>G215</f>
        <v>480</v>
      </c>
      <c r="N3" s="19">
        <f>H215</f>
        <v>31005</v>
      </c>
    </row>
    <row r="4" spans="1:17" x14ac:dyDescent="0.25">
      <c r="A4" s="3">
        <v>4954</v>
      </c>
      <c r="D4" s="6">
        <v>300</v>
      </c>
      <c r="E4" s="6"/>
      <c r="F4" s="6"/>
      <c r="G4" s="6"/>
      <c r="H4" s="6">
        <f t="shared" ref="H4:H67" si="0">IF(SUM(D4:G4)=0,"",SUM(D4:G4))</f>
        <v>300</v>
      </c>
      <c r="J4" s="2"/>
      <c r="K4" s="1"/>
      <c r="L4" s="1"/>
      <c r="M4" s="1"/>
      <c r="N4" s="1"/>
      <c r="P4" s="28"/>
      <c r="Q4" s="47"/>
    </row>
    <row r="5" spans="1:17" x14ac:dyDescent="0.25">
      <c r="A5" s="3">
        <v>4955</v>
      </c>
      <c r="D5" s="6">
        <v>900</v>
      </c>
      <c r="E5" s="6"/>
      <c r="F5" s="6"/>
      <c r="G5" s="6"/>
      <c r="H5" s="6">
        <f t="shared" si="0"/>
        <v>900</v>
      </c>
      <c r="M5" s="1"/>
      <c r="N5" s="1"/>
      <c r="P5" s="26"/>
    </row>
    <row r="6" spans="1:17" x14ac:dyDescent="0.25">
      <c r="A6" s="3">
        <v>4956</v>
      </c>
      <c r="D6" s="6">
        <v>300</v>
      </c>
      <c r="E6" s="6"/>
      <c r="F6" s="6"/>
      <c r="G6" s="6"/>
      <c r="H6" s="6">
        <f t="shared" si="0"/>
        <v>300</v>
      </c>
      <c r="M6" s="1"/>
      <c r="N6" s="1"/>
      <c r="P6" s="26"/>
    </row>
    <row r="7" spans="1:17" x14ac:dyDescent="0.25">
      <c r="A7" s="3">
        <v>4957</v>
      </c>
      <c r="D7" s="6">
        <v>600</v>
      </c>
      <c r="E7" s="6"/>
      <c r="F7" s="6"/>
      <c r="G7" s="6"/>
      <c r="H7" s="6">
        <f t="shared" si="0"/>
        <v>600</v>
      </c>
      <c r="P7" s="26"/>
    </row>
    <row r="8" spans="1:17" x14ac:dyDescent="0.25">
      <c r="A8" s="3">
        <v>4958</v>
      </c>
      <c r="D8" s="6">
        <v>500</v>
      </c>
      <c r="E8" s="6"/>
      <c r="F8" s="6"/>
      <c r="G8" s="6"/>
      <c r="H8" s="6">
        <f t="shared" si="0"/>
        <v>500</v>
      </c>
      <c r="P8" s="26"/>
    </row>
    <row r="9" spans="1:17" x14ac:dyDescent="0.25">
      <c r="A9" s="3">
        <v>4959</v>
      </c>
      <c r="D9" s="6">
        <v>300</v>
      </c>
      <c r="E9" s="6"/>
      <c r="F9" s="6"/>
      <c r="G9" s="6"/>
      <c r="H9" s="6">
        <f t="shared" si="0"/>
        <v>300</v>
      </c>
      <c r="P9" s="26"/>
    </row>
    <row r="10" spans="1:17" x14ac:dyDescent="0.25">
      <c r="A10" s="3">
        <v>4960</v>
      </c>
      <c r="D10" s="6">
        <v>300</v>
      </c>
      <c r="E10" s="6"/>
      <c r="F10" s="6"/>
      <c r="G10" s="6"/>
      <c r="H10" s="6">
        <f t="shared" si="0"/>
        <v>300</v>
      </c>
      <c r="P10" s="26"/>
    </row>
    <row r="11" spans="1:17" x14ac:dyDescent="0.25">
      <c r="A11" s="3">
        <v>4961</v>
      </c>
      <c r="D11" s="6">
        <v>300</v>
      </c>
      <c r="E11" s="6"/>
      <c r="F11" s="6"/>
      <c r="G11" s="6"/>
      <c r="H11" s="6">
        <f t="shared" si="0"/>
        <v>300</v>
      </c>
      <c r="P11" s="26"/>
    </row>
    <row r="12" spans="1:17" x14ac:dyDescent="0.25">
      <c r="A12" s="3">
        <v>4962</v>
      </c>
      <c r="D12" s="6">
        <v>300</v>
      </c>
      <c r="E12" s="6"/>
      <c r="F12" s="6"/>
      <c r="G12" s="6"/>
      <c r="H12" s="6">
        <f t="shared" si="0"/>
        <v>300</v>
      </c>
      <c r="P12" s="26"/>
    </row>
    <row r="13" spans="1:17" x14ac:dyDescent="0.25">
      <c r="A13" s="3">
        <v>4963</v>
      </c>
      <c r="D13" s="6">
        <v>200</v>
      </c>
      <c r="E13" s="6"/>
      <c r="F13" s="6"/>
      <c r="G13" s="6"/>
      <c r="H13" s="6">
        <f t="shared" si="0"/>
        <v>200</v>
      </c>
      <c r="P13" s="26"/>
    </row>
    <row r="14" spans="1:17" x14ac:dyDescent="0.25">
      <c r="A14" s="3">
        <v>4964</v>
      </c>
      <c r="D14" s="6">
        <v>600</v>
      </c>
      <c r="E14" s="6"/>
      <c r="F14" s="6"/>
      <c r="G14" s="6"/>
      <c r="H14" s="6">
        <f t="shared" si="0"/>
        <v>600</v>
      </c>
      <c r="P14" s="26"/>
    </row>
    <row r="15" spans="1:17" x14ac:dyDescent="0.25">
      <c r="A15" s="3">
        <v>4965</v>
      </c>
      <c r="D15" s="6">
        <v>400</v>
      </c>
      <c r="E15" s="6"/>
      <c r="F15" s="6"/>
      <c r="G15" s="6"/>
      <c r="H15" s="6">
        <f t="shared" si="0"/>
        <v>400</v>
      </c>
      <c r="P15" s="26"/>
    </row>
    <row r="16" spans="1:17" x14ac:dyDescent="0.25">
      <c r="A16" s="3">
        <v>4966</v>
      </c>
      <c r="D16" s="6">
        <v>125</v>
      </c>
      <c r="E16" s="6"/>
      <c r="F16" s="6"/>
      <c r="G16" s="6"/>
      <c r="H16" s="6">
        <f t="shared" si="0"/>
        <v>125</v>
      </c>
      <c r="P16" s="26"/>
    </row>
    <row r="17" spans="1:16" x14ac:dyDescent="0.25">
      <c r="A17" s="3">
        <v>4967</v>
      </c>
      <c r="D17" s="6">
        <v>600</v>
      </c>
      <c r="E17" s="6"/>
      <c r="F17" s="6"/>
      <c r="G17" s="6"/>
      <c r="H17" s="6">
        <f t="shared" si="0"/>
        <v>600</v>
      </c>
      <c r="P17" s="26"/>
    </row>
    <row r="18" spans="1:16" x14ac:dyDescent="0.25">
      <c r="A18" s="3">
        <v>4968</v>
      </c>
      <c r="D18" s="6">
        <v>300</v>
      </c>
      <c r="E18" s="6"/>
      <c r="F18" s="6"/>
      <c r="G18" s="6"/>
      <c r="H18" s="6">
        <f t="shared" si="0"/>
        <v>300</v>
      </c>
      <c r="P18" s="26"/>
    </row>
    <row r="19" spans="1:16" x14ac:dyDescent="0.25">
      <c r="A19" s="3">
        <v>4969</v>
      </c>
      <c r="D19" s="6">
        <v>150</v>
      </c>
      <c r="E19" s="6"/>
      <c r="F19" s="6"/>
      <c r="G19" s="6"/>
      <c r="H19" s="6">
        <f t="shared" si="0"/>
        <v>150</v>
      </c>
      <c r="P19" s="26"/>
    </row>
    <row r="20" spans="1:16" x14ac:dyDescent="0.25">
      <c r="A20" s="3">
        <v>4970</v>
      </c>
      <c r="D20" s="6">
        <v>300</v>
      </c>
      <c r="E20" s="6"/>
      <c r="F20" s="6"/>
      <c r="G20" s="6"/>
      <c r="H20" s="6">
        <f t="shared" si="0"/>
        <v>300</v>
      </c>
      <c r="P20" s="26"/>
    </row>
    <row r="21" spans="1:16" x14ac:dyDescent="0.25">
      <c r="A21" s="3">
        <v>4971</v>
      </c>
      <c r="D21" s="6">
        <v>300</v>
      </c>
      <c r="E21" s="6"/>
      <c r="F21" s="6"/>
      <c r="G21" s="6"/>
      <c r="H21" s="6">
        <f t="shared" si="0"/>
        <v>300</v>
      </c>
      <c r="P21" s="26"/>
    </row>
    <row r="22" spans="1:16" x14ac:dyDescent="0.25">
      <c r="A22" s="3">
        <v>4972</v>
      </c>
      <c r="D22" s="6">
        <v>500</v>
      </c>
      <c r="E22" s="6"/>
      <c r="F22" s="6"/>
      <c r="G22" s="6"/>
      <c r="H22" s="6">
        <f t="shared" si="0"/>
        <v>500</v>
      </c>
      <c r="P22" s="26"/>
    </row>
    <row r="23" spans="1:16" x14ac:dyDescent="0.25">
      <c r="A23" s="3">
        <v>4973</v>
      </c>
      <c r="D23" s="6">
        <v>300</v>
      </c>
      <c r="E23" s="6"/>
      <c r="F23" s="6"/>
      <c r="G23" s="6"/>
      <c r="H23" s="6">
        <f t="shared" si="0"/>
        <v>300</v>
      </c>
      <c r="P23" s="26"/>
    </row>
    <row r="24" spans="1:16" x14ac:dyDescent="0.25">
      <c r="A24" s="3">
        <v>4974</v>
      </c>
      <c r="D24" s="6">
        <v>300</v>
      </c>
      <c r="E24" s="6"/>
      <c r="F24" s="6"/>
      <c r="G24" s="6"/>
      <c r="H24" s="6">
        <f t="shared" si="0"/>
        <v>300</v>
      </c>
      <c r="P24" s="26"/>
    </row>
    <row r="25" spans="1:16" x14ac:dyDescent="0.25">
      <c r="A25" s="3">
        <v>4975</v>
      </c>
      <c r="D25" s="6">
        <v>300</v>
      </c>
      <c r="E25" s="6"/>
      <c r="F25" s="6"/>
      <c r="G25" s="6"/>
      <c r="H25" s="6">
        <f t="shared" si="0"/>
        <v>300</v>
      </c>
      <c r="P25" s="26"/>
    </row>
    <row r="26" spans="1:16" x14ac:dyDescent="0.25">
      <c r="A26" s="3">
        <v>4976</v>
      </c>
      <c r="D26" s="6">
        <v>300</v>
      </c>
      <c r="E26" s="6"/>
      <c r="F26" s="6"/>
      <c r="G26" s="6"/>
      <c r="H26" s="6">
        <f t="shared" si="0"/>
        <v>300</v>
      </c>
      <c r="P26" s="26"/>
    </row>
    <row r="27" spans="1:16" x14ac:dyDescent="0.25">
      <c r="A27" s="3">
        <v>4977</v>
      </c>
      <c r="D27" s="6">
        <v>300</v>
      </c>
      <c r="E27" s="6"/>
      <c r="F27" s="6"/>
      <c r="G27" s="6"/>
      <c r="H27" s="6">
        <f t="shared" si="0"/>
        <v>300</v>
      </c>
      <c r="P27" s="26"/>
    </row>
    <row r="28" spans="1:16" x14ac:dyDescent="0.25">
      <c r="A28" s="3">
        <v>4978</v>
      </c>
      <c r="D28" s="6">
        <v>300</v>
      </c>
      <c r="E28" s="6"/>
      <c r="F28" s="6"/>
      <c r="G28" s="6"/>
      <c r="H28" s="6">
        <f t="shared" si="0"/>
        <v>300</v>
      </c>
      <c r="P28" s="26"/>
    </row>
    <row r="29" spans="1:16" x14ac:dyDescent="0.25">
      <c r="A29" s="3">
        <v>4979</v>
      </c>
      <c r="D29" s="6">
        <v>300</v>
      </c>
      <c r="E29" s="6"/>
      <c r="F29" s="6"/>
      <c r="G29" s="6"/>
      <c r="H29" s="6">
        <f t="shared" si="0"/>
        <v>300</v>
      </c>
      <c r="P29" s="26"/>
    </row>
    <row r="30" spans="1:16" x14ac:dyDescent="0.25">
      <c r="A30" s="3">
        <v>4980</v>
      </c>
      <c r="D30" s="6">
        <v>300</v>
      </c>
      <c r="E30" s="6"/>
      <c r="F30" s="6"/>
      <c r="G30" s="6"/>
      <c r="H30" s="6">
        <f t="shared" si="0"/>
        <v>300</v>
      </c>
      <c r="P30" s="26"/>
    </row>
    <row r="31" spans="1:16" x14ac:dyDescent="0.25">
      <c r="A31" s="3">
        <v>4981</v>
      </c>
      <c r="D31" s="6">
        <v>300</v>
      </c>
      <c r="E31" s="6"/>
      <c r="F31" s="6"/>
      <c r="G31" s="6"/>
      <c r="H31" s="6">
        <f t="shared" si="0"/>
        <v>300</v>
      </c>
      <c r="P31" s="26"/>
    </row>
    <row r="32" spans="1:16" x14ac:dyDescent="0.25">
      <c r="A32" s="3">
        <v>4982</v>
      </c>
      <c r="D32" s="6">
        <v>300</v>
      </c>
      <c r="E32" s="6"/>
      <c r="F32" s="6"/>
      <c r="G32" s="6"/>
      <c r="H32" s="6">
        <f t="shared" si="0"/>
        <v>300</v>
      </c>
      <c r="P32" s="26"/>
    </row>
    <row r="33" spans="1:17" x14ac:dyDescent="0.25">
      <c r="A33" s="3">
        <v>4983</v>
      </c>
      <c r="D33" s="6">
        <v>300</v>
      </c>
      <c r="E33" s="6"/>
      <c r="F33" s="6"/>
      <c r="G33" s="6"/>
      <c r="H33" s="6">
        <f t="shared" si="0"/>
        <v>300</v>
      </c>
      <c r="P33" s="26"/>
    </row>
    <row r="34" spans="1:17" x14ac:dyDescent="0.25">
      <c r="A34" s="3">
        <v>4984</v>
      </c>
      <c r="D34" s="6">
        <v>300</v>
      </c>
      <c r="E34" s="6"/>
      <c r="F34" s="6"/>
      <c r="G34" s="6"/>
      <c r="H34" s="6">
        <f t="shared" si="0"/>
        <v>300</v>
      </c>
      <c r="P34" s="26"/>
    </row>
    <row r="35" spans="1:17" x14ac:dyDescent="0.25">
      <c r="A35" s="3">
        <v>4985</v>
      </c>
      <c r="D35" s="6">
        <v>300</v>
      </c>
      <c r="E35" s="6"/>
      <c r="F35" s="6"/>
      <c r="G35" s="6"/>
      <c r="H35" s="6">
        <f t="shared" si="0"/>
        <v>300</v>
      </c>
      <c r="P35" s="26"/>
    </row>
    <row r="36" spans="1:17" x14ac:dyDescent="0.25">
      <c r="A36" s="3">
        <v>4986</v>
      </c>
      <c r="D36" s="6">
        <v>200</v>
      </c>
      <c r="E36" s="6"/>
      <c r="F36" s="6"/>
      <c r="G36" s="6"/>
      <c r="H36" s="6">
        <f t="shared" si="0"/>
        <v>200</v>
      </c>
      <c r="P36" s="26"/>
    </row>
    <row r="37" spans="1:17" x14ac:dyDescent="0.25">
      <c r="A37" s="3">
        <v>4987</v>
      </c>
      <c r="D37" s="6">
        <v>300</v>
      </c>
      <c r="E37" s="6"/>
      <c r="F37" s="6"/>
      <c r="G37" s="6"/>
      <c r="H37" s="6">
        <f t="shared" si="0"/>
        <v>300</v>
      </c>
      <c r="P37" s="26"/>
    </row>
    <row r="38" spans="1:17" x14ac:dyDescent="0.25">
      <c r="A38" s="3">
        <v>4988</v>
      </c>
      <c r="D38" s="6">
        <v>900</v>
      </c>
      <c r="E38" s="6"/>
      <c r="F38" s="6"/>
      <c r="G38" s="6"/>
      <c r="H38" s="6">
        <f t="shared" si="0"/>
        <v>900</v>
      </c>
      <c r="P38" s="26"/>
    </row>
    <row r="39" spans="1:17" x14ac:dyDescent="0.25">
      <c r="A39" s="3">
        <v>4889</v>
      </c>
      <c r="D39" s="6">
        <v>300</v>
      </c>
      <c r="E39" s="6"/>
      <c r="F39" s="6"/>
      <c r="G39" s="6"/>
      <c r="H39" s="6">
        <f t="shared" si="0"/>
        <v>300</v>
      </c>
      <c r="P39" s="26"/>
    </row>
    <row r="40" spans="1:17" x14ac:dyDescent="0.25">
      <c r="A40" s="3">
        <v>4890</v>
      </c>
      <c r="D40" s="6">
        <v>300</v>
      </c>
      <c r="E40" s="6"/>
      <c r="F40" s="6"/>
      <c r="G40" s="6"/>
      <c r="H40" s="6">
        <f t="shared" si="0"/>
        <v>300</v>
      </c>
      <c r="P40" s="26"/>
    </row>
    <row r="41" spans="1:17" x14ac:dyDescent="0.25">
      <c r="A41" s="3">
        <v>4991</v>
      </c>
      <c r="D41" s="6">
        <v>150</v>
      </c>
      <c r="E41" s="6"/>
      <c r="F41" s="6"/>
      <c r="G41" s="6"/>
      <c r="H41" s="6">
        <f t="shared" si="0"/>
        <v>150</v>
      </c>
      <c r="P41" s="26"/>
    </row>
    <row r="42" spans="1:17" x14ac:dyDescent="0.25">
      <c r="A42" s="3">
        <v>4992</v>
      </c>
      <c r="D42" s="6">
        <v>300</v>
      </c>
      <c r="E42" s="6"/>
      <c r="F42" s="6"/>
      <c r="G42" s="6"/>
      <c r="H42" s="6">
        <f t="shared" si="0"/>
        <v>300</v>
      </c>
      <c r="P42" s="26"/>
    </row>
    <row r="43" spans="1:17" x14ac:dyDescent="0.25">
      <c r="A43" s="3">
        <v>4993</v>
      </c>
      <c r="D43" s="6">
        <v>300</v>
      </c>
      <c r="E43" s="6"/>
      <c r="F43" s="6"/>
      <c r="G43" s="6"/>
      <c r="H43" s="6">
        <f t="shared" si="0"/>
        <v>300</v>
      </c>
      <c r="P43" s="28"/>
      <c r="Q43" s="22"/>
    </row>
    <row r="44" spans="1:17" x14ac:dyDescent="0.25">
      <c r="A44" s="3">
        <v>4994</v>
      </c>
      <c r="D44" s="6">
        <v>300</v>
      </c>
      <c r="E44" s="6"/>
      <c r="F44" s="6"/>
      <c r="G44" s="6"/>
      <c r="H44" s="6">
        <f t="shared" si="0"/>
        <v>300</v>
      </c>
      <c r="P44" s="26"/>
    </row>
    <row r="45" spans="1:17" x14ac:dyDescent="0.25">
      <c r="A45" s="3">
        <v>4995</v>
      </c>
      <c r="D45" s="6">
        <v>300</v>
      </c>
      <c r="E45" s="6"/>
      <c r="F45" s="6"/>
      <c r="G45" s="6"/>
      <c r="H45" s="6">
        <f t="shared" si="0"/>
        <v>300</v>
      </c>
      <c r="P45" s="26"/>
    </row>
    <row r="46" spans="1:17" x14ac:dyDescent="0.25">
      <c r="A46" s="3">
        <v>4996</v>
      </c>
      <c r="D46" s="6">
        <v>300</v>
      </c>
      <c r="E46" s="6"/>
      <c r="F46" s="6"/>
      <c r="G46" s="6"/>
      <c r="H46" s="6">
        <f t="shared" si="0"/>
        <v>300</v>
      </c>
      <c r="P46" s="26"/>
    </row>
    <row r="47" spans="1:17" x14ac:dyDescent="0.25">
      <c r="A47" s="3">
        <v>4997</v>
      </c>
      <c r="D47" s="6">
        <v>500</v>
      </c>
      <c r="E47" s="6"/>
      <c r="F47" s="6"/>
      <c r="G47" s="6"/>
      <c r="H47" s="6">
        <f t="shared" si="0"/>
        <v>500</v>
      </c>
      <c r="P47" s="26"/>
    </row>
    <row r="48" spans="1:17" x14ac:dyDescent="0.25">
      <c r="A48" s="3">
        <v>4998</v>
      </c>
      <c r="D48" s="6">
        <v>600</v>
      </c>
      <c r="E48" s="6"/>
      <c r="F48" s="6"/>
      <c r="G48" s="6"/>
      <c r="H48" s="6">
        <f t="shared" si="0"/>
        <v>600</v>
      </c>
      <c r="P48" s="26"/>
    </row>
    <row r="49" spans="1:18" x14ac:dyDescent="0.25">
      <c r="A49" s="3">
        <v>4999</v>
      </c>
      <c r="D49" s="6">
        <v>300</v>
      </c>
      <c r="E49" s="6"/>
      <c r="F49" s="6"/>
      <c r="G49" s="6"/>
      <c r="H49" s="6">
        <f t="shared" si="0"/>
        <v>300</v>
      </c>
      <c r="P49" s="26"/>
    </row>
    <row r="50" spans="1:18" x14ac:dyDescent="0.25">
      <c r="A50" s="3">
        <v>5000</v>
      </c>
      <c r="B50" s="44">
        <f>COUNT(A4:A50)</f>
        <v>47</v>
      </c>
      <c r="D50" s="6">
        <v>250</v>
      </c>
      <c r="E50" s="6"/>
      <c r="F50" s="6"/>
      <c r="G50" s="6"/>
      <c r="H50" s="6">
        <f t="shared" si="0"/>
        <v>250</v>
      </c>
      <c r="P50" s="35">
        <v>41427</v>
      </c>
      <c r="Q50" s="34">
        <f>SUM(H4:H50)</f>
        <v>16475</v>
      </c>
      <c r="R50" s="50" t="s">
        <v>22</v>
      </c>
    </row>
    <row r="51" spans="1:18" x14ac:dyDescent="0.25">
      <c r="A51" s="3">
        <v>5001</v>
      </c>
      <c r="D51" s="6">
        <v>600</v>
      </c>
      <c r="E51" s="6"/>
      <c r="F51" s="6"/>
      <c r="G51" s="6"/>
      <c r="H51" s="6">
        <f t="shared" si="0"/>
        <v>600</v>
      </c>
      <c r="P51" s="26"/>
    </row>
    <row r="52" spans="1:18" x14ac:dyDescent="0.25">
      <c r="A52" s="3">
        <v>5002</v>
      </c>
      <c r="B52" s="44">
        <v>2</v>
      </c>
      <c r="D52" s="6">
        <v>600</v>
      </c>
      <c r="E52" s="6"/>
      <c r="F52" s="6"/>
      <c r="G52" s="6"/>
      <c r="H52" s="6">
        <f t="shared" si="0"/>
        <v>600</v>
      </c>
      <c r="P52" s="26"/>
    </row>
    <row r="53" spans="1:18" x14ac:dyDescent="0.25">
      <c r="A53" s="3">
        <v>5003</v>
      </c>
      <c r="D53" s="6">
        <v>300</v>
      </c>
      <c r="E53" s="6"/>
      <c r="F53" s="6"/>
      <c r="G53" s="6"/>
      <c r="H53" s="6">
        <f t="shared" si="0"/>
        <v>300</v>
      </c>
      <c r="P53" s="35">
        <v>41434</v>
      </c>
      <c r="Q53" s="34">
        <v>12710</v>
      </c>
      <c r="R53" s="50" t="s">
        <v>24</v>
      </c>
    </row>
    <row r="54" spans="1:18" x14ac:dyDescent="0.25">
      <c r="A54" s="3">
        <v>5004</v>
      </c>
      <c r="D54" s="6">
        <v>300</v>
      </c>
      <c r="E54" s="6"/>
      <c r="F54" s="6"/>
      <c r="G54" s="6"/>
      <c r="H54" s="6">
        <f t="shared" si="0"/>
        <v>300</v>
      </c>
      <c r="P54" s="26"/>
    </row>
    <row r="55" spans="1:18" x14ac:dyDescent="0.25">
      <c r="A55" s="3">
        <v>5005</v>
      </c>
      <c r="D55" s="6">
        <v>600</v>
      </c>
      <c r="E55" s="6"/>
      <c r="F55" s="6"/>
      <c r="G55" s="6"/>
      <c r="H55" s="6">
        <f t="shared" si="0"/>
        <v>600</v>
      </c>
      <c r="P55" s="26"/>
    </row>
    <row r="56" spans="1:18" x14ac:dyDescent="0.25">
      <c r="A56" s="3">
        <v>5006</v>
      </c>
      <c r="D56" s="6">
        <v>300</v>
      </c>
      <c r="E56" s="6"/>
      <c r="F56" s="6"/>
      <c r="G56" s="6"/>
      <c r="H56" s="6">
        <f t="shared" si="0"/>
        <v>300</v>
      </c>
      <c r="P56" s="26"/>
    </row>
    <row r="57" spans="1:18" x14ac:dyDescent="0.25">
      <c r="A57" s="3">
        <v>5007</v>
      </c>
      <c r="D57" s="6">
        <v>300</v>
      </c>
      <c r="E57" s="6"/>
      <c r="F57" s="6"/>
      <c r="G57" s="6"/>
      <c r="H57" s="6">
        <f t="shared" si="0"/>
        <v>300</v>
      </c>
      <c r="P57" s="26"/>
    </row>
    <row r="58" spans="1:18" x14ac:dyDescent="0.25">
      <c r="A58" s="3">
        <v>5008</v>
      </c>
      <c r="D58" s="6">
        <v>300</v>
      </c>
      <c r="E58" s="6"/>
      <c r="F58" s="6"/>
      <c r="G58" s="6"/>
      <c r="H58" s="6">
        <f t="shared" si="0"/>
        <v>300</v>
      </c>
      <c r="P58" s="26"/>
    </row>
    <row r="59" spans="1:18" x14ac:dyDescent="0.25">
      <c r="A59" s="3">
        <v>5009</v>
      </c>
      <c r="D59" s="6">
        <v>300</v>
      </c>
      <c r="E59" s="6"/>
      <c r="F59" s="6"/>
      <c r="G59" s="6"/>
      <c r="H59" s="6">
        <f t="shared" si="0"/>
        <v>300</v>
      </c>
      <c r="P59" s="26"/>
    </row>
    <row r="60" spans="1:18" x14ac:dyDescent="0.25">
      <c r="A60" s="3">
        <v>5010</v>
      </c>
      <c r="D60" s="6">
        <v>600</v>
      </c>
      <c r="E60" s="6"/>
      <c r="F60" s="6"/>
      <c r="G60" s="6"/>
      <c r="H60" s="6">
        <f t="shared" si="0"/>
        <v>600</v>
      </c>
      <c r="P60" s="26"/>
    </row>
    <row r="61" spans="1:18" x14ac:dyDescent="0.25">
      <c r="A61" s="3">
        <v>5011</v>
      </c>
      <c r="D61" s="6">
        <v>300</v>
      </c>
      <c r="E61" s="6"/>
      <c r="F61" s="6"/>
      <c r="G61" s="6"/>
      <c r="H61" s="6">
        <f t="shared" si="0"/>
        <v>300</v>
      </c>
      <c r="P61" s="26"/>
    </row>
    <row r="62" spans="1:18" x14ac:dyDescent="0.25">
      <c r="A62" s="3">
        <v>5012</v>
      </c>
      <c r="D62" s="6">
        <v>300</v>
      </c>
      <c r="E62" s="6"/>
      <c r="F62" s="6"/>
      <c r="G62" s="6"/>
      <c r="H62" s="6">
        <f t="shared" si="0"/>
        <v>300</v>
      </c>
      <c r="P62" s="26"/>
    </row>
    <row r="63" spans="1:18" x14ac:dyDescent="0.25">
      <c r="A63" s="3">
        <v>5013</v>
      </c>
      <c r="D63" s="6">
        <v>300</v>
      </c>
      <c r="E63" s="6"/>
      <c r="F63" s="6"/>
      <c r="G63" s="6"/>
      <c r="H63" s="6">
        <f t="shared" si="0"/>
        <v>300</v>
      </c>
      <c r="P63" s="26"/>
    </row>
    <row r="64" spans="1:18" x14ac:dyDescent="0.25">
      <c r="A64" s="3">
        <v>5014</v>
      </c>
      <c r="D64" s="6">
        <v>150</v>
      </c>
      <c r="E64" s="6"/>
      <c r="F64" s="6"/>
      <c r="G64" s="6"/>
      <c r="H64" s="6">
        <f t="shared" si="0"/>
        <v>150</v>
      </c>
      <c r="P64" s="26"/>
    </row>
    <row r="65" spans="1:16" x14ac:dyDescent="0.25">
      <c r="A65" s="3">
        <v>5015</v>
      </c>
      <c r="D65" s="6">
        <v>300</v>
      </c>
      <c r="E65" s="6"/>
      <c r="F65" s="6"/>
      <c r="G65" s="6"/>
      <c r="H65" s="6">
        <f t="shared" si="0"/>
        <v>300</v>
      </c>
      <c r="P65" s="26"/>
    </row>
    <row r="66" spans="1:16" x14ac:dyDescent="0.25">
      <c r="A66" s="3">
        <v>5016</v>
      </c>
      <c r="D66" s="6">
        <v>300</v>
      </c>
      <c r="E66" s="6"/>
      <c r="F66" s="6"/>
      <c r="G66" s="6"/>
      <c r="H66" s="6">
        <f t="shared" si="0"/>
        <v>300</v>
      </c>
      <c r="P66" s="26"/>
    </row>
    <row r="67" spans="1:16" x14ac:dyDescent="0.25">
      <c r="A67" s="3">
        <v>5017</v>
      </c>
      <c r="D67" s="6">
        <v>300</v>
      </c>
      <c r="E67" s="6"/>
      <c r="F67" s="6"/>
      <c r="G67" s="6"/>
      <c r="H67" s="6">
        <f t="shared" si="0"/>
        <v>300</v>
      </c>
      <c r="P67" s="26"/>
    </row>
    <row r="68" spans="1:16" x14ac:dyDescent="0.25">
      <c r="A68" s="3">
        <v>5018</v>
      </c>
      <c r="D68" s="6">
        <v>300</v>
      </c>
      <c r="E68" s="6"/>
      <c r="F68" s="6"/>
      <c r="G68" s="6"/>
      <c r="H68" s="6">
        <f t="shared" ref="H68:H83" si="1">IF(SUM(D68:G68)=0,"",SUM(D68:G68))</f>
        <v>300</v>
      </c>
      <c r="P68" s="26"/>
    </row>
    <row r="69" spans="1:16" x14ac:dyDescent="0.25">
      <c r="A69" s="3">
        <v>5019</v>
      </c>
      <c r="D69" s="6">
        <v>150</v>
      </c>
      <c r="E69" s="6"/>
      <c r="F69" s="6"/>
      <c r="G69" s="6"/>
      <c r="H69" s="6">
        <f t="shared" si="1"/>
        <v>150</v>
      </c>
      <c r="P69" s="26"/>
    </row>
    <row r="70" spans="1:16" x14ac:dyDescent="0.25">
      <c r="A70" s="3">
        <v>5020</v>
      </c>
      <c r="D70" s="6">
        <v>300</v>
      </c>
      <c r="E70" s="6"/>
      <c r="F70" s="6"/>
      <c r="G70" s="6"/>
      <c r="H70" s="6">
        <f t="shared" si="1"/>
        <v>300</v>
      </c>
      <c r="P70" s="26"/>
    </row>
    <row r="71" spans="1:16" x14ac:dyDescent="0.25">
      <c r="A71" s="3">
        <v>5021</v>
      </c>
      <c r="D71" s="6">
        <v>600</v>
      </c>
      <c r="E71" s="6"/>
      <c r="F71" s="6"/>
      <c r="G71" s="6"/>
      <c r="H71" s="6">
        <f t="shared" si="1"/>
        <v>600</v>
      </c>
      <c r="P71" s="26"/>
    </row>
    <row r="72" spans="1:16" x14ac:dyDescent="0.25">
      <c r="A72" s="3">
        <v>5022</v>
      </c>
      <c r="D72" s="6">
        <v>150</v>
      </c>
      <c r="E72" s="6"/>
      <c r="F72" s="6"/>
      <c r="G72" s="6"/>
      <c r="H72" s="6">
        <f t="shared" si="1"/>
        <v>150</v>
      </c>
      <c r="P72" s="26"/>
    </row>
    <row r="73" spans="1:16" x14ac:dyDescent="0.25">
      <c r="A73" s="3">
        <v>5023</v>
      </c>
      <c r="D73" s="6">
        <v>300</v>
      </c>
      <c r="H73" s="6">
        <f t="shared" si="1"/>
        <v>300</v>
      </c>
      <c r="P73" s="26"/>
    </row>
    <row r="74" spans="1:16" x14ac:dyDescent="0.25">
      <c r="A74" s="3">
        <v>5024</v>
      </c>
      <c r="D74" s="6">
        <v>300</v>
      </c>
      <c r="H74" s="6">
        <f t="shared" si="1"/>
        <v>300</v>
      </c>
      <c r="P74" s="26"/>
    </row>
    <row r="75" spans="1:16" x14ac:dyDescent="0.25">
      <c r="A75" s="3">
        <v>5025</v>
      </c>
      <c r="D75" s="6">
        <v>250</v>
      </c>
      <c r="H75" s="6">
        <f t="shared" si="1"/>
        <v>250</v>
      </c>
      <c r="P75" s="26"/>
    </row>
    <row r="76" spans="1:16" x14ac:dyDescent="0.25">
      <c r="A76" s="3">
        <v>5026</v>
      </c>
      <c r="D76" s="6">
        <v>600</v>
      </c>
      <c r="H76" s="6">
        <f t="shared" si="1"/>
        <v>600</v>
      </c>
      <c r="P76" s="26"/>
    </row>
    <row r="77" spans="1:16" x14ac:dyDescent="0.25">
      <c r="A77" s="3">
        <v>5027</v>
      </c>
      <c r="D77" s="6">
        <v>300</v>
      </c>
      <c r="H77" s="6">
        <f t="shared" si="1"/>
        <v>300</v>
      </c>
      <c r="P77" s="26"/>
    </row>
    <row r="78" spans="1:16" x14ac:dyDescent="0.25">
      <c r="A78" s="3">
        <v>5028</v>
      </c>
      <c r="D78" s="6">
        <v>300</v>
      </c>
      <c r="H78" s="6">
        <f t="shared" si="1"/>
        <v>300</v>
      </c>
      <c r="P78" s="26"/>
    </row>
    <row r="79" spans="1:16" x14ac:dyDescent="0.25">
      <c r="A79" s="3">
        <v>5029</v>
      </c>
      <c r="D79" s="6">
        <v>300</v>
      </c>
      <c r="H79" s="6">
        <f t="shared" si="1"/>
        <v>300</v>
      </c>
      <c r="P79" s="26"/>
    </row>
    <row r="80" spans="1:16" x14ac:dyDescent="0.25">
      <c r="A80" s="3">
        <v>5030</v>
      </c>
      <c r="D80" s="6">
        <v>300</v>
      </c>
      <c r="H80" s="6">
        <f t="shared" si="1"/>
        <v>300</v>
      </c>
      <c r="P80" s="26"/>
    </row>
    <row r="81" spans="1:18" x14ac:dyDescent="0.25">
      <c r="A81" s="3">
        <v>5031</v>
      </c>
      <c r="D81" s="6">
        <v>300</v>
      </c>
      <c r="G81" s="3">
        <v>160</v>
      </c>
      <c r="H81" s="6">
        <f t="shared" si="1"/>
        <v>460</v>
      </c>
      <c r="P81" s="26"/>
    </row>
    <row r="82" spans="1:18" x14ac:dyDescent="0.25">
      <c r="A82" s="45">
        <v>5032</v>
      </c>
      <c r="B82" s="45"/>
      <c r="C82" s="45"/>
      <c r="D82" s="43">
        <v>300</v>
      </c>
      <c r="E82" s="45"/>
      <c r="F82" s="45"/>
      <c r="G82" s="45"/>
      <c r="H82" s="43">
        <f t="shared" si="1"/>
        <v>300</v>
      </c>
      <c r="I82" s="46"/>
      <c r="J82" s="46"/>
      <c r="K82" s="46"/>
      <c r="L82" s="46"/>
      <c r="M82" s="46"/>
      <c r="N82" s="46"/>
      <c r="O82" s="46"/>
      <c r="P82" s="28"/>
      <c r="Q82" s="47"/>
      <c r="R82" s="46"/>
    </row>
    <row r="83" spans="1:18" ht="13.5" customHeight="1" x14ac:dyDescent="0.25">
      <c r="A83" s="45">
        <v>5033</v>
      </c>
      <c r="B83" s="40"/>
      <c r="C83" s="45"/>
      <c r="D83" s="43">
        <v>300</v>
      </c>
      <c r="E83" s="45"/>
      <c r="F83" s="45"/>
      <c r="G83" s="45"/>
      <c r="H83" s="43">
        <f t="shared" si="1"/>
        <v>300</v>
      </c>
      <c r="I83" s="46"/>
      <c r="J83" s="46"/>
      <c r="K83" s="46"/>
      <c r="L83" s="46"/>
      <c r="M83" s="46"/>
      <c r="N83" s="46"/>
      <c r="O83" s="46"/>
      <c r="P83" s="46"/>
      <c r="Q83" s="46"/>
      <c r="R83" s="46"/>
    </row>
    <row r="84" spans="1:18" x14ac:dyDescent="0.25">
      <c r="A84" s="45">
        <v>5034</v>
      </c>
      <c r="B84" s="45"/>
      <c r="C84" s="45"/>
      <c r="D84" s="43">
        <v>150</v>
      </c>
      <c r="E84" s="43"/>
      <c r="F84" s="43"/>
      <c r="G84" s="43"/>
      <c r="H84" s="43">
        <f t="shared" ref="H84:H147" si="2">IF(SUM(D84:G84)=0,"",SUM(D84:G84))</f>
        <v>150</v>
      </c>
      <c r="I84" s="46"/>
      <c r="J84" s="46"/>
      <c r="K84" s="46"/>
      <c r="L84" s="46"/>
      <c r="M84" s="46"/>
      <c r="N84" s="46"/>
      <c r="O84" s="46"/>
      <c r="P84" s="28"/>
      <c r="Q84" s="47"/>
      <c r="R84" s="46"/>
    </row>
    <row r="85" spans="1:18" x14ac:dyDescent="0.25">
      <c r="A85" s="45">
        <v>5035</v>
      </c>
      <c r="B85" s="45"/>
      <c r="C85" s="45"/>
      <c r="D85" s="43">
        <v>300</v>
      </c>
      <c r="E85" s="43"/>
      <c r="F85" s="43"/>
      <c r="G85" s="43"/>
      <c r="H85" s="43">
        <f t="shared" si="2"/>
        <v>300</v>
      </c>
      <c r="I85" s="46"/>
      <c r="J85" s="46"/>
      <c r="K85" s="46"/>
      <c r="L85" s="46"/>
      <c r="M85" s="46"/>
      <c r="N85" s="46"/>
      <c r="O85" s="46"/>
      <c r="P85" s="48"/>
      <c r="Q85" s="46"/>
      <c r="R85" s="46"/>
    </row>
    <row r="86" spans="1:18" x14ac:dyDescent="0.25">
      <c r="A86" s="3">
        <v>5036</v>
      </c>
      <c r="D86" s="6">
        <v>300</v>
      </c>
      <c r="E86" s="6"/>
      <c r="F86" s="6"/>
      <c r="G86" s="6"/>
      <c r="H86" s="6">
        <f t="shared" si="2"/>
        <v>300</v>
      </c>
      <c r="P86" s="26"/>
    </row>
    <row r="87" spans="1:18" x14ac:dyDescent="0.25">
      <c r="A87" s="3">
        <v>5037</v>
      </c>
      <c r="D87" s="6">
        <v>900</v>
      </c>
      <c r="E87" s="6"/>
      <c r="F87" s="6"/>
      <c r="G87" s="6"/>
      <c r="H87" s="6">
        <f t="shared" si="2"/>
        <v>900</v>
      </c>
      <c r="P87" s="26"/>
    </row>
    <row r="88" spans="1:18" x14ac:dyDescent="0.25">
      <c r="A88" s="3">
        <v>5038</v>
      </c>
      <c r="D88" s="6">
        <v>300</v>
      </c>
      <c r="E88" s="6"/>
      <c r="F88" s="6"/>
      <c r="G88" s="6"/>
      <c r="H88" s="6">
        <f t="shared" si="2"/>
        <v>300</v>
      </c>
      <c r="P88" s="26"/>
    </row>
    <row r="89" spans="1:18" x14ac:dyDescent="0.25">
      <c r="A89" s="3">
        <v>5039</v>
      </c>
      <c r="D89" s="6">
        <v>300</v>
      </c>
      <c r="E89" s="6"/>
      <c r="F89" s="6"/>
      <c r="G89" s="6"/>
      <c r="H89" s="6">
        <f t="shared" si="2"/>
        <v>300</v>
      </c>
      <c r="P89" s="26"/>
    </row>
    <row r="90" spans="1:18" x14ac:dyDescent="0.25">
      <c r="A90" s="3">
        <v>5040</v>
      </c>
      <c r="D90" s="6">
        <v>300</v>
      </c>
      <c r="E90" s="6"/>
      <c r="F90" s="6"/>
      <c r="G90" s="6"/>
      <c r="H90" s="6">
        <f t="shared" si="2"/>
        <v>300</v>
      </c>
      <c r="P90" s="35">
        <v>41434</v>
      </c>
      <c r="Q90" s="34">
        <f>SUM(H53:H90)</f>
        <v>12710</v>
      </c>
    </row>
    <row r="91" spans="1:18" x14ac:dyDescent="0.25">
      <c r="A91" s="3">
        <v>5041</v>
      </c>
      <c r="D91" s="6">
        <v>300</v>
      </c>
      <c r="E91" s="6"/>
      <c r="F91" s="6"/>
      <c r="G91" s="6">
        <v>160</v>
      </c>
      <c r="H91" s="6">
        <f t="shared" si="2"/>
        <v>460</v>
      </c>
      <c r="P91" s="26"/>
    </row>
    <row r="92" spans="1:18" x14ac:dyDescent="0.25">
      <c r="A92" s="3">
        <v>5042</v>
      </c>
      <c r="D92" s="6"/>
      <c r="E92" s="6"/>
      <c r="F92" s="6"/>
      <c r="G92" s="6">
        <v>160</v>
      </c>
      <c r="H92" s="6">
        <f t="shared" si="2"/>
        <v>160</v>
      </c>
      <c r="P92" s="26"/>
    </row>
    <row r="93" spans="1:18" x14ac:dyDescent="0.25">
      <c r="A93" s="3">
        <v>5043</v>
      </c>
      <c r="D93" s="6"/>
      <c r="E93" s="6"/>
      <c r="F93" s="6"/>
      <c r="G93" s="6"/>
      <c r="H93" s="6" t="str">
        <f t="shared" si="2"/>
        <v/>
      </c>
      <c r="P93" s="35">
        <v>41441</v>
      </c>
      <c r="Q93" s="57"/>
      <c r="R93" s="50" t="s">
        <v>23</v>
      </c>
    </row>
    <row r="94" spans="1:18" x14ac:dyDescent="0.25">
      <c r="D94" s="6"/>
      <c r="E94" s="6"/>
      <c r="F94" s="6"/>
      <c r="G94" s="6"/>
      <c r="H94" s="6" t="str">
        <f t="shared" si="2"/>
        <v/>
      </c>
      <c r="P94" s="26"/>
    </row>
    <row r="95" spans="1:18" x14ac:dyDescent="0.25">
      <c r="D95" s="6"/>
      <c r="E95" s="6"/>
      <c r="F95" s="6"/>
      <c r="G95" s="6"/>
      <c r="H95" s="6" t="str">
        <f t="shared" si="2"/>
        <v/>
      </c>
      <c r="P95" s="26"/>
    </row>
    <row r="96" spans="1:18" x14ac:dyDescent="0.25">
      <c r="D96" s="6"/>
      <c r="E96" s="6"/>
      <c r="F96" s="6"/>
      <c r="G96" s="6"/>
      <c r="H96" s="6" t="str">
        <f t="shared" si="2"/>
        <v/>
      </c>
      <c r="P96" s="26"/>
    </row>
    <row r="97" spans="4:16" x14ac:dyDescent="0.25">
      <c r="D97" s="6"/>
      <c r="E97" s="6"/>
      <c r="F97" s="6"/>
      <c r="G97" s="6"/>
      <c r="H97" s="6" t="str">
        <f t="shared" si="2"/>
        <v/>
      </c>
      <c r="P97" s="26"/>
    </row>
    <row r="98" spans="4:16" x14ac:dyDescent="0.25">
      <c r="D98" s="6"/>
      <c r="E98" s="6"/>
      <c r="F98" s="6"/>
      <c r="G98" s="6"/>
      <c r="H98" s="6" t="str">
        <f t="shared" si="2"/>
        <v/>
      </c>
      <c r="P98" s="26"/>
    </row>
    <row r="99" spans="4:16" x14ac:dyDescent="0.25">
      <c r="D99" s="6"/>
      <c r="E99" s="6"/>
      <c r="F99" s="6"/>
      <c r="G99" s="6"/>
      <c r="H99" s="6" t="str">
        <f t="shared" si="2"/>
        <v/>
      </c>
      <c r="P99" s="26"/>
    </row>
    <row r="100" spans="4:16" x14ac:dyDescent="0.25">
      <c r="D100" s="6"/>
      <c r="E100" s="6"/>
      <c r="F100" s="6"/>
      <c r="G100" s="6"/>
      <c r="H100" s="6" t="str">
        <f t="shared" si="2"/>
        <v/>
      </c>
      <c r="P100" s="26"/>
    </row>
    <row r="101" spans="4:16" x14ac:dyDescent="0.25">
      <c r="D101" s="6"/>
      <c r="E101" s="6"/>
      <c r="F101" s="6"/>
      <c r="G101" s="6"/>
      <c r="H101" s="6" t="str">
        <f t="shared" si="2"/>
        <v/>
      </c>
      <c r="P101" s="26"/>
    </row>
    <row r="102" spans="4:16" x14ac:dyDescent="0.25">
      <c r="D102" s="6"/>
      <c r="E102" s="6"/>
      <c r="F102" s="6"/>
      <c r="G102" s="6"/>
      <c r="H102" s="6" t="str">
        <f t="shared" si="2"/>
        <v/>
      </c>
      <c r="P102" s="26"/>
    </row>
    <row r="103" spans="4:16" x14ac:dyDescent="0.25">
      <c r="D103" s="6"/>
      <c r="E103" s="6"/>
      <c r="F103" s="6"/>
      <c r="G103" s="6"/>
      <c r="H103" s="6" t="str">
        <f t="shared" si="2"/>
        <v/>
      </c>
      <c r="P103" s="26"/>
    </row>
    <row r="104" spans="4:16" x14ac:dyDescent="0.25">
      <c r="D104" s="6"/>
      <c r="E104" s="6"/>
      <c r="F104" s="6"/>
      <c r="G104" s="6"/>
      <c r="H104" s="6" t="str">
        <f t="shared" si="2"/>
        <v/>
      </c>
      <c r="P104" s="26"/>
    </row>
    <row r="105" spans="4:16" x14ac:dyDescent="0.25">
      <c r="D105" s="6"/>
      <c r="E105" s="6"/>
      <c r="F105" s="6"/>
      <c r="G105" s="6"/>
      <c r="H105" s="6" t="str">
        <f t="shared" si="2"/>
        <v/>
      </c>
      <c r="P105" s="26"/>
    </row>
    <row r="106" spans="4:16" x14ac:dyDescent="0.25">
      <c r="D106" s="6"/>
      <c r="E106" s="6"/>
      <c r="F106" s="6"/>
      <c r="G106" s="6"/>
      <c r="H106" s="6" t="str">
        <f t="shared" si="2"/>
        <v/>
      </c>
      <c r="P106" s="26"/>
    </row>
    <row r="107" spans="4:16" x14ac:dyDescent="0.25">
      <c r="D107" s="6"/>
      <c r="E107" s="6"/>
      <c r="F107" s="6"/>
      <c r="G107" s="6"/>
      <c r="H107" s="6" t="str">
        <f t="shared" si="2"/>
        <v/>
      </c>
      <c r="P107" s="26"/>
    </row>
    <row r="108" spans="4:16" x14ac:dyDescent="0.25">
      <c r="D108" s="6"/>
      <c r="E108" s="6"/>
      <c r="F108" s="6"/>
      <c r="G108" s="6"/>
      <c r="H108" s="6" t="str">
        <f t="shared" si="2"/>
        <v/>
      </c>
      <c r="P108" s="26"/>
    </row>
    <row r="109" spans="4:16" x14ac:dyDescent="0.25">
      <c r="D109" s="6"/>
      <c r="E109" s="6"/>
      <c r="F109" s="6"/>
      <c r="G109" s="6"/>
      <c r="H109" s="6" t="str">
        <f t="shared" si="2"/>
        <v/>
      </c>
      <c r="P109" s="26"/>
    </row>
    <row r="110" spans="4:16" x14ac:dyDescent="0.25">
      <c r="D110" s="6"/>
      <c r="E110" s="6"/>
      <c r="F110" s="6"/>
      <c r="G110" s="6"/>
      <c r="H110" s="6" t="str">
        <f t="shared" si="2"/>
        <v/>
      </c>
      <c r="P110" s="26"/>
    </row>
    <row r="111" spans="4:16" x14ac:dyDescent="0.25">
      <c r="D111" s="6"/>
      <c r="E111" s="6"/>
      <c r="F111" s="6"/>
      <c r="G111" s="6"/>
      <c r="H111" s="6" t="str">
        <f t="shared" si="2"/>
        <v/>
      </c>
      <c r="P111" s="26"/>
    </row>
    <row r="112" spans="4:16" x14ac:dyDescent="0.25">
      <c r="D112" s="6"/>
      <c r="E112" s="6"/>
      <c r="F112" s="6"/>
      <c r="G112" s="6"/>
      <c r="H112" s="6" t="str">
        <f t="shared" si="2"/>
        <v/>
      </c>
      <c r="P112" s="26"/>
    </row>
    <row r="113" spans="1:18" x14ac:dyDescent="0.25">
      <c r="D113" s="6"/>
      <c r="E113" s="6"/>
      <c r="F113" s="6"/>
      <c r="G113" s="6"/>
      <c r="H113" s="6" t="str">
        <f t="shared" si="2"/>
        <v/>
      </c>
      <c r="P113" s="26"/>
    </row>
    <row r="114" spans="1:18" x14ac:dyDescent="0.25">
      <c r="D114" s="6"/>
      <c r="E114" s="6"/>
      <c r="F114" s="6"/>
      <c r="G114" s="6"/>
      <c r="H114" s="6" t="str">
        <f t="shared" si="2"/>
        <v/>
      </c>
      <c r="P114" s="26"/>
    </row>
    <row r="115" spans="1:18" x14ac:dyDescent="0.25">
      <c r="D115" s="6"/>
      <c r="E115" s="6"/>
      <c r="F115" s="6"/>
      <c r="G115" s="6"/>
      <c r="H115" s="6" t="str">
        <f t="shared" si="2"/>
        <v/>
      </c>
      <c r="P115" s="26"/>
    </row>
    <row r="116" spans="1:18" x14ac:dyDescent="0.25">
      <c r="A116" s="45"/>
      <c r="B116" s="45"/>
      <c r="C116" s="45"/>
      <c r="D116" s="43"/>
      <c r="E116" s="43"/>
      <c r="F116" s="43"/>
      <c r="G116" s="43"/>
      <c r="H116" s="43" t="str">
        <f t="shared" si="2"/>
        <v/>
      </c>
      <c r="I116" s="46"/>
      <c r="J116" s="46"/>
      <c r="K116" s="46"/>
      <c r="L116" s="46"/>
      <c r="M116" s="46"/>
      <c r="N116" s="46"/>
      <c r="O116" s="46"/>
      <c r="P116" s="28"/>
      <c r="Q116" s="22"/>
      <c r="R116" s="24"/>
    </row>
    <row r="117" spans="1:18" ht="13.5" customHeight="1" x14ac:dyDescent="0.25">
      <c r="A117" s="45"/>
      <c r="B117" s="45"/>
      <c r="C117" s="45"/>
      <c r="D117" s="43"/>
      <c r="E117" s="43"/>
      <c r="F117" s="43"/>
      <c r="G117" s="43"/>
      <c r="H117" s="43"/>
      <c r="I117" s="46"/>
      <c r="J117" s="46"/>
      <c r="K117" s="46"/>
      <c r="L117" s="46"/>
      <c r="M117" s="46"/>
      <c r="N117" s="46"/>
      <c r="O117" s="46"/>
      <c r="P117" s="46"/>
      <c r="Q117" s="46"/>
    </row>
    <row r="118" spans="1:18" x14ac:dyDescent="0.25">
      <c r="A118" s="45"/>
      <c r="B118" s="45"/>
      <c r="C118" s="45"/>
      <c r="D118" s="43"/>
      <c r="E118" s="43"/>
      <c r="F118" s="43"/>
      <c r="G118" s="43"/>
      <c r="H118" s="43" t="str">
        <f t="shared" si="2"/>
        <v/>
      </c>
      <c r="I118" s="46"/>
      <c r="J118" s="46"/>
      <c r="K118" s="46"/>
      <c r="L118" s="46"/>
      <c r="M118" s="46"/>
      <c r="N118" s="46"/>
      <c r="O118" s="46"/>
      <c r="P118" s="28"/>
      <c r="Q118" s="46"/>
    </row>
    <row r="119" spans="1:18" x14ac:dyDescent="0.25">
      <c r="A119" s="45"/>
      <c r="B119" s="45"/>
      <c r="C119" s="45"/>
      <c r="D119" s="43"/>
      <c r="E119" s="43"/>
      <c r="F119" s="43"/>
      <c r="G119" s="43"/>
      <c r="H119" s="43" t="str">
        <f t="shared" si="2"/>
        <v/>
      </c>
      <c r="I119" s="46"/>
      <c r="J119" s="46"/>
      <c r="K119" s="46"/>
      <c r="L119" s="46"/>
      <c r="M119" s="46"/>
      <c r="N119" s="46"/>
      <c r="O119" s="46"/>
      <c r="P119" s="28"/>
      <c r="Q119" s="46"/>
    </row>
    <row r="120" spans="1:18" x14ac:dyDescent="0.25">
      <c r="A120" s="45"/>
      <c r="B120" s="45"/>
      <c r="C120" s="45"/>
      <c r="D120" s="43"/>
      <c r="E120" s="43"/>
      <c r="F120" s="43"/>
      <c r="G120" s="43"/>
      <c r="H120" s="43" t="str">
        <f t="shared" si="2"/>
        <v/>
      </c>
      <c r="I120" s="46"/>
      <c r="J120" s="46"/>
      <c r="K120" s="46"/>
      <c r="L120" s="46"/>
      <c r="M120" s="46"/>
      <c r="N120" s="46"/>
      <c r="O120" s="46"/>
      <c r="P120" s="28"/>
      <c r="Q120" s="46"/>
    </row>
    <row r="121" spans="1:18" x14ac:dyDescent="0.25">
      <c r="A121" s="45"/>
      <c r="B121" s="45"/>
      <c r="C121" s="45"/>
      <c r="D121" s="43"/>
      <c r="E121" s="43"/>
      <c r="F121" s="43"/>
      <c r="G121" s="43"/>
      <c r="H121" s="43" t="str">
        <f t="shared" si="2"/>
        <v/>
      </c>
      <c r="I121" s="46"/>
      <c r="J121" s="46"/>
      <c r="K121" s="46"/>
      <c r="L121" s="46"/>
      <c r="M121" s="46"/>
      <c r="N121" s="46"/>
      <c r="O121" s="46"/>
      <c r="P121" s="28"/>
      <c r="Q121" s="46"/>
    </row>
    <row r="122" spans="1:18" x14ac:dyDescent="0.25">
      <c r="A122" s="45"/>
      <c r="B122" s="45"/>
      <c r="C122" s="45"/>
      <c r="D122" s="43"/>
      <c r="E122" s="43"/>
      <c r="F122" s="43"/>
      <c r="G122" s="43"/>
      <c r="H122" s="43" t="str">
        <f t="shared" si="2"/>
        <v/>
      </c>
      <c r="I122" s="46"/>
      <c r="J122" s="46"/>
      <c r="K122" s="46"/>
      <c r="L122" s="46"/>
      <c r="M122" s="46"/>
      <c r="N122" s="46"/>
      <c r="O122" s="46"/>
      <c r="P122" s="28"/>
      <c r="Q122" s="46"/>
    </row>
    <row r="123" spans="1:18" x14ac:dyDescent="0.25">
      <c r="A123" s="45"/>
      <c r="B123" s="45"/>
      <c r="C123" s="45"/>
      <c r="D123" s="43"/>
      <c r="E123" s="43"/>
      <c r="F123" s="43"/>
      <c r="G123" s="43"/>
      <c r="H123" s="43" t="str">
        <f t="shared" si="2"/>
        <v/>
      </c>
      <c r="I123" s="46"/>
      <c r="J123" s="46"/>
      <c r="K123" s="46"/>
      <c r="L123" s="46"/>
      <c r="M123" s="46"/>
      <c r="N123" s="46"/>
      <c r="O123" s="46"/>
      <c r="P123" s="28"/>
      <c r="Q123" s="47"/>
    </row>
    <row r="124" spans="1:18" x14ac:dyDescent="0.25">
      <c r="D124" s="6"/>
      <c r="E124" s="6"/>
      <c r="F124" s="6"/>
      <c r="G124" s="6"/>
      <c r="H124" s="6" t="str">
        <f t="shared" si="2"/>
        <v/>
      </c>
    </row>
    <row r="125" spans="1:18" x14ac:dyDescent="0.25">
      <c r="D125" s="6"/>
      <c r="E125" s="6"/>
      <c r="F125" s="6"/>
      <c r="G125" s="6"/>
      <c r="H125" s="6" t="str">
        <f t="shared" si="2"/>
        <v/>
      </c>
      <c r="P125" s="27"/>
    </row>
    <row r="126" spans="1:18" x14ac:dyDescent="0.25">
      <c r="D126" s="6"/>
      <c r="E126" s="6"/>
      <c r="F126" s="6"/>
      <c r="G126" s="6"/>
      <c r="H126" s="6" t="str">
        <f t="shared" si="2"/>
        <v/>
      </c>
      <c r="P126" s="27"/>
    </row>
    <row r="127" spans="1:18" x14ac:dyDescent="0.25">
      <c r="D127" s="6"/>
      <c r="E127" s="6"/>
      <c r="F127" s="6"/>
      <c r="G127" s="6"/>
      <c r="H127" s="6" t="str">
        <f t="shared" si="2"/>
        <v/>
      </c>
      <c r="P127" s="27"/>
    </row>
    <row r="128" spans="1:18" x14ac:dyDescent="0.25">
      <c r="D128" s="6"/>
      <c r="E128" s="6"/>
      <c r="F128" s="6"/>
      <c r="G128" s="6"/>
      <c r="H128" s="6" t="str">
        <f t="shared" si="2"/>
        <v/>
      </c>
      <c r="P128" s="27"/>
    </row>
    <row r="129" spans="4:16" x14ac:dyDescent="0.25">
      <c r="D129" s="6"/>
      <c r="E129" s="6"/>
      <c r="F129" s="6"/>
      <c r="G129" s="6"/>
      <c r="H129" s="6" t="str">
        <f t="shared" si="2"/>
        <v/>
      </c>
      <c r="P129" s="27"/>
    </row>
    <row r="130" spans="4:16" x14ac:dyDescent="0.25">
      <c r="D130" s="6"/>
      <c r="E130" s="6"/>
      <c r="F130" s="6"/>
      <c r="G130" s="6"/>
      <c r="H130" s="6" t="str">
        <f t="shared" si="2"/>
        <v/>
      </c>
      <c r="P130" s="27"/>
    </row>
    <row r="131" spans="4:16" x14ac:dyDescent="0.25">
      <c r="D131" s="6"/>
      <c r="E131" s="6"/>
      <c r="F131" s="6"/>
      <c r="G131" s="6"/>
      <c r="H131" s="6" t="str">
        <f t="shared" si="2"/>
        <v/>
      </c>
      <c r="P131" s="27"/>
    </row>
    <row r="132" spans="4:16" x14ac:dyDescent="0.25">
      <c r="D132" s="6"/>
      <c r="E132" s="6"/>
      <c r="F132" s="6"/>
      <c r="G132" s="6"/>
      <c r="H132" s="6" t="str">
        <f t="shared" si="2"/>
        <v/>
      </c>
      <c r="P132" s="27"/>
    </row>
    <row r="133" spans="4:16" x14ac:dyDescent="0.25">
      <c r="D133" s="6"/>
      <c r="E133" s="6"/>
      <c r="F133" s="6"/>
      <c r="G133" s="6"/>
      <c r="H133" s="6" t="str">
        <f t="shared" si="2"/>
        <v/>
      </c>
      <c r="P133" s="27"/>
    </row>
    <row r="134" spans="4:16" x14ac:dyDescent="0.25">
      <c r="D134" s="6"/>
      <c r="E134" s="6"/>
      <c r="F134" s="6"/>
      <c r="G134" s="6"/>
      <c r="H134" s="6" t="str">
        <f t="shared" si="2"/>
        <v/>
      </c>
      <c r="P134" s="27"/>
    </row>
    <row r="135" spans="4:16" x14ac:dyDescent="0.25">
      <c r="D135" s="6"/>
      <c r="E135" s="6"/>
      <c r="F135" s="6"/>
      <c r="G135" s="6"/>
      <c r="H135" s="6" t="str">
        <f t="shared" si="2"/>
        <v/>
      </c>
      <c r="P135" s="27"/>
    </row>
    <row r="136" spans="4:16" x14ac:dyDescent="0.25">
      <c r="D136" s="6"/>
      <c r="E136" s="6"/>
      <c r="F136" s="6"/>
      <c r="G136" s="6"/>
      <c r="H136" s="6" t="str">
        <f t="shared" si="2"/>
        <v/>
      </c>
      <c r="P136" s="27"/>
    </row>
    <row r="137" spans="4:16" x14ac:dyDescent="0.25">
      <c r="D137" s="6"/>
      <c r="E137" s="6"/>
      <c r="F137" s="6"/>
      <c r="G137" s="6"/>
      <c r="H137" s="6" t="str">
        <f t="shared" si="2"/>
        <v/>
      </c>
      <c r="P137" s="27"/>
    </row>
    <row r="138" spans="4:16" x14ac:dyDescent="0.25">
      <c r="D138" s="6"/>
      <c r="E138" s="6"/>
      <c r="F138" s="6"/>
      <c r="G138" s="6"/>
      <c r="H138" s="6" t="str">
        <f t="shared" si="2"/>
        <v/>
      </c>
      <c r="P138" s="27"/>
    </row>
    <row r="139" spans="4:16" x14ac:dyDescent="0.25">
      <c r="D139" s="6"/>
      <c r="E139" s="6"/>
      <c r="F139" s="6"/>
      <c r="G139" s="6"/>
      <c r="H139" s="6" t="str">
        <f t="shared" si="2"/>
        <v/>
      </c>
      <c r="P139" s="27"/>
    </row>
    <row r="140" spans="4:16" x14ac:dyDescent="0.25">
      <c r="D140" s="6"/>
      <c r="E140" s="6"/>
      <c r="F140" s="6"/>
      <c r="G140" s="6"/>
      <c r="H140" s="6" t="str">
        <f t="shared" si="2"/>
        <v/>
      </c>
      <c r="P140" s="27"/>
    </row>
    <row r="141" spans="4:16" x14ac:dyDescent="0.25">
      <c r="D141" s="6"/>
      <c r="E141" s="6"/>
      <c r="F141" s="6"/>
      <c r="G141" s="6"/>
      <c r="H141" s="6" t="str">
        <f t="shared" si="2"/>
        <v/>
      </c>
      <c r="P141" s="27"/>
    </row>
    <row r="142" spans="4:16" x14ac:dyDescent="0.25">
      <c r="D142" s="6"/>
      <c r="E142" s="6"/>
      <c r="F142" s="6"/>
      <c r="G142" s="6"/>
      <c r="H142" s="6" t="str">
        <f t="shared" si="2"/>
        <v/>
      </c>
      <c r="P142" s="27"/>
    </row>
    <row r="143" spans="4:16" x14ac:dyDescent="0.25">
      <c r="D143" s="6"/>
      <c r="E143" s="6"/>
      <c r="F143" s="6"/>
      <c r="G143" s="6"/>
      <c r="H143" s="6" t="str">
        <f t="shared" si="2"/>
        <v/>
      </c>
      <c r="P143" s="27"/>
    </row>
    <row r="144" spans="4:16" x14ac:dyDescent="0.25">
      <c r="D144" s="6"/>
      <c r="E144" s="6"/>
      <c r="F144" s="6"/>
      <c r="G144" s="6"/>
      <c r="H144" s="6" t="str">
        <f t="shared" si="2"/>
        <v/>
      </c>
      <c r="P144" s="27"/>
    </row>
    <row r="145" spans="1:18" x14ac:dyDescent="0.25">
      <c r="D145" s="6"/>
      <c r="E145" s="6"/>
      <c r="F145" s="6"/>
      <c r="G145" s="6"/>
      <c r="H145" s="6" t="str">
        <f t="shared" si="2"/>
        <v/>
      </c>
      <c r="P145" s="27"/>
    </row>
    <row r="146" spans="1:18" x14ac:dyDescent="0.25">
      <c r="D146" s="6"/>
      <c r="E146" s="6"/>
      <c r="F146" s="6"/>
      <c r="G146" s="6"/>
      <c r="H146" s="6" t="str">
        <f t="shared" si="2"/>
        <v/>
      </c>
      <c r="P146" s="27"/>
    </row>
    <row r="147" spans="1:18" x14ac:dyDescent="0.25">
      <c r="D147" s="6"/>
      <c r="E147" s="6"/>
      <c r="F147" s="6"/>
      <c r="G147" s="6"/>
      <c r="H147" s="6" t="str">
        <f t="shared" si="2"/>
        <v/>
      </c>
      <c r="P147" s="27"/>
    </row>
    <row r="148" spans="1:18" x14ac:dyDescent="0.25">
      <c r="D148" s="6"/>
      <c r="E148" s="6"/>
      <c r="F148" s="6"/>
      <c r="G148" s="6"/>
      <c r="H148" s="6" t="str">
        <f t="shared" ref="H148:H210" si="3">IF(SUM(D148:G148)=0,"",SUM(D148:G148))</f>
        <v/>
      </c>
      <c r="P148" s="27"/>
    </row>
    <row r="149" spans="1:18" x14ac:dyDescent="0.25">
      <c r="D149" s="6"/>
      <c r="E149" s="6"/>
      <c r="F149" s="6"/>
      <c r="G149" s="6"/>
      <c r="H149" s="6" t="str">
        <f t="shared" si="3"/>
        <v/>
      </c>
      <c r="P149" s="27"/>
    </row>
    <row r="150" spans="1:18" x14ac:dyDescent="0.25">
      <c r="D150" s="6"/>
      <c r="E150" s="6"/>
      <c r="F150" s="6"/>
      <c r="G150" s="6"/>
      <c r="H150" s="6" t="str">
        <f t="shared" si="3"/>
        <v/>
      </c>
      <c r="P150" s="27"/>
    </row>
    <row r="151" spans="1:18" x14ac:dyDescent="0.25">
      <c r="D151" s="6"/>
      <c r="E151" s="6"/>
      <c r="F151" s="6"/>
      <c r="G151" s="6"/>
      <c r="H151" s="6" t="str">
        <f t="shared" si="3"/>
        <v/>
      </c>
      <c r="P151" s="27"/>
    </row>
    <row r="152" spans="1:18" x14ac:dyDescent="0.25">
      <c r="D152" s="6"/>
      <c r="E152" s="6"/>
      <c r="F152" s="6"/>
      <c r="G152" s="6"/>
      <c r="H152" s="6" t="str">
        <f t="shared" si="3"/>
        <v/>
      </c>
      <c r="P152" s="27"/>
    </row>
    <row r="153" spans="1:18" x14ac:dyDescent="0.25">
      <c r="A153" s="45"/>
      <c r="B153" s="45"/>
      <c r="C153" s="45"/>
      <c r="D153" s="43"/>
      <c r="E153" s="43"/>
      <c r="F153" s="43"/>
      <c r="G153" s="43"/>
      <c r="H153" s="43"/>
      <c r="I153" s="46"/>
      <c r="J153" s="46"/>
      <c r="K153" s="46"/>
      <c r="L153" s="46"/>
      <c r="M153" s="46"/>
      <c r="N153" s="46"/>
      <c r="O153" s="46"/>
      <c r="P153" s="28"/>
      <c r="Q153" s="46"/>
      <c r="R153" s="46"/>
    </row>
    <row r="154" spans="1:18" x14ac:dyDescent="0.25">
      <c r="A154" s="45"/>
      <c r="B154" s="45"/>
      <c r="C154" s="45"/>
      <c r="D154" s="43"/>
      <c r="E154" s="43"/>
      <c r="F154" s="43"/>
      <c r="G154" s="43"/>
      <c r="H154" s="43"/>
      <c r="I154" s="46"/>
      <c r="J154" s="46"/>
      <c r="K154" s="46"/>
      <c r="L154" s="46"/>
      <c r="M154" s="46"/>
      <c r="N154" s="46"/>
      <c r="O154" s="46"/>
      <c r="P154" s="28"/>
      <c r="Q154" s="46"/>
      <c r="R154" s="46"/>
    </row>
    <row r="155" spans="1:18" x14ac:dyDescent="0.25">
      <c r="A155" s="45"/>
      <c r="B155" s="45"/>
      <c r="C155" s="45"/>
      <c r="D155" s="43"/>
      <c r="E155" s="43"/>
      <c r="F155" s="43"/>
      <c r="G155" s="43"/>
      <c r="H155" s="43"/>
      <c r="I155" s="46"/>
      <c r="J155" s="46"/>
      <c r="K155" s="46"/>
      <c r="L155" s="46"/>
      <c r="M155" s="46"/>
      <c r="N155" s="46"/>
      <c r="O155" s="46"/>
      <c r="P155" s="28"/>
      <c r="Q155" s="46"/>
      <c r="R155" s="46"/>
    </row>
    <row r="156" spans="1:18" x14ac:dyDescent="0.25">
      <c r="A156" s="45"/>
      <c r="B156" s="45"/>
      <c r="C156" s="45"/>
      <c r="D156" s="43"/>
      <c r="E156" s="43"/>
      <c r="F156" s="43"/>
      <c r="G156" s="43"/>
      <c r="H156" s="49"/>
      <c r="I156" s="46"/>
      <c r="J156" s="46"/>
      <c r="K156" s="46"/>
      <c r="L156" s="46"/>
      <c r="M156" s="46"/>
      <c r="N156" s="46"/>
      <c r="O156" s="46"/>
      <c r="P156" s="28"/>
      <c r="Q156" s="47"/>
      <c r="R156" s="46"/>
    </row>
    <row r="157" spans="1:18" x14ac:dyDescent="0.25">
      <c r="A157" s="45"/>
      <c r="B157" s="40"/>
      <c r="C157" s="45"/>
      <c r="D157" s="43"/>
      <c r="E157" s="43"/>
      <c r="F157" s="43"/>
      <c r="G157" s="43"/>
      <c r="H157" s="43"/>
      <c r="I157" s="46"/>
      <c r="J157" s="46"/>
      <c r="K157" s="46"/>
      <c r="L157" s="46"/>
      <c r="M157" s="46"/>
      <c r="N157" s="46"/>
      <c r="O157" s="46"/>
      <c r="P157" s="46"/>
      <c r="Q157" s="46"/>
      <c r="R157" s="46"/>
    </row>
    <row r="158" spans="1:18" x14ac:dyDescent="0.25">
      <c r="D158" s="6"/>
      <c r="E158" s="6"/>
      <c r="F158" s="6"/>
      <c r="G158" s="6"/>
      <c r="H158" s="6" t="str">
        <f t="shared" si="3"/>
        <v/>
      </c>
    </row>
    <row r="159" spans="1:18" x14ac:dyDescent="0.25">
      <c r="D159" s="6"/>
      <c r="E159" s="6"/>
      <c r="F159" s="6"/>
      <c r="G159" s="6"/>
      <c r="H159" s="6" t="str">
        <f t="shared" si="3"/>
        <v/>
      </c>
      <c r="P159" s="27"/>
    </row>
    <row r="160" spans="1:18" x14ac:dyDescent="0.25">
      <c r="D160" s="6"/>
      <c r="E160" s="6"/>
      <c r="F160" s="6"/>
      <c r="G160" s="6"/>
      <c r="H160" s="6" t="str">
        <f t="shared" si="3"/>
        <v/>
      </c>
      <c r="P160" s="27"/>
    </row>
    <row r="161" spans="2:16" x14ac:dyDescent="0.25">
      <c r="B161" s="40"/>
      <c r="D161" s="6"/>
      <c r="E161" s="6"/>
      <c r="F161" s="6"/>
      <c r="G161" s="6"/>
      <c r="H161" s="6" t="str">
        <f t="shared" si="3"/>
        <v/>
      </c>
      <c r="P161" s="27"/>
    </row>
    <row r="162" spans="2:16" x14ac:dyDescent="0.25">
      <c r="D162" s="6"/>
      <c r="E162" s="6"/>
      <c r="F162" s="6"/>
      <c r="G162" s="6"/>
      <c r="H162" s="6" t="str">
        <f t="shared" si="3"/>
        <v/>
      </c>
      <c r="P162" s="27"/>
    </row>
    <row r="163" spans="2:16" x14ac:dyDescent="0.25">
      <c r="D163" s="6"/>
      <c r="E163" s="6"/>
      <c r="F163" s="6"/>
      <c r="G163" s="6"/>
      <c r="H163" s="6" t="str">
        <f t="shared" si="3"/>
        <v/>
      </c>
      <c r="P163" s="27"/>
    </row>
    <row r="164" spans="2:16" x14ac:dyDescent="0.25">
      <c r="D164" s="6"/>
      <c r="E164" s="6"/>
      <c r="F164" s="6"/>
      <c r="G164" s="6"/>
      <c r="H164" s="6" t="str">
        <f t="shared" si="3"/>
        <v/>
      </c>
      <c r="P164" s="27"/>
    </row>
    <row r="165" spans="2:16" x14ac:dyDescent="0.25">
      <c r="D165" s="6"/>
      <c r="E165" s="6"/>
      <c r="F165" s="6"/>
      <c r="G165" s="6"/>
      <c r="H165" s="6" t="str">
        <f t="shared" si="3"/>
        <v/>
      </c>
      <c r="P165" s="27"/>
    </row>
    <row r="166" spans="2:16" x14ac:dyDescent="0.25">
      <c r="D166" s="6"/>
      <c r="E166" s="6"/>
      <c r="F166" s="6"/>
      <c r="G166" s="6"/>
      <c r="H166" s="6" t="str">
        <f t="shared" si="3"/>
        <v/>
      </c>
      <c r="P166" s="27"/>
    </row>
    <row r="167" spans="2:16" x14ac:dyDescent="0.25">
      <c r="D167" s="6"/>
      <c r="E167" s="6"/>
      <c r="F167" s="6"/>
      <c r="G167" s="6"/>
      <c r="H167" s="6" t="str">
        <f t="shared" si="3"/>
        <v/>
      </c>
      <c r="P167" s="27"/>
    </row>
    <row r="168" spans="2:16" x14ac:dyDescent="0.25">
      <c r="D168" s="6"/>
      <c r="E168" s="6"/>
      <c r="F168" s="6"/>
      <c r="G168" s="6"/>
      <c r="H168" s="6" t="str">
        <f t="shared" si="3"/>
        <v/>
      </c>
      <c r="P168" s="27"/>
    </row>
    <row r="169" spans="2:16" x14ac:dyDescent="0.25">
      <c r="D169" s="6"/>
      <c r="E169" s="6"/>
      <c r="F169" s="6"/>
      <c r="G169" s="6"/>
      <c r="H169" s="6" t="str">
        <f t="shared" si="3"/>
        <v/>
      </c>
      <c r="P169" s="27"/>
    </row>
    <row r="170" spans="2:16" x14ac:dyDescent="0.25">
      <c r="D170" s="6"/>
      <c r="E170" s="6"/>
      <c r="F170" s="6"/>
      <c r="G170" s="6"/>
      <c r="H170" s="6" t="str">
        <f t="shared" si="3"/>
        <v/>
      </c>
      <c r="P170" s="27"/>
    </row>
    <row r="171" spans="2:16" x14ac:dyDescent="0.25">
      <c r="D171" s="6"/>
      <c r="E171" s="6"/>
      <c r="F171" s="6"/>
      <c r="G171" s="6"/>
      <c r="H171" s="6" t="str">
        <f t="shared" si="3"/>
        <v/>
      </c>
      <c r="P171" s="27"/>
    </row>
    <row r="172" spans="2:16" x14ac:dyDescent="0.25">
      <c r="D172" s="6"/>
      <c r="E172" s="6"/>
      <c r="F172" s="6"/>
      <c r="G172" s="6"/>
      <c r="H172" s="6" t="str">
        <f t="shared" si="3"/>
        <v/>
      </c>
      <c r="P172" s="26"/>
    </row>
    <row r="173" spans="2:16" x14ac:dyDescent="0.25">
      <c r="D173" s="6"/>
      <c r="E173" s="6"/>
      <c r="F173" s="6"/>
      <c r="G173" s="6"/>
      <c r="H173" s="6" t="str">
        <f t="shared" si="3"/>
        <v/>
      </c>
      <c r="P173" s="26"/>
    </row>
    <row r="174" spans="2:16" x14ac:dyDescent="0.25">
      <c r="D174" s="6"/>
      <c r="E174" s="6"/>
      <c r="F174" s="6"/>
      <c r="G174" s="6"/>
      <c r="H174" s="6" t="str">
        <f t="shared" si="3"/>
        <v/>
      </c>
      <c r="P174" s="26"/>
    </row>
    <row r="175" spans="2:16" x14ac:dyDescent="0.25">
      <c r="D175" s="6"/>
      <c r="E175" s="6"/>
      <c r="F175" s="6"/>
      <c r="G175" s="6"/>
      <c r="H175" s="6" t="str">
        <f t="shared" si="3"/>
        <v/>
      </c>
      <c r="P175" s="26"/>
    </row>
    <row r="176" spans="2:16" x14ac:dyDescent="0.25">
      <c r="D176" s="6"/>
      <c r="E176" s="6"/>
      <c r="F176" s="6"/>
      <c r="G176" s="6"/>
      <c r="H176" s="6" t="str">
        <f t="shared" si="3"/>
        <v/>
      </c>
      <c r="P176" s="26"/>
    </row>
    <row r="177" spans="4:16" x14ac:dyDescent="0.25">
      <c r="D177" s="6"/>
      <c r="E177" s="6"/>
      <c r="F177" s="6"/>
      <c r="G177" s="6"/>
      <c r="H177" s="6" t="str">
        <f t="shared" si="3"/>
        <v/>
      </c>
      <c r="P177" s="26"/>
    </row>
    <row r="178" spans="4:16" x14ac:dyDescent="0.25">
      <c r="D178" s="6"/>
      <c r="E178" s="6"/>
      <c r="F178" s="6"/>
      <c r="G178" s="6"/>
      <c r="H178" s="6" t="str">
        <f t="shared" si="3"/>
        <v/>
      </c>
      <c r="P178" s="26"/>
    </row>
    <row r="179" spans="4:16" x14ac:dyDescent="0.25">
      <c r="D179" s="6"/>
      <c r="E179" s="6"/>
      <c r="F179" s="6"/>
      <c r="G179" s="6"/>
      <c r="H179" s="6" t="str">
        <f t="shared" si="3"/>
        <v/>
      </c>
      <c r="P179" s="26"/>
    </row>
    <row r="180" spans="4:16" x14ac:dyDescent="0.25">
      <c r="D180" s="6"/>
      <c r="E180" s="6"/>
      <c r="F180" s="6"/>
      <c r="G180" s="6"/>
      <c r="H180" s="6" t="str">
        <f t="shared" si="3"/>
        <v/>
      </c>
      <c r="P180" s="26"/>
    </row>
    <row r="181" spans="4:16" x14ac:dyDescent="0.25">
      <c r="D181" s="6"/>
      <c r="E181" s="6"/>
      <c r="F181" s="6"/>
      <c r="G181" s="6"/>
      <c r="H181" s="6" t="str">
        <f t="shared" si="3"/>
        <v/>
      </c>
      <c r="P181" s="26"/>
    </row>
    <row r="182" spans="4:16" x14ac:dyDescent="0.25">
      <c r="D182" s="6"/>
      <c r="E182" s="6"/>
      <c r="F182" s="6"/>
      <c r="G182" s="6"/>
      <c r="H182" s="6" t="str">
        <f t="shared" si="3"/>
        <v/>
      </c>
      <c r="P182" s="26"/>
    </row>
    <row r="183" spans="4:16" x14ac:dyDescent="0.25">
      <c r="D183" s="6"/>
      <c r="E183" s="6"/>
      <c r="F183" s="6"/>
      <c r="G183" s="6"/>
      <c r="H183" s="6" t="str">
        <f t="shared" si="3"/>
        <v/>
      </c>
      <c r="P183" s="26"/>
    </row>
    <row r="184" spans="4:16" x14ac:dyDescent="0.25">
      <c r="D184" s="6"/>
      <c r="E184" s="6"/>
      <c r="F184" s="6"/>
      <c r="G184" s="6"/>
      <c r="H184" s="6" t="str">
        <f t="shared" si="3"/>
        <v/>
      </c>
      <c r="P184" s="26"/>
    </row>
    <row r="185" spans="4:16" x14ac:dyDescent="0.25">
      <c r="D185" s="6"/>
      <c r="E185" s="6"/>
      <c r="F185" s="6"/>
      <c r="G185" s="6"/>
      <c r="H185" s="6" t="str">
        <f t="shared" si="3"/>
        <v/>
      </c>
      <c r="P185" s="26"/>
    </row>
    <row r="186" spans="4:16" x14ac:dyDescent="0.25">
      <c r="D186" s="6"/>
      <c r="E186" s="6"/>
      <c r="F186" s="6"/>
      <c r="G186" s="6"/>
      <c r="H186" s="6" t="str">
        <f t="shared" si="3"/>
        <v/>
      </c>
      <c r="P186" s="26"/>
    </row>
    <row r="187" spans="4:16" x14ac:dyDescent="0.25">
      <c r="D187" s="6"/>
      <c r="E187" s="6"/>
      <c r="F187" s="6"/>
      <c r="G187" s="6"/>
      <c r="H187" s="6" t="str">
        <f t="shared" si="3"/>
        <v/>
      </c>
      <c r="P187" s="26"/>
    </row>
    <row r="188" spans="4:16" x14ac:dyDescent="0.25">
      <c r="D188" s="6"/>
      <c r="E188" s="6"/>
      <c r="F188" s="6"/>
      <c r="G188" s="6"/>
      <c r="H188" s="6" t="str">
        <f t="shared" si="3"/>
        <v/>
      </c>
      <c r="P188" s="26"/>
    </row>
    <row r="189" spans="4:16" x14ac:dyDescent="0.25">
      <c r="D189" s="6"/>
      <c r="E189" s="6"/>
      <c r="F189" s="6"/>
      <c r="G189" s="6"/>
      <c r="H189" s="6" t="str">
        <f t="shared" si="3"/>
        <v/>
      </c>
      <c r="P189" s="26"/>
    </row>
    <row r="190" spans="4:16" x14ac:dyDescent="0.25">
      <c r="D190" s="6"/>
      <c r="E190" s="6"/>
      <c r="F190" s="6"/>
      <c r="G190" s="6"/>
      <c r="H190" s="6" t="str">
        <f t="shared" si="3"/>
        <v/>
      </c>
      <c r="P190" s="26"/>
    </row>
    <row r="191" spans="4:16" x14ac:dyDescent="0.25">
      <c r="D191" s="6"/>
      <c r="E191" s="6"/>
      <c r="F191" s="6"/>
      <c r="G191" s="6"/>
      <c r="H191" s="6" t="str">
        <f t="shared" si="3"/>
        <v/>
      </c>
      <c r="P191" s="26"/>
    </row>
    <row r="192" spans="4:16" x14ac:dyDescent="0.25">
      <c r="D192" s="6"/>
      <c r="E192" s="6"/>
      <c r="F192" s="6"/>
      <c r="G192" s="6"/>
      <c r="H192" s="6" t="str">
        <f t="shared" si="3"/>
        <v/>
      </c>
      <c r="P192" s="26"/>
    </row>
    <row r="193" spans="4:16" x14ac:dyDescent="0.25">
      <c r="D193" s="6"/>
      <c r="E193" s="6"/>
      <c r="F193" s="6"/>
      <c r="G193" s="6"/>
      <c r="H193" s="6" t="str">
        <f t="shared" si="3"/>
        <v/>
      </c>
      <c r="P193" s="26"/>
    </row>
    <row r="194" spans="4:16" x14ac:dyDescent="0.25">
      <c r="D194" s="6"/>
      <c r="E194" s="6"/>
      <c r="F194" s="6"/>
      <c r="G194" s="6"/>
      <c r="H194" s="6" t="str">
        <f t="shared" si="3"/>
        <v/>
      </c>
      <c r="P194" s="26"/>
    </row>
    <row r="195" spans="4:16" x14ac:dyDescent="0.25">
      <c r="D195" s="6"/>
      <c r="E195" s="6"/>
      <c r="F195" s="6"/>
      <c r="G195" s="6"/>
      <c r="H195" s="6" t="str">
        <f t="shared" si="3"/>
        <v/>
      </c>
      <c r="P195" s="26"/>
    </row>
    <row r="196" spans="4:16" x14ac:dyDescent="0.25">
      <c r="D196" s="6"/>
      <c r="E196" s="6"/>
      <c r="F196" s="6"/>
      <c r="G196" s="6"/>
      <c r="H196" s="6" t="str">
        <f t="shared" si="3"/>
        <v/>
      </c>
      <c r="P196" s="26"/>
    </row>
    <row r="197" spans="4:16" x14ac:dyDescent="0.25">
      <c r="D197" s="6"/>
      <c r="E197" s="6"/>
      <c r="F197" s="6"/>
      <c r="G197" s="6"/>
      <c r="H197" s="6" t="str">
        <f t="shared" si="3"/>
        <v/>
      </c>
      <c r="P197" s="26"/>
    </row>
    <row r="198" spans="4:16" x14ac:dyDescent="0.25">
      <c r="D198" s="6"/>
      <c r="E198" s="6"/>
      <c r="F198" s="6"/>
      <c r="G198" s="6"/>
      <c r="H198" s="6" t="str">
        <f t="shared" si="3"/>
        <v/>
      </c>
      <c r="P198" s="26"/>
    </row>
    <row r="199" spans="4:16" x14ac:dyDescent="0.25">
      <c r="D199" s="6"/>
      <c r="E199" s="6"/>
      <c r="F199" s="6"/>
      <c r="G199" s="6"/>
      <c r="H199" s="6" t="str">
        <f t="shared" si="3"/>
        <v/>
      </c>
      <c r="P199" s="26"/>
    </row>
    <row r="200" spans="4:16" x14ac:dyDescent="0.25">
      <c r="D200" s="6"/>
      <c r="E200" s="6"/>
      <c r="F200" s="6"/>
      <c r="G200" s="6"/>
      <c r="H200" s="6" t="str">
        <f t="shared" si="3"/>
        <v/>
      </c>
      <c r="P200" s="26"/>
    </row>
    <row r="201" spans="4:16" x14ac:dyDescent="0.25">
      <c r="D201" s="6"/>
      <c r="E201" s="6"/>
      <c r="F201" s="6"/>
      <c r="G201" s="6"/>
      <c r="H201" s="6" t="str">
        <f t="shared" si="3"/>
        <v/>
      </c>
      <c r="P201" s="26"/>
    </row>
    <row r="202" spans="4:16" x14ac:dyDescent="0.25">
      <c r="D202" s="6"/>
      <c r="E202" s="6"/>
      <c r="F202" s="6"/>
      <c r="G202" s="6"/>
      <c r="H202" s="6" t="str">
        <f t="shared" si="3"/>
        <v/>
      </c>
      <c r="P202" s="26"/>
    </row>
    <row r="203" spans="4:16" x14ac:dyDescent="0.25">
      <c r="D203" s="6"/>
      <c r="E203" s="6"/>
      <c r="F203" s="6"/>
      <c r="G203" s="6"/>
      <c r="H203" s="6" t="str">
        <f t="shared" si="3"/>
        <v/>
      </c>
      <c r="P203" s="26"/>
    </row>
    <row r="204" spans="4:16" x14ac:dyDescent="0.25">
      <c r="D204" s="6"/>
      <c r="E204" s="6"/>
      <c r="F204" s="6"/>
      <c r="G204" s="6"/>
      <c r="H204" s="6" t="str">
        <f t="shared" si="3"/>
        <v/>
      </c>
      <c r="P204" s="26"/>
    </row>
    <row r="205" spans="4:16" x14ac:dyDescent="0.25">
      <c r="D205" s="6"/>
      <c r="E205" s="6"/>
      <c r="F205" s="6"/>
      <c r="G205" s="6"/>
      <c r="H205" s="6" t="str">
        <f t="shared" si="3"/>
        <v/>
      </c>
      <c r="P205" s="26"/>
    </row>
    <row r="206" spans="4:16" x14ac:dyDescent="0.25">
      <c r="D206" s="6"/>
      <c r="E206" s="6"/>
      <c r="F206" s="6"/>
      <c r="G206" s="6"/>
      <c r="H206" s="6" t="str">
        <f t="shared" si="3"/>
        <v/>
      </c>
      <c r="P206" s="26"/>
    </row>
    <row r="207" spans="4:16" x14ac:dyDescent="0.25">
      <c r="D207" s="6"/>
      <c r="E207" s="6"/>
      <c r="F207" s="6"/>
      <c r="G207" s="6"/>
      <c r="H207" s="6" t="str">
        <f t="shared" si="3"/>
        <v/>
      </c>
      <c r="P207" s="26"/>
    </row>
    <row r="208" spans="4:16" x14ac:dyDescent="0.25">
      <c r="D208" s="6"/>
      <c r="E208" s="6"/>
      <c r="F208" s="6"/>
      <c r="G208" s="6"/>
      <c r="H208" s="6" t="str">
        <f t="shared" si="3"/>
        <v/>
      </c>
      <c r="P208" s="26"/>
    </row>
    <row r="209" spans="1:17" x14ac:dyDescent="0.25">
      <c r="D209" s="6"/>
      <c r="E209" s="6"/>
      <c r="F209" s="6"/>
      <c r="G209" s="6"/>
      <c r="H209" s="6" t="str">
        <f t="shared" si="3"/>
        <v/>
      </c>
      <c r="P209" s="26"/>
    </row>
    <row r="210" spans="1:17" x14ac:dyDescent="0.25">
      <c r="D210" s="6"/>
      <c r="E210" s="6"/>
      <c r="F210" s="6"/>
      <c r="G210" s="6"/>
      <c r="H210" s="6" t="str">
        <f t="shared" si="3"/>
        <v/>
      </c>
      <c r="P210" s="26"/>
    </row>
    <row r="211" spans="1:17" x14ac:dyDescent="0.25">
      <c r="D211" s="6"/>
      <c r="E211" s="6"/>
      <c r="F211" s="6"/>
      <c r="G211" s="6"/>
      <c r="H211" s="6" t="str">
        <f t="shared" ref="H211:H215" si="4">IF(SUM(D211:G211)=0,"",SUM(D211:G211))</f>
        <v/>
      </c>
      <c r="P211" s="26"/>
    </row>
    <row r="212" spans="1:17" x14ac:dyDescent="0.25">
      <c r="D212" s="6"/>
      <c r="E212" s="6"/>
      <c r="F212" s="6"/>
      <c r="G212" s="6"/>
      <c r="H212" s="6" t="str">
        <f t="shared" si="4"/>
        <v/>
      </c>
      <c r="P212" s="26"/>
    </row>
    <row r="213" spans="1:17" x14ac:dyDescent="0.25">
      <c r="D213" s="6"/>
      <c r="E213" s="6"/>
      <c r="F213" s="6"/>
      <c r="G213" s="6"/>
      <c r="H213" s="6" t="str">
        <f t="shared" si="4"/>
        <v/>
      </c>
      <c r="P213" s="26"/>
    </row>
    <row r="214" spans="1:17" x14ac:dyDescent="0.25">
      <c r="E214" s="6"/>
      <c r="F214" s="6"/>
      <c r="G214" s="6"/>
      <c r="H214" s="6" t="str">
        <f t="shared" si="4"/>
        <v/>
      </c>
      <c r="P214" s="26"/>
    </row>
    <row r="215" spans="1:17" ht="15.75" thickBot="1" x14ac:dyDescent="0.3">
      <c r="C215" s="14" t="s">
        <v>0</v>
      </c>
      <c r="D215" s="7">
        <f>SUM(D4:D214)</f>
        <v>30525</v>
      </c>
      <c r="E215" s="7">
        <f>SUM(E4:E214)</f>
        <v>0</v>
      </c>
      <c r="F215" s="7">
        <f>SUM(F4:F214)</f>
        <v>0</v>
      </c>
      <c r="G215" s="7">
        <f>SUM(G4:G214)</f>
        <v>480</v>
      </c>
      <c r="H215" s="23">
        <f t="shared" si="4"/>
        <v>31005</v>
      </c>
      <c r="P215" s="38"/>
      <c r="Q215" s="39"/>
    </row>
    <row r="216" spans="1:17" ht="15" customHeight="1" thickTop="1" x14ac:dyDescent="0.25">
      <c r="C216" s="13"/>
      <c r="D216" s="12"/>
      <c r="E216" s="12"/>
      <c r="F216" s="12"/>
      <c r="G216" s="12"/>
      <c r="H216" s="12"/>
      <c r="P216" s="26"/>
    </row>
    <row r="217" spans="1:17" x14ac:dyDescent="0.25">
      <c r="A217" s="53" t="s">
        <v>13</v>
      </c>
      <c r="B217" s="54"/>
      <c r="C217" s="55"/>
      <c r="D217" s="15" t="s">
        <v>14</v>
      </c>
      <c r="E217" s="6"/>
      <c r="F217" s="6"/>
      <c r="G217" s="6"/>
      <c r="H217" s="6"/>
      <c r="P217" s="26"/>
    </row>
    <row r="218" spans="1:17" x14ac:dyDescent="0.25">
      <c r="A218" s="8" t="s">
        <v>11</v>
      </c>
      <c r="B218" s="30" t="s">
        <v>21</v>
      </c>
      <c r="C218" s="9" t="s">
        <v>12</v>
      </c>
      <c r="D218" s="16" t="s">
        <v>0</v>
      </c>
      <c r="E218" s="6"/>
      <c r="F218" s="6"/>
      <c r="G218" s="6"/>
      <c r="H218" s="6"/>
      <c r="P218" s="26"/>
    </row>
    <row r="219" spans="1:17" x14ac:dyDescent="0.25">
      <c r="A219" s="10">
        <f>COUNT(A4:A218)</f>
        <v>90</v>
      </c>
      <c r="B219" s="31">
        <f>SUM(B83:B214)</f>
        <v>0</v>
      </c>
      <c r="C219" s="11">
        <f>COUNTIF(C4:C214,"CANCELADO")</f>
        <v>0</v>
      </c>
      <c r="D219" s="37">
        <f>+A219-C219</f>
        <v>90</v>
      </c>
      <c r="E219" s="6"/>
      <c r="F219" s="6"/>
      <c r="G219" s="6"/>
      <c r="H219" s="6"/>
      <c r="P219" s="26"/>
    </row>
    <row r="220" spans="1:17" x14ac:dyDescent="0.25">
      <c r="D220" s="6"/>
      <c r="E220" s="6"/>
      <c r="F220" s="6"/>
      <c r="G220" s="6"/>
      <c r="H220" s="6" t="str">
        <f t="shared" ref="H220:H238" si="5">IF(SUM(D220:G220)=0,"",SUM(D220:G220))</f>
        <v/>
      </c>
      <c r="P220" s="26"/>
    </row>
    <row r="221" spans="1:17" x14ac:dyDescent="0.25">
      <c r="D221" s="6"/>
      <c r="E221" s="6"/>
      <c r="F221" s="6"/>
      <c r="G221" s="6"/>
      <c r="H221" s="6" t="str">
        <f t="shared" si="5"/>
        <v/>
      </c>
      <c r="P221" s="26"/>
    </row>
    <row r="222" spans="1:17" x14ac:dyDescent="0.25">
      <c r="D222" s="6"/>
      <c r="E222" s="6"/>
      <c r="F222" s="6"/>
      <c r="G222" s="6"/>
      <c r="H222" s="6" t="str">
        <f t="shared" si="5"/>
        <v/>
      </c>
      <c r="P222" s="26"/>
    </row>
    <row r="223" spans="1:17" x14ac:dyDescent="0.25">
      <c r="D223" s="6"/>
      <c r="E223" s="6"/>
      <c r="F223" s="6"/>
      <c r="G223" s="6"/>
      <c r="H223" s="6" t="str">
        <f t="shared" si="5"/>
        <v/>
      </c>
      <c r="P223" s="26"/>
    </row>
    <row r="224" spans="1:17" x14ac:dyDescent="0.25">
      <c r="D224" s="6"/>
      <c r="E224" s="6"/>
      <c r="F224" s="6"/>
      <c r="G224" s="6"/>
      <c r="H224" s="6" t="str">
        <f t="shared" si="5"/>
        <v/>
      </c>
      <c r="P224" s="26"/>
    </row>
    <row r="225" spans="4:16" x14ac:dyDescent="0.25">
      <c r="D225" s="6"/>
      <c r="E225" s="6"/>
      <c r="F225" s="6"/>
      <c r="G225" s="6"/>
      <c r="H225" s="6" t="str">
        <f t="shared" si="5"/>
        <v/>
      </c>
      <c r="P225" s="26"/>
    </row>
    <row r="226" spans="4:16" x14ac:dyDescent="0.25">
      <c r="D226" s="6"/>
      <c r="E226" s="6"/>
      <c r="F226" s="6"/>
      <c r="G226" s="6"/>
      <c r="H226" s="6" t="str">
        <f t="shared" si="5"/>
        <v/>
      </c>
      <c r="P226" s="26"/>
    </row>
    <row r="227" spans="4:16" x14ac:dyDescent="0.25">
      <c r="D227" s="6"/>
      <c r="E227" s="6"/>
      <c r="F227" s="6"/>
      <c r="G227" s="6"/>
      <c r="H227" s="6" t="str">
        <f t="shared" si="5"/>
        <v/>
      </c>
      <c r="P227" s="26"/>
    </row>
    <row r="228" spans="4:16" x14ac:dyDescent="0.25">
      <c r="D228" s="6"/>
      <c r="E228" s="6"/>
      <c r="F228" s="6"/>
      <c r="G228" s="6"/>
      <c r="H228" s="6" t="str">
        <f t="shared" si="5"/>
        <v/>
      </c>
      <c r="P228" s="26"/>
    </row>
    <row r="229" spans="4:16" x14ac:dyDescent="0.25">
      <c r="D229" s="6"/>
      <c r="E229" s="6"/>
      <c r="F229" s="6"/>
      <c r="G229" s="6"/>
      <c r="H229" s="6" t="str">
        <f t="shared" si="5"/>
        <v/>
      </c>
      <c r="P229" s="26"/>
    </row>
    <row r="230" spans="4:16" x14ac:dyDescent="0.25">
      <c r="D230" s="6"/>
      <c r="E230" s="6"/>
      <c r="F230" s="6"/>
      <c r="G230" s="6"/>
      <c r="H230" s="6" t="str">
        <f t="shared" si="5"/>
        <v/>
      </c>
      <c r="P230" s="26"/>
    </row>
    <row r="231" spans="4:16" x14ac:dyDescent="0.25">
      <c r="D231" s="6"/>
      <c r="E231" s="6"/>
      <c r="F231" s="6"/>
      <c r="G231" s="6"/>
      <c r="H231" s="6" t="str">
        <f t="shared" si="5"/>
        <v/>
      </c>
      <c r="P231" s="26"/>
    </row>
    <row r="232" spans="4:16" x14ac:dyDescent="0.25">
      <c r="D232" s="6"/>
      <c r="E232" s="6"/>
      <c r="F232" s="6"/>
      <c r="G232" s="6"/>
      <c r="H232" s="6" t="str">
        <f t="shared" si="5"/>
        <v/>
      </c>
      <c r="P232" s="26"/>
    </row>
    <row r="233" spans="4:16" x14ac:dyDescent="0.25">
      <c r="D233" s="6"/>
      <c r="E233" s="6"/>
      <c r="F233" s="6"/>
      <c r="G233" s="6"/>
      <c r="H233" s="6" t="str">
        <f t="shared" si="5"/>
        <v/>
      </c>
      <c r="P233" s="26"/>
    </row>
    <row r="234" spans="4:16" x14ac:dyDescent="0.25">
      <c r="D234" s="6"/>
      <c r="E234" s="6"/>
      <c r="F234" s="6"/>
      <c r="G234" s="6"/>
      <c r="H234" s="6" t="str">
        <f t="shared" si="5"/>
        <v/>
      </c>
      <c r="P234" s="26"/>
    </row>
    <row r="235" spans="4:16" x14ac:dyDescent="0.25">
      <c r="D235" s="6"/>
      <c r="E235" s="6"/>
      <c r="F235" s="6"/>
      <c r="G235" s="6"/>
      <c r="H235" s="6" t="str">
        <f t="shared" si="5"/>
        <v/>
      </c>
      <c r="P235" s="26"/>
    </row>
    <row r="236" spans="4:16" x14ac:dyDescent="0.25">
      <c r="D236" s="6"/>
      <c r="E236" s="6"/>
      <c r="F236" s="6"/>
      <c r="G236" s="6"/>
      <c r="H236" s="6" t="str">
        <f t="shared" si="5"/>
        <v/>
      </c>
      <c r="P236" s="26"/>
    </row>
    <row r="237" spans="4:16" x14ac:dyDescent="0.25">
      <c r="D237" s="6"/>
      <c r="E237" s="6"/>
      <c r="F237" s="6"/>
      <c r="G237" s="6"/>
      <c r="H237" s="6" t="str">
        <f t="shared" si="5"/>
        <v/>
      </c>
      <c r="P237" s="26"/>
    </row>
    <row r="238" spans="4:16" x14ac:dyDescent="0.25">
      <c r="H238" s="4" t="str">
        <f t="shared" si="5"/>
        <v/>
      </c>
      <c r="P238" s="26"/>
    </row>
    <row r="239" spans="4:16" x14ac:dyDescent="0.25">
      <c r="P239" s="26"/>
    </row>
    <row r="240" spans="4:16" x14ac:dyDescent="0.25">
      <c r="P240" s="26"/>
    </row>
    <row r="241" spans="16:16" x14ac:dyDescent="0.25">
      <c r="P241" s="26"/>
    </row>
    <row r="242" spans="16:16" x14ac:dyDescent="0.25">
      <c r="P242" s="26"/>
    </row>
    <row r="243" spans="16:16" x14ac:dyDescent="0.25">
      <c r="P243" s="26"/>
    </row>
    <row r="244" spans="16:16" x14ac:dyDescent="0.25">
      <c r="P244" s="26"/>
    </row>
    <row r="245" spans="16:16" x14ac:dyDescent="0.25">
      <c r="P245" s="26"/>
    </row>
    <row r="246" spans="16:16" x14ac:dyDescent="0.25">
      <c r="P246" s="26"/>
    </row>
    <row r="247" spans="16:16" x14ac:dyDescent="0.25">
      <c r="P247" s="26"/>
    </row>
    <row r="248" spans="16:16" x14ac:dyDescent="0.25">
      <c r="P248" s="26"/>
    </row>
    <row r="249" spans="16:16" x14ac:dyDescent="0.25">
      <c r="P249" s="26"/>
    </row>
    <row r="250" spans="16:16" x14ac:dyDescent="0.25">
      <c r="P250" s="26"/>
    </row>
    <row r="251" spans="16:16" x14ac:dyDescent="0.25">
      <c r="P251" s="26"/>
    </row>
    <row r="252" spans="16:16" x14ac:dyDescent="0.25">
      <c r="P252" s="26"/>
    </row>
    <row r="253" spans="16:16" x14ac:dyDescent="0.25">
      <c r="P253" s="26"/>
    </row>
    <row r="254" spans="16:16" x14ac:dyDescent="0.25">
      <c r="P254" s="26"/>
    </row>
    <row r="255" spans="16:16" x14ac:dyDescent="0.25">
      <c r="P255" s="26"/>
    </row>
    <row r="256" spans="16:16" x14ac:dyDescent="0.25">
      <c r="P256" s="26"/>
    </row>
    <row r="257" spans="16:16" x14ac:dyDescent="0.25">
      <c r="P257" s="26"/>
    </row>
    <row r="258" spans="16:16" x14ac:dyDescent="0.25">
      <c r="P258" s="26"/>
    </row>
    <row r="259" spans="16:16" x14ac:dyDescent="0.25">
      <c r="P259" s="26"/>
    </row>
    <row r="260" spans="16:16" x14ac:dyDescent="0.25">
      <c r="P260" s="26"/>
    </row>
    <row r="261" spans="16:16" x14ac:dyDescent="0.25">
      <c r="P261" s="26"/>
    </row>
    <row r="262" spans="16:16" x14ac:dyDescent="0.25">
      <c r="P262" s="26"/>
    </row>
    <row r="263" spans="16:16" x14ac:dyDescent="0.25">
      <c r="P263" s="26"/>
    </row>
    <row r="264" spans="16:16" x14ac:dyDescent="0.25">
      <c r="P264" s="26"/>
    </row>
    <row r="265" spans="16:16" x14ac:dyDescent="0.25">
      <c r="P265" s="26"/>
    </row>
    <row r="266" spans="16:16" x14ac:dyDescent="0.25">
      <c r="P266" s="26"/>
    </row>
    <row r="267" spans="16:16" x14ac:dyDescent="0.25">
      <c r="P267" s="26"/>
    </row>
    <row r="268" spans="16:16" x14ac:dyDescent="0.25">
      <c r="P268" s="26"/>
    </row>
    <row r="269" spans="16:16" x14ac:dyDescent="0.25">
      <c r="P269" s="26"/>
    </row>
    <row r="270" spans="16:16" x14ac:dyDescent="0.25">
      <c r="P270" s="26"/>
    </row>
  </sheetData>
  <mergeCells count="4">
    <mergeCell ref="A1:H1"/>
    <mergeCell ref="J1:M1"/>
    <mergeCell ref="P1:Q1"/>
    <mergeCell ref="A217:C217"/>
  </mergeCells>
  <pageMargins left="0.7" right="0.7" top="0.75" bottom="0.75" header="0.3" footer="0.3"/>
  <pageSetup paperSize="9" orientation="portrait" horizontalDpi="0" verticalDpi="0" r:id="rId1"/>
  <ignoredErrors>
    <ignoredError sqref="B50" formulaRange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RECIBOS MAYO-13  </vt:lpstr>
      <vt:lpstr>RECIBOS JUNIO-13 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Baldemar Sala Bay</cp:lastModifiedBy>
  <dcterms:created xsi:type="dcterms:W3CDTF">2012-08-12T01:04:14Z</dcterms:created>
  <dcterms:modified xsi:type="dcterms:W3CDTF">2013-06-16T01:57:24Z</dcterms:modified>
</cp:coreProperties>
</file>