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80" windowWidth="21315" windowHeight="9210" activeTab="1"/>
  </bookViews>
  <sheets>
    <sheet name="ESTADO FINANCIERO MAYO-2013" sheetId="1" r:id="rId1"/>
    <sheet name="ESTADO FINAN EGRESOS MAYO-2013 " sheetId="2" r:id="rId2"/>
  </sheets>
  <definedNames>
    <definedName name="_xlnm.Print_Area" localSheetId="1">'ESTADO FINAN EGRESOS MAYO-2013 '!$A$2:$H$23</definedName>
    <definedName name="_xlnm.Print_Area" localSheetId="0">'ESTADO FINANCIERO MAYO-2013'!$B$1:$G$30</definedName>
  </definedNames>
  <calcPr calcId="145621"/>
</workbook>
</file>

<file path=xl/calcChain.xml><?xml version="1.0" encoding="utf-8"?>
<calcChain xmlns="http://schemas.openxmlformats.org/spreadsheetml/2006/main">
  <c r="G20" i="1" l="1"/>
  <c r="F13" i="1"/>
  <c r="G22" i="1" l="1"/>
  <c r="H15" i="2" l="1"/>
  <c r="H8" i="2"/>
  <c r="H11" i="2" l="1"/>
  <c r="H23" i="2" s="1"/>
  <c r="G24" i="1" s="1"/>
  <c r="G26" i="1" s="1"/>
  <c r="G29" i="1" s="1"/>
  <c r="G30" i="1" s="1"/>
</calcChain>
</file>

<file path=xl/sharedStrings.xml><?xml version="1.0" encoding="utf-8"?>
<sst xmlns="http://schemas.openxmlformats.org/spreadsheetml/2006/main" count="43" uniqueCount="43">
  <si>
    <t>Transferencias bancarias</t>
  </si>
  <si>
    <t>Aportación Carso</t>
  </si>
  <si>
    <t>TOTAL CUOTAS DE VIGILANCIA</t>
  </si>
  <si>
    <t>Venta de llaves</t>
  </si>
  <si>
    <t>Venta de tarjetones</t>
  </si>
  <si>
    <t>Venta de Tarjetas electrónicas</t>
  </si>
  <si>
    <t>Aportación Colegio Carmel</t>
  </si>
  <si>
    <t>SALDO DISPONIBLE EN BANCO Y CAJA</t>
  </si>
  <si>
    <t>ESTADO FINANCIERO MAYO 2013</t>
  </si>
  <si>
    <t>Recibos del 4774 al 4953</t>
  </si>
  <si>
    <t>DIFERERENCIA POR ERROR DE ERRATAS $ 26,911.39-25.771.08</t>
  </si>
  <si>
    <t>TOTAL INGRESOS DE MAYO 2013</t>
  </si>
  <si>
    <t xml:space="preserve">CUOTAS DE VIGILANCIA </t>
  </si>
  <si>
    <t>TOTAL EGRESOS DE MAYO</t>
  </si>
  <si>
    <t>TOTAL INGRESOS MAYO, MAS REMANENTE, MAS DIFERENCIA</t>
  </si>
  <si>
    <t xml:space="preserve">Pago de Quincena 1a de Mayo y liquidación de Oscar Gutiérrez Segundo  </t>
  </si>
  <si>
    <t>Pago de llaves para chapas de seguridad puertas de entrada</t>
  </si>
  <si>
    <t>Gastos de papelería e imprenta</t>
  </si>
  <si>
    <t>Agua para caseta y artículos de limpieza</t>
  </si>
  <si>
    <t>v</t>
  </si>
  <si>
    <t>Comida para vigilantes en mayo/13</t>
  </si>
  <si>
    <t>Gratificación por recolección de basura</t>
  </si>
  <si>
    <t>Gastos de gasolina</t>
  </si>
  <si>
    <t>Gratificación especial a 3 jardineros por cortar el pasto del parque</t>
  </si>
  <si>
    <t>Gastos de administración</t>
  </si>
  <si>
    <t xml:space="preserve"> </t>
  </si>
  <si>
    <t>Servicio de cafetería por juntas celebradas en el Globo</t>
  </si>
  <si>
    <t>Revisión de camaras y recuperación de videos</t>
  </si>
  <si>
    <r>
      <t>Reparaci</t>
    </r>
    <r>
      <rPr>
        <sz val="11"/>
        <color theme="1"/>
        <rFont val="óm"/>
      </rPr>
      <t>ón de pluma entrada por daño ocasionado por camión basura</t>
    </r>
  </si>
  <si>
    <t>Pago de vigilancia correspondiente a la segunda quincena de mayo/13</t>
  </si>
  <si>
    <t>Pago de Vigilancia correspondiente a la  primera quincena de Mayo/13</t>
  </si>
  <si>
    <t>ESTADO FINANCIERO DE MAYO 2013</t>
  </si>
  <si>
    <t>TOTAL EGRESOS</t>
  </si>
  <si>
    <t>SALDO REMANENTE DE ABRIL 2013</t>
  </si>
  <si>
    <t>Telmex - pago teléfono</t>
  </si>
  <si>
    <t>Reparación daño eléctrico en caseta Zinamba y activacion de cámaras</t>
  </si>
  <si>
    <t xml:space="preserve">  </t>
  </si>
  <si>
    <t>CAJA</t>
  </si>
  <si>
    <t>TOTAL BANCO Y CAJA</t>
  </si>
  <si>
    <t>Pago saldo parcial por la instalación de 16 cámaras de la 3a etapa</t>
  </si>
  <si>
    <t>Pago Notaria por protolización nueva Mesa Directiva</t>
  </si>
  <si>
    <t xml:space="preserve">BANCO </t>
  </si>
  <si>
    <t>EGRESOS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</si>
</sst>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óm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/>
    <xf numFmtId="44" fontId="0" fillId="0" borderId="0" xfId="0" applyNumberFormat="1"/>
    <xf numFmtId="44" fontId="2" fillId="0" borderId="0" xfId="1" applyFont="1"/>
    <xf numFmtId="0" fontId="2" fillId="0" borderId="0" xfId="0" applyFont="1"/>
    <xf numFmtId="44" fontId="2" fillId="0" borderId="0" xfId="0" applyNumberFormat="1" applyFon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" fontId="2" fillId="0" borderId="1" xfId="0" applyNumberFormat="1" applyFont="1" applyBorder="1" applyAlignment="1">
      <alignment horizontal="center"/>
    </xf>
    <xf numFmtId="0" fontId="0" fillId="0" borderId="0" xfId="0" applyFill="1"/>
    <xf numFmtId="164" fontId="0" fillId="0" borderId="0" xfId="0" applyNumberFormat="1"/>
    <xf numFmtId="164" fontId="2" fillId="0" borderId="0" xfId="0" applyNumberFormat="1" applyFont="1"/>
    <xf numFmtId="44" fontId="2" fillId="0" borderId="1" xfId="0" applyNumberFormat="1" applyFont="1" applyBorder="1"/>
    <xf numFmtId="4" fontId="0" fillId="0" borderId="0" xfId="0" applyNumberFormat="1" applyFill="1" applyAlignment="1">
      <alignment horizontal="center"/>
    </xf>
    <xf numFmtId="4" fontId="2" fillId="0" borderId="0" xfId="0" applyNumberFormat="1" applyFont="1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1"/>
  <sheetViews>
    <sheetView workbookViewId="0">
      <selection activeCell="A17" sqref="A17"/>
    </sheetView>
  </sheetViews>
  <sheetFormatPr baseColWidth="10" defaultRowHeight="15"/>
  <cols>
    <col min="6" max="7" width="12.5703125" customWidth="1"/>
  </cols>
  <sheetData>
    <row r="1" spans="2:10">
      <c r="B1" s="17" t="s">
        <v>8</v>
      </c>
      <c r="C1" s="17"/>
      <c r="D1" s="17"/>
      <c r="E1" s="17"/>
      <c r="F1" s="17"/>
      <c r="G1" s="17"/>
    </row>
    <row r="4" spans="2:10">
      <c r="B4" s="4" t="s">
        <v>33</v>
      </c>
      <c r="G4" s="3">
        <v>43567</v>
      </c>
    </row>
    <row r="5" spans="2:10">
      <c r="G5" s="3"/>
    </row>
    <row r="6" spans="2:10">
      <c r="B6" s="4" t="s">
        <v>10</v>
      </c>
      <c r="G6" s="3">
        <v>1140</v>
      </c>
    </row>
    <row r="7" spans="2:10">
      <c r="H7" s="4"/>
    </row>
    <row r="8" spans="2:10">
      <c r="B8" s="4" t="s">
        <v>12</v>
      </c>
      <c r="F8" s="1"/>
    </row>
    <row r="9" spans="2:10">
      <c r="C9" t="s">
        <v>9</v>
      </c>
      <c r="F9" s="1">
        <v>67095</v>
      </c>
    </row>
    <row r="10" spans="2:10">
      <c r="C10" t="s">
        <v>0</v>
      </c>
      <c r="F10" s="1">
        <v>900</v>
      </c>
    </row>
    <row r="11" spans="2:10">
      <c r="C11" t="s">
        <v>1</v>
      </c>
      <c r="F11" s="1">
        <v>1000</v>
      </c>
      <c r="G11" s="5"/>
    </row>
    <row r="12" spans="2:10">
      <c r="F12" s="1"/>
    </row>
    <row r="13" spans="2:10">
      <c r="B13" s="4" t="s">
        <v>2</v>
      </c>
      <c r="F13" s="3">
        <f>SUM(F9:F12)</f>
        <v>68995</v>
      </c>
    </row>
    <row r="14" spans="2:10">
      <c r="C14" t="s">
        <v>3</v>
      </c>
      <c r="F14" s="1">
        <v>1650</v>
      </c>
    </row>
    <row r="15" spans="2:10">
      <c r="C15" t="s">
        <v>4</v>
      </c>
      <c r="F15" s="1">
        <v>60</v>
      </c>
    </row>
    <row r="16" spans="2:10">
      <c r="C16" t="s">
        <v>5</v>
      </c>
      <c r="F16" s="1">
        <v>2880</v>
      </c>
      <c r="H16" s="2"/>
      <c r="J16" t="s">
        <v>36</v>
      </c>
    </row>
    <row r="17" spans="2:8">
      <c r="C17" t="s">
        <v>6</v>
      </c>
      <c r="F17" s="1">
        <v>20000</v>
      </c>
    </row>
    <row r="20" spans="2:8">
      <c r="B20" s="4" t="s">
        <v>11</v>
      </c>
      <c r="G20" s="5">
        <f>SUM(F13:F17)</f>
        <v>93585</v>
      </c>
    </row>
    <row r="22" spans="2:8">
      <c r="B22" s="4" t="s">
        <v>14</v>
      </c>
      <c r="G22" s="5">
        <f>SUM(G4:G20)</f>
        <v>138292</v>
      </c>
    </row>
    <row r="24" spans="2:8">
      <c r="B24" s="4" t="s">
        <v>13</v>
      </c>
      <c r="G24" s="3">
        <f>'ESTADO FINAN EGRESOS MAYO-2013 '!H23</f>
        <v>93686</v>
      </c>
      <c r="H24" s="10"/>
    </row>
    <row r="25" spans="2:8">
      <c r="G25" s="2"/>
    </row>
    <row r="26" spans="2:8">
      <c r="B26" s="4" t="s">
        <v>7</v>
      </c>
      <c r="G26" s="5">
        <f>+G22-G24</f>
        <v>44606</v>
      </c>
      <c r="H26" s="11"/>
    </row>
    <row r="27" spans="2:8">
      <c r="G27" s="5"/>
      <c r="H27" s="11"/>
    </row>
    <row r="28" spans="2:8">
      <c r="E28" s="4" t="s">
        <v>41</v>
      </c>
      <c r="G28" s="5">
        <v>24389.88</v>
      </c>
      <c r="H28" s="12"/>
    </row>
    <row r="29" spans="2:8">
      <c r="E29" s="4" t="s">
        <v>37</v>
      </c>
      <c r="G29" s="5">
        <f>+G26-G28</f>
        <v>20216.12</v>
      </c>
      <c r="H29" s="2"/>
    </row>
    <row r="30" spans="2:8" ht="15.75" thickBot="1">
      <c r="E30" s="4" t="s">
        <v>38</v>
      </c>
      <c r="G30" s="13">
        <f>+G28+G29</f>
        <v>44606</v>
      </c>
    </row>
    <row r="31" spans="2:8" ht="15.75" thickTop="1"/>
  </sheetData>
  <mergeCells count="1">
    <mergeCell ref="B1:G1"/>
  </mergeCells>
  <printOptions verticalCentered="1"/>
  <pageMargins left="1.1023622047244095" right="0.70866141732283472" top="0" bottom="0.74803149606299213" header="0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workbookViewId="0">
      <selection activeCell="M23" sqref="M23"/>
    </sheetView>
  </sheetViews>
  <sheetFormatPr baseColWidth="10" defaultRowHeight="15"/>
  <cols>
    <col min="1" max="1" width="8.28515625" style="6" customWidth="1"/>
    <col min="7" max="7" width="11.42578125" style="6"/>
    <col min="8" max="8" width="11.42578125" style="7"/>
  </cols>
  <sheetData>
    <row r="1" spans="1:12">
      <c r="L1" t="s">
        <v>19</v>
      </c>
    </row>
    <row r="2" spans="1:12">
      <c r="A2" s="17" t="s">
        <v>31</v>
      </c>
      <c r="B2" s="17"/>
      <c r="C2" s="17"/>
      <c r="D2" s="17"/>
      <c r="E2" s="17"/>
      <c r="F2" s="17"/>
      <c r="G2" s="17"/>
      <c r="H2" s="17"/>
    </row>
    <row r="3" spans="1:12">
      <c r="B3" s="4" t="s">
        <v>25</v>
      </c>
      <c r="D3" s="17" t="s">
        <v>42</v>
      </c>
      <c r="E3" s="17"/>
    </row>
    <row r="5" spans="1:12">
      <c r="A5" s="6">
        <v>1</v>
      </c>
      <c r="B5" t="s">
        <v>30</v>
      </c>
      <c r="H5" s="14">
        <v>23200</v>
      </c>
    </row>
    <row r="6" spans="1:12">
      <c r="A6" s="6">
        <v>2</v>
      </c>
      <c r="B6" s="8" t="s">
        <v>15</v>
      </c>
      <c r="H6" s="14">
        <v>5800</v>
      </c>
    </row>
    <row r="7" spans="1:12">
      <c r="A7" s="6">
        <v>3</v>
      </c>
      <c r="B7" t="s">
        <v>16</v>
      </c>
      <c r="H7" s="7">
        <v>2400</v>
      </c>
    </row>
    <row r="8" spans="1:12">
      <c r="A8" s="6">
        <v>4</v>
      </c>
      <c r="B8" t="s">
        <v>17</v>
      </c>
      <c r="H8" s="7">
        <f>1497+240.5+10.5+45.2</f>
        <v>1793.2</v>
      </c>
    </row>
    <row r="9" spans="1:12">
      <c r="A9" s="6">
        <v>5</v>
      </c>
      <c r="B9" t="s">
        <v>18</v>
      </c>
      <c r="H9" s="14">
        <v>553.79999999999995</v>
      </c>
    </row>
    <row r="10" spans="1:12">
      <c r="A10" s="6">
        <v>6</v>
      </c>
      <c r="B10" t="s">
        <v>20</v>
      </c>
      <c r="H10" s="14">
        <v>2000</v>
      </c>
    </row>
    <row r="11" spans="1:12">
      <c r="A11" s="6">
        <v>7</v>
      </c>
      <c r="B11" t="s">
        <v>21</v>
      </c>
      <c r="H11" s="7">
        <f>500+70+50</f>
        <v>620</v>
      </c>
    </row>
    <row r="12" spans="1:12">
      <c r="A12" s="6">
        <v>8</v>
      </c>
      <c r="B12" t="s">
        <v>22</v>
      </c>
      <c r="H12" s="7">
        <v>735</v>
      </c>
    </row>
    <row r="13" spans="1:12">
      <c r="A13" s="6">
        <v>9</v>
      </c>
      <c r="B13" t="s">
        <v>23</v>
      </c>
      <c r="H13" s="7">
        <v>300</v>
      </c>
    </row>
    <row r="14" spans="1:12">
      <c r="A14" s="6">
        <v>10</v>
      </c>
      <c r="B14" t="s">
        <v>24</v>
      </c>
      <c r="H14" s="7">
        <v>1800</v>
      </c>
    </row>
    <row r="15" spans="1:12">
      <c r="A15" s="6">
        <v>11</v>
      </c>
      <c r="B15" t="s">
        <v>26</v>
      </c>
      <c r="H15" s="7">
        <f>205+134</f>
        <v>339</v>
      </c>
    </row>
    <row r="16" spans="1:12">
      <c r="A16" s="6">
        <v>12</v>
      </c>
      <c r="B16" t="s">
        <v>27</v>
      </c>
      <c r="H16" s="7">
        <v>300</v>
      </c>
    </row>
    <row r="17" spans="1:9">
      <c r="A17" s="6">
        <v>13</v>
      </c>
      <c r="B17" t="s">
        <v>35</v>
      </c>
      <c r="H17" s="7">
        <v>1500</v>
      </c>
    </row>
    <row r="18" spans="1:9">
      <c r="A18" s="6">
        <v>14</v>
      </c>
      <c r="B18" t="s">
        <v>28</v>
      </c>
      <c r="H18" s="7">
        <v>700</v>
      </c>
    </row>
    <row r="19" spans="1:9">
      <c r="A19" s="6">
        <v>15</v>
      </c>
      <c r="B19" t="s">
        <v>40</v>
      </c>
      <c r="H19" s="14">
        <v>8052</v>
      </c>
    </row>
    <row r="20" spans="1:9">
      <c r="A20" s="6">
        <v>15</v>
      </c>
      <c r="B20" t="s">
        <v>39</v>
      </c>
      <c r="D20" s="4"/>
      <c r="H20" s="7">
        <v>20000</v>
      </c>
    </row>
    <row r="21" spans="1:9">
      <c r="A21" s="6">
        <v>16</v>
      </c>
      <c r="B21" t="s">
        <v>29</v>
      </c>
      <c r="H21" s="14">
        <v>22790</v>
      </c>
      <c r="I21" s="16"/>
    </row>
    <row r="22" spans="1:9">
      <c r="A22" s="6">
        <v>17</v>
      </c>
      <c r="B22" t="s">
        <v>34</v>
      </c>
      <c r="H22" s="7">
        <v>803</v>
      </c>
    </row>
    <row r="23" spans="1:9" ht="15.75" thickBot="1">
      <c r="F23" s="4" t="s">
        <v>32</v>
      </c>
      <c r="H23" s="9">
        <f>SUM(H5:H22)</f>
        <v>93686</v>
      </c>
    </row>
    <row r="24" spans="1:9" ht="15.75" thickTop="1"/>
    <row r="26" spans="1:9">
      <c r="H26" s="15"/>
    </row>
  </sheetData>
  <mergeCells count="2">
    <mergeCell ref="A2:H2"/>
    <mergeCell ref="D3:E3"/>
  </mergeCells>
  <printOptions verticalCentered="1"/>
  <pageMargins left="0.70866141732283472" right="0.70866141732283472" top="0.74803149606299213" bottom="0.74803149606299213" header="0.31496062992125984" footer="0.31496062992125984"/>
  <pageSetup paperSize="9" scale="9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ESTADO FINANCIERO MAYO-2013</vt:lpstr>
      <vt:lpstr>ESTADO FINAN EGRESOS MAYO-2013 </vt:lpstr>
      <vt:lpstr>'ESTADO FINAN EGRESOS MAYO-2013 '!Área_de_impresión</vt:lpstr>
      <vt:lpstr>'ESTADO FINANCIERO MAYO-2013'!Área_de_impresión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Baldemar Sala Bay</cp:lastModifiedBy>
  <cp:lastPrinted>2013-09-05T17:38:10Z</cp:lastPrinted>
  <dcterms:created xsi:type="dcterms:W3CDTF">2013-03-06T05:51:18Z</dcterms:created>
  <dcterms:modified xsi:type="dcterms:W3CDTF">2013-09-05T18:39:19Z</dcterms:modified>
</cp:coreProperties>
</file>