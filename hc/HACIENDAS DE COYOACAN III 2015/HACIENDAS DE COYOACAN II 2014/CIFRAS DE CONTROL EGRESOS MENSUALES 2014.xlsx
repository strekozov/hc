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Bsala\Documents\HACIENDAS DE COYOACAN II\"/>
    </mc:Choice>
  </mc:AlternateContent>
  <bookViews>
    <workbookView xWindow="240" yWindow="600" windowWidth="20115" windowHeight="7005"/>
  </bookViews>
  <sheets>
    <sheet name="C C DE EGRESOS 2014" sheetId="5" r:id="rId1"/>
  </sheets>
  <definedNames>
    <definedName name="_xlnm.Print_Area" localSheetId="0">'C C DE EGRESOS 2014'!$A$1:$O$70</definedName>
    <definedName name="_xlnm.Print_Titles" localSheetId="0">'C C DE EGRESOS 2014'!$1:$4</definedName>
  </definedNames>
  <calcPr calcId="152511"/>
</workbook>
</file>

<file path=xl/calcChain.xml><?xml version="1.0" encoding="utf-8"?>
<calcChain xmlns="http://schemas.openxmlformats.org/spreadsheetml/2006/main">
  <c r="AF3" i="5" l="1"/>
  <c r="AI3" i="5" l="1"/>
  <c r="AH3" i="5"/>
  <c r="AE3" i="5"/>
  <c r="AC3" i="5"/>
  <c r="AB3" i="5"/>
  <c r="Z3" i="5"/>
  <c r="Y3" i="5"/>
  <c r="W3" i="5"/>
  <c r="V3" i="5"/>
  <c r="T3" i="5" l="1"/>
  <c r="S3" i="5"/>
  <c r="J3" i="5" l="1"/>
  <c r="Q3" i="5"/>
  <c r="P3" i="5"/>
  <c r="N3" i="5"/>
  <c r="M3" i="5"/>
  <c r="A3" i="5" l="1"/>
  <c r="B3" i="5"/>
  <c r="D3" i="5"/>
  <c r="E3" i="5"/>
  <c r="G3" i="5"/>
  <c r="H3" i="5"/>
  <c r="K3" i="5"/>
</calcChain>
</file>

<file path=xl/sharedStrings.xml><?xml version="1.0" encoding="utf-8"?>
<sst xmlns="http://schemas.openxmlformats.org/spreadsheetml/2006/main" count="585" uniqueCount="429">
  <si>
    <t>Importe</t>
  </si>
  <si>
    <t>enero</t>
  </si>
  <si>
    <t>Fecha</t>
  </si>
  <si>
    <t>CONTROL DE GASTOS</t>
  </si>
  <si>
    <t>Ferre Electrica Diaz</t>
  </si>
  <si>
    <t>Electropura S. de R.L. de C.V.</t>
  </si>
  <si>
    <t>Copyfaz</t>
  </si>
  <si>
    <t>Costco</t>
  </si>
  <si>
    <t>Advance</t>
  </si>
  <si>
    <t>Gloria Mazzón Pago de la semana del 3 al 7 de Marzo/14</t>
  </si>
  <si>
    <t>Telefonos de México, SAB de C.V. pago mes de Febrero/14</t>
  </si>
  <si>
    <t>Home Depot México S. de R.L. de C.V.</t>
  </si>
  <si>
    <t>Tiendas Comercial Mexicana S.A. de C.V.</t>
  </si>
  <si>
    <t>Artemio Mora Torres Pago 1a quincena del mes de Marzo/14</t>
  </si>
  <si>
    <t>Comercializadora Caspin S.A. de C.V.</t>
  </si>
  <si>
    <t>Roberto Medina</t>
  </si>
  <si>
    <t>Horacio Campos</t>
  </si>
  <si>
    <t>Gloria Mazzón Pago de la semana del 17 al 21 de Marzo/14</t>
  </si>
  <si>
    <t>Office Depot de México, S.A. de C.V.</t>
  </si>
  <si>
    <t>Cadena Comercial Oxxo, S. A. de C. V.</t>
  </si>
  <si>
    <t>P.,Kas</t>
  </si>
  <si>
    <t>Gloria Mazzón Pago de la semana del 24 al 26 de Marzo/14</t>
  </si>
  <si>
    <t>Siegrist Contadores Publicos</t>
  </si>
  <si>
    <t>Ciclo Vida Servicios mecanico de mantenimiento de pintura</t>
  </si>
  <si>
    <t>Esteban Alejo</t>
  </si>
  <si>
    <t>Banorte Comisión copias</t>
  </si>
  <si>
    <t>Banorte Comisión cheque expedido</t>
  </si>
  <si>
    <t xml:space="preserve">Banorte Comisión estado de cuenta </t>
  </si>
  <si>
    <t>CIFRAS DE CONTROL DEL 2014</t>
  </si>
  <si>
    <t>Erick Christïan Guerrero Ramírez.  Renuncia</t>
  </si>
  <si>
    <t>Francisco Razo Luquín.  Renuncia</t>
  </si>
  <si>
    <t>José Francisco Soriano Miranda.  Renuncia</t>
  </si>
  <si>
    <t>Chedraui  Productos de limpieza</t>
  </si>
  <si>
    <t>Horacion Campos</t>
  </si>
  <si>
    <t>Roberto Miranda</t>
  </si>
  <si>
    <t>Artemio Mora Flores Pago 1a quincena de enero/14</t>
  </si>
  <si>
    <t>Constantino Cabrera</t>
  </si>
  <si>
    <t>Office Depot   Compra de papeleria</t>
  </si>
  <si>
    <t>Gratificación patrulla servicio especial</t>
  </si>
  <si>
    <t>Comercializadora Caspín, S.A. de C.V.</t>
  </si>
  <si>
    <t>Com. che. Exped.</t>
  </si>
  <si>
    <t>Artemio Mora Flores Pago 2a quincena de enero/14</t>
  </si>
  <si>
    <t>Telefonos de México, SAB de C.V. Pago mes enero/14</t>
  </si>
  <si>
    <t>Com. chq. Exped.</t>
  </si>
  <si>
    <t>I.V.A. com. chq. Exped.</t>
  </si>
  <si>
    <t>Copyfaz  1800 copias</t>
  </si>
  <si>
    <t>Office Max</t>
  </si>
  <si>
    <t>Office Depot</t>
  </si>
  <si>
    <t>Advanced</t>
  </si>
  <si>
    <t>MD Gran Formato, S.A. de C.V.</t>
  </si>
  <si>
    <t>Olegario Vazquez</t>
  </si>
  <si>
    <t>Copyfaz  450 copias</t>
  </si>
  <si>
    <t>Copyfaz   22 copias</t>
  </si>
  <si>
    <t>Orange Bee</t>
  </si>
  <si>
    <t>Reparadigital, S.A. de C.V.</t>
  </si>
  <si>
    <t>Sistema de Seguridad Electrónica</t>
  </si>
  <si>
    <t>Orange ee</t>
  </si>
  <si>
    <t>Florería Lupita</t>
  </si>
  <si>
    <t>Electropura, S. de R.L. de C.V.</t>
  </si>
  <si>
    <t>Nueva Walmart de México S de R.L. de C.V.</t>
  </si>
  <si>
    <t>Consumiibles y Suministros</t>
  </si>
  <si>
    <t>Advanced Servicio CCTV y Computo</t>
  </si>
  <si>
    <t>Víctor Manuel Sánchez</t>
  </si>
  <si>
    <t>Electrónica Aragón</t>
  </si>
  <si>
    <t>Electrónica Graly</t>
  </si>
  <si>
    <t>Comercializadora, CASPIN, S.A. de C.V.</t>
  </si>
  <si>
    <t>Artemio Mora Torres</t>
  </si>
  <si>
    <t>Herrería en General Janiel</t>
  </si>
  <si>
    <t>Cerrajería Díaz</t>
  </si>
  <si>
    <t>Luis Hernández</t>
  </si>
  <si>
    <t>Home Depot México, S. de R.L. de C.V.</t>
  </si>
  <si>
    <t>Aldan Electrónica, S.A. de C.V.</t>
  </si>
  <si>
    <t>Advance Servio CCTV y Computo Levantar Inventario de Camaras y reporte</t>
  </si>
  <si>
    <t>Compumachos, Nobreak Zigor 45 min.</t>
  </si>
  <si>
    <t>Gloria Mazzón Soto pago de honorarios captura de recibos</t>
  </si>
  <si>
    <t>Esteban Alejo Pintura total en la caseta de Zinampa</t>
  </si>
  <si>
    <t xml:space="preserve">Tecnoplaza Compra de 4 pares de balunsy fuente 2 amp 12 V CCTV </t>
  </si>
  <si>
    <t>Comercializadora Caspin, S.A. de C.V. Compra de pintura</t>
  </si>
  <si>
    <t>Telefonos de México, SAB. De C.V. Pago mes de Abril/14</t>
  </si>
  <si>
    <t>Luis Hernández,  reparación puertas</t>
  </si>
  <si>
    <t>Office Depot, compra de cartuchos</t>
  </si>
  <si>
    <t>Electropura, S. de R.L. de C.V. 4  garrafones</t>
  </si>
  <si>
    <t>Advanced Servicio CCTV y Computo, Activación de 50 tarjetas</t>
  </si>
  <si>
    <t>Advanced Servicio CCTV y Computo, Reubicación de camaras</t>
  </si>
  <si>
    <t>Catallino Arríaga Vázquez, Honorarios trabajos de pintura</t>
  </si>
  <si>
    <t>Jorge Lugo,  Manto jardin</t>
  </si>
  <si>
    <t xml:space="preserve">Office Depot, compra de cartuchos Y block esquela </t>
  </si>
  <si>
    <t>Compra Velmar Blanco, y repuesto nylon</t>
  </si>
  <si>
    <t>Catalino Arríaga Vázquez, Honorarios trabajos de pintura</t>
  </si>
  <si>
    <t>Catalino Arríaga Vázquez, Honorarios trabajo de pintura</t>
  </si>
  <si>
    <t>Víctor Manuel Sánchez, cambio de material eléctrico</t>
  </si>
  <si>
    <t>Electropura, S. de R.L. de C.V. 3  garrafones</t>
  </si>
  <si>
    <t>Guardias y custodias privadas Gama, S.A. de C.V. 1a quincena</t>
  </si>
  <si>
    <t>Luis Hernández,  gastos parque</t>
  </si>
  <si>
    <t>Artemino Mora Torres, Pago 1a. Quincena Mayo/14</t>
  </si>
  <si>
    <t>Roberto Mendoza, limieza del parque</t>
  </si>
  <si>
    <t>Advanced Servicios CCTV y Computo, Respaldo de DVR a USB</t>
  </si>
  <si>
    <t xml:space="preserve">Advance Cambio de carga de camara semiprofesional </t>
  </si>
  <si>
    <t>Jorge Lugo,  desmontar la hierba y árboles</t>
  </si>
  <si>
    <t>Nueva Walmart de México, S. de R.L. de C.V. productos limpieza</t>
  </si>
  <si>
    <t>Advance disco Duro Nuevo 3.5</t>
  </si>
  <si>
    <t>Horacio Campos, Manto puertas</t>
  </si>
  <si>
    <t>SAT de Administracón Tríbutaria, Pago el mes de Abril/14</t>
  </si>
  <si>
    <t>Siegrist Contadores Publicos, pago mes Abri/Mayo/14</t>
  </si>
  <si>
    <t>Electropura, S. de R.L. de C.V., 3 garrafones</t>
  </si>
  <si>
    <t>Esteban Alejo, manto casetas</t>
  </si>
  <si>
    <t>Horacio Campos, apertura y ajuste de chapa en la entrada</t>
  </si>
  <si>
    <t>Advance, Servicio CCTV y Computo, restuccturación de circuito</t>
  </si>
  <si>
    <t>Guardias y custodias privadas Gama, S.A. de C.V. 2a quincena</t>
  </si>
  <si>
    <t>Telefonos de México, SAB. De C.V. Pago mes de Mayo/14</t>
  </si>
  <si>
    <t>Artemino Mora Torres, Pago 2a. Quincena Mayo/14</t>
  </si>
  <si>
    <t>Elvira Cortes, Pago por gastos originados al golpe de su vehiculo</t>
  </si>
  <si>
    <t>2000 Recibos de cuota y pago de Vigilancia y mantenimiento</t>
  </si>
  <si>
    <t xml:space="preserve">Comercializadora Caspin, S.A. de C.V. Compra de thinner </t>
  </si>
  <si>
    <t>Daniel Chavez Valdés, servicio de alimentos p/personal deleg.</t>
  </si>
  <si>
    <t>Roberto Miranda, limpieza parque</t>
  </si>
  <si>
    <t>Roberto Miranda, recoger y tirar basura del predio en del hueso</t>
  </si>
  <si>
    <t>Office Depot de México, S.A. de C.V., compra de cartuchos</t>
  </si>
  <si>
    <t>Papeleria, enmicado de lista de claves de egregos</t>
  </si>
  <si>
    <t>Daniel Chávez Valdés, servicio de alimentos p/personal de delegación</t>
  </si>
  <si>
    <t>Horacio Campos, ajuste de contra-chapa en puerta</t>
  </si>
  <si>
    <t>Esteban Alejo Hernández pintar casetas y plumas</t>
  </si>
  <si>
    <t>PubliCarte, 2 lonas</t>
  </si>
  <si>
    <t>Copyfaz, 900 copias</t>
  </si>
  <si>
    <t>Gloria Mazzón, pago de honorarios de captura</t>
  </si>
  <si>
    <t>Comercializadora CASPIN, S.A. de C.V. pintura, thinner y brochas</t>
  </si>
  <si>
    <t>Marcos Cortes, desayunos p/ personal de la delegación</t>
  </si>
  <si>
    <t>Eelectropura, S. de R.L. de C.V., 4 garrafones</t>
  </si>
  <si>
    <t>Electropura, S. de R.L. de C.V., 2 garrafones</t>
  </si>
  <si>
    <t>Comercializadora CASPIN, S.A. de C.V. via color señal/trans/ama</t>
  </si>
  <si>
    <t>Advanced Servicio CCTV y cómputo, respaldo de DVR a USB 2 eventos</t>
  </si>
  <si>
    <t>Advanced Servicio CCTV y cómputo, reparación de pluma de salida</t>
  </si>
  <si>
    <t>Guardias y custodias privadas Gama, S.A. de C.V. 1a. Quincena</t>
  </si>
  <si>
    <t>Ferreteria, compra juego de llaves allen</t>
  </si>
  <si>
    <t>Olegario Vázquez, gratificación por reparación de pluma zinampa</t>
  </si>
  <si>
    <t>Roberto Miranda, gratificación por recoger basura del parque</t>
  </si>
  <si>
    <t>Artemio Mora Torres, pago correspondiente a la 1a quincena junio/14</t>
  </si>
  <si>
    <t>Lic. Olivia pago a notaria para protocolización de la mesa directiva</t>
  </si>
  <si>
    <t>Dr. Oscar Roldán, gastos erogados en el globo para juntas quincenales</t>
  </si>
  <si>
    <t>Tlapaleria Jaimes, material para arrelgo coneccion en caseta romeral</t>
  </si>
  <si>
    <t>Olegario Vázquez, arreglo conección eléctrica en caseta romeral</t>
  </si>
  <si>
    <t>Víctor Manuel Sánchez, cambio de lamparas</t>
  </si>
  <si>
    <t>The home  Deport México, S de R.L. de C.V. compra de bote basura</t>
  </si>
  <si>
    <t>SAT Servicios de Administración Tributaria pago mes de Mayo/14</t>
  </si>
  <si>
    <t>Electropura, S. de RL.L. de C.V. 3 garrafones de agua</t>
  </si>
  <si>
    <t>Advanced Servicio CCTV y Computo restructuraciión de circuito</t>
  </si>
  <si>
    <t>Advanced Servicio CCTV y Computo, instalaciones de 2 camaras</t>
  </si>
  <si>
    <t>Sistemas y Comunicaciones Gaytan Medina, S.A. de C.V.  Camara Bala</t>
  </si>
  <si>
    <t>Guardias y custodias privadas Gama, S.A. de C.V. 2a. Quincena jun/14</t>
  </si>
  <si>
    <t>Artemio Mora Torres, pago correspondiente a la 2a quincena jun/14</t>
  </si>
  <si>
    <t>Copercializadora CASPIN, S.A. de C.V. pintura/thinner/estopa/sellado</t>
  </si>
  <si>
    <t>Electropura S de R.L. de C.V. 3 garrafones de agua</t>
  </si>
  <si>
    <t>Office Depot de México, S.A. de C.V., compra de 2 cartuchos</t>
  </si>
  <si>
    <t>Ferre Electrica Diaz, compra de foco ahorrador ter 26 w</t>
  </si>
  <si>
    <t>Comercializadora Caspin, S.A. de C.V. compra de pintura y accesorios</t>
  </si>
  <si>
    <t>Sistemas y Comunicaciones Gaytan Medina, S.A. de C.V., camara</t>
  </si>
  <si>
    <t>Advance Servicio CCTV y Cómputo, Respaldo de 2 videos en incidentes</t>
  </si>
  <si>
    <t>Roberto Miranda, gratificación por recoger la basura del parque</t>
  </si>
  <si>
    <t>Gloria Mazzón, pago de honorarios por captura</t>
  </si>
  <si>
    <t>Horacio Campos, 50 duplicados de llaves kales</t>
  </si>
  <si>
    <t>Horacio Campos, reparación de chapa y apertura de chapa</t>
  </si>
  <si>
    <t>Nueva Walmart de México, S. de R.L. de C.V., compra material limpieza</t>
  </si>
  <si>
    <t>Radio Shack de México, S.A. de C.V., pila alcalina enercell</t>
  </si>
  <si>
    <t>Advanced servicio CCTV y cómputo, instalación de 2 camaras</t>
  </si>
  <si>
    <t>Comercializadora Caspin, S.A. de C.V., compra de thinner</t>
  </si>
  <si>
    <t>Tecnoplaza electronica S.A. de C.V., Bobina UTP 300 m recubrimiento</t>
  </si>
  <si>
    <t>Reparación y sellado de antenas de acceso vehicular por lluvia</t>
  </si>
  <si>
    <t>Esteban Alejo Hernández, Pintura en Estanzuela, Cuchilla, Romera etc.</t>
  </si>
  <si>
    <t>Eguía impresos, 430 copias</t>
  </si>
  <si>
    <t>Telefonos de México, S.A.B. de C.V., pago mes de julio/14</t>
  </si>
  <si>
    <t>Home Depot México S. de R.L. de C.V., 2 conos reforzados de 71 cms.</t>
  </si>
  <si>
    <t>Guardias y custodias privadas Gama, S.A. de C.V. 1a quincena julio/14</t>
  </si>
  <si>
    <t>Artemio Mora Torres, pago correspondiente a la 1a quincena julio/14</t>
  </si>
  <si>
    <t>Electropura S de R.L. de C.V. 2 garrafones de agua</t>
  </si>
  <si>
    <t>Raúl Flores, limpieza jarnin</t>
  </si>
  <si>
    <t>Home Depot México S. de R.L. de C.V., bolsas rollo 20 93 X119 lt neg.</t>
  </si>
  <si>
    <t>Roberto Miranda, gratificación por recoger la basura cascajo</t>
  </si>
  <si>
    <t>Electropura, S. de R.L. de C.V. 2 garrafones</t>
  </si>
  <si>
    <t>SAT Servicio de Adminitración Tributaria, mar/14</t>
  </si>
  <si>
    <t>SAT Servicio de Administración Triburaria, feb/14</t>
  </si>
  <si>
    <t>SAT retencion de I.V.A. Colegio Carmel, ene/14</t>
  </si>
  <si>
    <t>Advance, servicio CCTV y cómputo, inicio de reparacion de circuito</t>
  </si>
  <si>
    <t>Arturo García, intalación de tubos de protección en calle del Hueso</t>
  </si>
  <si>
    <t>Tecnoplaza electrónica S.A. de C.V., 16 pares de baluns y 16 PM, fuente.</t>
  </si>
  <si>
    <t>Advaced, servicio CCTV y cómputo, respaldo de 2 videograbaciones</t>
  </si>
  <si>
    <t>Office Depot de México, S.A. de C.V., compra de papeleria</t>
  </si>
  <si>
    <t>Esteban Alejo Hernández, Pintura en paso peatonales, Cuchilla y Estop.</t>
  </si>
  <si>
    <t>Advanced servicio CCTV y cómputo, anticipo de pago</t>
  </si>
  <si>
    <t>Electropura, S. de R.L. de C.V. 3 garrafones</t>
  </si>
  <si>
    <t>Horacio Campos, reparación de dos chapas en la rejas de acceso peatonal</t>
  </si>
  <si>
    <t>Telefonos de México, S.A.B. de C.V., pago mes de junio/14</t>
  </si>
  <si>
    <t>Lona Hernández, 1 lona 1 x 1 m2</t>
  </si>
  <si>
    <t>Sistemas y Comunicaciones Gaytan Medina, S.A. de C.V., camara prof.</t>
  </si>
  <si>
    <t>Tecnoplaza electrónica S.A. de C.V., lente varifocal de 6 a 66 mm</t>
  </si>
  <si>
    <t>Tecnoplaza electrónica, S.A. de C.V. compra de camaras</t>
  </si>
  <si>
    <t>Guardias y custodias privadas Gama, S.A. de C.V. 2a quincena julio/14</t>
  </si>
  <si>
    <t>Artemio Mora Torres, pago correspondiente a la 2a quincena julio/14</t>
  </si>
  <si>
    <t>Francisco Raúl Flores Herrera, poda de pasto y desyerbado del pasto</t>
  </si>
  <si>
    <t>Angel Razo, compra de bolsas</t>
  </si>
  <si>
    <t>Angel Razo, cepillo para jardin</t>
  </si>
  <si>
    <t>Angel Razo, limpieza del parque</t>
  </si>
  <si>
    <t>Natalio Cruz, desasolve de la calle Estanzuela</t>
  </si>
  <si>
    <t>Angel Razo, bolsa negra para recogel hojarasca del parque</t>
  </si>
  <si>
    <t>Telefonos de México, SAB de C.V., pago mes de diciembre/13</t>
  </si>
  <si>
    <t>Home Depor México S. de R.L. de C.V., deposito basura</t>
  </si>
  <si>
    <t>Electropura, S. de R.L. de C..V., 2 garrafones</t>
  </si>
  <si>
    <t>Electropura, S. de R.L. de C.V. , 2 garrafones</t>
  </si>
  <si>
    <t>Guardias y Custodias Privadas a Gama, S.A. de C.V. pago 1a quincena ene/14</t>
  </si>
  <si>
    <t>Guardias y Custodias Privadas a Gama, S.A. de C.V. pago 2a quincena ene/14</t>
  </si>
  <si>
    <t>Electropura, S. de R.L. de C.V., 5 garrafones de agua</t>
  </si>
  <si>
    <t>Electropura, S. de R.L. de C.V., 3 garrafones de agua</t>
  </si>
  <si>
    <t>Electropura, S de R.L. de C.V. 3 garrafones de agua</t>
  </si>
  <si>
    <t>Electropura, S. de R.L. de C.V. 1 garrafon de agua</t>
  </si>
  <si>
    <t>SR. Baldemar Sala (fraude del Ing Pellaez)</t>
  </si>
  <si>
    <t>Electropura, S. de R.L. de C.V., 2 garrafones de agua</t>
  </si>
  <si>
    <t>Telefonos de México, S.A.B. de C.V. pago mes mar/14</t>
  </si>
  <si>
    <t>Guardias y Custodia Privadas Gama S.A. de C.V., pago 2a quincena mar/14</t>
  </si>
  <si>
    <t>Artemio Mora Torres Pago 2a quincena del mes de marzo/14</t>
  </si>
  <si>
    <t>Guardias y Custodias Privadas a Gama, S.A. de C.V., pago 2a quincena abr/14</t>
  </si>
  <si>
    <t>Guardias y Custodias Privadas a Gama, S.A. de C.V., pago 1a quincena abr/14</t>
  </si>
  <si>
    <t>Electropura, S. de R.L. de C.V. 4 garrafones de agua</t>
  </si>
  <si>
    <t>Banorte com. edo. Cuenta</t>
  </si>
  <si>
    <t>Banorte, com. ch. expedido</t>
  </si>
  <si>
    <t>Banorte, com. ch. exp.</t>
  </si>
  <si>
    <t>Guardias y Custodias Privadas Gama, S.A. de C.V. pago 1a quincena feb/14</t>
  </si>
  <si>
    <t>Guardias y Custodias Privadas  Gama, S.A. de C.V. pago 2a quincena feb/14</t>
  </si>
  <si>
    <t>Guardias y Custodia Privadas Gama S.A. DE C.V., pago 1a quincena mar/14</t>
  </si>
  <si>
    <t>Electropura S. de R.L. de C.V., 4 garrafones de agua</t>
  </si>
  <si>
    <t>Electropura S. de R.L. de C.V., 2 garrafones de agua</t>
  </si>
  <si>
    <t>Advanced, servicios CCTV y cómputo liq. Pago honorarios</t>
  </si>
  <si>
    <t>Gloria Mazzón, pago por honorarios de captura</t>
  </si>
  <si>
    <t>Electropura, S. de R.L. de C.V.  4 garrafones de agua</t>
  </si>
  <si>
    <t>Advanced, servicios CCTV y cómputo liq. Gasto de tornilleria</t>
  </si>
  <si>
    <t>Esteban Alejo, partir en trozos la rama grande que se cayó</t>
  </si>
  <si>
    <t xml:space="preserve">Herreria en General Janiel, bastidores para comunicación </t>
  </si>
  <si>
    <t>Eguía Impresos, juegos impresión en carta a color digital</t>
  </si>
  <si>
    <t>Eguía Impresos, lonas .97 x 96</t>
  </si>
  <si>
    <t>Ferre Electrica Diaz, 30 cincho 38 cm.</t>
  </si>
  <si>
    <t>Electropura, S. de R.L. de C.V.  3 garrafones de agua</t>
  </si>
  <si>
    <t>Víctor Manuel Sánchez, compra de materiales eéctricos</t>
  </si>
  <si>
    <t>Pedro Cortes, recortar y tirar todo el pasto y ramas en el parque</t>
  </si>
  <si>
    <t xml:space="preserve">Aldan Electrónica, S.A. de C.V., compra de telefono </t>
  </si>
  <si>
    <t>Tiendas Comercial Mexicana, S.A. de C.V. productos de limp.</t>
  </si>
  <si>
    <t>Siegrist Contadores Publicos, pago de honorarios pago mes junio/14</t>
  </si>
  <si>
    <t>Siegrist Contadores Publicos, pago de honorarios agosto/14</t>
  </si>
  <si>
    <t>Papeleria, 2 impresiones</t>
  </si>
  <si>
    <t>Papeleria, 12 impresiones</t>
  </si>
  <si>
    <t xml:space="preserve">Tecnoplaza Electrónica, S.A. de C.V. bobina UTP 300 m </t>
  </si>
  <si>
    <t>Artemio Mora Torres, pago correspondiente a la 1a quincena ago/14</t>
  </si>
  <si>
    <t>Guardias y custodías privadas Gama, S.A. de C.V. 1a quincena ago/14</t>
  </si>
  <si>
    <t>Tiendas Chedraui, S.A. de C.V., productos de limpieza</t>
  </si>
  <si>
    <t>Advanced, Servicio CCTV y cómputo, respados de videograbación</t>
  </si>
  <si>
    <t>Electropura, S. de R.L. de C.V. 3 garrafones de agua</t>
  </si>
  <si>
    <t>Cristóbal Pineda Méndez, servicio de impresión digital</t>
  </si>
  <si>
    <t>Electropura, S de R.L. de C.V., 2 garrafones</t>
  </si>
  <si>
    <t>Horacio Campos, Cambio de una chapa en la entrada peatonal Romeral</t>
  </si>
  <si>
    <t>Banorte, com. estado de cuenta</t>
  </si>
  <si>
    <t>Advanced servicio CCTV y cómputo, anticipo por circuito Zinampa</t>
  </si>
  <si>
    <t>Corporación Bran, S.A. de C.V., servicio a 2 WC en casetas</t>
  </si>
  <si>
    <t>Electropurta, S. de R.L. de C.V. 2 garrafones</t>
  </si>
  <si>
    <t>Raúl Flores, servicio de jardinería, area caseta Romeral.</t>
  </si>
  <si>
    <t>Office Depot de México, S.A. de C.V. compra papelería</t>
  </si>
  <si>
    <t>Tecnoplaza Electrónica, S.A. de C.V. fuente y disco duro</t>
  </si>
  <si>
    <t>Guardias y custodías privadas Gama, S.A. de C.V. 2a quincena ago/14</t>
  </si>
  <si>
    <t>Artemio Mora Torres, pago correspondiente a la 2a quincena ago/14</t>
  </si>
  <si>
    <t>SAT Servicio de Administración Tributaria, colegio Carmel, julio/14</t>
  </si>
  <si>
    <t>SAT Servicio de Administración Tributaria, colegio Carmel, junio/14</t>
  </si>
  <si>
    <t>Siegrist Contadores Publicos, Llave contabilidad electrónica</t>
  </si>
  <si>
    <t>Marco Antonio Medina Aragón, llave contabilidad electrónica</t>
  </si>
  <si>
    <t>Electropura, S. de R.L. de C.V. 2 garragones</t>
  </si>
  <si>
    <t>Office Depot de México, S.A. de C.V. marcador sharpie negro</t>
  </si>
  <si>
    <t>Roberto Miranda, limpieza del parque y ambas calles del mismo</t>
  </si>
  <si>
    <t>Advanced, Servicio y Cómputo, respadol de una videograbación</t>
  </si>
  <si>
    <t>Antonio Martínez, gratificación por quitar la publicidad en fracc.</t>
  </si>
  <si>
    <t>Marco Antonio Vellada, reparación fuga de agua en banqueta RM</t>
  </si>
  <si>
    <t>Gloria Mazzón, pago por honorario de captura</t>
  </si>
  <si>
    <t>Networks II Computer, 4 mouse genius</t>
  </si>
  <si>
    <t>Nueva Walmart de México, S de R.L. de C.V. productos limpieza</t>
  </si>
  <si>
    <t>Electropura, S. de R.L. de C.V. 3 garragones</t>
  </si>
  <si>
    <t>Eguía Impresos, 460 copias en juegos de 2 engrapadas 3 imp a/c</t>
  </si>
  <si>
    <t>Copyifaz, 10 Enmicados</t>
  </si>
  <si>
    <t>Advanced, Servicio y Cómputo, 2respadol de una videograbación</t>
  </si>
  <si>
    <t>Ferre Electrica Díaz, 6 kg. Cemento gris</t>
  </si>
  <si>
    <t>J. Manuel Olivares, compra bolsa arena y trabajo albañilería</t>
  </si>
  <si>
    <t>Pedro Cortes, recoger pasto podado del parque y tirarlo</t>
  </si>
  <si>
    <t>Jose Luis Hernández, Desasolve de calle EZ</t>
  </si>
  <si>
    <t>Esteban Alejo, tapar hoyo ZB y cortar ramas árbol de EZ</t>
  </si>
  <si>
    <t>Artemio Mora Torres, pago correspondiente a l° quincena sept</t>
  </si>
  <si>
    <t>Com. Franco, envio grua para llevarse pipa en la puerta HS y EZ</t>
  </si>
  <si>
    <t>Víctor Manuel Sánchez, compra de mat. Elec. Luminarias</t>
  </si>
  <si>
    <t>Sistema de seguridad electrónica, 50 tarjetas electrónicas</t>
  </si>
  <si>
    <t>Francisco Raúl Flores Herrera,  poda de pasto</t>
  </si>
  <si>
    <t>SAT Servicio de Administración Tributaria, colegio Carmel ago/14</t>
  </si>
  <si>
    <t>Office Depot de México, S.A. de C.V. 4 cartuchos</t>
  </si>
  <si>
    <t>Advanced Servicio CCTV y Cómputo, respado de videograbación USB</t>
  </si>
  <si>
    <t>Advance Servicio CCTV y Cómputo, anticipo d honorarios circuito ZB</t>
  </si>
  <si>
    <t>Cadena Comercial OXXO, S.A. de C.V. USB 8GB SONY</t>
  </si>
  <si>
    <t>Tecnooplaza Electrónica, S.A. de C.V. Monitor LCD 19" y fuente</t>
  </si>
  <si>
    <t>Telefonos de México, SAB, de C.V., pago mes de agosto 14</t>
  </si>
  <si>
    <t>Telefonos de México, SAB, de C.V., pago mes de julio 14</t>
  </si>
  <si>
    <t>Artemio Mora Torres, pago correspondiente a 2° quincena sept</t>
  </si>
  <si>
    <t>Guardias y Custodióas Privadas Gama, S.A. de 2° quincena sept</t>
  </si>
  <si>
    <t>Siegrist Contadores Publicos, pago de honorarios septiembre 14</t>
  </si>
  <si>
    <t>Pedro Cortes, gratificación por recolección de basura en todo el fracc.</t>
  </si>
  <si>
    <t>Office Depot de México, S.A. de C.V. Tabla con clip carta madera  y marcador</t>
  </si>
  <si>
    <t>Eguía Impresos, 460 copias bbond carta juegos 2 copias engrapados</t>
  </si>
  <si>
    <t>Electropura, S. de R.L. de C.V. , 3 garrafones de agua</t>
  </si>
  <si>
    <t>Roberto Medina, gratificación especial por recoger basura en el parque</t>
  </si>
  <si>
    <t>Gloria Mazzón, pago por honorarios de captura de datos</t>
  </si>
  <si>
    <t>Andrés Millán, Gratificación otorgada a la delegación por apoyo de limpieza</t>
  </si>
  <si>
    <t>Dr. Oscar Roldan, gastos erogados en el globo por junta quincenales</t>
  </si>
  <si>
    <t>Tiendas Comercial Mexicana, S.A. de CV. Compra productos de limpieza</t>
  </si>
  <si>
    <t>Eguía Impresos, lona front 1 x 1</t>
  </si>
  <si>
    <t>Eguía impresos, vinil adhesivo .84 x .92 cms 68 cm minimo un metro</t>
  </si>
  <si>
    <t>Office Depot de México, S.A. de C.V., folders ama. 2 cartuchos y papel carta</t>
  </si>
  <si>
    <t>Electropura, S. de R.L. de C.V. , 2 garrafones de agua</t>
  </si>
  <si>
    <t>Advanced servicio CCTV y cómputo, 3 respaldos vedeograbacion dif. Hechos</t>
  </si>
  <si>
    <t>Cristino Cabrera, servicio de jardinedria en la entrada Romeral</t>
  </si>
  <si>
    <t>Horacio Ocampo, 50 duplicados Kale</t>
  </si>
  <si>
    <t>Horacio Ocampo, 1 reparación de chapa en la reja de acceso peatonal Estopila</t>
  </si>
  <si>
    <t>Eelectropura, S. de R.L. de C.V. 1 garrafon de agua</t>
  </si>
  <si>
    <t>Guardias y Custodias Privadas Gama, S.A. de C.V. 1° quincena sept</t>
  </si>
  <si>
    <t>Guardias y Custodias Privadas Gama, S.A. de C.V. 1° quincena de octubre/14</t>
  </si>
  <si>
    <t>Artemio Mora Torres, pago correspondiente a la 1° quincena octubre/14</t>
  </si>
  <si>
    <t>Eguía Impresos, copias bond carta juego 4 copias engrapadas</t>
  </si>
  <si>
    <t xml:space="preserve">Sistemas y Comunicaciones Gaytan Medina, S.A. de C.V., camara profesional </t>
  </si>
  <si>
    <t>Tecnoplaza Electrónica, S.A. de C.V., cabre para intalación de camara</t>
  </si>
  <si>
    <t>Siegrist Contadores Publicos, pago de honorarios octubre/14</t>
  </si>
  <si>
    <t>Tecnoplaza Electrónica, S.A. de C.V., fuente 1 amp., baluns y bullet 1,200 TVL</t>
  </si>
  <si>
    <t>Moises Gutierrez Olvera, tarjetones impresos a una tinta plastificados</t>
  </si>
  <si>
    <t>Materiales y Tlapaleria Metropolitan,  bulto de cemento 25 kgs.</t>
  </si>
  <si>
    <t>Guardias y Custodias Privadas Gama, S.A. de C.V. 2° quincena de octubre/14</t>
  </si>
  <si>
    <t>Artemio Mora Torres, pago correspondiente a la 2° quincena octubre/14</t>
  </si>
  <si>
    <t>Telefonos de México, SAB de C.V. pago del mes de octubre/14</t>
  </si>
  <si>
    <t>David Glez. saldo pendiente instalación puerta Landero</t>
  </si>
  <si>
    <t>Horacio Campos, mantenimiento chapa</t>
  </si>
  <si>
    <t>Horacion Campos,  servicio y ajustes de chapas</t>
  </si>
  <si>
    <t>Horacion Campos,  cambio de soporte para pluma</t>
  </si>
  <si>
    <t>Horacion Campos,  Caja para proteger candado</t>
  </si>
  <si>
    <t>Dublicados de 50 Llaves de seguridad</t>
  </si>
  <si>
    <t>Banorte com. chq. exped. Mas IVA</t>
  </si>
  <si>
    <t>Horacio Campos , apertura de chapa y reparación</t>
  </si>
  <si>
    <t>Artemio Mora Torres. pago 2a quincena Febrero/14</t>
  </si>
  <si>
    <t>Banorte com. estado cta.</t>
  </si>
  <si>
    <t>Arteminio Mora Torres pago 1a quincena de febrero/14</t>
  </si>
  <si>
    <t>Walmart  compra de productos de limpieza</t>
  </si>
  <si>
    <t>Manuel Olivares, tapar 4 hoyos en la calle de Cuchilla y una grieta</t>
  </si>
  <si>
    <t>Advanced servicio CCTV y cómputo, 1 respaldo e inst. de 1 camara</t>
  </si>
  <si>
    <t>Advanced servicio CCTV y cómputo, cableado nuevo para camaras en EZ y CL</t>
  </si>
  <si>
    <t>Constantino Cabrera, poda pasto y arbustos en calle y banquetas en CL y ET</t>
  </si>
  <si>
    <t>Rafael Ugalde B, anticipo de poda del parque</t>
  </si>
  <si>
    <t>Roberto Miranda, recoger basura parque, barrer ambas calles</t>
  </si>
  <si>
    <t>A/C de 2 bastidores para el parque con un costo $1800</t>
  </si>
  <si>
    <t>Nueva Walmart de México, S. de R.L. de C.V. compra productos limpieza</t>
  </si>
  <si>
    <t>Electropura, S. de R.L. de C.V. 1 garrafón</t>
  </si>
  <si>
    <t>Eguía impresos, copias bond carta juegos 2 copias engrapadas</t>
  </si>
  <si>
    <t>Advance servico CCTV y cómputo, respado de videogravacion en USB</t>
  </si>
  <si>
    <t>Office Depot de México, S.A. de C.V. boligrafo y 2 cartuchos</t>
  </si>
  <si>
    <t>Constantino, podar pasto en Recoveco esq. Con Cafetales</t>
  </si>
  <si>
    <t>Oxxo, compra de refrescos y vasos</t>
  </si>
  <si>
    <t>Electropura, S. de R.L. de C.V. 4 garrafones</t>
  </si>
  <si>
    <t>Tecnoplaza electrónica S.A. de C.V. bullet 720 led varif 2-8 MM</t>
  </si>
  <si>
    <t>Manuel Olivares, quita toda la propaganda y publicidad colocada en las rejas</t>
  </si>
  <si>
    <t>Guardias y Custodias Privadas Gama, S.A. de C.V. 1 ° quincena noviembre/14</t>
  </si>
  <si>
    <t>Artemio Mora Torres, pago correspondiente a la 1° quincena de noviembre/14</t>
  </si>
  <si>
    <t>Roberto Miranda, gratificación por barrer las calle de RV, ZB, EZ y parque</t>
  </si>
  <si>
    <t>Electropura, S. de R.L de C.V. 1 garrafón de agua</t>
  </si>
  <si>
    <t>Dr. Oscar Roldan, gastos erogados en el globo del 04 sept al 11 de noviembre/14</t>
  </si>
  <si>
    <t>Siegrist Contadores Publicos, pago de honorarios noviembre/14</t>
  </si>
  <si>
    <t>Ferre Electrica Diaz, 10 kg de cemento gris</t>
  </si>
  <si>
    <t>Adance Servicio CCTV y Cómputo, instalación de lente de camara y rep. 2 cam.</t>
  </si>
  <si>
    <t>Advance Servico CCTV y Cómputo, anticipo de elaboración 2da. Etapa circuito ZB</t>
  </si>
  <si>
    <t>Sistemas y Comunucaciones Gayta Medina, S.A. de C.V.  Lente japones</t>
  </si>
  <si>
    <t>Constantino Cabrera, transplante de las plantas que estaban cubriendo el paso</t>
  </si>
  <si>
    <t>Esteban Alejo, tapar con cemento la orilla de la banqueta en caseta ZB</t>
  </si>
  <si>
    <t>Office Depot de México, S.A. de C.V. clips, sujetadores, marc negro, block y USB</t>
  </si>
  <si>
    <t>Home Depot México, S. de R.L. de C.V. 1 garrafon rojo para gasolina</t>
  </si>
  <si>
    <t>Pedro Cortes, gratificación por recolección mensual de basura en el fracc.</t>
  </si>
  <si>
    <t>Constantino Cabrera, retirar plantas muertas y plagados en la calle ZB</t>
  </si>
  <si>
    <t xml:space="preserve">Eguía impresos, 250 copias bond carta </t>
  </si>
  <si>
    <t>José Alberto González, pago de la poda de pasto del parque del fraccionamiento</t>
  </si>
  <si>
    <t>Artemio Mora Torres, pago correspondiente a la 2° quincena de noviembre/14</t>
  </si>
  <si>
    <t>Guardias y Custodias Privadas Gama, S.A. de C.V. 2 ° quincena noviembre/14</t>
  </si>
  <si>
    <t>SAT Servicio de Administración Tributaria, Colegio Carmel octubre/14</t>
  </si>
  <si>
    <t>SAT Servicio de Administración Tributaria, Colegio Carmel septiembre/14</t>
  </si>
  <si>
    <t>ENERO</t>
  </si>
  <si>
    <t>FEBRERO</t>
  </si>
  <si>
    <t>MARZO</t>
  </si>
  <si>
    <t>ABRIL</t>
  </si>
  <si>
    <t>MAYO</t>
  </si>
  <si>
    <t>JUNIO</t>
  </si>
  <si>
    <t>JULIO</t>
  </si>
  <si>
    <t>AGOSTO</t>
  </si>
  <si>
    <t>SEPTIEMBRE</t>
  </si>
  <si>
    <t>OTUBRE</t>
  </si>
  <si>
    <t>NOVIEMBRE</t>
  </si>
  <si>
    <t>DICIEMBRE</t>
  </si>
  <si>
    <t>Advanced Servicio CCTV y Cómputo, honorarios de elaboración 2da. etapa</t>
  </si>
  <si>
    <t>Advanced Servicio CCTV y Cómputo, revisión videograbación UP y EZ</t>
  </si>
  <si>
    <t>Roberto Miranda, gratificación por barrer RV,ZB y parque</t>
  </si>
  <si>
    <t>Roberto Miranda, recoger toda la basura del parque en la obra de la deleg</t>
  </si>
  <si>
    <t>Electropura, S de R.L. de C.V. 1 garrafón</t>
  </si>
  <si>
    <t>Sistemas de Seguridad Electrónica, 100 tarjetas Procord para Tag Syscom</t>
  </si>
  <si>
    <t>Pedro Cortes, recoger y tirar el pasto podado y ramas del parque</t>
  </si>
  <si>
    <t>Telefonos de México, SAB de C.V. pago mes de noviembre/14</t>
  </si>
  <si>
    <t>Manuel Olivares, retiro de mantas colocadas en bardas y puertas del fracc.</t>
  </si>
  <si>
    <t>Nueva Walmart de México, S. de R.L. de C.V. tarjetas electrónicas despensas</t>
  </si>
  <si>
    <t>José Alberto González, trabajo de encalado de todos los árboles del parque</t>
  </si>
  <si>
    <t>Herreria en General Janiel, revisión y reparacion de 2 chapas EP y CL</t>
  </si>
  <si>
    <t>Herreria en General Janiel, reparación del trivolo de la piuerta EP y servicio</t>
  </si>
  <si>
    <t>Víctor Manuel Sánchez, cambio de balastras y luminarias de LD y UP</t>
  </si>
  <si>
    <t>Guardias y Custodias Privadas Gama, S.A. de C.V. 1° quincena de diciembre/14</t>
  </si>
  <si>
    <t>Artemio Mora Torres, Pago correspondiente 1° quincena de diciembre/14</t>
  </si>
  <si>
    <t>Artemio Mora Torres, Pago de aguinaldo correspondiente al año 2014</t>
  </si>
  <si>
    <t>Roberto Miranda, gratificación por servicio de limpieza en el fraccionamiento</t>
  </si>
  <si>
    <t>Banquetes Cafetales, Eventos Sociales, 2 tablones con mantel y 2 meseros</t>
  </si>
  <si>
    <t>Tiendas Chedraui, S.A. de C.V. compra de refrescos y deshechables</t>
  </si>
  <si>
    <t>Egría Impresos, 460 copias bond carta</t>
  </si>
  <si>
    <t>Nueva Walmart de México, S. de R.L. de C.V. compra de materiales de lim.</t>
  </si>
  <si>
    <t>Electropura, S. de R.L. de C.V. 1 garrafon</t>
  </si>
  <si>
    <t>Manuel Olivares, gratificación especial por reparto de avision a vecinos</t>
  </si>
  <si>
    <t>Pedro Cortes, gratificación anual por recolectar basura del fraccionamiento</t>
  </si>
  <si>
    <t xml:space="preserve">Panerias La Esperanza, S.A. de C.V. </t>
  </si>
  <si>
    <t>El Bajio ccocina mexicana, comida anual 2014 para la mesa directiva</t>
  </si>
  <si>
    <t>Víctor Manuel Sánchez, cambio de balastras y luminarias de ZB,EZ,RV,CL Y UP</t>
  </si>
  <si>
    <t>Horacio Campos, reparación de chapa en Estopila</t>
  </si>
  <si>
    <t>Artemio Mora Torres, Pago correspondiente 2° quincena de diciembre/14</t>
  </si>
  <si>
    <t>Guardias y Custodias Privadas Gama, S.A. de C.V. 2° quincena de diciembre/14</t>
  </si>
  <si>
    <t>Ferre Electica Diaz, compra cinta nitto, material eléctrico para poste eléctrico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</si>
</sst>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5">
    <numFmt numFmtId="43" formatCode="_-* #,##0.00_-;\-* #,##0.00_-;_-* &quot;-&quot;??_-;_-@_-"/>
    <numFmt numFmtId="164" formatCode="_-* #,##0_-;\-* #,##0_-;_-* &quot;-&quot;??_-;_-@_-"/>
    <numFmt numFmtId="165" formatCode="dd\-mm\-yy;@"/>
    <numFmt numFmtId="166" formatCode="#,##0.00_ ;\-#,##0.00\ "/>
    <numFmt numFmtId="167" formatCode="d/mm/yy;@"/>
  </numFmts>
  <fonts count="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9"/>
      <color indexed="9"/>
      <name val="Arial"/>
      <family val="2"/>
    </font>
    <font>
      <sz val="1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1"/>
      <name val="Calibri"/>
      <family val="2"/>
      <scheme val="minor"/>
    </font>
  </fonts>
  <fills count="16">
    <fill>
      <patternFill patternType="none"/>
    </fill>
    <fill>
      <patternFill patternType="gray125"/>
    </fill>
    <fill>
      <patternFill patternType="solid">
        <fgColor indexed="18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D0EBB3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FFFF66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2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148">
    <xf numFmtId="0" fontId="0" fillId="0" borderId="0" xfId="0"/>
    <xf numFmtId="0" fontId="0" fillId="0" borderId="4" xfId="0" applyBorder="1"/>
    <xf numFmtId="0" fontId="2" fillId="0" borderId="3" xfId="0" applyFont="1" applyBorder="1"/>
    <xf numFmtId="0" fontId="0" fillId="0" borderId="0" xfId="0" applyAlignment="1">
      <alignment horizontal="center"/>
    </xf>
    <xf numFmtId="164" fontId="3" fillId="2" borderId="0" xfId="1" applyNumberFormat="1" applyFont="1" applyFill="1" applyAlignment="1">
      <alignment horizontal="center" vertical="center"/>
    </xf>
    <xf numFmtId="0" fontId="0" fillId="5" borderId="0" xfId="0" applyFill="1" applyAlignment="1">
      <alignment horizontal="center"/>
    </xf>
    <xf numFmtId="0" fontId="0" fillId="5" borderId="0" xfId="0" applyFill="1"/>
    <xf numFmtId="0" fontId="0" fillId="6" borderId="0" xfId="0" applyFill="1"/>
    <xf numFmtId="0" fontId="0" fillId="7" borderId="0" xfId="0" applyFill="1"/>
    <xf numFmtId="49" fontId="0" fillId="5" borderId="0" xfId="0" applyNumberFormat="1" applyFill="1" applyAlignment="1">
      <alignment horizontal="left"/>
    </xf>
    <xf numFmtId="165" fontId="0" fillId="7" borderId="0" xfId="0" applyNumberFormat="1" applyFill="1" applyAlignment="1">
      <alignment horizontal="center"/>
    </xf>
    <xf numFmtId="4" fontId="0" fillId="7" borderId="0" xfId="0" applyNumberFormat="1" applyFill="1" applyAlignment="1">
      <alignment horizontal="center"/>
    </xf>
    <xf numFmtId="4" fontId="0" fillId="0" borderId="0" xfId="0" applyNumberFormat="1" applyAlignment="1">
      <alignment horizontal="center"/>
    </xf>
    <xf numFmtId="0" fontId="2" fillId="5" borderId="1" xfId="0" applyFont="1" applyFill="1" applyBorder="1" applyAlignment="1">
      <alignment horizontal="center"/>
    </xf>
    <xf numFmtId="0" fontId="2" fillId="4" borderId="1" xfId="0" applyFont="1" applyFill="1" applyBorder="1" applyAlignment="1">
      <alignment horizontal="center"/>
    </xf>
    <xf numFmtId="17" fontId="2" fillId="7" borderId="1" xfId="0" applyNumberFormat="1" applyFont="1" applyFill="1" applyBorder="1" applyAlignment="1">
      <alignment horizontal="center"/>
    </xf>
    <xf numFmtId="39" fontId="3" fillId="2" borderId="0" xfId="1" applyNumberFormat="1" applyFont="1" applyFill="1" applyAlignment="1">
      <alignment vertical="center"/>
    </xf>
    <xf numFmtId="15" fontId="6" fillId="7" borderId="1" xfId="0" applyNumberFormat="1" applyFont="1" applyFill="1" applyBorder="1" applyAlignment="1">
      <alignment horizontal="center"/>
    </xf>
    <xf numFmtId="0" fontId="2" fillId="7" borderId="1" xfId="0" applyFont="1" applyFill="1" applyBorder="1" applyAlignment="1">
      <alignment horizontal="center"/>
    </xf>
    <xf numFmtId="15" fontId="6" fillId="5" borderId="1" xfId="0" applyNumberFormat="1" applyFont="1" applyFill="1" applyBorder="1" applyAlignment="1">
      <alignment horizontal="center"/>
    </xf>
    <xf numFmtId="15" fontId="2" fillId="4" borderId="1" xfId="0" applyNumberFormat="1" applyFont="1" applyFill="1" applyBorder="1" applyAlignment="1">
      <alignment horizontal="center"/>
    </xf>
    <xf numFmtId="15" fontId="2" fillId="3" borderId="1" xfId="0" applyNumberFormat="1" applyFont="1" applyFill="1" applyBorder="1" applyAlignment="1">
      <alignment horizontal="center"/>
    </xf>
    <xf numFmtId="0" fontId="2" fillId="6" borderId="1" xfId="0" applyFont="1" applyFill="1" applyBorder="1" applyAlignment="1">
      <alignment horizontal="center"/>
    </xf>
    <xf numFmtId="0" fontId="0" fillId="7" borderId="0" xfId="0" applyFont="1" applyFill="1"/>
    <xf numFmtId="166" fontId="3" fillId="2" borderId="0" xfId="1" applyNumberFormat="1" applyFont="1" applyFill="1" applyAlignment="1">
      <alignment horizontal="center" vertical="center"/>
    </xf>
    <xf numFmtId="2" fontId="0" fillId="5" borderId="0" xfId="0" applyNumberFormat="1" applyFill="1"/>
    <xf numFmtId="4" fontId="0" fillId="5" borderId="0" xfId="0" applyNumberFormat="1" applyFill="1"/>
    <xf numFmtId="166" fontId="3" fillId="2" borderId="0" xfId="1" applyNumberFormat="1" applyFont="1" applyFill="1" applyAlignment="1">
      <alignment vertical="center"/>
    </xf>
    <xf numFmtId="165" fontId="0" fillId="5" borderId="0" xfId="0" applyNumberFormat="1" applyFill="1" applyAlignment="1">
      <alignment horizontal="center"/>
    </xf>
    <xf numFmtId="0" fontId="2" fillId="9" borderId="1" xfId="0" applyFont="1" applyFill="1" applyBorder="1" applyAlignment="1">
      <alignment horizontal="center"/>
    </xf>
    <xf numFmtId="0" fontId="0" fillId="9" borderId="0" xfId="0" applyFill="1"/>
    <xf numFmtId="15" fontId="2" fillId="9" borderId="1" xfId="0" applyNumberFormat="1" applyFont="1" applyFill="1" applyBorder="1" applyAlignment="1">
      <alignment horizontal="center"/>
    </xf>
    <xf numFmtId="17" fontId="2" fillId="9" borderId="1" xfId="0" applyNumberFormat="1" applyFont="1" applyFill="1" applyBorder="1" applyAlignment="1">
      <alignment horizontal="center"/>
    </xf>
    <xf numFmtId="17" fontId="2" fillId="6" borderId="1" xfId="0" applyNumberFormat="1" applyFont="1" applyFill="1" applyBorder="1" applyAlignment="1">
      <alignment horizontal="center"/>
    </xf>
    <xf numFmtId="15" fontId="2" fillId="8" borderId="1" xfId="0" applyNumberFormat="1" applyFont="1" applyFill="1" applyBorder="1" applyAlignment="1">
      <alignment horizontal="center"/>
    </xf>
    <xf numFmtId="0" fontId="6" fillId="8" borderId="1" xfId="0" applyFont="1" applyFill="1" applyBorder="1" applyAlignment="1">
      <alignment horizontal="center"/>
    </xf>
    <xf numFmtId="17" fontId="6" fillId="8" borderId="1" xfId="0" applyNumberFormat="1" applyFont="1" applyFill="1" applyBorder="1" applyAlignment="1">
      <alignment horizontal="center"/>
    </xf>
    <xf numFmtId="165" fontId="4" fillId="8" borderId="0" xfId="0" applyNumberFormat="1" applyFont="1" applyFill="1" applyAlignment="1">
      <alignment horizontal="center"/>
    </xf>
    <xf numFmtId="4" fontId="4" fillId="8" borderId="0" xfId="0" applyNumberFormat="1" applyFont="1" applyFill="1"/>
    <xf numFmtId="0" fontId="4" fillId="8" borderId="0" xfId="0" applyFont="1" applyFill="1"/>
    <xf numFmtId="0" fontId="4" fillId="8" borderId="0" xfId="0" applyFont="1" applyFill="1" applyBorder="1"/>
    <xf numFmtId="49" fontId="4" fillId="8" borderId="0" xfId="0" applyNumberFormat="1" applyFont="1" applyFill="1"/>
    <xf numFmtId="167" fontId="4" fillId="8" borderId="0" xfId="0" applyNumberFormat="1" applyFont="1" applyFill="1" applyAlignment="1">
      <alignment horizontal="center"/>
    </xf>
    <xf numFmtId="0" fontId="0" fillId="8" borderId="0" xfId="0" applyFill="1"/>
    <xf numFmtId="49" fontId="0" fillId="8" borderId="0" xfId="0" applyNumberFormat="1" applyFill="1"/>
    <xf numFmtId="14" fontId="0" fillId="6" borderId="0" xfId="0" applyNumberFormat="1" applyFill="1"/>
    <xf numFmtId="4" fontId="0" fillId="6" borderId="0" xfId="0" applyNumberFormat="1" applyFill="1"/>
    <xf numFmtId="2" fontId="0" fillId="6" borderId="0" xfId="0" applyNumberFormat="1" applyFill="1"/>
    <xf numFmtId="167" fontId="4" fillId="0" borderId="0" xfId="0" applyNumberFormat="1" applyFont="1" applyFill="1" applyAlignment="1">
      <alignment horizontal="center"/>
    </xf>
    <xf numFmtId="0" fontId="0" fillId="0" borderId="0" xfId="0" applyFill="1"/>
    <xf numFmtId="4" fontId="0" fillId="0" borderId="0" xfId="0" applyNumberFormat="1" applyFill="1"/>
    <xf numFmtId="0" fontId="0" fillId="0" borderId="0" xfId="0" applyFill="1" applyAlignment="1">
      <alignment horizontal="center"/>
    </xf>
    <xf numFmtId="165" fontId="0" fillId="0" borderId="0" xfId="0" applyNumberFormat="1" applyFill="1" applyAlignment="1">
      <alignment horizontal="center"/>
    </xf>
    <xf numFmtId="4" fontId="0" fillId="0" borderId="0" xfId="0" applyNumberFormat="1" applyFill="1" applyAlignment="1">
      <alignment horizontal="center"/>
    </xf>
    <xf numFmtId="15" fontId="2" fillId="6" borderId="1" xfId="0" applyNumberFormat="1" applyFont="1" applyFill="1" applyBorder="1" applyAlignment="1">
      <alignment horizontal="center"/>
    </xf>
    <xf numFmtId="15" fontId="2" fillId="10" borderId="1" xfId="0" applyNumberFormat="1" applyFont="1" applyFill="1" applyBorder="1" applyAlignment="1">
      <alignment horizontal="center"/>
    </xf>
    <xf numFmtId="17" fontId="2" fillId="8" borderId="1" xfId="0" applyNumberFormat="1" applyFont="1" applyFill="1" applyBorder="1" applyAlignment="1">
      <alignment horizontal="center"/>
    </xf>
    <xf numFmtId="0" fontId="2" fillId="8" borderId="1" xfId="0" applyFont="1" applyFill="1" applyBorder="1" applyAlignment="1">
      <alignment horizontal="center"/>
    </xf>
    <xf numFmtId="0" fontId="2" fillId="10" borderId="1" xfId="0" applyFont="1" applyFill="1" applyBorder="1" applyAlignment="1">
      <alignment horizontal="center"/>
    </xf>
    <xf numFmtId="17" fontId="2" fillId="10" borderId="1" xfId="0" applyNumberFormat="1" applyFont="1" applyFill="1" applyBorder="1" applyAlignment="1">
      <alignment horizontal="center"/>
    </xf>
    <xf numFmtId="0" fontId="0" fillId="10" borderId="0" xfId="0" applyFill="1"/>
    <xf numFmtId="15" fontId="2" fillId="11" borderId="1" xfId="0" applyNumberFormat="1" applyFont="1" applyFill="1" applyBorder="1" applyAlignment="1">
      <alignment horizontal="center"/>
    </xf>
    <xf numFmtId="0" fontId="2" fillId="11" borderId="1" xfId="0" applyFont="1" applyFill="1" applyBorder="1" applyAlignment="1">
      <alignment horizontal="center"/>
    </xf>
    <xf numFmtId="17" fontId="2" fillId="11" borderId="1" xfId="0" applyNumberFormat="1" applyFont="1" applyFill="1" applyBorder="1" applyAlignment="1">
      <alignment horizontal="center"/>
    </xf>
    <xf numFmtId="0" fontId="0" fillId="11" borderId="0" xfId="0" applyFill="1"/>
    <xf numFmtId="0" fontId="2" fillId="3" borderId="1" xfId="0" applyFont="1" applyFill="1" applyBorder="1" applyAlignment="1">
      <alignment horizontal="center"/>
    </xf>
    <xf numFmtId="17" fontId="2" fillId="3" borderId="1" xfId="0" applyNumberFormat="1" applyFont="1" applyFill="1" applyBorder="1" applyAlignment="1">
      <alignment horizontal="center"/>
    </xf>
    <xf numFmtId="0" fontId="0" fillId="3" borderId="0" xfId="0" applyFill="1"/>
    <xf numFmtId="15" fontId="2" fillId="13" borderId="1" xfId="0" applyNumberFormat="1" applyFont="1" applyFill="1" applyBorder="1" applyAlignment="1">
      <alignment horizontal="center"/>
    </xf>
    <xf numFmtId="0" fontId="2" fillId="13" borderId="1" xfId="0" applyFont="1" applyFill="1" applyBorder="1" applyAlignment="1">
      <alignment horizontal="center"/>
    </xf>
    <xf numFmtId="17" fontId="2" fillId="13" borderId="1" xfId="0" applyNumberFormat="1" applyFont="1" applyFill="1" applyBorder="1" applyAlignment="1">
      <alignment horizontal="center"/>
    </xf>
    <xf numFmtId="0" fontId="0" fillId="13" borderId="0" xfId="0" applyFill="1"/>
    <xf numFmtId="15" fontId="2" fillId="12" borderId="1" xfId="0" applyNumberFormat="1" applyFont="1" applyFill="1" applyBorder="1" applyAlignment="1">
      <alignment horizontal="center"/>
    </xf>
    <xf numFmtId="0" fontId="2" fillId="12" borderId="1" xfId="0" applyFont="1" applyFill="1" applyBorder="1" applyAlignment="1">
      <alignment horizontal="center"/>
    </xf>
    <xf numFmtId="17" fontId="2" fillId="12" borderId="1" xfId="0" applyNumberFormat="1" applyFont="1" applyFill="1" applyBorder="1" applyAlignment="1">
      <alignment horizontal="center"/>
    </xf>
    <xf numFmtId="0" fontId="0" fillId="12" borderId="0" xfId="0" applyFill="1"/>
    <xf numFmtId="14" fontId="0" fillId="9" borderId="0" xfId="0" applyNumberFormat="1" applyFill="1"/>
    <xf numFmtId="4" fontId="0" fillId="9" borderId="0" xfId="0" applyNumberFormat="1" applyFill="1"/>
    <xf numFmtId="2" fontId="0" fillId="9" borderId="0" xfId="0" applyNumberFormat="1" applyFill="1"/>
    <xf numFmtId="165" fontId="0" fillId="4" borderId="0" xfId="0" applyNumberFormat="1" applyFill="1" applyAlignment="1"/>
    <xf numFmtId="4" fontId="0" fillId="4" borderId="0" xfId="0" applyNumberFormat="1" applyFill="1" applyAlignment="1"/>
    <xf numFmtId="0" fontId="0" fillId="4" borderId="0" xfId="0" applyFill="1" applyAlignment="1"/>
    <xf numFmtId="49" fontId="0" fillId="4" borderId="0" xfId="0" applyNumberFormat="1" applyFill="1" applyAlignment="1"/>
    <xf numFmtId="15" fontId="0" fillId="4" borderId="0" xfId="0" applyNumberFormat="1" applyFill="1" applyBorder="1" applyAlignment="1">
      <alignment vertical="center"/>
    </xf>
    <xf numFmtId="2" fontId="0" fillId="4" borderId="0" xfId="0" applyNumberFormat="1" applyFill="1" applyAlignment="1"/>
    <xf numFmtId="14" fontId="0" fillId="10" borderId="0" xfId="0" applyNumberFormat="1" applyFill="1"/>
    <xf numFmtId="4" fontId="0" fillId="10" borderId="0" xfId="0" applyNumberFormat="1" applyFill="1"/>
    <xf numFmtId="0" fontId="0" fillId="10" borderId="0" xfId="0" applyFill="1" applyBorder="1"/>
    <xf numFmtId="0" fontId="4" fillId="7" borderId="0" xfId="0" applyFont="1" applyFill="1"/>
    <xf numFmtId="0" fontId="4" fillId="5" borderId="0" xfId="0" applyFont="1" applyFill="1"/>
    <xf numFmtId="14" fontId="0" fillId="8" borderId="0" xfId="0" applyNumberFormat="1" applyFill="1"/>
    <xf numFmtId="4" fontId="0" fillId="8" borderId="0" xfId="0" applyNumberFormat="1" applyFill="1"/>
    <xf numFmtId="0" fontId="0" fillId="14" borderId="0" xfId="0" applyFill="1"/>
    <xf numFmtId="0" fontId="0" fillId="15" borderId="0" xfId="0" applyFill="1"/>
    <xf numFmtId="14" fontId="0" fillId="12" borderId="0" xfId="0" applyNumberFormat="1" applyFill="1"/>
    <xf numFmtId="4" fontId="0" fillId="12" borderId="0" xfId="0" applyNumberFormat="1" applyFill="1"/>
    <xf numFmtId="14" fontId="0" fillId="11" borderId="0" xfId="0" applyNumberFormat="1" applyFill="1"/>
    <xf numFmtId="4" fontId="0" fillId="11" borderId="0" xfId="0" applyNumberFormat="1" applyFill="1"/>
    <xf numFmtId="49" fontId="0" fillId="0" borderId="0" xfId="0" applyNumberFormat="1" applyFill="1" applyAlignment="1">
      <alignment horizontal="left"/>
    </xf>
    <xf numFmtId="0" fontId="0" fillId="0" borderId="0" xfId="0" applyFill="1" applyAlignment="1"/>
    <xf numFmtId="4" fontId="0" fillId="0" borderId="0" xfId="0" applyNumberFormat="1" applyFill="1" applyAlignment="1"/>
    <xf numFmtId="4" fontId="4" fillId="0" borderId="0" xfId="0" applyNumberFormat="1" applyFont="1" applyFill="1"/>
    <xf numFmtId="14" fontId="0" fillId="3" borderId="0" xfId="0" applyNumberFormat="1" applyFill="1"/>
    <xf numFmtId="4" fontId="0" fillId="3" borderId="0" xfId="0" applyNumberFormat="1" applyFill="1"/>
    <xf numFmtId="14" fontId="0" fillId="3" borderId="0" xfId="0" applyNumberFormat="1" applyFont="1" applyFill="1" applyBorder="1" applyAlignment="1">
      <alignment horizontal="center"/>
    </xf>
    <xf numFmtId="17" fontId="0" fillId="3" borderId="0" xfId="0" applyNumberFormat="1" applyFont="1" applyFill="1" applyBorder="1" applyAlignment="1">
      <alignment horizontal="left"/>
    </xf>
    <xf numFmtId="4" fontId="0" fillId="3" borderId="0" xfId="0" applyNumberFormat="1" applyFont="1" applyFill="1" applyBorder="1" applyAlignment="1">
      <alignment horizontal="right"/>
    </xf>
    <xf numFmtId="14" fontId="0" fillId="13" borderId="0" xfId="0" applyNumberFormat="1" applyFill="1"/>
    <xf numFmtId="4" fontId="0" fillId="13" borderId="0" xfId="0" applyNumberFormat="1" applyFill="1"/>
    <xf numFmtId="0" fontId="2" fillId="8" borderId="2" xfId="0" applyFont="1" applyFill="1" applyBorder="1" applyAlignment="1">
      <alignment horizontal="center"/>
    </xf>
    <xf numFmtId="0" fontId="2" fillId="8" borderId="3" xfId="0" applyFont="1" applyFill="1" applyBorder="1" applyAlignment="1">
      <alignment horizontal="center"/>
    </xf>
    <xf numFmtId="0" fontId="2" fillId="8" borderId="4" xfId="0" applyFont="1" applyFill="1" applyBorder="1" applyAlignment="1">
      <alignment horizontal="center"/>
    </xf>
    <xf numFmtId="0" fontId="2" fillId="12" borderId="2" xfId="0" applyFont="1" applyFill="1" applyBorder="1" applyAlignment="1">
      <alignment horizontal="center"/>
    </xf>
    <xf numFmtId="0" fontId="2" fillId="12" borderId="3" xfId="0" applyFont="1" applyFill="1" applyBorder="1" applyAlignment="1">
      <alignment horizontal="center"/>
    </xf>
    <xf numFmtId="0" fontId="2" fillId="12" borderId="4" xfId="0" applyFont="1" applyFill="1" applyBorder="1" applyAlignment="1">
      <alignment horizontal="center"/>
    </xf>
    <xf numFmtId="0" fontId="2" fillId="11" borderId="2" xfId="0" applyFont="1" applyFill="1" applyBorder="1" applyAlignment="1">
      <alignment horizontal="center"/>
    </xf>
    <xf numFmtId="0" fontId="2" fillId="11" borderId="3" xfId="0" applyFont="1" applyFill="1" applyBorder="1" applyAlignment="1">
      <alignment horizontal="center"/>
    </xf>
    <xf numFmtId="0" fontId="2" fillId="11" borderId="4" xfId="0" applyFont="1" applyFill="1" applyBorder="1" applyAlignment="1">
      <alignment horizontal="center"/>
    </xf>
    <xf numFmtId="0" fontId="2" fillId="3" borderId="2" xfId="0" applyFont="1" applyFill="1" applyBorder="1" applyAlignment="1">
      <alignment horizontal="center"/>
    </xf>
    <xf numFmtId="0" fontId="2" fillId="3" borderId="3" xfId="0" applyFont="1" applyFill="1" applyBorder="1" applyAlignment="1">
      <alignment horizontal="center"/>
    </xf>
    <xf numFmtId="0" fontId="2" fillId="3" borderId="4" xfId="0" applyFont="1" applyFill="1" applyBorder="1" applyAlignment="1">
      <alignment horizontal="center"/>
    </xf>
    <xf numFmtId="0" fontId="2" fillId="13" borderId="2" xfId="0" applyFont="1" applyFill="1" applyBorder="1" applyAlignment="1">
      <alignment horizontal="center"/>
    </xf>
    <xf numFmtId="0" fontId="2" fillId="13" borderId="3" xfId="0" applyFont="1" applyFill="1" applyBorder="1" applyAlignment="1">
      <alignment horizontal="center"/>
    </xf>
    <xf numFmtId="0" fontId="2" fillId="13" borderId="4" xfId="0" applyFont="1" applyFill="1" applyBorder="1" applyAlignment="1">
      <alignment horizontal="center"/>
    </xf>
    <xf numFmtId="0" fontId="2" fillId="10" borderId="2" xfId="0" applyFont="1" applyFill="1" applyBorder="1" applyAlignment="1">
      <alignment horizontal="center"/>
    </xf>
    <xf numFmtId="0" fontId="2" fillId="10" borderId="3" xfId="0" applyFont="1" applyFill="1" applyBorder="1" applyAlignment="1">
      <alignment horizontal="center"/>
    </xf>
    <xf numFmtId="0" fontId="2" fillId="10" borderId="4" xfId="0" applyFont="1" applyFill="1" applyBorder="1" applyAlignment="1">
      <alignment horizontal="center"/>
    </xf>
    <xf numFmtId="0" fontId="2" fillId="9" borderId="2" xfId="0" applyFont="1" applyFill="1" applyBorder="1" applyAlignment="1">
      <alignment horizontal="center"/>
    </xf>
    <xf numFmtId="0" fontId="2" fillId="9" borderId="3" xfId="0" applyFont="1" applyFill="1" applyBorder="1" applyAlignment="1">
      <alignment horizontal="center"/>
    </xf>
    <xf numFmtId="0" fontId="2" fillId="9" borderId="4" xfId="0" applyFont="1" applyFill="1" applyBorder="1" applyAlignment="1">
      <alignment horizontal="center"/>
    </xf>
    <xf numFmtId="0" fontId="5" fillId="0" borderId="2" xfId="0" applyFont="1" applyBorder="1" applyAlignment="1">
      <alignment horizontal="center"/>
    </xf>
    <xf numFmtId="0" fontId="5" fillId="0" borderId="3" xfId="0" applyFont="1" applyBorder="1" applyAlignment="1">
      <alignment horizontal="center"/>
    </xf>
    <xf numFmtId="0" fontId="2" fillId="0" borderId="3" xfId="0" applyFont="1" applyBorder="1" applyAlignment="1">
      <alignment horizontal="center"/>
    </xf>
    <xf numFmtId="0" fontId="2" fillId="6" borderId="2" xfId="0" applyFont="1" applyFill="1" applyBorder="1" applyAlignment="1">
      <alignment horizontal="center"/>
    </xf>
    <xf numFmtId="0" fontId="2" fillId="6" borderId="3" xfId="0" applyFont="1" applyFill="1" applyBorder="1" applyAlignment="1">
      <alignment horizontal="center"/>
    </xf>
    <xf numFmtId="0" fontId="2" fillId="6" borderId="4" xfId="0" applyFont="1" applyFill="1" applyBorder="1" applyAlignment="1">
      <alignment horizontal="center"/>
    </xf>
    <xf numFmtId="0" fontId="6" fillId="8" borderId="2" xfId="0" applyFont="1" applyFill="1" applyBorder="1" applyAlignment="1">
      <alignment horizontal="center"/>
    </xf>
    <xf numFmtId="0" fontId="4" fillId="8" borderId="3" xfId="0" applyFont="1" applyFill="1" applyBorder="1" applyAlignment="1">
      <alignment horizontal="center"/>
    </xf>
    <xf numFmtId="0" fontId="4" fillId="8" borderId="4" xfId="0" applyFont="1" applyFill="1" applyBorder="1" applyAlignment="1">
      <alignment horizontal="center"/>
    </xf>
    <xf numFmtId="0" fontId="2" fillId="4" borderId="2" xfId="0" applyFont="1" applyFill="1" applyBorder="1" applyAlignment="1">
      <alignment horizontal="center"/>
    </xf>
    <xf numFmtId="0" fontId="2" fillId="4" borderId="3" xfId="0" applyFont="1" applyFill="1" applyBorder="1" applyAlignment="1">
      <alignment horizontal="center"/>
    </xf>
    <xf numFmtId="0" fontId="2" fillId="4" borderId="4" xfId="0" applyFont="1" applyFill="1" applyBorder="1" applyAlignment="1">
      <alignment horizontal="center"/>
    </xf>
    <xf numFmtId="0" fontId="2" fillId="5" borderId="2" xfId="0" applyFont="1" applyFill="1" applyBorder="1" applyAlignment="1">
      <alignment horizontal="center"/>
    </xf>
    <xf numFmtId="0" fontId="2" fillId="5" borderId="3" xfId="0" applyFont="1" applyFill="1" applyBorder="1" applyAlignment="1">
      <alignment horizontal="center"/>
    </xf>
    <xf numFmtId="0" fontId="2" fillId="5" borderId="4" xfId="0" applyFont="1" applyFill="1" applyBorder="1" applyAlignment="1">
      <alignment horizontal="center"/>
    </xf>
    <xf numFmtId="0" fontId="2" fillId="7" borderId="2" xfId="0" applyFont="1" applyFill="1" applyBorder="1" applyAlignment="1">
      <alignment horizontal="center"/>
    </xf>
    <xf numFmtId="0" fontId="2" fillId="7" borderId="3" xfId="0" applyFont="1" applyFill="1" applyBorder="1" applyAlignment="1">
      <alignment horizontal="center"/>
    </xf>
    <xf numFmtId="0" fontId="2" fillId="7" borderId="4" xfId="0" applyFont="1" applyFill="1" applyBorder="1" applyAlignment="1">
      <alignment horizontal="center"/>
    </xf>
  </cellXfs>
  <cellStyles count="2">
    <cellStyle name="Millares" xfId="1" builtinId="3"/>
    <cellStyle name="Normal" xfId="0" builtinId="0"/>
  </cellStyles>
  <dxfs count="0"/>
  <tableStyles count="0" defaultTableStyle="TableStyleMedium9" defaultPivotStyle="PivotStyleLight16"/>
  <colors>
    <mruColors>
      <color rgb="FFFFFF66"/>
      <color rgb="FFD0EBB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K278"/>
  <sheetViews>
    <sheetView tabSelected="1" topLeftCell="A44" workbookViewId="0">
      <selection activeCell="A62" sqref="A61:AK67"/>
    </sheetView>
  </sheetViews>
  <sheetFormatPr baseColWidth="10" defaultRowHeight="15" x14ac:dyDescent="0.25"/>
  <cols>
    <col min="1" max="1" width="8.85546875" style="3" customWidth="1"/>
    <col min="2" max="2" width="11.85546875" style="3" customWidth="1"/>
    <col min="3" max="3" width="67.7109375" customWidth="1"/>
    <col min="4" max="4" width="11.85546875" style="3" customWidth="1"/>
    <col min="5" max="5" width="11.140625" customWidth="1"/>
    <col min="6" max="6" width="67.85546875" customWidth="1"/>
    <col min="7" max="7" width="9.140625" style="3" customWidth="1"/>
    <col min="8" max="8" width="12.28515625" customWidth="1"/>
    <col min="9" max="9" width="66.140625" customWidth="1"/>
    <col min="10" max="10" width="9.7109375" style="3" customWidth="1"/>
    <col min="11" max="11" width="10.42578125" customWidth="1"/>
    <col min="12" max="12" width="68.28515625" customWidth="1"/>
    <col min="13" max="13" width="10.5703125" customWidth="1"/>
    <col min="14" max="14" width="9.5703125" customWidth="1"/>
    <col min="15" max="15" width="58.140625" customWidth="1"/>
    <col min="16" max="16" width="11.140625" customWidth="1"/>
    <col min="17" max="17" width="10.42578125" customWidth="1"/>
    <col min="18" max="18" width="62" customWidth="1"/>
    <col min="21" max="21" width="64" customWidth="1"/>
    <col min="24" max="24" width="60" customWidth="1"/>
    <col min="27" max="27" width="60.42578125" customWidth="1"/>
    <col min="30" max="30" width="69.140625" customWidth="1"/>
    <col min="33" max="33" width="70.85546875" customWidth="1"/>
    <col min="36" max="36" width="68.85546875" customWidth="1"/>
  </cols>
  <sheetData>
    <row r="1" spans="1:36" ht="15.75" x14ac:dyDescent="0.25">
      <c r="A1" s="130"/>
      <c r="B1" s="131"/>
      <c r="C1" s="131"/>
      <c r="D1" s="131"/>
      <c r="E1" s="131"/>
      <c r="F1" s="131"/>
      <c r="G1" s="131"/>
      <c r="H1" s="131"/>
      <c r="I1" s="131"/>
      <c r="J1" s="131"/>
      <c r="K1" s="131"/>
      <c r="L1" s="132" t="s">
        <v>1</v>
      </c>
      <c r="M1" s="132"/>
      <c r="N1" s="2">
        <v>2014</v>
      </c>
      <c r="O1" s="1"/>
      <c r="Q1" s="2">
        <v>2014</v>
      </c>
      <c r="T1" s="2">
        <v>2014</v>
      </c>
      <c r="W1" s="2">
        <v>2014</v>
      </c>
      <c r="Z1" s="2">
        <v>2014</v>
      </c>
      <c r="AB1" s="2">
        <v>2014</v>
      </c>
      <c r="AE1" s="2">
        <v>2014</v>
      </c>
      <c r="AH1" s="2">
        <v>2014</v>
      </c>
    </row>
    <row r="2" spans="1:36" x14ac:dyDescent="0.25">
      <c r="A2" s="145" t="s">
        <v>28</v>
      </c>
      <c r="B2" s="146"/>
      <c r="C2" s="147"/>
      <c r="D2" s="142" t="s">
        <v>28</v>
      </c>
      <c r="E2" s="143"/>
      <c r="F2" s="144"/>
      <c r="G2" s="139" t="s">
        <v>28</v>
      </c>
      <c r="H2" s="140"/>
      <c r="I2" s="141"/>
      <c r="J2" s="136" t="s">
        <v>28</v>
      </c>
      <c r="K2" s="137"/>
      <c r="L2" s="138"/>
      <c r="M2" s="133" t="s">
        <v>28</v>
      </c>
      <c r="N2" s="134"/>
      <c r="O2" s="135"/>
      <c r="P2" s="127" t="s">
        <v>28</v>
      </c>
      <c r="Q2" s="128"/>
      <c r="R2" s="129"/>
      <c r="S2" s="124" t="s">
        <v>28</v>
      </c>
      <c r="T2" s="125"/>
      <c r="U2" s="126"/>
      <c r="V2" s="109" t="s">
        <v>28</v>
      </c>
      <c r="W2" s="110"/>
      <c r="X2" s="111"/>
      <c r="Y2" s="112" t="s">
        <v>28</v>
      </c>
      <c r="Z2" s="113"/>
      <c r="AA2" s="114"/>
      <c r="AB2" s="115" t="s">
        <v>28</v>
      </c>
      <c r="AC2" s="116"/>
      <c r="AD2" s="117"/>
      <c r="AE2" s="118" t="s">
        <v>28</v>
      </c>
      <c r="AF2" s="119"/>
      <c r="AG2" s="120"/>
      <c r="AH2" s="121" t="s">
        <v>28</v>
      </c>
      <c r="AI2" s="122"/>
      <c r="AJ2" s="123"/>
    </row>
    <row r="3" spans="1:36" x14ac:dyDescent="0.25">
      <c r="A3" s="4">
        <f>SUBTOTAL(3,A5:A120)</f>
        <v>36</v>
      </c>
      <c r="B3" s="24">
        <f>SUBTOTAL(9,B5:B120)</f>
        <v>86630.8</v>
      </c>
      <c r="C3" s="17" t="s">
        <v>3</v>
      </c>
      <c r="D3" s="4">
        <f>SUBTOTAL(3,D5:D118)</f>
        <v>31</v>
      </c>
      <c r="E3" s="27">
        <f>SUBTOTAL(9,E5:E118)</f>
        <v>73475.540000000008</v>
      </c>
      <c r="F3" s="19" t="s">
        <v>3</v>
      </c>
      <c r="G3" s="4">
        <f>SUBTOTAL(3,G5:G123)</f>
        <v>41</v>
      </c>
      <c r="H3" s="16">
        <f>SUBTOTAL(9,H5:H123)</f>
        <v>95251.329999999987</v>
      </c>
      <c r="I3" s="20" t="s">
        <v>3</v>
      </c>
      <c r="J3" s="4">
        <f>SUBTOTAL(3,J5:J122)</f>
        <v>46</v>
      </c>
      <c r="K3" s="16">
        <f>SUBTOTAL(9,K5:K122)</f>
        <v>105548.79999999999</v>
      </c>
      <c r="L3" s="34" t="s">
        <v>3</v>
      </c>
      <c r="M3" s="4">
        <f>SUBTOTAL(3,M5:M122)</f>
        <v>56</v>
      </c>
      <c r="N3" s="16">
        <f>SUBTOTAL(9,N5:N122)</f>
        <v>123413.95</v>
      </c>
      <c r="O3" s="54" t="s">
        <v>3</v>
      </c>
      <c r="P3" s="4">
        <f>SUBTOTAL(3,P5:P127)</f>
        <v>45</v>
      </c>
      <c r="Q3" s="27">
        <f>SUBTOTAL(9,Q5:Q127)</f>
        <v>96013.39</v>
      </c>
      <c r="R3" s="31" t="s">
        <v>3</v>
      </c>
      <c r="S3" s="4">
        <f>SUBTOTAL(3,S5:S125)</f>
        <v>52</v>
      </c>
      <c r="T3" s="16">
        <f>SUBTOTAL(9,T5:T125)</f>
        <v>119567.46999999999</v>
      </c>
      <c r="U3" s="55" t="s">
        <v>3</v>
      </c>
      <c r="V3" s="4">
        <f>SUBTOTAL(3,V5:V123)</f>
        <v>42</v>
      </c>
      <c r="W3" s="16">
        <f>SUBTOTAL(9,W5:W123)</f>
        <v>105340.19</v>
      </c>
      <c r="X3" s="34" t="s">
        <v>3</v>
      </c>
      <c r="Y3" s="4">
        <f>SUBTOTAL(3,Y5:Y122)</f>
        <v>47</v>
      </c>
      <c r="Z3" s="16">
        <f>SUBTOTAL(9,Z5:Z122)</f>
        <v>99022.819999999992</v>
      </c>
      <c r="AA3" s="72" t="s">
        <v>3</v>
      </c>
      <c r="AB3" s="4">
        <f>SUBTOTAL(3,AB5:AB127)</f>
        <v>44</v>
      </c>
      <c r="AC3" s="16">
        <f>SUBTOTAL(9,AC5:AC127)</f>
        <v>99908.81</v>
      </c>
      <c r="AD3" s="61" t="s">
        <v>3</v>
      </c>
      <c r="AE3" s="4">
        <f>SUBTOTAL(3,AE6:AE126)</f>
        <v>42</v>
      </c>
      <c r="AF3" s="16">
        <f>SUBTOTAL(9,AF5:AF126)</f>
        <v>91538.28</v>
      </c>
      <c r="AG3" s="21" t="s">
        <v>3</v>
      </c>
      <c r="AH3" s="4">
        <f>SUBTOTAL(3,AH5:AH128)</f>
        <v>41</v>
      </c>
      <c r="AI3" s="16">
        <f>SUBTOTAL(9,AI5:AI128)</f>
        <v>129250.44</v>
      </c>
      <c r="AJ3" s="68" t="s">
        <v>3</v>
      </c>
    </row>
    <row r="4" spans="1:36" x14ac:dyDescent="0.25">
      <c r="A4" s="18" t="s">
        <v>2</v>
      </c>
      <c r="B4" s="18" t="s">
        <v>0</v>
      </c>
      <c r="C4" s="15" t="s">
        <v>385</v>
      </c>
      <c r="D4" s="13" t="s">
        <v>2</v>
      </c>
      <c r="E4" s="13" t="s">
        <v>0</v>
      </c>
      <c r="F4" s="13" t="s">
        <v>386</v>
      </c>
      <c r="G4" s="14" t="s">
        <v>2</v>
      </c>
      <c r="H4" s="14" t="s">
        <v>0</v>
      </c>
      <c r="I4" s="14" t="s">
        <v>387</v>
      </c>
      <c r="J4" s="35" t="s">
        <v>2</v>
      </c>
      <c r="K4" s="35" t="s">
        <v>0</v>
      </c>
      <c r="L4" s="36" t="s">
        <v>388</v>
      </c>
      <c r="M4" s="22" t="s">
        <v>2</v>
      </c>
      <c r="N4" s="22" t="s">
        <v>0</v>
      </c>
      <c r="O4" s="33" t="s">
        <v>389</v>
      </c>
      <c r="P4" s="29" t="s">
        <v>2</v>
      </c>
      <c r="Q4" s="29" t="s">
        <v>0</v>
      </c>
      <c r="R4" s="32" t="s">
        <v>390</v>
      </c>
      <c r="S4" s="58" t="s">
        <v>2</v>
      </c>
      <c r="T4" s="58" t="s">
        <v>0</v>
      </c>
      <c r="U4" s="59" t="s">
        <v>391</v>
      </c>
      <c r="V4" s="57" t="s">
        <v>2</v>
      </c>
      <c r="W4" s="57" t="s">
        <v>0</v>
      </c>
      <c r="X4" s="56" t="s">
        <v>392</v>
      </c>
      <c r="Y4" s="73" t="s">
        <v>2</v>
      </c>
      <c r="Z4" s="73" t="s">
        <v>0</v>
      </c>
      <c r="AA4" s="74" t="s">
        <v>393</v>
      </c>
      <c r="AB4" s="62" t="s">
        <v>2</v>
      </c>
      <c r="AC4" s="62" t="s">
        <v>0</v>
      </c>
      <c r="AD4" s="63" t="s">
        <v>394</v>
      </c>
      <c r="AE4" s="65" t="s">
        <v>2</v>
      </c>
      <c r="AF4" s="65" t="s">
        <v>0</v>
      </c>
      <c r="AG4" s="66" t="s">
        <v>395</v>
      </c>
      <c r="AH4" s="69" t="s">
        <v>2</v>
      </c>
      <c r="AI4" s="69" t="s">
        <v>0</v>
      </c>
      <c r="AJ4" s="70" t="s">
        <v>396</v>
      </c>
    </row>
    <row r="5" spans="1:36" x14ac:dyDescent="0.25">
      <c r="A5" s="10">
        <v>41641</v>
      </c>
      <c r="B5" s="11">
        <v>62.5</v>
      </c>
      <c r="C5" s="8" t="s">
        <v>198</v>
      </c>
      <c r="D5" s="28">
        <v>41675</v>
      </c>
      <c r="E5" s="25">
        <v>150</v>
      </c>
      <c r="F5" s="9" t="s">
        <v>209</v>
      </c>
      <c r="G5" s="79">
        <v>41699</v>
      </c>
      <c r="H5" s="84">
        <v>317.5</v>
      </c>
      <c r="I5" s="81" t="s">
        <v>7</v>
      </c>
      <c r="J5" s="37">
        <v>41730</v>
      </c>
      <c r="K5" s="38">
        <v>5000</v>
      </c>
      <c r="L5" s="39" t="s">
        <v>55</v>
      </c>
      <c r="M5" s="45">
        <v>41760</v>
      </c>
      <c r="N5" s="46">
        <v>1400</v>
      </c>
      <c r="O5" s="7" t="s">
        <v>73</v>
      </c>
      <c r="P5" s="76">
        <v>41792</v>
      </c>
      <c r="Q5" s="77">
        <v>250</v>
      </c>
      <c r="R5" s="30" t="s">
        <v>115</v>
      </c>
      <c r="S5" s="85">
        <v>41822</v>
      </c>
      <c r="T5" s="86">
        <v>90</v>
      </c>
      <c r="U5" s="60" t="s">
        <v>151</v>
      </c>
      <c r="V5" s="90">
        <v>41852</v>
      </c>
      <c r="W5" s="91">
        <v>5700</v>
      </c>
      <c r="X5" s="43" t="s">
        <v>229</v>
      </c>
      <c r="Y5" s="94">
        <v>41883</v>
      </c>
      <c r="Z5" s="95">
        <v>3132</v>
      </c>
      <c r="AA5" s="75" t="s">
        <v>268</v>
      </c>
      <c r="AB5" s="96">
        <v>41913</v>
      </c>
      <c r="AC5" s="97">
        <v>500</v>
      </c>
      <c r="AD5" s="64" t="s">
        <v>303</v>
      </c>
      <c r="AE5" s="104">
        <v>41857</v>
      </c>
      <c r="AF5" s="106">
        <v>500</v>
      </c>
      <c r="AG5" s="105" t="s">
        <v>352</v>
      </c>
      <c r="AH5" s="107">
        <v>41976</v>
      </c>
      <c r="AI5" s="108">
        <v>90</v>
      </c>
      <c r="AJ5" s="71" t="s">
        <v>188</v>
      </c>
    </row>
    <row r="6" spans="1:36" x14ac:dyDescent="0.25">
      <c r="A6" s="10">
        <v>41641</v>
      </c>
      <c r="B6" s="11">
        <v>210</v>
      </c>
      <c r="C6" s="8" t="s">
        <v>199</v>
      </c>
      <c r="D6" s="28">
        <v>41675</v>
      </c>
      <c r="E6" s="25">
        <v>200</v>
      </c>
      <c r="F6" s="6" t="s">
        <v>34</v>
      </c>
      <c r="G6" s="79">
        <v>41699</v>
      </c>
      <c r="H6" s="84">
        <v>3600</v>
      </c>
      <c r="I6" s="81" t="s">
        <v>8</v>
      </c>
      <c r="J6" s="37">
        <v>41730</v>
      </c>
      <c r="K6" s="39">
        <v>242.44</v>
      </c>
      <c r="L6" s="39" t="s">
        <v>56</v>
      </c>
      <c r="M6" s="45">
        <v>41761</v>
      </c>
      <c r="N6" s="47">
        <v>400</v>
      </c>
      <c r="O6" s="7" t="s">
        <v>74</v>
      </c>
      <c r="P6" s="76">
        <v>41792</v>
      </c>
      <c r="Q6" s="78">
        <v>50</v>
      </c>
      <c r="R6" s="30" t="s">
        <v>116</v>
      </c>
      <c r="S6" s="85">
        <v>41822</v>
      </c>
      <c r="T6" s="86">
        <v>507</v>
      </c>
      <c r="U6" s="60" t="s">
        <v>152</v>
      </c>
      <c r="V6" s="90">
        <v>41852</v>
      </c>
      <c r="W6" s="91">
        <v>400</v>
      </c>
      <c r="X6" s="43" t="s">
        <v>230</v>
      </c>
      <c r="Y6" s="94">
        <v>41883</v>
      </c>
      <c r="Z6" s="95">
        <v>60</v>
      </c>
      <c r="AA6" s="75" t="s">
        <v>269</v>
      </c>
      <c r="AB6" s="96">
        <v>41913</v>
      </c>
      <c r="AC6" s="97">
        <v>76.900000000000006</v>
      </c>
      <c r="AD6" s="64" t="s">
        <v>304</v>
      </c>
      <c r="AE6" s="102">
        <v>41907</v>
      </c>
      <c r="AF6" s="103">
        <v>1500</v>
      </c>
      <c r="AG6" s="67" t="s">
        <v>350</v>
      </c>
      <c r="AH6" s="107">
        <v>41976</v>
      </c>
      <c r="AI6" s="108">
        <v>5000</v>
      </c>
      <c r="AJ6" s="71" t="s">
        <v>397</v>
      </c>
    </row>
    <row r="7" spans="1:36" x14ac:dyDescent="0.25">
      <c r="A7" s="10">
        <v>41641</v>
      </c>
      <c r="B7" s="11">
        <v>1500</v>
      </c>
      <c r="C7" s="8" t="s">
        <v>29</v>
      </c>
      <c r="D7" s="28">
        <v>41680</v>
      </c>
      <c r="E7" s="25">
        <v>30</v>
      </c>
      <c r="F7" s="6" t="s">
        <v>212</v>
      </c>
      <c r="G7" s="79">
        <v>41701</v>
      </c>
      <c r="H7" s="80">
        <v>9443</v>
      </c>
      <c r="I7" s="81" t="s">
        <v>213</v>
      </c>
      <c r="J7" s="37">
        <v>41731</v>
      </c>
      <c r="K7" s="38">
        <v>11000</v>
      </c>
      <c r="L7" s="39" t="s">
        <v>57</v>
      </c>
      <c r="M7" s="45">
        <v>41761</v>
      </c>
      <c r="N7" s="46">
        <v>600</v>
      </c>
      <c r="O7" s="7" t="s">
        <v>75</v>
      </c>
      <c r="P7" s="76">
        <v>41792</v>
      </c>
      <c r="Q7" s="78">
        <v>859.4</v>
      </c>
      <c r="R7" s="30" t="s">
        <v>117</v>
      </c>
      <c r="S7" s="85">
        <v>41822</v>
      </c>
      <c r="T7" s="86">
        <v>145</v>
      </c>
      <c r="U7" s="60" t="s">
        <v>153</v>
      </c>
      <c r="V7" s="90">
        <v>41855</v>
      </c>
      <c r="W7" s="91">
        <v>120</v>
      </c>
      <c r="X7" s="43" t="s">
        <v>231</v>
      </c>
      <c r="Y7" s="94">
        <v>41883</v>
      </c>
      <c r="Z7" s="95">
        <v>24.9</v>
      </c>
      <c r="AA7" s="75" t="s">
        <v>270</v>
      </c>
      <c r="AB7" s="96">
        <v>41913</v>
      </c>
      <c r="AC7" s="97">
        <v>322</v>
      </c>
      <c r="AD7" s="64" t="s">
        <v>305</v>
      </c>
      <c r="AE7" s="102">
        <v>41911</v>
      </c>
      <c r="AF7" s="103">
        <v>1000</v>
      </c>
      <c r="AG7" s="67" t="s">
        <v>350</v>
      </c>
      <c r="AH7" s="107">
        <v>41977</v>
      </c>
      <c r="AI7" s="108">
        <v>500</v>
      </c>
      <c r="AJ7" s="71" t="s">
        <v>398</v>
      </c>
    </row>
    <row r="8" spans="1:36" x14ac:dyDescent="0.25">
      <c r="A8" s="10">
        <v>41642</v>
      </c>
      <c r="B8" s="11">
        <v>5000</v>
      </c>
      <c r="C8" s="23" t="s">
        <v>30</v>
      </c>
      <c r="D8" s="28">
        <v>41680</v>
      </c>
      <c r="E8" s="25">
        <v>30</v>
      </c>
      <c r="F8" s="6" t="s">
        <v>43</v>
      </c>
      <c r="G8" s="79">
        <v>41701</v>
      </c>
      <c r="H8" s="80">
        <v>68.5</v>
      </c>
      <c r="I8" s="81" t="s">
        <v>4</v>
      </c>
      <c r="J8" s="37">
        <v>41731</v>
      </c>
      <c r="K8" s="38">
        <v>200</v>
      </c>
      <c r="L8" s="39" t="s">
        <v>34</v>
      </c>
      <c r="M8" s="45">
        <v>41761</v>
      </c>
      <c r="N8" s="46">
        <v>1099.01</v>
      </c>
      <c r="O8" s="7" t="s">
        <v>76</v>
      </c>
      <c r="P8" s="76">
        <v>41793</v>
      </c>
      <c r="Q8" s="78">
        <v>15</v>
      </c>
      <c r="R8" s="30" t="s">
        <v>118</v>
      </c>
      <c r="S8" s="85">
        <v>41822</v>
      </c>
      <c r="T8" s="86">
        <v>4658</v>
      </c>
      <c r="U8" s="60" t="s">
        <v>154</v>
      </c>
      <c r="V8" s="90">
        <v>41855</v>
      </c>
      <c r="W8" s="91">
        <v>300</v>
      </c>
      <c r="X8" s="43" t="s">
        <v>34</v>
      </c>
      <c r="Y8" s="94">
        <v>41885</v>
      </c>
      <c r="Z8" s="95">
        <v>300</v>
      </c>
      <c r="AA8" s="75" t="s">
        <v>271</v>
      </c>
      <c r="AB8" s="96">
        <v>41914</v>
      </c>
      <c r="AC8" s="97">
        <v>90</v>
      </c>
      <c r="AD8" s="64" t="s">
        <v>306</v>
      </c>
      <c r="AE8" s="102">
        <v>41946</v>
      </c>
      <c r="AF8" s="103">
        <v>300</v>
      </c>
      <c r="AG8" s="67" t="s">
        <v>351</v>
      </c>
      <c r="AH8" s="107">
        <v>41978</v>
      </c>
      <c r="AI8" s="108">
        <v>300</v>
      </c>
      <c r="AJ8" s="71" t="s">
        <v>399</v>
      </c>
    </row>
    <row r="9" spans="1:36" x14ac:dyDescent="0.25">
      <c r="A9" s="10">
        <v>41643</v>
      </c>
      <c r="B9" s="11">
        <v>300</v>
      </c>
      <c r="C9" s="8" t="s">
        <v>200</v>
      </c>
      <c r="D9" s="28">
        <v>41680</v>
      </c>
      <c r="E9" s="25">
        <v>4.8</v>
      </c>
      <c r="F9" s="6" t="s">
        <v>44</v>
      </c>
      <c r="G9" s="79">
        <v>41703</v>
      </c>
      <c r="H9" s="80">
        <v>60</v>
      </c>
      <c r="I9" s="81" t="s">
        <v>228</v>
      </c>
      <c r="J9" s="37">
        <v>41731</v>
      </c>
      <c r="K9" s="38">
        <v>60</v>
      </c>
      <c r="L9" s="40" t="s">
        <v>214</v>
      </c>
      <c r="M9" s="45">
        <v>41764</v>
      </c>
      <c r="N9" s="46">
        <v>1143.8</v>
      </c>
      <c r="O9" s="7" t="s">
        <v>77</v>
      </c>
      <c r="P9" s="76">
        <v>41793</v>
      </c>
      <c r="Q9" s="78">
        <v>580</v>
      </c>
      <c r="R9" s="30" t="s">
        <v>70</v>
      </c>
      <c r="S9" s="85">
        <v>41823</v>
      </c>
      <c r="T9" s="86">
        <v>6621.9</v>
      </c>
      <c r="U9" s="60" t="s">
        <v>155</v>
      </c>
      <c r="V9" s="90">
        <v>41856</v>
      </c>
      <c r="W9" s="91">
        <v>1200</v>
      </c>
      <c r="X9" s="43" t="s">
        <v>232</v>
      </c>
      <c r="Y9" s="94">
        <v>41885</v>
      </c>
      <c r="Z9" s="95">
        <v>250</v>
      </c>
      <c r="AA9" s="75" t="s">
        <v>272</v>
      </c>
      <c r="AB9" s="96">
        <v>41915</v>
      </c>
      <c r="AC9" s="97">
        <v>300</v>
      </c>
      <c r="AD9" s="64" t="s">
        <v>307</v>
      </c>
      <c r="AE9" s="102">
        <v>41946</v>
      </c>
      <c r="AF9" s="103">
        <v>465.8</v>
      </c>
      <c r="AG9" s="67" t="s">
        <v>353</v>
      </c>
      <c r="AH9" s="107">
        <v>41978</v>
      </c>
      <c r="AI9" s="108">
        <v>500</v>
      </c>
      <c r="AJ9" s="71" t="s">
        <v>308</v>
      </c>
    </row>
    <row r="10" spans="1:36" x14ac:dyDescent="0.25">
      <c r="A10" s="10">
        <v>41644</v>
      </c>
      <c r="B10" s="11">
        <v>800</v>
      </c>
      <c r="C10" s="8" t="s">
        <v>200</v>
      </c>
      <c r="D10" s="28">
        <v>41681</v>
      </c>
      <c r="E10" s="25">
        <v>798</v>
      </c>
      <c r="F10" s="6" t="s">
        <v>42</v>
      </c>
      <c r="G10" s="79">
        <v>41705</v>
      </c>
      <c r="H10" s="80">
        <v>57</v>
      </c>
      <c r="I10" s="81" t="s">
        <v>6</v>
      </c>
      <c r="J10" s="37">
        <v>41733</v>
      </c>
      <c r="K10" s="38">
        <v>138</v>
      </c>
      <c r="L10" s="39" t="s">
        <v>6</v>
      </c>
      <c r="M10" s="45">
        <v>41764</v>
      </c>
      <c r="N10" s="46">
        <v>786</v>
      </c>
      <c r="O10" s="7" t="s">
        <v>78</v>
      </c>
      <c r="P10" s="76">
        <v>41793</v>
      </c>
      <c r="Q10" s="77">
        <v>1072</v>
      </c>
      <c r="R10" s="30" t="s">
        <v>119</v>
      </c>
      <c r="S10" s="85">
        <v>41823</v>
      </c>
      <c r="T10" s="86">
        <v>438.4</v>
      </c>
      <c r="U10" s="60" t="s">
        <v>161</v>
      </c>
      <c r="V10" s="90">
        <v>41856</v>
      </c>
      <c r="W10" s="91">
        <v>16</v>
      </c>
      <c r="X10" s="43" t="s">
        <v>245</v>
      </c>
      <c r="Y10" s="94">
        <v>41885</v>
      </c>
      <c r="Z10" s="95">
        <v>60</v>
      </c>
      <c r="AA10" s="75" t="s">
        <v>269</v>
      </c>
      <c r="AB10" s="96">
        <v>41915</v>
      </c>
      <c r="AC10" s="97">
        <v>400</v>
      </c>
      <c r="AD10" s="64" t="s">
        <v>308</v>
      </c>
      <c r="AE10" s="102">
        <v>41948</v>
      </c>
      <c r="AF10" s="103">
        <v>30</v>
      </c>
      <c r="AG10" s="67" t="s">
        <v>354</v>
      </c>
      <c r="AH10" s="107">
        <v>41980</v>
      </c>
      <c r="AI10" s="108">
        <v>200</v>
      </c>
      <c r="AJ10" s="71" t="s">
        <v>400</v>
      </c>
    </row>
    <row r="11" spans="1:36" x14ac:dyDescent="0.25">
      <c r="A11" s="10">
        <v>41645</v>
      </c>
      <c r="B11" s="11">
        <v>550</v>
      </c>
      <c r="C11" s="8" t="s">
        <v>334</v>
      </c>
      <c r="D11" s="28">
        <v>41684</v>
      </c>
      <c r="E11" s="25">
        <v>630</v>
      </c>
      <c r="F11" s="6" t="s">
        <v>45</v>
      </c>
      <c r="G11" s="79">
        <v>41708</v>
      </c>
      <c r="H11" s="80">
        <v>400</v>
      </c>
      <c r="I11" s="81" t="s">
        <v>9</v>
      </c>
      <c r="J11" s="37">
        <v>41733</v>
      </c>
      <c r="K11" s="38">
        <v>400</v>
      </c>
      <c r="L11" s="39" t="s">
        <v>158</v>
      </c>
      <c r="M11" s="45">
        <v>41765</v>
      </c>
      <c r="N11" s="46">
        <v>758.7</v>
      </c>
      <c r="O11" s="7" t="s">
        <v>77</v>
      </c>
      <c r="P11" s="76">
        <v>41794</v>
      </c>
      <c r="Q11" s="78">
        <v>450</v>
      </c>
      <c r="R11" s="30" t="s">
        <v>120</v>
      </c>
      <c r="S11" s="85">
        <v>41824</v>
      </c>
      <c r="T11" s="86">
        <v>700</v>
      </c>
      <c r="U11" s="60" t="s">
        <v>156</v>
      </c>
      <c r="V11" s="90">
        <v>41857</v>
      </c>
      <c r="W11" s="91">
        <v>96</v>
      </c>
      <c r="X11" s="43" t="s">
        <v>246</v>
      </c>
      <c r="Y11" s="94">
        <v>41886</v>
      </c>
      <c r="Z11" s="95">
        <v>150</v>
      </c>
      <c r="AA11" s="75" t="s">
        <v>273</v>
      </c>
      <c r="AB11" s="96">
        <v>41918</v>
      </c>
      <c r="AC11" s="97">
        <v>3000</v>
      </c>
      <c r="AD11" s="64" t="s">
        <v>309</v>
      </c>
      <c r="AE11" s="102">
        <v>41949</v>
      </c>
      <c r="AF11" s="103">
        <v>315</v>
      </c>
      <c r="AG11" s="67" t="s">
        <v>355</v>
      </c>
      <c r="AH11" s="107">
        <v>41981</v>
      </c>
      <c r="AI11" s="108">
        <v>30</v>
      </c>
      <c r="AJ11" s="71" t="s">
        <v>401</v>
      </c>
    </row>
    <row r="12" spans="1:36" x14ac:dyDescent="0.25">
      <c r="A12" s="10">
        <v>41645</v>
      </c>
      <c r="B12" s="11">
        <v>400</v>
      </c>
      <c r="C12" s="8" t="s">
        <v>201</v>
      </c>
      <c r="D12" s="28">
        <v>41685</v>
      </c>
      <c r="E12" s="26">
        <v>27900</v>
      </c>
      <c r="F12" s="89" t="s">
        <v>224</v>
      </c>
      <c r="G12" s="79">
        <v>41710</v>
      </c>
      <c r="H12" s="80">
        <v>786</v>
      </c>
      <c r="I12" s="81" t="s">
        <v>10</v>
      </c>
      <c r="J12" s="37">
        <v>41734</v>
      </c>
      <c r="K12" s="38">
        <v>1200</v>
      </c>
      <c r="L12" s="39" t="s">
        <v>64</v>
      </c>
      <c r="M12" s="45">
        <v>41766</v>
      </c>
      <c r="N12" s="46">
        <v>2399.5</v>
      </c>
      <c r="O12" s="7" t="s">
        <v>77</v>
      </c>
      <c r="P12" s="76">
        <v>41795</v>
      </c>
      <c r="Q12" s="78">
        <v>60</v>
      </c>
      <c r="R12" s="30" t="s">
        <v>128</v>
      </c>
      <c r="S12" s="85">
        <v>41824</v>
      </c>
      <c r="T12" s="86">
        <v>300</v>
      </c>
      <c r="U12" s="60" t="s">
        <v>157</v>
      </c>
      <c r="V12" s="90">
        <v>41857</v>
      </c>
      <c r="W12" s="91">
        <v>200</v>
      </c>
      <c r="X12" s="43" t="s">
        <v>233</v>
      </c>
      <c r="Y12" s="94">
        <v>41886</v>
      </c>
      <c r="Z12" s="95">
        <v>1800</v>
      </c>
      <c r="AA12" s="75" t="s">
        <v>274</v>
      </c>
      <c r="AB12" s="96">
        <v>41918</v>
      </c>
      <c r="AC12" s="97">
        <v>697</v>
      </c>
      <c r="AD12" s="64" t="s">
        <v>310</v>
      </c>
      <c r="AE12" s="102">
        <v>41949</v>
      </c>
      <c r="AF12" s="103">
        <v>70</v>
      </c>
      <c r="AG12" s="67" t="s">
        <v>369</v>
      </c>
      <c r="AH12" s="107">
        <v>41983</v>
      </c>
      <c r="AI12" s="108">
        <v>90</v>
      </c>
      <c r="AJ12" s="71" t="s">
        <v>188</v>
      </c>
    </row>
    <row r="13" spans="1:36" x14ac:dyDescent="0.25">
      <c r="A13" s="10">
        <v>41645</v>
      </c>
      <c r="B13" s="11">
        <v>90</v>
      </c>
      <c r="C13" s="8" t="s">
        <v>210</v>
      </c>
      <c r="D13" s="28">
        <v>41685</v>
      </c>
      <c r="E13" s="26">
        <v>3200</v>
      </c>
      <c r="F13" s="6" t="s">
        <v>344</v>
      </c>
      <c r="G13" s="79">
        <v>41711</v>
      </c>
      <c r="H13" s="80">
        <v>156.15</v>
      </c>
      <c r="I13" s="81" t="s">
        <v>12</v>
      </c>
      <c r="J13" s="37">
        <v>41735</v>
      </c>
      <c r="K13" s="38">
        <v>139.69999999999999</v>
      </c>
      <c r="L13" s="39" t="s">
        <v>59</v>
      </c>
      <c r="M13" s="45">
        <v>41767</v>
      </c>
      <c r="N13" s="46">
        <v>500</v>
      </c>
      <c r="O13" s="7" t="s">
        <v>82</v>
      </c>
      <c r="P13" s="76">
        <v>41795</v>
      </c>
      <c r="Q13" s="77">
        <v>3500</v>
      </c>
      <c r="R13" s="30" t="s">
        <v>121</v>
      </c>
      <c r="S13" s="85">
        <v>41824</v>
      </c>
      <c r="T13" s="86">
        <v>400</v>
      </c>
      <c r="U13" s="60" t="s">
        <v>158</v>
      </c>
      <c r="V13" s="90">
        <v>41857</v>
      </c>
      <c r="W13" s="91">
        <v>3600</v>
      </c>
      <c r="X13" s="43" t="s">
        <v>234</v>
      </c>
      <c r="Y13" s="94">
        <v>41887</v>
      </c>
      <c r="Z13" s="95">
        <v>400</v>
      </c>
      <c r="AA13" s="75" t="s">
        <v>275</v>
      </c>
      <c r="AB13" s="96">
        <v>41918</v>
      </c>
      <c r="AC13" s="97">
        <v>167.9</v>
      </c>
      <c r="AD13" s="64" t="s">
        <v>311</v>
      </c>
      <c r="AE13" s="102">
        <v>41950</v>
      </c>
      <c r="AF13" s="103">
        <v>400</v>
      </c>
      <c r="AG13" s="67" t="s">
        <v>308</v>
      </c>
      <c r="AH13" s="107">
        <v>41983</v>
      </c>
      <c r="AI13" s="108">
        <v>10500</v>
      </c>
      <c r="AJ13" s="71" t="s">
        <v>402</v>
      </c>
    </row>
    <row r="14" spans="1:36" x14ac:dyDescent="0.25">
      <c r="A14" s="10">
        <v>41646</v>
      </c>
      <c r="B14" s="11">
        <v>3000</v>
      </c>
      <c r="C14" s="8" t="s">
        <v>31</v>
      </c>
      <c r="D14" s="28">
        <v>41687</v>
      </c>
      <c r="E14" s="26">
        <v>398</v>
      </c>
      <c r="F14" s="6" t="s">
        <v>46</v>
      </c>
      <c r="G14" s="79">
        <v>41712</v>
      </c>
      <c r="H14" s="80">
        <v>967</v>
      </c>
      <c r="I14" s="82" t="s">
        <v>11</v>
      </c>
      <c r="J14" s="37">
        <v>41736</v>
      </c>
      <c r="K14" s="38">
        <v>34.799999999999997</v>
      </c>
      <c r="L14" s="39" t="s">
        <v>221</v>
      </c>
      <c r="M14" s="45">
        <v>41768</v>
      </c>
      <c r="N14" s="46">
        <v>250</v>
      </c>
      <c r="O14" s="7" t="s">
        <v>79</v>
      </c>
      <c r="P14" s="76">
        <v>41796</v>
      </c>
      <c r="Q14" s="78">
        <v>150</v>
      </c>
      <c r="R14" s="30" t="s">
        <v>122</v>
      </c>
      <c r="S14" s="85">
        <v>41824</v>
      </c>
      <c r="T14" s="86">
        <v>4500</v>
      </c>
      <c r="U14" s="60" t="s">
        <v>159</v>
      </c>
      <c r="V14" s="90">
        <v>41858</v>
      </c>
      <c r="W14" s="91">
        <v>490</v>
      </c>
      <c r="X14" s="43" t="s">
        <v>235</v>
      </c>
      <c r="Y14" s="94">
        <v>41889</v>
      </c>
      <c r="Z14" s="95">
        <v>560</v>
      </c>
      <c r="AA14" s="75" t="s">
        <v>276</v>
      </c>
      <c r="AB14" s="96">
        <v>41919</v>
      </c>
      <c r="AC14" s="97">
        <v>45</v>
      </c>
      <c r="AD14" s="64" t="s">
        <v>312</v>
      </c>
      <c r="AE14" s="102">
        <v>41950</v>
      </c>
      <c r="AF14" s="103">
        <v>950</v>
      </c>
      <c r="AG14" s="67" t="s">
        <v>356</v>
      </c>
      <c r="AH14" s="107">
        <v>41983</v>
      </c>
      <c r="AI14" s="108">
        <v>500</v>
      </c>
      <c r="AJ14" s="71" t="s">
        <v>403</v>
      </c>
    </row>
    <row r="15" spans="1:36" x14ac:dyDescent="0.25">
      <c r="A15" s="10">
        <v>41646</v>
      </c>
      <c r="B15" s="11">
        <v>200</v>
      </c>
      <c r="C15" s="8" t="s">
        <v>202</v>
      </c>
      <c r="D15" s="28">
        <v>41687</v>
      </c>
      <c r="E15" s="26">
        <v>253.7</v>
      </c>
      <c r="F15" s="6" t="s">
        <v>345</v>
      </c>
      <c r="G15" s="79">
        <v>41712</v>
      </c>
      <c r="H15" s="80">
        <v>120</v>
      </c>
      <c r="I15" s="81" t="s">
        <v>227</v>
      </c>
      <c r="J15" s="37">
        <v>41736</v>
      </c>
      <c r="K15" s="38">
        <v>90</v>
      </c>
      <c r="L15" s="39" t="s">
        <v>58</v>
      </c>
      <c r="M15" s="45">
        <v>41767</v>
      </c>
      <c r="N15" s="46">
        <v>478</v>
      </c>
      <c r="O15" s="7" t="s">
        <v>80</v>
      </c>
      <c r="P15" s="76">
        <v>41796</v>
      </c>
      <c r="Q15" s="78">
        <v>315</v>
      </c>
      <c r="R15" s="30" t="s">
        <v>123</v>
      </c>
      <c r="S15" s="85">
        <v>41824</v>
      </c>
      <c r="T15" s="86">
        <v>360</v>
      </c>
      <c r="U15" s="60" t="s">
        <v>160</v>
      </c>
      <c r="V15" s="90">
        <v>41859</v>
      </c>
      <c r="W15" s="91">
        <v>270</v>
      </c>
      <c r="X15" s="43" t="s">
        <v>236</v>
      </c>
      <c r="Y15" s="94">
        <v>41891</v>
      </c>
      <c r="Z15" s="95">
        <v>206.5</v>
      </c>
      <c r="AA15" s="75" t="s">
        <v>277</v>
      </c>
      <c r="AB15" s="96">
        <v>41919</v>
      </c>
      <c r="AC15" s="97">
        <v>1600</v>
      </c>
      <c r="AD15" s="64" t="s">
        <v>313</v>
      </c>
      <c r="AE15" s="102">
        <v>41950</v>
      </c>
      <c r="AF15" s="103">
        <v>625</v>
      </c>
      <c r="AG15" s="67" t="s">
        <v>357</v>
      </c>
      <c r="AH15" s="107">
        <v>41983</v>
      </c>
      <c r="AI15" s="108">
        <v>816</v>
      </c>
      <c r="AJ15" s="71" t="s">
        <v>404</v>
      </c>
    </row>
    <row r="16" spans="1:36" x14ac:dyDescent="0.25">
      <c r="A16" s="10">
        <v>41646</v>
      </c>
      <c r="B16" s="11">
        <v>150.4</v>
      </c>
      <c r="C16" s="8" t="s">
        <v>32</v>
      </c>
      <c r="D16" s="28">
        <v>41687</v>
      </c>
      <c r="E16" s="26">
        <v>408</v>
      </c>
      <c r="F16" s="6" t="s">
        <v>47</v>
      </c>
      <c r="G16" s="79">
        <v>41712</v>
      </c>
      <c r="H16" s="80">
        <v>25.21</v>
      </c>
      <c r="I16" s="81" t="s">
        <v>25</v>
      </c>
      <c r="J16" s="37">
        <v>41739</v>
      </c>
      <c r="K16" s="38">
        <v>330</v>
      </c>
      <c r="L16" s="39" t="s">
        <v>60</v>
      </c>
      <c r="M16" s="45">
        <v>41768</v>
      </c>
      <c r="N16" s="46">
        <v>335</v>
      </c>
      <c r="O16" s="7" t="s">
        <v>77</v>
      </c>
      <c r="P16" s="76">
        <v>41796</v>
      </c>
      <c r="Q16" s="78">
        <v>400</v>
      </c>
      <c r="R16" s="30" t="s">
        <v>124</v>
      </c>
      <c r="S16" s="85">
        <v>41827</v>
      </c>
      <c r="T16" s="86">
        <v>34.799999999999997</v>
      </c>
      <c r="U16" s="60" t="s">
        <v>256</v>
      </c>
      <c r="V16" s="90">
        <v>41859</v>
      </c>
      <c r="W16" s="91">
        <v>46.5</v>
      </c>
      <c r="X16" s="43" t="s">
        <v>237</v>
      </c>
      <c r="Y16" s="94">
        <v>41891</v>
      </c>
      <c r="Z16" s="95">
        <v>940</v>
      </c>
      <c r="AA16" s="75" t="s">
        <v>299</v>
      </c>
      <c r="AB16" s="96">
        <v>41919</v>
      </c>
      <c r="AC16" s="97">
        <v>596.79999999999995</v>
      </c>
      <c r="AD16" s="64" t="s">
        <v>314</v>
      </c>
      <c r="AE16" s="102">
        <v>41953</v>
      </c>
      <c r="AF16" s="103">
        <v>150</v>
      </c>
      <c r="AG16" s="67" t="s">
        <v>358</v>
      </c>
      <c r="AH16" s="107">
        <v>41985</v>
      </c>
      <c r="AI16" s="108">
        <v>100</v>
      </c>
      <c r="AJ16" s="71" t="s">
        <v>405</v>
      </c>
    </row>
    <row r="17" spans="1:36" x14ac:dyDescent="0.25">
      <c r="A17" s="10">
        <v>41647</v>
      </c>
      <c r="B17" s="11">
        <v>120</v>
      </c>
      <c r="C17" s="8" t="s">
        <v>335</v>
      </c>
      <c r="D17" s="28">
        <v>41687</v>
      </c>
      <c r="E17" s="26">
        <v>90</v>
      </c>
      <c r="F17" s="6" t="s">
        <v>211</v>
      </c>
      <c r="G17" s="79">
        <v>41712</v>
      </c>
      <c r="H17" s="80">
        <v>25.21</v>
      </c>
      <c r="I17" s="81" t="s">
        <v>25</v>
      </c>
      <c r="J17" s="37">
        <v>41739</v>
      </c>
      <c r="K17" s="38">
        <v>500</v>
      </c>
      <c r="L17" s="39" t="s">
        <v>61</v>
      </c>
      <c r="M17" s="45">
        <v>41768</v>
      </c>
      <c r="N17" s="46">
        <v>400</v>
      </c>
      <c r="O17" s="7" t="s">
        <v>74</v>
      </c>
      <c r="P17" s="76">
        <v>41799</v>
      </c>
      <c r="Q17" s="78">
        <v>34.799999999999997</v>
      </c>
      <c r="R17" s="30" t="s">
        <v>256</v>
      </c>
      <c r="S17" s="85">
        <v>41827</v>
      </c>
      <c r="T17" s="86">
        <v>149</v>
      </c>
      <c r="U17" s="60" t="s">
        <v>162</v>
      </c>
      <c r="V17" s="90">
        <v>41859</v>
      </c>
      <c r="W17" s="91">
        <v>400</v>
      </c>
      <c r="X17" s="43" t="s">
        <v>230</v>
      </c>
      <c r="Y17" s="94">
        <v>41892</v>
      </c>
      <c r="Z17" s="95">
        <v>90</v>
      </c>
      <c r="AA17" s="75" t="s">
        <v>278</v>
      </c>
      <c r="AB17" s="96">
        <v>41920</v>
      </c>
      <c r="AC17" s="97">
        <v>60</v>
      </c>
      <c r="AD17" s="64" t="s">
        <v>315</v>
      </c>
      <c r="AE17" s="102">
        <v>41953</v>
      </c>
      <c r="AF17" s="103">
        <v>190.5</v>
      </c>
      <c r="AG17" s="67" t="s">
        <v>359</v>
      </c>
      <c r="AH17" s="107">
        <v>41985</v>
      </c>
      <c r="AI17" s="108">
        <v>18250</v>
      </c>
      <c r="AJ17" s="71" t="s">
        <v>406</v>
      </c>
    </row>
    <row r="18" spans="1:36" x14ac:dyDescent="0.25">
      <c r="A18" s="10">
        <v>41649</v>
      </c>
      <c r="B18" s="11">
        <v>786</v>
      </c>
      <c r="C18" s="8" t="s">
        <v>203</v>
      </c>
      <c r="D18" s="28">
        <v>41688</v>
      </c>
      <c r="E18" s="26">
        <v>1600</v>
      </c>
      <c r="F18" s="6" t="s">
        <v>180</v>
      </c>
      <c r="G18" s="79">
        <v>41712</v>
      </c>
      <c r="H18" s="80">
        <v>34.799999999999997</v>
      </c>
      <c r="I18" s="81" t="s">
        <v>27</v>
      </c>
      <c r="J18" s="37">
        <v>41740</v>
      </c>
      <c r="K18" s="38">
        <v>786</v>
      </c>
      <c r="L18" s="39" t="s">
        <v>215</v>
      </c>
      <c r="M18" s="45">
        <v>41768</v>
      </c>
      <c r="N18" s="46">
        <v>120</v>
      </c>
      <c r="O18" s="7" t="s">
        <v>81</v>
      </c>
      <c r="P18" s="76">
        <v>41799</v>
      </c>
      <c r="Q18" s="77">
        <v>2086.3000000000002</v>
      </c>
      <c r="R18" s="30" t="s">
        <v>125</v>
      </c>
      <c r="S18" s="85">
        <v>41828</v>
      </c>
      <c r="T18" s="86">
        <v>1210</v>
      </c>
      <c r="U18" s="60" t="s">
        <v>163</v>
      </c>
      <c r="V18" s="90">
        <v>41862</v>
      </c>
      <c r="W18" s="91">
        <v>90</v>
      </c>
      <c r="X18" s="43" t="s">
        <v>238</v>
      </c>
      <c r="Y18" s="94">
        <v>41892</v>
      </c>
      <c r="Z18" s="95">
        <v>346</v>
      </c>
      <c r="AA18" s="75" t="s">
        <v>279</v>
      </c>
      <c r="AB18" s="96">
        <v>41921</v>
      </c>
      <c r="AC18" s="97">
        <v>1050</v>
      </c>
      <c r="AD18" s="64" t="s">
        <v>316</v>
      </c>
      <c r="AE18" s="102">
        <v>41953</v>
      </c>
      <c r="AF18" s="103">
        <v>120</v>
      </c>
      <c r="AG18" s="67" t="s">
        <v>360</v>
      </c>
      <c r="AH18" s="107">
        <v>41985</v>
      </c>
      <c r="AI18" s="108">
        <v>500</v>
      </c>
      <c r="AJ18" s="71" t="s">
        <v>308</v>
      </c>
    </row>
    <row r="19" spans="1:36" x14ac:dyDescent="0.25">
      <c r="A19" s="10">
        <v>41650</v>
      </c>
      <c r="B19" s="11">
        <v>365.01</v>
      </c>
      <c r="C19" s="8" t="s">
        <v>204</v>
      </c>
      <c r="D19" s="28">
        <v>41689</v>
      </c>
      <c r="E19" s="26">
        <v>400</v>
      </c>
      <c r="F19" s="6" t="s">
        <v>158</v>
      </c>
      <c r="G19" s="79">
        <v>41713</v>
      </c>
      <c r="H19" s="80">
        <v>3200</v>
      </c>
      <c r="I19" s="81" t="s">
        <v>13</v>
      </c>
      <c r="J19" s="37">
        <v>41740</v>
      </c>
      <c r="K19" s="38">
        <v>400</v>
      </c>
      <c r="L19" s="39" t="s">
        <v>158</v>
      </c>
      <c r="M19" s="45">
        <v>41768</v>
      </c>
      <c r="N19" s="46">
        <v>1200</v>
      </c>
      <c r="O19" s="7" t="s">
        <v>83</v>
      </c>
      <c r="P19" s="76">
        <v>41800</v>
      </c>
      <c r="Q19" s="78">
        <v>400</v>
      </c>
      <c r="R19" s="30" t="s">
        <v>126</v>
      </c>
      <c r="S19" s="85">
        <v>41829</v>
      </c>
      <c r="T19" s="86">
        <v>90</v>
      </c>
      <c r="U19" s="60" t="s">
        <v>151</v>
      </c>
      <c r="V19" s="90">
        <v>41864</v>
      </c>
      <c r="W19" s="91">
        <v>5000</v>
      </c>
      <c r="X19" s="43" t="s">
        <v>239</v>
      </c>
      <c r="Y19" s="94">
        <v>41894</v>
      </c>
      <c r="Z19" s="95">
        <v>80</v>
      </c>
      <c r="AA19" s="75" t="s">
        <v>280</v>
      </c>
      <c r="AB19" s="96">
        <v>41922</v>
      </c>
      <c r="AC19" s="97">
        <v>100</v>
      </c>
      <c r="AD19" s="64" t="s">
        <v>317</v>
      </c>
      <c r="AE19" s="102">
        <v>41954</v>
      </c>
      <c r="AF19" s="103">
        <v>5400</v>
      </c>
      <c r="AG19" s="67" t="s">
        <v>361</v>
      </c>
      <c r="AH19" s="107">
        <v>41987</v>
      </c>
      <c r="AI19" s="108">
        <v>3500</v>
      </c>
      <c r="AJ19" s="71" t="s">
        <v>407</v>
      </c>
    </row>
    <row r="20" spans="1:36" x14ac:dyDescent="0.25">
      <c r="A20" s="10">
        <v>41651</v>
      </c>
      <c r="B20" s="11">
        <v>90</v>
      </c>
      <c r="C20" s="8" t="s">
        <v>188</v>
      </c>
      <c r="D20" s="28">
        <v>41690</v>
      </c>
      <c r="E20" s="26">
        <v>2810</v>
      </c>
      <c r="F20" s="6" t="s">
        <v>48</v>
      </c>
      <c r="G20" s="79">
        <v>41714</v>
      </c>
      <c r="H20" s="80">
        <v>27900</v>
      </c>
      <c r="I20" s="83" t="s">
        <v>226</v>
      </c>
      <c r="J20" s="37">
        <v>41740</v>
      </c>
      <c r="K20" s="38">
        <v>19.399999999999999</v>
      </c>
      <c r="L20" s="39" t="s">
        <v>18</v>
      </c>
      <c r="M20" s="45">
        <v>41769</v>
      </c>
      <c r="N20" s="46">
        <v>3000</v>
      </c>
      <c r="O20" s="7" t="s">
        <v>88</v>
      </c>
      <c r="P20" s="76">
        <v>41802</v>
      </c>
      <c r="Q20" s="78">
        <v>120</v>
      </c>
      <c r="R20" s="30" t="s">
        <v>127</v>
      </c>
      <c r="S20" s="85">
        <v>41830</v>
      </c>
      <c r="T20" s="86">
        <v>108</v>
      </c>
      <c r="U20" s="60" t="s">
        <v>164</v>
      </c>
      <c r="V20" s="90">
        <v>41864</v>
      </c>
      <c r="W20" s="91">
        <v>400</v>
      </c>
      <c r="X20" s="43" t="s">
        <v>240</v>
      </c>
      <c r="Y20" s="94">
        <v>41894</v>
      </c>
      <c r="Z20" s="95">
        <v>600</v>
      </c>
      <c r="AA20" s="75" t="s">
        <v>281</v>
      </c>
      <c r="AB20" s="96">
        <v>41922</v>
      </c>
      <c r="AC20" s="97">
        <v>400</v>
      </c>
      <c r="AD20" s="64" t="s">
        <v>308</v>
      </c>
      <c r="AE20" s="102">
        <v>41957</v>
      </c>
      <c r="AF20" s="103">
        <v>400</v>
      </c>
      <c r="AG20" s="67" t="s">
        <v>308</v>
      </c>
      <c r="AH20" s="107">
        <v>41988</v>
      </c>
      <c r="AI20" s="108">
        <v>60</v>
      </c>
      <c r="AJ20" s="71" t="s">
        <v>177</v>
      </c>
    </row>
    <row r="21" spans="1:36" x14ac:dyDescent="0.25">
      <c r="A21" s="10">
        <v>41653</v>
      </c>
      <c r="B21" s="11">
        <v>100</v>
      </c>
      <c r="C21" s="8" t="s">
        <v>34</v>
      </c>
      <c r="D21" s="28">
        <v>41690</v>
      </c>
      <c r="E21" s="26">
        <v>189.6</v>
      </c>
      <c r="F21" s="6" t="s">
        <v>47</v>
      </c>
      <c r="G21" s="79">
        <v>41715</v>
      </c>
      <c r="H21" s="79">
        <v>1882</v>
      </c>
      <c r="I21" s="81" t="s">
        <v>14</v>
      </c>
      <c r="J21" s="37">
        <v>41741</v>
      </c>
      <c r="K21" s="38">
        <v>6200</v>
      </c>
      <c r="L21" s="39" t="s">
        <v>62</v>
      </c>
      <c r="M21" s="45">
        <v>41769</v>
      </c>
      <c r="N21" s="46">
        <v>3500</v>
      </c>
      <c r="O21" s="7" t="s">
        <v>88</v>
      </c>
      <c r="P21" s="76">
        <v>41802</v>
      </c>
      <c r="Q21" s="77">
        <v>2083</v>
      </c>
      <c r="R21" s="30" t="s">
        <v>129</v>
      </c>
      <c r="S21" s="85">
        <v>41830</v>
      </c>
      <c r="T21" s="86">
        <v>2469.08</v>
      </c>
      <c r="U21" s="60" t="s">
        <v>165</v>
      </c>
      <c r="V21" s="90">
        <v>41864</v>
      </c>
      <c r="W21" s="91">
        <v>2597.9899999999998</v>
      </c>
      <c r="X21" s="43" t="s">
        <v>247</v>
      </c>
      <c r="Y21" s="94">
        <v>41895</v>
      </c>
      <c r="Z21" s="95">
        <v>42</v>
      </c>
      <c r="AA21" s="75" t="s">
        <v>282</v>
      </c>
      <c r="AB21" s="96">
        <v>41923</v>
      </c>
      <c r="AC21" s="97">
        <v>5000</v>
      </c>
      <c r="AD21" s="64" t="s">
        <v>318</v>
      </c>
      <c r="AE21" s="102">
        <v>41957</v>
      </c>
      <c r="AF21" s="103">
        <v>2000</v>
      </c>
      <c r="AG21" s="67" t="s">
        <v>371</v>
      </c>
      <c r="AH21" s="107">
        <v>41988</v>
      </c>
      <c r="AI21" s="108">
        <v>27900</v>
      </c>
      <c r="AJ21" s="71" t="s">
        <v>411</v>
      </c>
    </row>
    <row r="22" spans="1:36" x14ac:dyDescent="0.25">
      <c r="A22" s="10">
        <v>41654</v>
      </c>
      <c r="B22" s="11">
        <v>3200</v>
      </c>
      <c r="C22" s="8" t="s">
        <v>35</v>
      </c>
      <c r="D22" s="28">
        <v>41690</v>
      </c>
      <c r="E22" s="26">
        <v>1000</v>
      </c>
      <c r="F22" s="6" t="s">
        <v>22</v>
      </c>
      <c r="G22" s="79">
        <v>41715</v>
      </c>
      <c r="H22" s="80">
        <v>200</v>
      </c>
      <c r="I22" s="81" t="s">
        <v>15</v>
      </c>
      <c r="J22" s="37">
        <v>41741</v>
      </c>
      <c r="K22" s="38">
        <v>235</v>
      </c>
      <c r="L22" s="39" t="s">
        <v>63</v>
      </c>
      <c r="M22" s="45">
        <v>41770</v>
      </c>
      <c r="N22" s="46">
        <v>650</v>
      </c>
      <c r="O22" s="7" t="s">
        <v>85</v>
      </c>
      <c r="P22" s="76">
        <v>41803</v>
      </c>
      <c r="Q22" s="78">
        <v>700</v>
      </c>
      <c r="R22" s="30" t="s">
        <v>130</v>
      </c>
      <c r="S22" s="85">
        <v>41831</v>
      </c>
      <c r="T22" s="86">
        <v>700</v>
      </c>
      <c r="U22" s="60" t="s">
        <v>166</v>
      </c>
      <c r="V22" s="90">
        <v>41865</v>
      </c>
      <c r="W22" s="91">
        <v>250</v>
      </c>
      <c r="X22" s="43" t="s">
        <v>241</v>
      </c>
      <c r="Y22" s="94">
        <v>41895</v>
      </c>
      <c r="Z22" s="95">
        <v>225</v>
      </c>
      <c r="AA22" s="75" t="s">
        <v>283</v>
      </c>
      <c r="AB22" s="96">
        <v>41923</v>
      </c>
      <c r="AC22" s="97">
        <v>250</v>
      </c>
      <c r="AD22" s="64" t="s">
        <v>319</v>
      </c>
      <c r="AE22" s="102">
        <v>41958</v>
      </c>
      <c r="AF22" s="103">
        <v>3200</v>
      </c>
      <c r="AG22" s="67" t="s">
        <v>364</v>
      </c>
      <c r="AH22" s="107">
        <v>41988</v>
      </c>
      <c r="AI22" s="108">
        <v>3200</v>
      </c>
      <c r="AJ22" s="71" t="s">
        <v>412</v>
      </c>
    </row>
    <row r="23" spans="1:36" x14ac:dyDescent="0.25">
      <c r="A23" s="10">
        <v>41654</v>
      </c>
      <c r="B23" s="11">
        <v>240</v>
      </c>
      <c r="C23" s="8" t="s">
        <v>33</v>
      </c>
      <c r="D23" s="28">
        <v>41690</v>
      </c>
      <c r="E23" s="26">
        <v>331.3</v>
      </c>
      <c r="F23" s="6" t="s">
        <v>49</v>
      </c>
      <c r="G23" s="79">
        <v>41718</v>
      </c>
      <c r="H23" s="80">
        <v>700</v>
      </c>
      <c r="I23" s="82" t="s">
        <v>16</v>
      </c>
      <c r="J23" s="37">
        <v>41742</v>
      </c>
      <c r="K23" s="38">
        <v>462</v>
      </c>
      <c r="L23" s="39" t="s">
        <v>65</v>
      </c>
      <c r="M23" s="45">
        <v>41770</v>
      </c>
      <c r="N23" s="46">
        <v>3000</v>
      </c>
      <c r="O23" s="7" t="s">
        <v>84</v>
      </c>
      <c r="P23" s="76">
        <v>41802</v>
      </c>
      <c r="Q23" s="78">
        <v>800</v>
      </c>
      <c r="R23" s="30" t="s">
        <v>131</v>
      </c>
      <c r="S23" s="85">
        <v>41831</v>
      </c>
      <c r="T23" s="86">
        <v>400</v>
      </c>
      <c r="U23" s="60" t="s">
        <v>158</v>
      </c>
      <c r="V23" s="90">
        <v>41865</v>
      </c>
      <c r="W23" s="91">
        <v>497.23</v>
      </c>
      <c r="X23" s="43" t="s">
        <v>242</v>
      </c>
      <c r="Y23" s="94">
        <v>41895</v>
      </c>
      <c r="Z23" s="95">
        <v>500</v>
      </c>
      <c r="AA23" s="75" t="s">
        <v>275</v>
      </c>
      <c r="AB23" s="96">
        <v>41925</v>
      </c>
      <c r="AC23" s="97">
        <v>30</v>
      </c>
      <c r="AD23" s="64" t="s">
        <v>320</v>
      </c>
      <c r="AE23" s="102">
        <v>41958</v>
      </c>
      <c r="AF23" s="103">
        <v>200</v>
      </c>
      <c r="AG23" s="67" t="s">
        <v>362</v>
      </c>
      <c r="AH23" s="107">
        <v>41988</v>
      </c>
      <c r="AI23" s="108">
        <v>3200</v>
      </c>
      <c r="AJ23" s="71" t="s">
        <v>413</v>
      </c>
    </row>
    <row r="24" spans="1:36" x14ac:dyDescent="0.25">
      <c r="A24" s="10">
        <v>41654</v>
      </c>
      <c r="B24" s="11">
        <v>27900</v>
      </c>
      <c r="C24" s="88" t="s">
        <v>207</v>
      </c>
      <c r="D24" s="28">
        <v>41690</v>
      </c>
      <c r="E24" s="26">
        <v>300</v>
      </c>
      <c r="F24" s="6" t="s">
        <v>50</v>
      </c>
      <c r="G24" s="79">
        <v>41718</v>
      </c>
      <c r="H24" s="80">
        <v>322</v>
      </c>
      <c r="I24" s="81" t="s">
        <v>6</v>
      </c>
      <c r="J24" s="37">
        <v>41743</v>
      </c>
      <c r="K24" s="38">
        <v>90</v>
      </c>
      <c r="L24" s="39" t="s">
        <v>210</v>
      </c>
      <c r="M24" s="45">
        <v>41772</v>
      </c>
      <c r="N24" s="46">
        <v>373.9</v>
      </c>
      <c r="O24" s="7" t="s">
        <v>86</v>
      </c>
      <c r="P24" s="76">
        <v>41803</v>
      </c>
      <c r="Q24" s="77">
        <v>27900</v>
      </c>
      <c r="R24" s="30" t="s">
        <v>132</v>
      </c>
      <c r="S24" s="85">
        <v>41831</v>
      </c>
      <c r="T24" s="86">
        <v>3700</v>
      </c>
      <c r="U24" s="60" t="s">
        <v>167</v>
      </c>
      <c r="V24" s="90">
        <v>41866</v>
      </c>
      <c r="W24" s="91">
        <v>1000</v>
      </c>
      <c r="X24" s="92" t="s">
        <v>244</v>
      </c>
      <c r="Y24" s="94">
        <v>41896</v>
      </c>
      <c r="Z24" s="95">
        <v>400</v>
      </c>
      <c r="AA24" s="75" t="s">
        <v>284</v>
      </c>
      <c r="AB24" s="96">
        <v>41927</v>
      </c>
      <c r="AC24" s="97">
        <v>27900</v>
      </c>
      <c r="AD24" s="64" t="s">
        <v>322</v>
      </c>
      <c r="AE24" s="102">
        <v>41959</v>
      </c>
      <c r="AF24" s="103">
        <v>27900</v>
      </c>
      <c r="AG24" s="67" t="s">
        <v>363</v>
      </c>
      <c r="AH24" s="107">
        <v>41989</v>
      </c>
      <c r="AI24" s="108">
        <v>300</v>
      </c>
      <c r="AJ24" s="71" t="s">
        <v>408</v>
      </c>
    </row>
    <row r="25" spans="1:36" x14ac:dyDescent="0.25">
      <c r="A25" s="10">
        <v>41655</v>
      </c>
      <c r="B25" s="11">
        <v>200</v>
      </c>
      <c r="C25" s="8" t="s">
        <v>34</v>
      </c>
      <c r="D25" s="28">
        <v>41691</v>
      </c>
      <c r="E25" s="26">
        <v>135</v>
      </c>
      <c r="F25" s="6" t="s">
        <v>51</v>
      </c>
      <c r="G25" s="79">
        <v>41719</v>
      </c>
      <c r="H25" s="80">
        <v>400</v>
      </c>
      <c r="I25" s="81" t="s">
        <v>17</v>
      </c>
      <c r="J25" s="37">
        <v>41743</v>
      </c>
      <c r="K25" s="38">
        <v>600</v>
      </c>
      <c r="L25" s="39" t="s">
        <v>24</v>
      </c>
      <c r="M25" s="45">
        <v>41772</v>
      </c>
      <c r="N25" s="46">
        <v>1529</v>
      </c>
      <c r="O25" s="7" t="s">
        <v>87</v>
      </c>
      <c r="P25" s="76">
        <v>41803</v>
      </c>
      <c r="Q25" s="78">
        <v>400</v>
      </c>
      <c r="R25" s="30" t="s">
        <v>124</v>
      </c>
      <c r="S25" s="85">
        <v>41831</v>
      </c>
      <c r="T25" s="86">
        <v>600</v>
      </c>
      <c r="U25" s="60" t="s">
        <v>168</v>
      </c>
      <c r="V25" s="90">
        <v>41866</v>
      </c>
      <c r="W25" s="91">
        <v>1600</v>
      </c>
      <c r="X25" s="93" t="s">
        <v>265</v>
      </c>
      <c r="Y25" s="94">
        <v>41896</v>
      </c>
      <c r="Z25" s="95">
        <v>400</v>
      </c>
      <c r="AA25" s="75" t="s">
        <v>285</v>
      </c>
      <c r="AB25" s="96">
        <v>41927</v>
      </c>
      <c r="AC25" s="97">
        <v>3200</v>
      </c>
      <c r="AD25" s="64" t="s">
        <v>323</v>
      </c>
      <c r="AE25" s="102">
        <v>41960</v>
      </c>
      <c r="AF25" s="103">
        <v>300</v>
      </c>
      <c r="AG25" s="67" t="s">
        <v>365</v>
      </c>
      <c r="AH25" s="107">
        <v>41989</v>
      </c>
      <c r="AI25" s="108">
        <v>1100</v>
      </c>
      <c r="AJ25" s="71" t="s">
        <v>409</v>
      </c>
    </row>
    <row r="26" spans="1:36" x14ac:dyDescent="0.25">
      <c r="A26" s="10">
        <v>41655</v>
      </c>
      <c r="B26" s="11">
        <v>150</v>
      </c>
      <c r="C26" s="8" t="s">
        <v>36</v>
      </c>
      <c r="D26" s="28">
        <v>41694</v>
      </c>
      <c r="E26" s="26">
        <v>22</v>
      </c>
      <c r="F26" s="6" t="s">
        <v>20</v>
      </c>
      <c r="G26" s="79">
        <v>41719</v>
      </c>
      <c r="H26" s="80">
        <v>1600</v>
      </c>
      <c r="I26" s="83" t="s">
        <v>179</v>
      </c>
      <c r="J26" s="37">
        <v>41744</v>
      </c>
      <c r="K26" s="38">
        <v>3200</v>
      </c>
      <c r="L26" s="39" t="s">
        <v>66</v>
      </c>
      <c r="M26" s="45">
        <v>41772</v>
      </c>
      <c r="N26" s="46">
        <v>3000</v>
      </c>
      <c r="O26" s="7" t="s">
        <v>89</v>
      </c>
      <c r="P26" s="76">
        <v>41804</v>
      </c>
      <c r="Q26" s="78">
        <v>50</v>
      </c>
      <c r="R26" s="30" t="s">
        <v>133</v>
      </c>
      <c r="S26" s="85">
        <v>41834</v>
      </c>
      <c r="T26" s="86">
        <v>400</v>
      </c>
      <c r="U26" s="60" t="s">
        <v>174</v>
      </c>
      <c r="V26" s="90">
        <v>41866</v>
      </c>
      <c r="W26" s="91">
        <v>400</v>
      </c>
      <c r="X26" s="43" t="s">
        <v>230</v>
      </c>
      <c r="Y26" s="94">
        <v>41897</v>
      </c>
      <c r="Z26" s="95">
        <v>500</v>
      </c>
      <c r="AA26" s="75" t="s">
        <v>286</v>
      </c>
      <c r="AB26" s="96">
        <v>41929</v>
      </c>
      <c r="AC26" s="97">
        <v>644</v>
      </c>
      <c r="AD26" s="64" t="s">
        <v>324</v>
      </c>
      <c r="AE26" s="102">
        <v>41960</v>
      </c>
      <c r="AF26" s="103">
        <v>30</v>
      </c>
      <c r="AG26" s="67" t="s">
        <v>366</v>
      </c>
      <c r="AH26" s="107">
        <v>41989</v>
      </c>
      <c r="AI26" s="108">
        <v>300</v>
      </c>
      <c r="AJ26" s="71" t="s">
        <v>414</v>
      </c>
    </row>
    <row r="27" spans="1:36" x14ac:dyDescent="0.25">
      <c r="A27" s="10">
        <v>41658</v>
      </c>
      <c r="B27" s="11">
        <v>415.55</v>
      </c>
      <c r="C27" s="8" t="s">
        <v>37</v>
      </c>
      <c r="D27" s="28">
        <v>41695</v>
      </c>
      <c r="E27" s="26">
        <v>34.799999999999997</v>
      </c>
      <c r="F27" s="6" t="s">
        <v>343</v>
      </c>
      <c r="G27" s="79">
        <v>41719</v>
      </c>
      <c r="H27" s="80">
        <v>3600</v>
      </c>
      <c r="I27" s="81" t="s">
        <v>8</v>
      </c>
      <c r="J27" s="37">
        <v>41744</v>
      </c>
      <c r="K27" s="38">
        <v>27900</v>
      </c>
      <c r="L27" s="39" t="s">
        <v>219</v>
      </c>
      <c r="M27" s="45">
        <v>41772</v>
      </c>
      <c r="N27" s="46">
        <v>500</v>
      </c>
      <c r="O27" s="7" t="s">
        <v>90</v>
      </c>
      <c r="P27" s="76">
        <v>41805</v>
      </c>
      <c r="Q27" s="77">
        <v>2628.8</v>
      </c>
      <c r="R27" s="30" t="s">
        <v>125</v>
      </c>
      <c r="S27" s="85">
        <v>41834</v>
      </c>
      <c r="T27" s="86">
        <v>786</v>
      </c>
      <c r="U27" s="60" t="s">
        <v>190</v>
      </c>
      <c r="V27" s="90">
        <v>41866</v>
      </c>
      <c r="W27" s="91">
        <v>3200</v>
      </c>
      <c r="X27" s="43" t="s">
        <v>248</v>
      </c>
      <c r="Y27" s="94">
        <v>41897</v>
      </c>
      <c r="Z27" s="95">
        <v>3200</v>
      </c>
      <c r="AA27" s="75" t="s">
        <v>287</v>
      </c>
      <c r="AB27" s="96">
        <v>41929</v>
      </c>
      <c r="AC27" s="97">
        <v>400</v>
      </c>
      <c r="AD27" s="64" t="s">
        <v>308</v>
      </c>
      <c r="AE27" s="102">
        <v>41961</v>
      </c>
      <c r="AF27" s="103">
        <v>690</v>
      </c>
      <c r="AG27" s="67" t="s">
        <v>367</v>
      </c>
      <c r="AH27" s="107">
        <v>41990</v>
      </c>
      <c r="AI27" s="108">
        <v>4000</v>
      </c>
      <c r="AJ27" s="71" t="s">
        <v>410</v>
      </c>
    </row>
    <row r="28" spans="1:36" x14ac:dyDescent="0.25">
      <c r="A28" s="10">
        <v>41659</v>
      </c>
      <c r="B28" s="11">
        <v>60</v>
      </c>
      <c r="C28" s="8" t="s">
        <v>205</v>
      </c>
      <c r="D28" s="28">
        <v>41696</v>
      </c>
      <c r="E28" s="26">
        <v>700</v>
      </c>
      <c r="F28" s="6" t="s">
        <v>341</v>
      </c>
      <c r="G28" s="79">
        <v>41720</v>
      </c>
      <c r="H28" s="80">
        <v>188.9</v>
      </c>
      <c r="I28" s="81" t="s">
        <v>18</v>
      </c>
      <c r="J28" s="37">
        <v>41745</v>
      </c>
      <c r="K28" s="38">
        <v>3200</v>
      </c>
      <c r="L28" s="39" t="s">
        <v>67</v>
      </c>
      <c r="M28" s="45">
        <v>41773</v>
      </c>
      <c r="N28" s="46">
        <v>4200</v>
      </c>
      <c r="O28" s="7" t="s">
        <v>145</v>
      </c>
      <c r="P28" s="76">
        <v>41805</v>
      </c>
      <c r="Q28" s="77">
        <v>3200</v>
      </c>
      <c r="R28" s="30" t="s">
        <v>136</v>
      </c>
      <c r="S28" s="85">
        <v>41835</v>
      </c>
      <c r="T28" s="86">
        <v>498.02</v>
      </c>
      <c r="U28" s="60" t="s">
        <v>170</v>
      </c>
      <c r="V28" s="90">
        <v>41866</v>
      </c>
      <c r="W28" s="91">
        <v>27900</v>
      </c>
      <c r="X28" s="43" t="s">
        <v>249</v>
      </c>
      <c r="Y28" s="94">
        <v>41897</v>
      </c>
      <c r="Z28" s="95">
        <v>27900</v>
      </c>
      <c r="AA28" s="75" t="s">
        <v>321</v>
      </c>
      <c r="AB28" s="96">
        <v>41932</v>
      </c>
      <c r="AC28" s="97">
        <v>120</v>
      </c>
      <c r="AD28" s="64" t="s">
        <v>220</v>
      </c>
      <c r="AE28" s="102">
        <v>41962</v>
      </c>
      <c r="AF28" s="103">
        <v>60</v>
      </c>
      <c r="AG28" s="67" t="s">
        <v>177</v>
      </c>
      <c r="AH28" s="107">
        <v>41992</v>
      </c>
      <c r="AI28" s="108">
        <v>500</v>
      </c>
      <c r="AJ28" s="71" t="s">
        <v>308</v>
      </c>
    </row>
    <row r="29" spans="1:36" x14ac:dyDescent="0.25">
      <c r="A29" s="10">
        <v>41661</v>
      </c>
      <c r="B29" s="11">
        <v>450</v>
      </c>
      <c r="C29" s="8" t="s">
        <v>336</v>
      </c>
      <c r="D29" s="28">
        <v>41697</v>
      </c>
      <c r="E29" s="26">
        <v>7.5</v>
      </c>
      <c r="F29" s="6" t="s">
        <v>52</v>
      </c>
      <c r="G29" s="79">
        <v>41720</v>
      </c>
      <c r="H29" s="80">
        <v>478</v>
      </c>
      <c r="I29" s="81" t="s">
        <v>18</v>
      </c>
      <c r="J29" s="37">
        <v>41747</v>
      </c>
      <c r="K29" s="38">
        <v>400</v>
      </c>
      <c r="L29" s="39" t="s">
        <v>158</v>
      </c>
      <c r="M29" s="45">
        <v>41773</v>
      </c>
      <c r="N29" s="46">
        <v>90</v>
      </c>
      <c r="O29" s="7" t="s">
        <v>91</v>
      </c>
      <c r="P29" s="76">
        <v>41806</v>
      </c>
      <c r="Q29" s="77">
        <v>300</v>
      </c>
      <c r="R29" s="30" t="s">
        <v>134</v>
      </c>
      <c r="S29" s="85">
        <v>41835</v>
      </c>
      <c r="T29" s="86">
        <v>27900</v>
      </c>
      <c r="U29" s="60" t="s">
        <v>171</v>
      </c>
      <c r="V29" s="90">
        <v>41866</v>
      </c>
      <c r="W29" s="91">
        <v>1050</v>
      </c>
      <c r="X29" s="43" t="s">
        <v>251</v>
      </c>
      <c r="Y29" s="94">
        <v>41898</v>
      </c>
      <c r="Z29" s="95">
        <v>400</v>
      </c>
      <c r="AA29" s="75" t="s">
        <v>288</v>
      </c>
      <c r="AB29" s="96">
        <v>41934</v>
      </c>
      <c r="AC29" s="97">
        <v>8898.2099999999991</v>
      </c>
      <c r="AD29" s="64" t="s">
        <v>325</v>
      </c>
      <c r="AE29" s="102">
        <v>41964</v>
      </c>
      <c r="AF29" s="103">
        <v>400</v>
      </c>
      <c r="AG29" s="67" t="s">
        <v>308</v>
      </c>
      <c r="AH29" s="107">
        <v>41995</v>
      </c>
      <c r="AI29" s="108">
        <v>417.6</v>
      </c>
      <c r="AJ29" s="71" t="s">
        <v>416</v>
      </c>
    </row>
    <row r="30" spans="1:36" x14ac:dyDescent="0.25">
      <c r="A30" s="10">
        <v>41663</v>
      </c>
      <c r="B30" s="11">
        <v>550</v>
      </c>
      <c r="C30" s="8" t="s">
        <v>337</v>
      </c>
      <c r="D30" s="28">
        <v>41698</v>
      </c>
      <c r="E30" s="26">
        <v>27.84</v>
      </c>
      <c r="F30" s="6" t="s">
        <v>43</v>
      </c>
      <c r="G30" s="79">
        <v>41721</v>
      </c>
      <c r="H30" s="80">
        <v>32</v>
      </c>
      <c r="I30" s="83" t="s">
        <v>19</v>
      </c>
      <c r="J30" s="37">
        <v>41749</v>
      </c>
      <c r="K30" s="38">
        <v>54.9</v>
      </c>
      <c r="L30" s="39" t="s">
        <v>18</v>
      </c>
      <c r="M30" s="45">
        <v>41774</v>
      </c>
      <c r="N30" s="46">
        <v>27900</v>
      </c>
      <c r="O30" s="7" t="s">
        <v>92</v>
      </c>
      <c r="P30" s="76">
        <v>41806</v>
      </c>
      <c r="Q30" s="77">
        <v>300</v>
      </c>
      <c r="R30" s="30" t="s">
        <v>135</v>
      </c>
      <c r="S30" s="85">
        <v>41835</v>
      </c>
      <c r="T30" s="86">
        <v>3200</v>
      </c>
      <c r="U30" s="60" t="s">
        <v>172</v>
      </c>
      <c r="V30" s="90">
        <v>41867</v>
      </c>
      <c r="W30" s="91">
        <v>182</v>
      </c>
      <c r="X30" s="43" t="s">
        <v>250</v>
      </c>
      <c r="Y30" s="94">
        <v>41898</v>
      </c>
      <c r="Z30" s="95">
        <v>5500</v>
      </c>
      <c r="AA30" s="75" t="s">
        <v>289</v>
      </c>
      <c r="AB30" s="96">
        <v>41934</v>
      </c>
      <c r="AC30" s="97">
        <v>1138.99</v>
      </c>
      <c r="AD30" s="64" t="s">
        <v>326</v>
      </c>
      <c r="AE30" s="102">
        <v>41964</v>
      </c>
      <c r="AF30" s="103">
        <v>1000</v>
      </c>
      <c r="AG30" s="67" t="s">
        <v>368</v>
      </c>
      <c r="AH30" s="107">
        <v>41996</v>
      </c>
      <c r="AI30" s="108">
        <v>900</v>
      </c>
      <c r="AJ30" s="71" t="s">
        <v>415</v>
      </c>
    </row>
    <row r="31" spans="1:36" x14ac:dyDescent="0.25">
      <c r="A31" s="10">
        <v>41663</v>
      </c>
      <c r="B31" s="11">
        <v>750</v>
      </c>
      <c r="C31" s="8" t="s">
        <v>338</v>
      </c>
      <c r="D31" s="28">
        <v>41698</v>
      </c>
      <c r="E31" s="26">
        <v>3200</v>
      </c>
      <c r="F31" s="6" t="s">
        <v>342</v>
      </c>
      <c r="G31" s="79">
        <v>41723</v>
      </c>
      <c r="H31" s="80">
        <v>1000</v>
      </c>
      <c r="I31" s="83" t="s">
        <v>72</v>
      </c>
      <c r="J31" s="37">
        <v>41750</v>
      </c>
      <c r="K31" s="38">
        <v>1600</v>
      </c>
      <c r="L31" s="39" t="s">
        <v>178</v>
      </c>
      <c r="M31" s="45">
        <v>41774</v>
      </c>
      <c r="N31" s="46">
        <v>900</v>
      </c>
      <c r="O31" s="7" t="s">
        <v>93</v>
      </c>
      <c r="P31" s="76">
        <v>41808</v>
      </c>
      <c r="Q31" s="77">
        <v>90</v>
      </c>
      <c r="R31" s="30" t="s">
        <v>104</v>
      </c>
      <c r="S31" s="85">
        <v>41836</v>
      </c>
      <c r="T31" s="86">
        <v>60</v>
      </c>
      <c r="U31" s="60" t="s">
        <v>173</v>
      </c>
      <c r="V31" s="90">
        <v>41869</v>
      </c>
      <c r="W31" s="91">
        <v>350</v>
      </c>
      <c r="X31" s="43" t="s">
        <v>251</v>
      </c>
      <c r="Y31" s="94">
        <v>41899</v>
      </c>
      <c r="Z31" s="95">
        <v>5000</v>
      </c>
      <c r="AA31" s="75" t="s">
        <v>290</v>
      </c>
      <c r="AB31" s="96">
        <v>41935</v>
      </c>
      <c r="AC31" s="97">
        <v>1000</v>
      </c>
      <c r="AD31" s="64" t="s">
        <v>327</v>
      </c>
      <c r="AE31" s="102">
        <v>41964</v>
      </c>
      <c r="AF31" s="103">
        <v>30</v>
      </c>
      <c r="AG31" s="67" t="s">
        <v>354</v>
      </c>
      <c r="AH31" s="107">
        <v>41996</v>
      </c>
      <c r="AI31" s="108">
        <v>161</v>
      </c>
      <c r="AJ31" s="71" t="s">
        <v>417</v>
      </c>
    </row>
    <row r="32" spans="1:36" x14ac:dyDescent="0.25">
      <c r="A32" s="10">
        <v>41663</v>
      </c>
      <c r="B32" s="11">
        <v>6000</v>
      </c>
      <c r="C32" s="8" t="s">
        <v>339</v>
      </c>
      <c r="D32" s="28">
        <v>41698</v>
      </c>
      <c r="E32" s="26">
        <v>27900</v>
      </c>
      <c r="F32" s="89" t="s">
        <v>225</v>
      </c>
      <c r="G32" s="79">
        <v>41723</v>
      </c>
      <c r="H32" s="80">
        <v>31</v>
      </c>
      <c r="I32" s="81" t="s">
        <v>20</v>
      </c>
      <c r="J32" s="37">
        <v>41750</v>
      </c>
      <c r="K32" s="38">
        <v>350</v>
      </c>
      <c r="L32" s="39" t="s">
        <v>68</v>
      </c>
      <c r="M32" s="45">
        <v>41774</v>
      </c>
      <c r="N32" s="46">
        <v>3200</v>
      </c>
      <c r="O32" s="7" t="s">
        <v>94</v>
      </c>
      <c r="P32" s="76">
        <v>41809</v>
      </c>
      <c r="Q32" s="77">
        <v>500</v>
      </c>
      <c r="R32" s="30" t="s">
        <v>137</v>
      </c>
      <c r="S32" s="85">
        <v>41838</v>
      </c>
      <c r="T32" s="86">
        <v>66</v>
      </c>
      <c r="U32" s="60" t="s">
        <v>175</v>
      </c>
      <c r="V32" s="90">
        <v>41869</v>
      </c>
      <c r="W32" s="91">
        <v>90</v>
      </c>
      <c r="X32" s="43" t="s">
        <v>252</v>
      </c>
      <c r="Y32" s="94">
        <v>41899</v>
      </c>
      <c r="Z32" s="95">
        <v>60</v>
      </c>
      <c r="AA32" s="75" t="s">
        <v>269</v>
      </c>
      <c r="AB32" s="96">
        <v>41935</v>
      </c>
      <c r="AC32" s="97">
        <v>1600</v>
      </c>
      <c r="AD32" s="64" t="s">
        <v>384</v>
      </c>
      <c r="AE32" s="102">
        <v>41964</v>
      </c>
      <c r="AF32" s="103">
        <v>800</v>
      </c>
      <c r="AG32" s="67" t="s">
        <v>370</v>
      </c>
      <c r="AH32" s="107">
        <v>41996</v>
      </c>
      <c r="AI32" s="108">
        <v>3600</v>
      </c>
      <c r="AJ32" s="71" t="s">
        <v>422</v>
      </c>
    </row>
    <row r="33" spans="1:36" x14ac:dyDescent="0.25">
      <c r="A33" s="10">
        <v>41665</v>
      </c>
      <c r="B33" s="11">
        <v>1000</v>
      </c>
      <c r="C33" s="8" t="s">
        <v>38</v>
      </c>
      <c r="D33" s="28">
        <v>41698</v>
      </c>
      <c r="E33" s="26">
        <v>90</v>
      </c>
      <c r="F33" s="6" t="s">
        <v>210</v>
      </c>
      <c r="G33" s="79">
        <v>41724</v>
      </c>
      <c r="H33" s="80">
        <v>200</v>
      </c>
      <c r="I33" s="81" t="s">
        <v>21</v>
      </c>
      <c r="J33" s="37">
        <v>41750</v>
      </c>
      <c r="K33" s="38">
        <v>120</v>
      </c>
      <c r="L33" s="39" t="s">
        <v>220</v>
      </c>
      <c r="M33" s="45">
        <v>41775</v>
      </c>
      <c r="N33" s="46">
        <v>400</v>
      </c>
      <c r="O33" s="7" t="s">
        <v>74</v>
      </c>
      <c r="P33" s="76">
        <v>41810</v>
      </c>
      <c r="Q33" s="77">
        <v>1755</v>
      </c>
      <c r="R33" s="30" t="s">
        <v>138</v>
      </c>
      <c r="S33" s="85">
        <v>41838</v>
      </c>
      <c r="T33" s="86">
        <v>400</v>
      </c>
      <c r="U33" s="60" t="s">
        <v>158</v>
      </c>
      <c r="V33" s="90">
        <v>41871</v>
      </c>
      <c r="W33" s="91">
        <v>426.88</v>
      </c>
      <c r="X33" s="43" t="s">
        <v>253</v>
      </c>
      <c r="Y33" s="94">
        <v>41899</v>
      </c>
      <c r="Z33" s="95">
        <v>4000</v>
      </c>
      <c r="AA33" s="75" t="s">
        <v>291</v>
      </c>
      <c r="AB33" s="96">
        <v>41935</v>
      </c>
      <c r="AC33" s="97">
        <v>3434.01</v>
      </c>
      <c r="AD33" s="64" t="s">
        <v>328</v>
      </c>
      <c r="AE33" s="102">
        <v>41964</v>
      </c>
      <c r="AF33" s="103">
        <v>1461.6</v>
      </c>
      <c r="AG33" s="67" t="s">
        <v>372</v>
      </c>
      <c r="AH33" s="107">
        <v>41997</v>
      </c>
      <c r="AI33" s="108">
        <v>332.4</v>
      </c>
      <c r="AJ33" s="71" t="s">
        <v>418</v>
      </c>
    </row>
    <row r="34" spans="1:36" x14ac:dyDescent="0.25">
      <c r="A34" s="10">
        <v>41666</v>
      </c>
      <c r="B34" s="11">
        <v>60</v>
      </c>
      <c r="C34" s="8" t="s">
        <v>206</v>
      </c>
      <c r="D34" s="28">
        <v>41698</v>
      </c>
      <c r="E34" s="26">
        <v>200</v>
      </c>
      <c r="F34" s="6" t="s">
        <v>34</v>
      </c>
      <c r="G34" s="79">
        <v>41724</v>
      </c>
      <c r="H34" s="80">
        <v>1000</v>
      </c>
      <c r="I34" s="83" t="s">
        <v>22</v>
      </c>
      <c r="J34" s="37">
        <v>41752</v>
      </c>
      <c r="K34" s="38">
        <v>30</v>
      </c>
      <c r="L34" s="39" t="s">
        <v>212</v>
      </c>
      <c r="M34" s="45">
        <v>41775</v>
      </c>
      <c r="N34" s="46">
        <v>200</v>
      </c>
      <c r="O34" s="7" t="s">
        <v>95</v>
      </c>
      <c r="P34" s="76">
        <v>41810</v>
      </c>
      <c r="Q34" s="77">
        <v>150</v>
      </c>
      <c r="R34" s="30" t="s">
        <v>140</v>
      </c>
      <c r="S34" s="85">
        <v>41839</v>
      </c>
      <c r="T34" s="86">
        <v>300</v>
      </c>
      <c r="U34" s="60" t="s">
        <v>157</v>
      </c>
      <c r="V34" s="90">
        <v>41873</v>
      </c>
      <c r="W34" s="91">
        <v>60</v>
      </c>
      <c r="X34" s="43" t="s">
        <v>254</v>
      </c>
      <c r="Y34" s="94">
        <v>41899</v>
      </c>
      <c r="Z34" s="95">
        <v>1600</v>
      </c>
      <c r="AA34" s="75" t="s">
        <v>292</v>
      </c>
      <c r="AB34" s="96">
        <v>41936</v>
      </c>
      <c r="AC34" s="97">
        <v>400</v>
      </c>
      <c r="AD34" s="64" t="s">
        <v>308</v>
      </c>
      <c r="AE34" s="102">
        <v>41964</v>
      </c>
      <c r="AF34" s="103">
        <v>1600</v>
      </c>
      <c r="AG34" s="67" t="s">
        <v>383</v>
      </c>
      <c r="AH34" s="107">
        <v>41997</v>
      </c>
      <c r="AI34" s="108">
        <v>90</v>
      </c>
      <c r="AJ34" s="71" t="s">
        <v>188</v>
      </c>
    </row>
    <row r="35" spans="1:36" x14ac:dyDescent="0.25">
      <c r="A35" s="10">
        <v>41669</v>
      </c>
      <c r="B35" s="11">
        <v>328</v>
      </c>
      <c r="C35" s="8" t="s">
        <v>39</v>
      </c>
      <c r="D35" s="28">
        <v>41698</v>
      </c>
      <c r="E35" s="26">
        <v>435</v>
      </c>
      <c r="F35" s="6" t="s">
        <v>53</v>
      </c>
      <c r="G35" s="79">
        <v>41724</v>
      </c>
      <c r="H35" s="80">
        <v>120</v>
      </c>
      <c r="I35" s="81" t="s">
        <v>5</v>
      </c>
      <c r="J35" s="37">
        <v>41752</v>
      </c>
      <c r="K35" s="38">
        <v>250</v>
      </c>
      <c r="L35" s="39" t="s">
        <v>69</v>
      </c>
      <c r="M35" s="45">
        <v>41776</v>
      </c>
      <c r="N35" s="46">
        <v>3000</v>
      </c>
      <c r="O35" s="7" t="s">
        <v>88</v>
      </c>
      <c r="P35" s="76">
        <v>41810</v>
      </c>
      <c r="Q35" s="77">
        <v>91</v>
      </c>
      <c r="R35" s="30" t="s">
        <v>139</v>
      </c>
      <c r="S35" s="85">
        <v>41839</v>
      </c>
      <c r="T35" s="86">
        <v>300</v>
      </c>
      <c r="U35" s="60" t="s">
        <v>176</v>
      </c>
      <c r="V35" s="90">
        <v>41873</v>
      </c>
      <c r="W35" s="91">
        <v>400</v>
      </c>
      <c r="X35" s="43" t="s">
        <v>230</v>
      </c>
      <c r="Y35" s="94">
        <v>41900</v>
      </c>
      <c r="Z35" s="95">
        <v>750</v>
      </c>
      <c r="AA35" s="75" t="s">
        <v>294</v>
      </c>
      <c r="AB35" s="96">
        <v>41936</v>
      </c>
      <c r="AC35" s="97">
        <v>750</v>
      </c>
      <c r="AD35" s="64" t="s">
        <v>329</v>
      </c>
      <c r="AE35" s="102">
        <v>41965</v>
      </c>
      <c r="AF35" s="103">
        <v>500</v>
      </c>
      <c r="AG35" s="67" t="s">
        <v>373</v>
      </c>
      <c r="AH35" s="107">
        <v>41997</v>
      </c>
      <c r="AI35" s="108">
        <v>200</v>
      </c>
      <c r="AJ35" s="71" t="s">
        <v>420</v>
      </c>
    </row>
    <row r="36" spans="1:36" x14ac:dyDescent="0.25">
      <c r="A36" s="10">
        <v>41670</v>
      </c>
      <c r="B36" s="11">
        <v>27.84</v>
      </c>
      <c r="C36" s="8" t="s">
        <v>40</v>
      </c>
      <c r="D36" s="5"/>
      <c r="E36" s="26"/>
      <c r="F36" s="6"/>
      <c r="G36" s="79">
        <v>41725</v>
      </c>
      <c r="H36" s="80">
        <v>135</v>
      </c>
      <c r="I36" s="81" t="s">
        <v>6</v>
      </c>
      <c r="J36" s="37">
        <v>41752</v>
      </c>
      <c r="K36" s="38">
        <v>1013.4</v>
      </c>
      <c r="L36" s="39" t="s">
        <v>65</v>
      </c>
      <c r="M36" s="45">
        <v>41776</v>
      </c>
      <c r="N36" s="46">
        <v>3000</v>
      </c>
      <c r="O36" s="7" t="s">
        <v>88</v>
      </c>
      <c r="P36" s="76">
        <v>41810</v>
      </c>
      <c r="Q36" s="77">
        <v>400</v>
      </c>
      <c r="R36" s="30" t="s">
        <v>124</v>
      </c>
      <c r="S36" s="85">
        <v>41839</v>
      </c>
      <c r="T36" s="86">
        <v>800</v>
      </c>
      <c r="U36" s="60" t="s">
        <v>181</v>
      </c>
      <c r="V36" s="90">
        <v>41873</v>
      </c>
      <c r="W36" s="91">
        <v>2000</v>
      </c>
      <c r="X36" s="43" t="s">
        <v>257</v>
      </c>
      <c r="Y36" s="94">
        <v>41901</v>
      </c>
      <c r="Z36" s="95">
        <v>60</v>
      </c>
      <c r="AA36" s="75" t="s">
        <v>269</v>
      </c>
      <c r="AB36" s="96">
        <v>41937</v>
      </c>
      <c r="AC36" s="97">
        <v>75</v>
      </c>
      <c r="AD36" s="64" t="s">
        <v>330</v>
      </c>
      <c r="AE36" s="102">
        <v>41965</v>
      </c>
      <c r="AF36" s="103">
        <v>87.5</v>
      </c>
      <c r="AG36" s="67" t="s">
        <v>379</v>
      </c>
      <c r="AH36" s="107">
        <v>41997</v>
      </c>
      <c r="AI36" s="108">
        <v>500</v>
      </c>
      <c r="AJ36" s="71" t="s">
        <v>421</v>
      </c>
    </row>
    <row r="37" spans="1:36" x14ac:dyDescent="0.25">
      <c r="A37" s="10">
        <v>41670</v>
      </c>
      <c r="B37" s="11">
        <v>75.5</v>
      </c>
      <c r="C37" s="8" t="s">
        <v>39</v>
      </c>
      <c r="D37" s="5"/>
      <c r="E37" s="26"/>
      <c r="F37" s="6"/>
      <c r="G37" s="79">
        <v>41725</v>
      </c>
      <c r="H37" s="80">
        <v>28</v>
      </c>
      <c r="I37" s="81" t="s">
        <v>20</v>
      </c>
      <c r="J37" s="37">
        <v>41752</v>
      </c>
      <c r="K37" s="38">
        <v>200</v>
      </c>
      <c r="L37" s="41" t="s">
        <v>34</v>
      </c>
      <c r="M37" s="45">
        <v>41778</v>
      </c>
      <c r="N37" s="46">
        <v>700</v>
      </c>
      <c r="O37" s="7" t="s">
        <v>96</v>
      </c>
      <c r="P37" s="76">
        <v>41810</v>
      </c>
      <c r="Q37" s="77">
        <v>2038</v>
      </c>
      <c r="R37" s="30" t="s">
        <v>194</v>
      </c>
      <c r="S37" s="85">
        <v>41841</v>
      </c>
      <c r="T37" s="86">
        <v>60</v>
      </c>
      <c r="U37" s="60" t="s">
        <v>177</v>
      </c>
      <c r="V37" s="90">
        <v>41877</v>
      </c>
      <c r="W37" s="91">
        <v>300</v>
      </c>
      <c r="X37" s="43" t="s">
        <v>258</v>
      </c>
      <c r="Y37" s="94">
        <v>41901</v>
      </c>
      <c r="Z37" s="95">
        <v>500</v>
      </c>
      <c r="AA37" s="75" t="s">
        <v>275</v>
      </c>
      <c r="AB37" s="96">
        <v>41937</v>
      </c>
      <c r="AC37" s="97">
        <v>950</v>
      </c>
      <c r="AD37" s="64" t="s">
        <v>347</v>
      </c>
      <c r="AE37" s="102">
        <v>41967</v>
      </c>
      <c r="AF37" s="103">
        <v>150</v>
      </c>
      <c r="AG37" s="67" t="s">
        <v>374</v>
      </c>
      <c r="AH37" s="107">
        <v>41999</v>
      </c>
      <c r="AI37" s="108">
        <v>30</v>
      </c>
      <c r="AJ37" s="71" t="s">
        <v>419</v>
      </c>
    </row>
    <row r="38" spans="1:36" x14ac:dyDescent="0.25">
      <c r="A38" s="10">
        <v>41670</v>
      </c>
      <c r="B38" s="11">
        <v>400</v>
      </c>
      <c r="C38" s="8" t="s">
        <v>158</v>
      </c>
      <c r="D38" s="5"/>
      <c r="E38" s="26"/>
      <c r="F38" s="6"/>
      <c r="G38" s="79">
        <v>41726</v>
      </c>
      <c r="H38" s="80">
        <v>17.5</v>
      </c>
      <c r="I38" s="81" t="s">
        <v>4</v>
      </c>
      <c r="J38" s="37">
        <v>41752</v>
      </c>
      <c r="K38" s="38">
        <v>599</v>
      </c>
      <c r="L38" s="41" t="s">
        <v>70</v>
      </c>
      <c r="M38" s="45">
        <v>41778</v>
      </c>
      <c r="N38" s="46">
        <v>700</v>
      </c>
      <c r="O38" s="7" t="s">
        <v>97</v>
      </c>
      <c r="P38" s="76">
        <v>41811</v>
      </c>
      <c r="Q38" s="77">
        <v>4000</v>
      </c>
      <c r="R38" s="30" t="s">
        <v>141</v>
      </c>
      <c r="S38" s="85">
        <v>41841</v>
      </c>
      <c r="T38" s="86">
        <v>1600</v>
      </c>
      <c r="U38" s="60" t="s">
        <v>266</v>
      </c>
      <c r="V38" s="90">
        <v>41878</v>
      </c>
      <c r="W38" s="91">
        <v>60</v>
      </c>
      <c r="X38" s="43" t="s">
        <v>259</v>
      </c>
      <c r="Y38" s="94">
        <v>41901</v>
      </c>
      <c r="Z38" s="95">
        <v>695</v>
      </c>
      <c r="AA38" s="75" t="s">
        <v>293</v>
      </c>
      <c r="AB38" s="96">
        <v>41939</v>
      </c>
      <c r="AC38" s="97">
        <v>90</v>
      </c>
      <c r="AD38" s="64" t="s">
        <v>252</v>
      </c>
      <c r="AE38" s="102">
        <v>41967</v>
      </c>
      <c r="AF38" s="103">
        <v>261.27999999999997</v>
      </c>
      <c r="AG38" s="67" t="s">
        <v>353</v>
      </c>
      <c r="AH38" s="107">
        <v>41999</v>
      </c>
      <c r="AI38" s="108">
        <v>500</v>
      </c>
      <c r="AJ38" s="71" t="s">
        <v>308</v>
      </c>
    </row>
    <row r="39" spans="1:36" x14ac:dyDescent="0.25">
      <c r="A39" s="10">
        <v>41670</v>
      </c>
      <c r="B39" s="11">
        <v>3200</v>
      </c>
      <c r="C39" s="8" t="s">
        <v>41</v>
      </c>
      <c r="D39" s="5"/>
      <c r="E39" s="26"/>
      <c r="F39" s="6"/>
      <c r="G39" s="79">
        <v>41726</v>
      </c>
      <c r="H39" s="80">
        <v>1000</v>
      </c>
      <c r="I39" s="81" t="s">
        <v>54</v>
      </c>
      <c r="J39" s="37">
        <v>41754</v>
      </c>
      <c r="K39" s="38">
        <v>1000</v>
      </c>
      <c r="L39" s="41" t="s">
        <v>61</v>
      </c>
      <c r="M39" s="45">
        <v>41778</v>
      </c>
      <c r="N39" s="46">
        <v>1000</v>
      </c>
      <c r="O39" s="7" t="s">
        <v>98</v>
      </c>
      <c r="P39" s="76">
        <v>41812</v>
      </c>
      <c r="Q39" s="77">
        <v>485</v>
      </c>
      <c r="R39" s="30" t="s">
        <v>142</v>
      </c>
      <c r="S39" s="85">
        <v>41841</v>
      </c>
      <c r="T39" s="86">
        <v>600</v>
      </c>
      <c r="U39" s="60" t="s">
        <v>182</v>
      </c>
      <c r="V39" s="90">
        <v>41879</v>
      </c>
      <c r="W39" s="91">
        <v>300</v>
      </c>
      <c r="X39" s="43" t="s">
        <v>260</v>
      </c>
      <c r="Y39" s="94">
        <v>41901</v>
      </c>
      <c r="Z39" s="95">
        <v>1000</v>
      </c>
      <c r="AA39" s="75" t="s">
        <v>295</v>
      </c>
      <c r="AB39" s="96">
        <v>41939</v>
      </c>
      <c r="AC39" s="97">
        <v>1000</v>
      </c>
      <c r="AD39" s="64" t="s">
        <v>348</v>
      </c>
      <c r="AE39" s="102">
        <v>41967</v>
      </c>
      <c r="AF39" s="103">
        <v>595.6</v>
      </c>
      <c r="AG39" s="67" t="s">
        <v>375</v>
      </c>
      <c r="AH39" s="107">
        <v>42002</v>
      </c>
      <c r="AI39" s="108">
        <v>90</v>
      </c>
      <c r="AJ39" s="71" t="s">
        <v>188</v>
      </c>
    </row>
    <row r="40" spans="1:36" x14ac:dyDescent="0.25">
      <c r="A40" s="10">
        <v>41670</v>
      </c>
      <c r="B40" s="11">
        <v>27900</v>
      </c>
      <c r="C40" s="88" t="s">
        <v>208</v>
      </c>
      <c r="D40" s="5"/>
      <c r="E40" s="26"/>
      <c r="F40" s="6"/>
      <c r="G40" s="79">
        <v>41727</v>
      </c>
      <c r="H40" s="80">
        <v>338</v>
      </c>
      <c r="I40" s="81" t="s">
        <v>18</v>
      </c>
      <c r="J40" s="37">
        <v>41754</v>
      </c>
      <c r="K40" s="38">
        <v>400</v>
      </c>
      <c r="L40" s="39" t="s">
        <v>158</v>
      </c>
      <c r="M40" s="45">
        <v>41778</v>
      </c>
      <c r="N40" s="46">
        <v>196.2</v>
      </c>
      <c r="O40" s="7" t="s">
        <v>99</v>
      </c>
      <c r="P40" s="76">
        <v>41814</v>
      </c>
      <c r="Q40" s="77">
        <v>1000</v>
      </c>
      <c r="R40" s="30" t="s">
        <v>243</v>
      </c>
      <c r="S40" s="85">
        <v>41841</v>
      </c>
      <c r="T40" s="86">
        <v>1439</v>
      </c>
      <c r="U40" s="87" t="s">
        <v>183</v>
      </c>
      <c r="V40" s="90">
        <v>41879</v>
      </c>
      <c r="W40" s="91">
        <v>474.7</v>
      </c>
      <c r="X40" s="43" t="s">
        <v>261</v>
      </c>
      <c r="Y40" s="94">
        <v>41901</v>
      </c>
      <c r="Z40" s="95">
        <v>695</v>
      </c>
      <c r="AA40" s="75" t="s">
        <v>18</v>
      </c>
      <c r="AB40" s="96">
        <v>41941</v>
      </c>
      <c r="AC40" s="97">
        <v>30</v>
      </c>
      <c r="AD40" s="64" t="s">
        <v>212</v>
      </c>
      <c r="AE40" s="102">
        <v>41969</v>
      </c>
      <c r="AF40" s="103">
        <v>120</v>
      </c>
      <c r="AG40" s="67" t="s">
        <v>360</v>
      </c>
      <c r="AH40" s="107">
        <v>42002</v>
      </c>
      <c r="AI40" s="108">
        <v>4620.9399999999996</v>
      </c>
      <c r="AJ40" s="71" t="s">
        <v>423</v>
      </c>
    </row>
    <row r="41" spans="1:36" x14ac:dyDescent="0.25">
      <c r="A41" s="10"/>
      <c r="B41" s="11"/>
      <c r="C41" s="8"/>
      <c r="D41" s="5"/>
      <c r="E41" s="26"/>
      <c r="F41" s="6"/>
      <c r="G41" s="79">
        <v>41727</v>
      </c>
      <c r="H41" s="80">
        <v>3200</v>
      </c>
      <c r="I41" s="81" t="s">
        <v>23</v>
      </c>
      <c r="J41" s="37">
        <v>41755</v>
      </c>
      <c r="K41" s="38">
        <v>200</v>
      </c>
      <c r="L41" s="39" t="s">
        <v>34</v>
      </c>
      <c r="M41" s="45">
        <v>41778</v>
      </c>
      <c r="N41" s="46">
        <v>1350</v>
      </c>
      <c r="O41" s="7" t="s">
        <v>100</v>
      </c>
      <c r="P41" s="76">
        <v>41814</v>
      </c>
      <c r="Q41" s="77">
        <v>1600</v>
      </c>
      <c r="R41" s="30" t="s">
        <v>143</v>
      </c>
      <c r="S41" s="85">
        <v>41842</v>
      </c>
      <c r="T41" s="86">
        <v>700</v>
      </c>
      <c r="U41" s="60" t="s">
        <v>184</v>
      </c>
      <c r="V41" s="90">
        <v>41879</v>
      </c>
      <c r="W41" s="91">
        <v>8335.89</v>
      </c>
      <c r="X41" s="43" t="s">
        <v>262</v>
      </c>
      <c r="Y41" s="94">
        <v>41904</v>
      </c>
      <c r="Z41" s="95">
        <v>60</v>
      </c>
      <c r="AA41" s="75" t="s">
        <v>269</v>
      </c>
      <c r="AB41" s="96">
        <v>41943</v>
      </c>
      <c r="AC41" s="97">
        <v>30</v>
      </c>
      <c r="AD41" s="64" t="s">
        <v>212</v>
      </c>
      <c r="AE41" s="102">
        <v>41971</v>
      </c>
      <c r="AF41" s="103">
        <v>400</v>
      </c>
      <c r="AG41" s="67" t="s">
        <v>308</v>
      </c>
      <c r="AH41" s="107">
        <v>42003</v>
      </c>
      <c r="AI41" s="108">
        <v>22.5</v>
      </c>
      <c r="AJ41" s="71" t="s">
        <v>428</v>
      </c>
    </row>
    <row r="42" spans="1:36" x14ac:dyDescent="0.25">
      <c r="A42" s="10"/>
      <c r="B42" s="11"/>
      <c r="C42" s="8"/>
      <c r="D42" s="5"/>
      <c r="E42" s="26"/>
      <c r="F42" s="6"/>
      <c r="G42" s="79">
        <v>41729</v>
      </c>
      <c r="H42" s="80">
        <v>500</v>
      </c>
      <c r="I42" s="81" t="s">
        <v>24</v>
      </c>
      <c r="J42" s="37">
        <v>41756</v>
      </c>
      <c r="K42" s="38">
        <v>181.4</v>
      </c>
      <c r="L42" s="39" t="s">
        <v>18</v>
      </c>
      <c r="M42" s="45">
        <v>41778</v>
      </c>
      <c r="N42" s="46">
        <v>1500</v>
      </c>
      <c r="O42" s="7" t="s">
        <v>112</v>
      </c>
      <c r="P42" s="76">
        <v>41815</v>
      </c>
      <c r="Q42" s="77">
        <v>2100</v>
      </c>
      <c r="R42" s="30" t="s">
        <v>146</v>
      </c>
      <c r="S42" s="85">
        <v>41845</v>
      </c>
      <c r="T42" s="86">
        <v>647.30999999999995</v>
      </c>
      <c r="U42" s="60" t="s">
        <v>185</v>
      </c>
      <c r="V42" s="90">
        <v>41880</v>
      </c>
      <c r="W42" s="91">
        <v>905</v>
      </c>
      <c r="X42" s="43" t="s">
        <v>261</v>
      </c>
      <c r="Y42" s="94">
        <v>41908</v>
      </c>
      <c r="Z42" s="95">
        <v>129.5</v>
      </c>
      <c r="AA42" s="75" t="s">
        <v>296</v>
      </c>
      <c r="AB42" s="96">
        <v>41943</v>
      </c>
      <c r="AC42" s="97">
        <v>400</v>
      </c>
      <c r="AD42" s="64" t="s">
        <v>308</v>
      </c>
      <c r="AE42" s="102">
        <v>41971</v>
      </c>
      <c r="AF42" s="103">
        <v>36</v>
      </c>
      <c r="AG42" s="67" t="s">
        <v>376</v>
      </c>
      <c r="AH42" s="107">
        <v>42003</v>
      </c>
      <c r="AI42" s="108">
        <v>5000</v>
      </c>
      <c r="AJ42" s="71" t="s">
        <v>424</v>
      </c>
    </row>
    <row r="43" spans="1:36" x14ac:dyDescent="0.25">
      <c r="A43" s="10"/>
      <c r="B43" s="11"/>
      <c r="C43" s="8"/>
      <c r="D43" s="5"/>
      <c r="E43" s="26"/>
      <c r="F43" s="6"/>
      <c r="G43" s="79">
        <v>41729</v>
      </c>
      <c r="H43" s="80">
        <v>3200</v>
      </c>
      <c r="I43" s="81" t="s">
        <v>217</v>
      </c>
      <c r="J43" s="37">
        <v>41757</v>
      </c>
      <c r="K43" s="38">
        <v>90</v>
      </c>
      <c r="L43" s="39" t="s">
        <v>58</v>
      </c>
      <c r="M43" s="45">
        <v>41779</v>
      </c>
      <c r="N43" s="46">
        <v>700</v>
      </c>
      <c r="O43" s="7" t="s">
        <v>101</v>
      </c>
      <c r="P43" s="76">
        <v>41815</v>
      </c>
      <c r="Q43" s="77">
        <v>1341.75</v>
      </c>
      <c r="R43" s="30" t="s">
        <v>147</v>
      </c>
      <c r="S43" s="85">
        <v>41845</v>
      </c>
      <c r="T43" s="86">
        <v>400</v>
      </c>
      <c r="U43" s="60" t="s">
        <v>158</v>
      </c>
      <c r="V43" s="90">
        <v>41880</v>
      </c>
      <c r="W43" s="91">
        <v>400</v>
      </c>
      <c r="X43" s="43" t="s">
        <v>230</v>
      </c>
      <c r="Y43" s="94">
        <v>41908</v>
      </c>
      <c r="Z43" s="95">
        <v>400</v>
      </c>
      <c r="AA43" s="75" t="s">
        <v>275</v>
      </c>
      <c r="AB43" s="96">
        <v>41943</v>
      </c>
      <c r="AC43" s="97">
        <v>863</v>
      </c>
      <c r="AD43" s="64" t="s">
        <v>333</v>
      </c>
      <c r="AE43" s="102">
        <v>41973</v>
      </c>
      <c r="AF43" s="103">
        <v>600</v>
      </c>
      <c r="AG43" s="67" t="s">
        <v>377</v>
      </c>
      <c r="AH43" s="107">
        <v>42003</v>
      </c>
      <c r="AI43" s="108">
        <v>250</v>
      </c>
      <c r="AJ43" s="71" t="s">
        <v>425</v>
      </c>
    </row>
    <row r="44" spans="1:36" x14ac:dyDescent="0.25">
      <c r="A44" s="10"/>
      <c r="B44" s="11"/>
      <c r="C44" s="8"/>
      <c r="D44" s="5"/>
      <c r="E44" s="26"/>
      <c r="F44" s="6"/>
      <c r="G44" s="79">
        <v>41729</v>
      </c>
      <c r="H44" s="80">
        <v>18.559999999999999</v>
      </c>
      <c r="I44" s="81" t="s">
        <v>26</v>
      </c>
      <c r="J44" s="37">
        <v>41757</v>
      </c>
      <c r="K44" s="38">
        <v>430</v>
      </c>
      <c r="L44" s="39" t="s">
        <v>71</v>
      </c>
      <c r="M44" s="45">
        <v>41779</v>
      </c>
      <c r="N44" s="46">
        <v>1600</v>
      </c>
      <c r="O44" s="7" t="s">
        <v>102</v>
      </c>
      <c r="P44" s="76">
        <v>41816</v>
      </c>
      <c r="Q44" s="77">
        <v>90</v>
      </c>
      <c r="R44" s="30" t="s">
        <v>144</v>
      </c>
      <c r="S44" s="85">
        <v>41846</v>
      </c>
      <c r="T44" s="86">
        <v>700</v>
      </c>
      <c r="U44" s="60" t="s">
        <v>186</v>
      </c>
      <c r="V44" s="90">
        <v>41880</v>
      </c>
      <c r="W44" s="91">
        <v>3132</v>
      </c>
      <c r="X44" s="43" t="s">
        <v>267</v>
      </c>
      <c r="Y44" s="94">
        <v>41909</v>
      </c>
      <c r="Z44" s="95">
        <v>900</v>
      </c>
      <c r="AA44" s="75" t="s">
        <v>294</v>
      </c>
      <c r="AB44" s="96">
        <v>41943</v>
      </c>
      <c r="AC44" s="97">
        <v>400</v>
      </c>
      <c r="AD44" s="64" t="s">
        <v>346</v>
      </c>
      <c r="AE44" s="102">
        <v>41973</v>
      </c>
      <c r="AF44" s="103">
        <v>100</v>
      </c>
      <c r="AG44" s="67" t="s">
        <v>378</v>
      </c>
      <c r="AH44" s="107">
        <v>42004</v>
      </c>
      <c r="AI44" s="108">
        <v>3200</v>
      </c>
      <c r="AJ44" s="71" t="s">
        <v>426</v>
      </c>
    </row>
    <row r="45" spans="1:36" x14ac:dyDescent="0.25">
      <c r="A45" s="10"/>
      <c r="B45" s="11"/>
      <c r="C45" s="8"/>
      <c r="D45" s="5"/>
      <c r="E45" s="26"/>
      <c r="F45" s="6"/>
      <c r="G45" s="79">
        <v>41729</v>
      </c>
      <c r="H45" s="80">
        <v>27900</v>
      </c>
      <c r="I45" s="81" t="s">
        <v>216</v>
      </c>
      <c r="J45" s="37">
        <v>41758</v>
      </c>
      <c r="K45" s="38">
        <v>578</v>
      </c>
      <c r="L45" s="39" t="s">
        <v>65</v>
      </c>
      <c r="M45" s="45">
        <v>41780</v>
      </c>
      <c r="N45" s="46">
        <v>2000</v>
      </c>
      <c r="O45" s="7" t="s">
        <v>103</v>
      </c>
      <c r="P45" s="76">
        <v>41817</v>
      </c>
      <c r="Q45" s="77">
        <v>400</v>
      </c>
      <c r="R45" s="30" t="s">
        <v>124</v>
      </c>
      <c r="S45" s="85">
        <v>41846</v>
      </c>
      <c r="T45" s="86">
        <v>500</v>
      </c>
      <c r="U45" s="60" t="s">
        <v>187</v>
      </c>
      <c r="V45" s="90">
        <v>41882</v>
      </c>
      <c r="W45" s="91">
        <v>27900</v>
      </c>
      <c r="X45" s="43" t="s">
        <v>263</v>
      </c>
      <c r="Y45" s="94">
        <v>41909</v>
      </c>
      <c r="Z45" s="95">
        <v>1999</v>
      </c>
      <c r="AA45" s="75" t="s">
        <v>297</v>
      </c>
      <c r="AB45" s="96">
        <v>41943</v>
      </c>
      <c r="AC45" s="97">
        <v>27900</v>
      </c>
      <c r="AD45" s="64" t="s">
        <v>331</v>
      </c>
      <c r="AE45" s="102">
        <v>41973</v>
      </c>
      <c r="AF45" s="103">
        <v>5500</v>
      </c>
      <c r="AG45" s="67" t="s">
        <v>380</v>
      </c>
      <c r="AH45" s="107">
        <v>42004</v>
      </c>
      <c r="AI45" s="108">
        <v>27900</v>
      </c>
      <c r="AJ45" s="71" t="s">
        <v>427</v>
      </c>
    </row>
    <row r="46" spans="1:36" x14ac:dyDescent="0.25">
      <c r="A46" s="10"/>
      <c r="B46" s="11"/>
      <c r="C46" s="8"/>
      <c r="D46" s="5"/>
      <c r="E46" s="26"/>
      <c r="F46" s="6"/>
      <c r="G46" s="81"/>
      <c r="H46" s="80"/>
      <c r="I46" s="81"/>
      <c r="J46" s="37">
        <v>41758</v>
      </c>
      <c r="K46" s="38">
        <v>483</v>
      </c>
      <c r="L46" s="39" t="s">
        <v>6</v>
      </c>
      <c r="M46" s="45">
        <v>41780</v>
      </c>
      <c r="N46" s="46">
        <v>90</v>
      </c>
      <c r="O46" s="7" t="s">
        <v>104</v>
      </c>
      <c r="P46" s="76">
        <v>41817</v>
      </c>
      <c r="Q46" s="77">
        <v>27900</v>
      </c>
      <c r="R46" s="30" t="s">
        <v>148</v>
      </c>
      <c r="S46" s="85">
        <v>41848</v>
      </c>
      <c r="T46" s="86">
        <v>90</v>
      </c>
      <c r="U46" s="60" t="s">
        <v>188</v>
      </c>
      <c r="V46" s="90">
        <v>41882</v>
      </c>
      <c r="W46" s="91">
        <v>3200</v>
      </c>
      <c r="X46" s="43" t="s">
        <v>264</v>
      </c>
      <c r="Y46" s="94">
        <v>41911</v>
      </c>
      <c r="Z46" s="95">
        <v>60</v>
      </c>
      <c r="AA46" s="75" t="s">
        <v>269</v>
      </c>
      <c r="AB46" s="96">
        <v>41943</v>
      </c>
      <c r="AC46" s="97">
        <v>3200</v>
      </c>
      <c r="AD46" s="64" t="s">
        <v>332</v>
      </c>
      <c r="AE46" s="102">
        <v>41973</v>
      </c>
      <c r="AF46" s="103">
        <v>3200</v>
      </c>
      <c r="AG46" s="67" t="s">
        <v>381</v>
      </c>
      <c r="AH46" s="71"/>
      <c r="AI46" s="108"/>
      <c r="AJ46" s="71"/>
    </row>
    <row r="47" spans="1:36" x14ac:dyDescent="0.25">
      <c r="A47" s="10"/>
      <c r="B47" s="11"/>
      <c r="C47" s="8"/>
      <c r="D47" s="5"/>
      <c r="E47" s="26"/>
      <c r="F47" s="6"/>
      <c r="G47" s="81"/>
      <c r="H47" s="80"/>
      <c r="I47" s="81"/>
      <c r="J47" s="37">
        <v>41758</v>
      </c>
      <c r="K47" s="38">
        <v>4000</v>
      </c>
      <c r="L47" s="39" t="s">
        <v>61</v>
      </c>
      <c r="M47" s="45">
        <v>41782</v>
      </c>
      <c r="N47" s="46">
        <v>400</v>
      </c>
      <c r="O47" s="7" t="s">
        <v>74</v>
      </c>
      <c r="P47" s="76">
        <v>41818</v>
      </c>
      <c r="Q47" s="77">
        <v>140.5</v>
      </c>
      <c r="R47" s="30" t="s">
        <v>150</v>
      </c>
      <c r="S47" s="85">
        <v>41849</v>
      </c>
      <c r="T47" s="86">
        <v>500</v>
      </c>
      <c r="U47" s="60" t="s">
        <v>189</v>
      </c>
      <c r="V47" s="43"/>
      <c r="W47" s="91"/>
      <c r="X47" s="43"/>
      <c r="Y47" s="94">
        <v>41911</v>
      </c>
      <c r="Z47" s="95">
        <v>934</v>
      </c>
      <c r="AA47" s="75" t="s">
        <v>298</v>
      </c>
      <c r="AB47" s="96">
        <v>41943</v>
      </c>
      <c r="AC47" s="97">
        <v>300</v>
      </c>
      <c r="AD47" s="64" t="s">
        <v>349</v>
      </c>
      <c r="AE47" s="102">
        <v>41973</v>
      </c>
      <c r="AF47" s="103">
        <v>27900</v>
      </c>
      <c r="AG47" s="67" t="s">
        <v>382</v>
      </c>
      <c r="AH47" s="71"/>
      <c r="AI47" s="108"/>
      <c r="AJ47" s="71"/>
    </row>
    <row r="48" spans="1:36" x14ac:dyDescent="0.25">
      <c r="A48" s="10"/>
      <c r="B48" s="11"/>
      <c r="C48" s="8"/>
      <c r="D48" s="5"/>
      <c r="E48" s="26"/>
      <c r="F48" s="6"/>
      <c r="G48" s="81"/>
      <c r="H48" s="80"/>
      <c r="I48" s="81"/>
      <c r="J48" s="37">
        <v>41759</v>
      </c>
      <c r="K48" s="38">
        <v>3200</v>
      </c>
      <c r="L48" s="39" t="s">
        <v>66</v>
      </c>
      <c r="M48" s="45">
        <v>41783</v>
      </c>
      <c r="N48" s="46">
        <v>153</v>
      </c>
      <c r="O48" s="7" t="s">
        <v>77</v>
      </c>
      <c r="P48" s="76">
        <v>41820</v>
      </c>
      <c r="Q48" s="77">
        <v>3200</v>
      </c>
      <c r="R48" s="30" t="s">
        <v>149</v>
      </c>
      <c r="S48" s="85">
        <v>41850</v>
      </c>
      <c r="T48" s="86">
        <v>895</v>
      </c>
      <c r="U48" s="60" t="s">
        <v>169</v>
      </c>
      <c r="V48" s="43"/>
      <c r="W48" s="91"/>
      <c r="X48" s="43"/>
      <c r="Y48" s="94">
        <v>41912</v>
      </c>
      <c r="Z48" s="95">
        <v>3200</v>
      </c>
      <c r="AA48" s="75" t="s">
        <v>300</v>
      </c>
      <c r="AB48" s="96">
        <v>41943</v>
      </c>
      <c r="AC48" s="97">
        <v>500</v>
      </c>
      <c r="AD48" s="64" t="s">
        <v>303</v>
      </c>
      <c r="AE48" s="67"/>
      <c r="AF48" s="103"/>
      <c r="AG48" s="67"/>
      <c r="AH48" s="71"/>
      <c r="AI48" s="108"/>
      <c r="AJ48" s="71"/>
    </row>
    <row r="49" spans="1:37" x14ac:dyDescent="0.25">
      <c r="A49" s="10"/>
      <c r="B49" s="11"/>
      <c r="C49" s="8"/>
      <c r="D49" s="5"/>
      <c r="E49" s="26"/>
      <c r="F49" s="6"/>
      <c r="G49" s="81"/>
      <c r="H49" s="80"/>
      <c r="I49" s="81"/>
      <c r="J49" s="37">
        <v>41759</v>
      </c>
      <c r="K49" s="38">
        <v>27900</v>
      </c>
      <c r="L49" s="39" t="s">
        <v>218</v>
      </c>
      <c r="M49" s="45">
        <v>41785</v>
      </c>
      <c r="N49" s="46">
        <v>550</v>
      </c>
      <c r="O49" s="7" t="s">
        <v>105</v>
      </c>
      <c r="P49" s="76">
        <v>41820</v>
      </c>
      <c r="Q49" s="77">
        <v>27.84</v>
      </c>
      <c r="R49" s="30" t="s">
        <v>222</v>
      </c>
      <c r="S49" s="85">
        <v>41850</v>
      </c>
      <c r="T49" s="86">
        <v>2500</v>
      </c>
      <c r="U49" s="60" t="s">
        <v>255</v>
      </c>
      <c r="V49" s="43"/>
      <c r="W49" s="91"/>
      <c r="X49" s="43"/>
      <c r="Y49" s="94">
        <v>41912</v>
      </c>
      <c r="Z49" s="95">
        <v>27900</v>
      </c>
      <c r="AA49" s="75" t="s">
        <v>301</v>
      </c>
      <c r="AB49" s="64"/>
      <c r="AC49" s="97"/>
      <c r="AD49" s="64"/>
      <c r="AE49" s="67"/>
      <c r="AF49" s="103"/>
      <c r="AG49" s="67"/>
      <c r="AH49" s="71"/>
      <c r="AI49" s="108"/>
      <c r="AJ49" s="71"/>
    </row>
    <row r="50" spans="1:37" x14ac:dyDescent="0.25">
      <c r="A50" s="10"/>
      <c r="B50" s="11"/>
      <c r="C50" s="8"/>
      <c r="D50" s="5"/>
      <c r="E50" s="26"/>
      <c r="F50" s="6"/>
      <c r="G50" s="81"/>
      <c r="H50" s="80"/>
      <c r="I50" s="81"/>
      <c r="J50" s="42">
        <v>41759</v>
      </c>
      <c r="K50" s="38">
        <v>41.76</v>
      </c>
      <c r="L50" s="43" t="s">
        <v>222</v>
      </c>
      <c r="M50" s="45">
        <v>41785</v>
      </c>
      <c r="N50" s="46">
        <v>570</v>
      </c>
      <c r="O50" s="7" t="s">
        <v>106</v>
      </c>
      <c r="P50" s="30"/>
      <c r="Q50" s="77"/>
      <c r="R50" s="30"/>
      <c r="S50" s="85">
        <v>41851</v>
      </c>
      <c r="T50" s="86">
        <v>45</v>
      </c>
      <c r="U50" s="60" t="s">
        <v>191</v>
      </c>
      <c r="V50" s="43"/>
      <c r="W50" s="91"/>
      <c r="X50" s="43"/>
      <c r="Y50" s="94">
        <v>41912</v>
      </c>
      <c r="Z50" s="95">
        <v>1000</v>
      </c>
      <c r="AA50" s="75" t="s">
        <v>302</v>
      </c>
      <c r="AB50" s="64"/>
      <c r="AC50" s="97"/>
      <c r="AD50" s="64"/>
      <c r="AE50" s="67"/>
      <c r="AF50" s="103"/>
      <c r="AG50" s="67"/>
      <c r="AH50" s="71"/>
      <c r="AI50" s="108"/>
      <c r="AJ50" s="71"/>
    </row>
    <row r="51" spans="1:37" x14ac:dyDescent="0.25">
      <c r="A51" s="10"/>
      <c r="B51" s="11"/>
      <c r="C51" s="8"/>
      <c r="D51" s="5"/>
      <c r="E51" s="26"/>
      <c r="F51" s="6"/>
      <c r="G51" s="81"/>
      <c r="H51" s="80"/>
      <c r="I51" s="81"/>
      <c r="J51" s="42"/>
      <c r="K51" s="38"/>
      <c r="L51" s="44"/>
      <c r="M51" s="45">
        <v>41785</v>
      </c>
      <c r="N51" s="46">
        <v>3320</v>
      </c>
      <c r="O51" s="7" t="s">
        <v>107</v>
      </c>
      <c r="P51" s="30"/>
      <c r="Q51" s="77"/>
      <c r="R51" s="30"/>
      <c r="S51" s="85">
        <v>41851</v>
      </c>
      <c r="T51" s="86">
        <v>5519.98</v>
      </c>
      <c r="U51" s="60" t="s">
        <v>192</v>
      </c>
      <c r="V51" s="43"/>
      <c r="W51" s="91"/>
      <c r="X51" s="43"/>
      <c r="Y51" s="94">
        <v>41912</v>
      </c>
      <c r="Z51" s="75">
        <v>13.92</v>
      </c>
      <c r="AA51" s="75" t="s">
        <v>340</v>
      </c>
      <c r="AB51" s="64"/>
      <c r="AC51" s="97"/>
      <c r="AD51" s="64"/>
      <c r="AE51" s="67"/>
      <c r="AF51" s="103"/>
      <c r="AG51" s="67"/>
      <c r="AH51" s="71"/>
      <c r="AI51" s="108"/>
      <c r="AJ51" s="71"/>
    </row>
    <row r="52" spans="1:37" x14ac:dyDescent="0.25">
      <c r="A52" s="10"/>
      <c r="B52" s="11"/>
      <c r="C52" s="8"/>
      <c r="D52" s="5"/>
      <c r="E52" s="26"/>
      <c r="F52" s="9"/>
      <c r="G52" s="81"/>
      <c r="H52" s="80"/>
      <c r="I52" s="81"/>
      <c r="J52" s="42"/>
      <c r="K52" s="38"/>
      <c r="L52" s="43"/>
      <c r="M52" s="45">
        <v>41786</v>
      </c>
      <c r="N52" s="46">
        <v>27900</v>
      </c>
      <c r="O52" s="7" t="s">
        <v>108</v>
      </c>
      <c r="P52" s="30"/>
      <c r="Q52" s="77"/>
      <c r="R52" s="30"/>
      <c r="S52" s="85">
        <v>41851</v>
      </c>
      <c r="T52" s="86">
        <v>3779.98</v>
      </c>
      <c r="U52" s="60" t="s">
        <v>193</v>
      </c>
      <c r="V52" s="43"/>
      <c r="W52" s="91"/>
      <c r="X52" s="43"/>
      <c r="Y52" s="75"/>
      <c r="Z52" s="75"/>
      <c r="AA52" s="75"/>
      <c r="AB52" s="64"/>
      <c r="AC52" s="97"/>
      <c r="AD52" s="64"/>
      <c r="AE52" s="67"/>
      <c r="AF52" s="103"/>
      <c r="AG52" s="67"/>
      <c r="AH52" s="71"/>
      <c r="AI52" s="108"/>
      <c r="AJ52" s="71"/>
    </row>
    <row r="53" spans="1:37" x14ac:dyDescent="0.25">
      <c r="A53" s="10"/>
      <c r="B53" s="11"/>
      <c r="C53" s="8"/>
      <c r="D53" s="5"/>
      <c r="E53" s="26"/>
      <c r="F53" s="9"/>
      <c r="G53" s="81"/>
      <c r="H53" s="80"/>
      <c r="I53" s="81"/>
      <c r="J53" s="42"/>
      <c r="K53" s="38"/>
      <c r="L53" s="43"/>
      <c r="M53" s="45">
        <v>41787</v>
      </c>
      <c r="N53" s="46">
        <v>90</v>
      </c>
      <c r="O53" s="7" t="s">
        <v>91</v>
      </c>
      <c r="P53" s="30"/>
      <c r="Q53" s="77"/>
      <c r="R53" s="30"/>
      <c r="S53" s="85">
        <v>41851</v>
      </c>
      <c r="T53" s="86">
        <v>27900</v>
      </c>
      <c r="U53" s="60" t="s">
        <v>195</v>
      </c>
      <c r="V53" s="43"/>
      <c r="W53" s="91"/>
      <c r="X53" s="43"/>
      <c r="Y53" s="75"/>
      <c r="Z53" s="75"/>
      <c r="AA53" s="75"/>
      <c r="AB53" s="64"/>
      <c r="AC53" s="97"/>
      <c r="AD53" s="64"/>
      <c r="AE53" s="67"/>
      <c r="AF53" s="103"/>
      <c r="AG53" s="67"/>
      <c r="AH53" s="71"/>
      <c r="AI53" s="108"/>
      <c r="AJ53" s="71"/>
    </row>
    <row r="54" spans="1:37" x14ac:dyDescent="0.25">
      <c r="A54" s="10"/>
      <c r="B54" s="11"/>
      <c r="C54" s="8"/>
      <c r="D54" s="5"/>
      <c r="E54" s="26"/>
      <c r="F54" s="6"/>
      <c r="G54" s="81"/>
      <c r="H54" s="80"/>
      <c r="I54" s="81"/>
      <c r="J54" s="42"/>
      <c r="K54" s="38"/>
      <c r="L54" s="43"/>
      <c r="M54" s="45">
        <v>41787</v>
      </c>
      <c r="N54" s="46">
        <v>108</v>
      </c>
      <c r="O54" s="7" t="s">
        <v>113</v>
      </c>
      <c r="P54" s="30"/>
      <c r="Q54" s="77"/>
      <c r="R54" s="30"/>
      <c r="S54" s="85">
        <v>41851</v>
      </c>
      <c r="T54" s="86">
        <v>3200</v>
      </c>
      <c r="U54" s="60" t="s">
        <v>196</v>
      </c>
      <c r="V54" s="43"/>
      <c r="W54" s="91"/>
      <c r="X54" s="43"/>
      <c r="Y54" s="75"/>
      <c r="Z54" s="75"/>
      <c r="AA54" s="75"/>
      <c r="AB54" s="64"/>
      <c r="AC54" s="97"/>
      <c r="AD54" s="64"/>
      <c r="AE54" s="67"/>
      <c r="AF54" s="103"/>
      <c r="AG54" s="67"/>
      <c r="AH54" s="71"/>
      <c r="AI54" s="108"/>
      <c r="AJ54" s="71"/>
    </row>
    <row r="55" spans="1:37" x14ac:dyDescent="0.25">
      <c r="A55" s="10"/>
      <c r="B55" s="11"/>
      <c r="C55" s="8"/>
      <c r="D55" s="5"/>
      <c r="E55" s="26"/>
      <c r="F55" s="6"/>
      <c r="G55" s="81"/>
      <c r="H55" s="80"/>
      <c r="I55" s="81"/>
      <c r="J55" s="42"/>
      <c r="K55" s="38"/>
      <c r="L55" s="43"/>
      <c r="M55" s="45">
        <v>41788</v>
      </c>
      <c r="N55" s="46">
        <v>1200</v>
      </c>
      <c r="O55" s="7" t="s">
        <v>111</v>
      </c>
      <c r="P55" s="30"/>
      <c r="Q55" s="77"/>
      <c r="R55" s="30"/>
      <c r="S55" s="85">
        <v>41851</v>
      </c>
      <c r="T55" s="86">
        <v>4600</v>
      </c>
      <c r="U55" s="60" t="s">
        <v>197</v>
      </c>
      <c r="V55" s="43"/>
      <c r="W55" s="91"/>
      <c r="X55" s="43"/>
      <c r="Y55" s="75"/>
      <c r="Z55" s="75"/>
      <c r="AA55" s="75"/>
      <c r="AB55" s="64"/>
      <c r="AC55" s="97"/>
      <c r="AD55" s="64"/>
      <c r="AE55" s="67"/>
      <c r="AF55" s="103"/>
      <c r="AG55" s="67"/>
      <c r="AH55" s="71"/>
      <c r="AI55" s="108"/>
      <c r="AJ55" s="71"/>
    </row>
    <row r="56" spans="1:37" x14ac:dyDescent="0.25">
      <c r="A56" s="10"/>
      <c r="B56" s="11"/>
      <c r="C56" s="8"/>
      <c r="D56" s="5"/>
      <c r="E56" s="26"/>
      <c r="F56" s="9"/>
      <c r="G56" s="81"/>
      <c r="H56" s="80"/>
      <c r="I56" s="81"/>
      <c r="J56" s="42"/>
      <c r="K56" s="38"/>
      <c r="L56" s="43"/>
      <c r="M56" s="45">
        <v>41789</v>
      </c>
      <c r="N56" s="46">
        <v>786</v>
      </c>
      <c r="O56" s="7" t="s">
        <v>109</v>
      </c>
      <c r="P56" s="30"/>
      <c r="Q56" s="77"/>
      <c r="R56" s="30"/>
      <c r="S56" s="85">
        <v>41851</v>
      </c>
      <c r="T56" s="86">
        <v>1000</v>
      </c>
      <c r="U56" s="60" t="s">
        <v>244</v>
      </c>
      <c r="V56" s="43"/>
      <c r="W56" s="91"/>
      <c r="X56" s="43"/>
      <c r="Y56" s="75"/>
      <c r="Z56" s="75"/>
      <c r="AA56" s="75"/>
      <c r="AB56" s="64"/>
      <c r="AC56" s="97"/>
      <c r="AD56" s="64"/>
      <c r="AE56" s="67"/>
      <c r="AF56" s="103"/>
      <c r="AG56" s="67"/>
      <c r="AH56" s="71"/>
      <c r="AI56" s="108"/>
      <c r="AJ56" s="71"/>
    </row>
    <row r="57" spans="1:37" x14ac:dyDescent="0.25">
      <c r="A57" s="10"/>
      <c r="B57" s="11"/>
      <c r="C57" s="8"/>
      <c r="D57" s="5"/>
      <c r="E57" s="26"/>
      <c r="F57" s="6"/>
      <c r="G57" s="81"/>
      <c r="H57" s="80"/>
      <c r="I57" s="81"/>
      <c r="J57" s="42"/>
      <c r="K57" s="38"/>
      <c r="L57" s="43"/>
      <c r="M57" s="45">
        <v>41789</v>
      </c>
      <c r="N57" s="46">
        <v>400</v>
      </c>
      <c r="O57" s="7" t="s">
        <v>74</v>
      </c>
      <c r="P57" s="30"/>
      <c r="Q57" s="77"/>
      <c r="R57" s="30"/>
      <c r="S57" s="60"/>
      <c r="T57" s="86"/>
      <c r="U57" s="60"/>
      <c r="V57" s="43"/>
      <c r="W57" s="91"/>
      <c r="X57" s="43"/>
      <c r="Y57" s="75"/>
      <c r="Z57" s="75"/>
      <c r="AA57" s="75"/>
      <c r="AB57" s="64"/>
      <c r="AC57" s="97"/>
      <c r="AD57" s="64"/>
      <c r="AE57" s="67"/>
      <c r="AF57" s="103"/>
      <c r="AG57" s="67"/>
      <c r="AH57" s="71"/>
      <c r="AI57" s="108"/>
      <c r="AJ57" s="71"/>
    </row>
    <row r="58" spans="1:37" x14ac:dyDescent="0.25">
      <c r="A58" s="10"/>
      <c r="B58" s="11"/>
      <c r="C58" s="8"/>
      <c r="D58" s="5"/>
      <c r="E58" s="26"/>
      <c r="F58" s="6"/>
      <c r="G58" s="81"/>
      <c r="H58" s="80"/>
      <c r="I58" s="81"/>
      <c r="J58" s="42"/>
      <c r="K58" s="38"/>
      <c r="L58" s="43"/>
      <c r="M58" s="45">
        <v>41789</v>
      </c>
      <c r="N58" s="46">
        <v>4560</v>
      </c>
      <c r="O58" s="7" t="s">
        <v>114</v>
      </c>
      <c r="P58" s="30"/>
      <c r="Q58" s="77"/>
      <c r="R58" s="30"/>
      <c r="S58" s="60"/>
      <c r="T58" s="86"/>
      <c r="U58" s="60"/>
      <c r="V58" s="43"/>
      <c r="W58" s="91"/>
      <c r="X58" s="43"/>
      <c r="Y58" s="75"/>
      <c r="Z58" s="75"/>
      <c r="AA58" s="75"/>
      <c r="AB58" s="64"/>
      <c r="AC58" s="97"/>
      <c r="AD58" s="64"/>
      <c r="AE58" s="67"/>
      <c r="AF58" s="103"/>
      <c r="AG58" s="67"/>
      <c r="AH58" s="71"/>
      <c r="AI58" s="108"/>
      <c r="AJ58" s="71"/>
    </row>
    <row r="59" spans="1:37" x14ac:dyDescent="0.25">
      <c r="A59" s="10"/>
      <c r="B59" s="11"/>
      <c r="C59" s="8"/>
      <c r="D59" s="5"/>
      <c r="E59" s="26"/>
      <c r="F59" s="6"/>
      <c r="G59" s="81"/>
      <c r="H59" s="80"/>
      <c r="I59" s="81"/>
      <c r="J59" s="42"/>
      <c r="K59" s="38"/>
      <c r="L59" s="43"/>
      <c r="M59" s="45">
        <v>41789</v>
      </c>
      <c r="N59" s="46">
        <v>27.84</v>
      </c>
      <c r="O59" s="7" t="s">
        <v>223</v>
      </c>
      <c r="P59" s="30"/>
      <c r="Q59" s="77"/>
      <c r="R59" s="30"/>
      <c r="S59" s="60"/>
      <c r="T59" s="86"/>
      <c r="U59" s="60"/>
      <c r="V59" s="43"/>
      <c r="W59" s="91"/>
      <c r="X59" s="43"/>
      <c r="Y59" s="75"/>
      <c r="Z59" s="75"/>
      <c r="AA59" s="75"/>
      <c r="AB59" s="64"/>
      <c r="AC59" s="97"/>
      <c r="AD59" s="64"/>
      <c r="AE59" s="67"/>
      <c r="AF59" s="103"/>
      <c r="AG59" s="67"/>
      <c r="AH59" s="71"/>
      <c r="AI59" s="108"/>
      <c r="AJ59" s="71"/>
    </row>
    <row r="60" spans="1:37" x14ac:dyDescent="0.25">
      <c r="A60" s="10"/>
      <c r="B60" s="11"/>
      <c r="C60" s="8"/>
      <c r="D60" s="5"/>
      <c r="E60" s="26"/>
      <c r="F60" s="6"/>
      <c r="G60" s="81"/>
      <c r="H60" s="80"/>
      <c r="I60" s="81"/>
      <c r="J60" s="42"/>
      <c r="K60" s="38"/>
      <c r="L60" s="43"/>
      <c r="M60" s="45">
        <v>41790</v>
      </c>
      <c r="N60" s="46">
        <v>3200</v>
      </c>
      <c r="O60" s="7" t="s">
        <v>110</v>
      </c>
      <c r="P60" s="30"/>
      <c r="Q60" s="77"/>
      <c r="R60" s="30"/>
      <c r="S60" s="60"/>
      <c r="T60" s="86"/>
      <c r="U60" s="60"/>
      <c r="V60" s="43"/>
      <c r="W60" s="91"/>
      <c r="X60" s="43"/>
      <c r="Y60" s="75"/>
      <c r="Z60" s="75"/>
      <c r="AA60" s="75"/>
      <c r="AB60" s="64"/>
      <c r="AC60" s="97"/>
      <c r="AD60" s="64"/>
      <c r="AE60" s="67"/>
      <c r="AF60" s="103"/>
      <c r="AG60" s="67"/>
      <c r="AH60" s="71"/>
      <c r="AI60" s="108"/>
      <c r="AJ60" s="71"/>
    </row>
    <row r="61" spans="1:37" ht="15" customHeight="1" x14ac:dyDescent="0.25">
      <c r="A61" s="52"/>
      <c r="B61" s="53"/>
      <c r="C61" s="98"/>
      <c r="D61" s="51"/>
      <c r="E61" s="50"/>
      <c r="F61" s="49"/>
      <c r="G61" s="99"/>
      <c r="H61" s="100"/>
      <c r="I61" s="99"/>
      <c r="J61" s="48"/>
      <c r="K61" s="101"/>
      <c r="L61" s="49"/>
      <c r="M61" s="49"/>
      <c r="N61" s="50"/>
      <c r="O61" s="49"/>
      <c r="P61" s="49"/>
      <c r="Q61" s="50"/>
      <c r="R61" s="49"/>
      <c r="S61" s="49"/>
      <c r="T61" s="50"/>
      <c r="U61" s="49"/>
      <c r="V61" s="49"/>
      <c r="W61" s="50"/>
      <c r="X61" s="49"/>
      <c r="Y61" s="49"/>
      <c r="Z61" s="49"/>
      <c r="AA61" s="49"/>
      <c r="AB61" s="49"/>
      <c r="AC61" s="50"/>
      <c r="AD61" s="49"/>
      <c r="AE61" s="49"/>
      <c r="AF61" s="50"/>
      <c r="AG61" s="49"/>
      <c r="AH61" s="49"/>
      <c r="AI61" s="50"/>
      <c r="AJ61" s="49"/>
      <c r="AK61" s="49"/>
    </row>
    <row r="62" spans="1:37" ht="18.75" customHeight="1" x14ac:dyDescent="0.25">
      <c r="A62" s="52"/>
      <c r="B62" s="53"/>
      <c r="C62" s="98"/>
      <c r="D62" s="51"/>
      <c r="E62" s="50"/>
      <c r="F62" s="49"/>
      <c r="G62" s="99"/>
      <c r="H62" s="100"/>
      <c r="I62" s="99"/>
      <c r="J62" s="48"/>
      <c r="K62" s="101"/>
      <c r="L62" s="49"/>
      <c r="M62" s="49"/>
      <c r="N62" s="50"/>
      <c r="O62" s="49"/>
      <c r="P62" s="49"/>
      <c r="Q62" s="50"/>
      <c r="R62" s="49"/>
      <c r="S62" s="49"/>
      <c r="T62" s="50"/>
      <c r="U62" s="49"/>
      <c r="V62" s="49"/>
      <c r="W62" s="50"/>
      <c r="X62" s="49"/>
      <c r="Y62" s="49"/>
      <c r="Z62" s="49"/>
      <c r="AA62" s="49"/>
      <c r="AB62" s="49"/>
      <c r="AC62" s="50"/>
      <c r="AD62" s="49"/>
      <c r="AE62" s="49"/>
      <c r="AF62" s="50"/>
      <c r="AG62" s="49"/>
      <c r="AH62" s="49"/>
      <c r="AI62" s="50"/>
      <c r="AJ62" s="49"/>
      <c r="AK62" s="49"/>
    </row>
    <row r="63" spans="1:37" x14ac:dyDescent="0.25">
      <c r="A63" s="52"/>
      <c r="B63" s="53"/>
      <c r="C63" s="98"/>
      <c r="D63" s="51"/>
      <c r="E63" s="50"/>
      <c r="F63" s="49"/>
      <c r="G63" s="99"/>
      <c r="H63" s="100"/>
      <c r="I63" s="99"/>
      <c r="J63" s="48"/>
      <c r="K63" s="101"/>
      <c r="L63" s="49"/>
      <c r="M63" s="49"/>
      <c r="N63" s="50"/>
      <c r="O63" s="49"/>
      <c r="P63" s="49"/>
      <c r="Q63" s="50"/>
      <c r="R63" s="49"/>
      <c r="S63" s="49"/>
      <c r="T63" s="50"/>
      <c r="U63" s="49"/>
      <c r="V63" s="49"/>
      <c r="W63" s="50"/>
      <c r="X63" s="49"/>
      <c r="Y63" s="49"/>
      <c r="Z63" s="49"/>
      <c r="AA63" s="49"/>
      <c r="AB63" s="49"/>
      <c r="AC63" s="50"/>
      <c r="AD63" s="49"/>
      <c r="AE63" s="49"/>
      <c r="AF63" s="50"/>
      <c r="AG63" s="49"/>
      <c r="AH63" s="49"/>
      <c r="AI63" s="50"/>
      <c r="AJ63" s="49"/>
      <c r="AK63" s="49"/>
    </row>
    <row r="64" spans="1:37" x14ac:dyDescent="0.25">
      <c r="A64" s="52"/>
      <c r="B64" s="53"/>
      <c r="C64" s="98"/>
      <c r="D64" s="51"/>
      <c r="E64" s="50"/>
      <c r="F64" s="49"/>
      <c r="G64" s="99"/>
      <c r="H64" s="100"/>
      <c r="I64" s="99"/>
      <c r="J64" s="48"/>
      <c r="K64" s="101"/>
      <c r="L64" s="49"/>
      <c r="M64" s="49"/>
      <c r="N64" s="50"/>
      <c r="O64" s="49"/>
      <c r="P64" s="49"/>
      <c r="Q64" s="50"/>
      <c r="R64" s="49"/>
      <c r="S64" s="49"/>
      <c r="T64" s="50"/>
      <c r="U64" s="49"/>
      <c r="V64" s="49"/>
      <c r="W64" s="50"/>
      <c r="X64" s="49"/>
      <c r="Y64" s="49"/>
      <c r="Z64" s="49"/>
      <c r="AA64" s="49"/>
      <c r="AB64" s="49"/>
      <c r="AC64" s="50"/>
      <c r="AD64" s="49"/>
      <c r="AE64" s="49"/>
      <c r="AF64" s="50"/>
      <c r="AG64" s="49"/>
      <c r="AH64" s="49"/>
      <c r="AI64" s="50"/>
      <c r="AJ64" s="49"/>
      <c r="AK64" s="49"/>
    </row>
    <row r="65" spans="1:37" x14ac:dyDescent="0.25">
      <c r="A65" s="52"/>
      <c r="B65" s="53"/>
      <c r="C65" s="98"/>
      <c r="D65" s="51"/>
      <c r="E65" s="50"/>
      <c r="F65" s="49"/>
      <c r="G65" s="99"/>
      <c r="H65" s="100"/>
      <c r="I65" s="99"/>
      <c r="J65" s="48"/>
      <c r="K65" s="101"/>
      <c r="L65" s="49"/>
      <c r="M65" s="49"/>
      <c r="N65" s="50"/>
      <c r="O65" s="49"/>
      <c r="P65" s="49"/>
      <c r="Q65" s="50"/>
      <c r="R65" s="49"/>
      <c r="S65" s="49"/>
      <c r="T65" s="50"/>
      <c r="U65" s="49"/>
      <c r="V65" s="49"/>
      <c r="W65" s="50"/>
      <c r="X65" s="49"/>
      <c r="Y65" s="49"/>
      <c r="Z65" s="49"/>
      <c r="AA65" s="49"/>
      <c r="AB65" s="49"/>
      <c r="AC65" s="50"/>
      <c r="AD65" s="49"/>
      <c r="AE65" s="49"/>
      <c r="AF65" s="50"/>
      <c r="AG65" s="49"/>
      <c r="AH65" s="49"/>
      <c r="AI65" s="50"/>
      <c r="AJ65" s="49"/>
      <c r="AK65" s="49"/>
    </row>
    <row r="66" spans="1:37" x14ac:dyDescent="0.25">
      <c r="A66" s="52"/>
      <c r="B66" s="53"/>
      <c r="C66" s="98"/>
      <c r="D66" s="51"/>
      <c r="E66" s="50"/>
      <c r="F66" s="49"/>
      <c r="G66" s="99"/>
      <c r="H66" s="100"/>
      <c r="I66" s="99"/>
      <c r="J66" s="48"/>
      <c r="K66" s="101"/>
      <c r="L66" s="49"/>
      <c r="M66" s="49"/>
      <c r="N66" s="50"/>
      <c r="O66" s="49"/>
      <c r="P66" s="49"/>
      <c r="Q66" s="50"/>
      <c r="R66" s="49"/>
      <c r="S66" s="49"/>
      <c r="T66" s="50"/>
      <c r="U66" s="49"/>
      <c r="V66" s="49"/>
      <c r="W66" s="50"/>
      <c r="X66" s="49"/>
      <c r="Y66" s="49"/>
      <c r="Z66" s="49"/>
      <c r="AA66" s="49"/>
      <c r="AB66" s="49"/>
      <c r="AC66" s="50"/>
      <c r="AD66" s="49"/>
      <c r="AE66" s="49"/>
      <c r="AF66" s="50"/>
      <c r="AG66" s="49"/>
      <c r="AH66" s="49"/>
      <c r="AI66" s="50"/>
      <c r="AJ66" s="49"/>
      <c r="AK66" s="49"/>
    </row>
    <row r="67" spans="1:37" x14ac:dyDescent="0.25">
      <c r="A67" s="52"/>
      <c r="B67" s="53"/>
      <c r="C67" s="98"/>
      <c r="D67" s="51"/>
      <c r="E67" s="50"/>
      <c r="F67" s="49"/>
      <c r="G67" s="99"/>
      <c r="H67" s="100"/>
      <c r="I67" s="99"/>
      <c r="J67" s="48"/>
      <c r="K67" s="101"/>
      <c r="L67" s="49"/>
      <c r="M67" s="49"/>
      <c r="N67" s="50"/>
      <c r="O67" s="49"/>
      <c r="P67" s="49"/>
      <c r="Q67" s="50"/>
      <c r="R67" s="49"/>
      <c r="S67" s="49"/>
      <c r="T67" s="50"/>
      <c r="U67" s="49"/>
      <c r="V67" s="49"/>
      <c r="W67" s="50"/>
      <c r="X67" s="49"/>
      <c r="Y67" s="49"/>
      <c r="Z67" s="49"/>
      <c r="AA67" s="49"/>
      <c r="AB67" s="49"/>
      <c r="AC67" s="50"/>
      <c r="AD67" s="49"/>
      <c r="AE67" s="49"/>
      <c r="AF67" s="50"/>
      <c r="AG67" s="49"/>
      <c r="AH67" s="49"/>
      <c r="AI67" s="50"/>
      <c r="AJ67" s="49"/>
      <c r="AK67" s="49"/>
    </row>
    <row r="68" spans="1:37" x14ac:dyDescent="0.25">
      <c r="A68" s="52"/>
      <c r="B68" s="53"/>
      <c r="C68" s="98"/>
      <c r="D68" s="51"/>
      <c r="E68" s="50"/>
      <c r="F68" s="49"/>
      <c r="G68" s="99"/>
      <c r="H68" s="100"/>
      <c r="I68" s="99"/>
      <c r="J68" s="48"/>
      <c r="K68" s="101"/>
      <c r="L68" s="49"/>
      <c r="M68" s="49"/>
      <c r="N68" s="50"/>
      <c r="O68" s="49"/>
      <c r="P68" s="49"/>
      <c r="Q68" s="50"/>
      <c r="R68" s="49"/>
      <c r="S68" s="49"/>
      <c r="T68" s="50"/>
      <c r="U68" s="49"/>
      <c r="V68" s="49"/>
      <c r="W68" s="50"/>
      <c r="X68" s="49"/>
      <c r="Y68" s="49"/>
      <c r="Z68" s="49"/>
      <c r="AA68" s="49"/>
      <c r="AB68" s="49"/>
      <c r="AC68" s="50"/>
      <c r="AD68" s="49"/>
      <c r="AE68" s="49"/>
      <c r="AF68" s="49"/>
      <c r="AG68" s="49"/>
      <c r="AH68" s="49"/>
      <c r="AI68" s="49"/>
      <c r="AJ68" s="49"/>
    </row>
    <row r="69" spans="1:37" x14ac:dyDescent="0.25">
      <c r="A69" s="52"/>
      <c r="B69" s="53"/>
      <c r="C69" s="98"/>
      <c r="D69" s="51"/>
      <c r="E69" s="50"/>
      <c r="F69" s="49"/>
      <c r="G69" s="99"/>
      <c r="H69" s="100"/>
      <c r="I69" s="99"/>
      <c r="J69" s="48"/>
      <c r="K69" s="101"/>
      <c r="L69" s="49"/>
      <c r="M69" s="49"/>
      <c r="N69" s="50"/>
      <c r="O69" s="49"/>
      <c r="P69" s="49"/>
      <c r="Q69" s="50"/>
      <c r="R69" s="49"/>
      <c r="S69" s="49"/>
      <c r="T69" s="50"/>
      <c r="U69" s="49"/>
      <c r="V69" s="49"/>
      <c r="W69" s="50"/>
      <c r="X69" s="49"/>
      <c r="Y69" s="49"/>
      <c r="Z69" s="49"/>
      <c r="AA69" s="49"/>
      <c r="AB69" s="49"/>
      <c r="AC69" s="50"/>
      <c r="AD69" s="49"/>
      <c r="AE69" s="49"/>
      <c r="AF69" s="49"/>
      <c r="AG69" s="49"/>
      <c r="AH69" s="49"/>
      <c r="AI69" s="49"/>
      <c r="AJ69" s="49"/>
    </row>
    <row r="70" spans="1:37" x14ac:dyDescent="0.25">
      <c r="A70" s="52"/>
      <c r="B70" s="53"/>
      <c r="C70" s="98"/>
      <c r="D70" s="51"/>
      <c r="E70" s="50"/>
      <c r="F70" s="49"/>
      <c r="G70" s="99"/>
      <c r="H70" s="100"/>
      <c r="I70" s="99"/>
      <c r="J70" s="48"/>
      <c r="K70" s="101"/>
      <c r="L70" s="49"/>
      <c r="M70" s="49"/>
      <c r="N70" s="50"/>
      <c r="O70" s="49"/>
      <c r="P70" s="49"/>
      <c r="Q70" s="50"/>
      <c r="R70" s="49"/>
      <c r="S70" s="49"/>
      <c r="T70" s="50"/>
      <c r="U70" s="49"/>
      <c r="V70" s="49"/>
      <c r="W70" s="50"/>
      <c r="X70" s="49"/>
      <c r="Y70" s="49"/>
      <c r="Z70" s="49"/>
      <c r="AA70" s="49"/>
      <c r="AB70" s="49"/>
      <c r="AC70" s="50"/>
      <c r="AD70" s="49"/>
      <c r="AE70" s="49"/>
      <c r="AF70" s="49"/>
      <c r="AG70" s="49"/>
      <c r="AH70" s="49"/>
      <c r="AI70" s="49"/>
      <c r="AJ70" s="49"/>
    </row>
    <row r="71" spans="1:37" x14ac:dyDescent="0.25">
      <c r="A71" s="52"/>
      <c r="B71" s="53"/>
      <c r="C71" s="98"/>
      <c r="D71" s="51"/>
      <c r="E71" s="50"/>
      <c r="F71" s="49"/>
      <c r="G71" s="99"/>
      <c r="H71" s="100"/>
      <c r="I71" s="99"/>
      <c r="J71" s="48"/>
      <c r="K71" s="101"/>
      <c r="L71" s="49"/>
      <c r="M71" s="49"/>
      <c r="N71" s="50"/>
      <c r="O71" s="49"/>
      <c r="P71" s="49"/>
      <c r="Q71" s="50"/>
      <c r="R71" s="49"/>
      <c r="S71" s="49"/>
      <c r="T71" s="50"/>
      <c r="U71" s="49"/>
      <c r="V71" s="49"/>
      <c r="W71" s="50"/>
      <c r="X71" s="49"/>
      <c r="Y71" s="49"/>
      <c r="Z71" s="49"/>
      <c r="AA71" s="49"/>
      <c r="AB71" s="49"/>
      <c r="AC71" s="50"/>
      <c r="AD71" s="49"/>
      <c r="AE71" s="49"/>
      <c r="AF71" s="49"/>
      <c r="AG71" s="49"/>
      <c r="AH71" s="49"/>
      <c r="AI71" s="49"/>
      <c r="AJ71" s="49"/>
    </row>
    <row r="72" spans="1:37" x14ac:dyDescent="0.25">
      <c r="A72" s="52"/>
      <c r="B72" s="53"/>
      <c r="C72" s="98"/>
      <c r="D72" s="51"/>
      <c r="E72" s="50"/>
      <c r="F72" s="49"/>
      <c r="G72" s="99"/>
      <c r="H72" s="100"/>
      <c r="I72" s="99"/>
      <c r="J72" s="48"/>
      <c r="K72" s="101"/>
      <c r="L72" s="49"/>
      <c r="M72" s="49"/>
      <c r="N72" s="50"/>
      <c r="O72" s="49"/>
      <c r="P72" s="49"/>
      <c r="Q72" s="50"/>
      <c r="R72" s="49"/>
      <c r="S72" s="49"/>
      <c r="T72" s="50"/>
      <c r="U72" s="49"/>
      <c r="V72" s="49"/>
      <c r="W72" s="50"/>
      <c r="X72" s="49"/>
      <c r="Y72" s="49"/>
      <c r="Z72" s="49"/>
      <c r="AA72" s="49"/>
      <c r="AB72" s="49"/>
      <c r="AC72" s="50"/>
      <c r="AD72" s="49"/>
      <c r="AE72" s="49"/>
      <c r="AF72" s="49"/>
      <c r="AG72" s="49"/>
      <c r="AH72" s="49"/>
      <c r="AI72" s="49"/>
      <c r="AJ72" s="49"/>
    </row>
    <row r="73" spans="1:37" x14ac:dyDescent="0.25">
      <c r="A73" s="52"/>
      <c r="B73" s="53"/>
      <c r="C73" s="98"/>
      <c r="D73" s="51"/>
      <c r="E73" s="50"/>
      <c r="F73" s="49"/>
      <c r="G73" s="99"/>
      <c r="H73" s="100"/>
      <c r="I73" s="99"/>
      <c r="J73" s="48"/>
      <c r="K73" s="101"/>
      <c r="L73" s="49"/>
      <c r="M73" s="49"/>
      <c r="N73" s="50"/>
      <c r="O73" s="49"/>
      <c r="P73" s="49"/>
      <c r="Q73" s="50"/>
      <c r="R73" s="49"/>
      <c r="S73" s="49"/>
      <c r="T73" s="50"/>
      <c r="U73" s="49"/>
      <c r="V73" s="49"/>
      <c r="W73" s="50"/>
      <c r="X73" s="49"/>
      <c r="Y73" s="49"/>
      <c r="Z73" s="49"/>
      <c r="AA73" s="49"/>
      <c r="AB73" s="49"/>
      <c r="AC73" s="50"/>
      <c r="AD73" s="49"/>
      <c r="AE73" s="49"/>
      <c r="AF73" s="49"/>
      <c r="AG73" s="49"/>
      <c r="AH73" s="49"/>
      <c r="AI73" s="49"/>
      <c r="AJ73" s="49"/>
    </row>
    <row r="74" spans="1:37" x14ac:dyDescent="0.25">
      <c r="A74" s="52"/>
      <c r="B74" s="53"/>
      <c r="C74" s="98"/>
      <c r="D74" s="51"/>
      <c r="E74" s="50"/>
      <c r="F74" s="49"/>
      <c r="G74" s="99"/>
      <c r="H74" s="100"/>
      <c r="I74" s="99"/>
      <c r="J74" s="48"/>
      <c r="K74" s="101"/>
      <c r="L74" s="49"/>
      <c r="M74" s="49"/>
      <c r="N74" s="50"/>
      <c r="O74" s="49"/>
      <c r="P74" s="49"/>
      <c r="Q74" s="50"/>
      <c r="R74" s="49"/>
      <c r="S74" s="49"/>
      <c r="T74" s="50"/>
      <c r="U74" s="49"/>
      <c r="V74" s="49"/>
      <c r="W74" s="50"/>
      <c r="X74" s="49"/>
      <c r="Y74" s="49"/>
      <c r="Z74" s="49"/>
      <c r="AA74" s="49"/>
      <c r="AB74" s="49"/>
      <c r="AC74" s="50"/>
      <c r="AD74" s="49"/>
      <c r="AE74" s="49"/>
      <c r="AF74" s="49"/>
      <c r="AG74" s="49"/>
      <c r="AH74" s="49"/>
      <c r="AI74" s="49"/>
      <c r="AJ74" s="49"/>
    </row>
    <row r="75" spans="1:37" x14ac:dyDescent="0.25">
      <c r="A75" s="52"/>
      <c r="B75" s="53"/>
      <c r="C75" s="98"/>
      <c r="D75" s="51"/>
      <c r="E75" s="50"/>
      <c r="F75" s="49"/>
      <c r="G75" s="99"/>
      <c r="H75" s="100"/>
      <c r="I75" s="99"/>
      <c r="J75" s="48"/>
      <c r="K75" s="101"/>
      <c r="L75" s="49"/>
      <c r="M75" s="49"/>
      <c r="N75" s="50"/>
      <c r="O75" s="49"/>
      <c r="P75" s="49"/>
      <c r="Q75" s="50"/>
      <c r="R75" s="49"/>
      <c r="S75" s="49"/>
      <c r="T75" s="50"/>
      <c r="U75" s="49"/>
      <c r="V75" s="49"/>
      <c r="W75" s="50"/>
      <c r="X75" s="49"/>
      <c r="Y75" s="49"/>
      <c r="Z75" s="49"/>
      <c r="AA75" s="49"/>
      <c r="AB75" s="49"/>
      <c r="AC75" s="50"/>
      <c r="AD75" s="49"/>
      <c r="AE75" s="49"/>
      <c r="AF75" s="49"/>
      <c r="AG75" s="49"/>
      <c r="AH75" s="49"/>
      <c r="AI75" s="49"/>
      <c r="AJ75" s="49"/>
    </row>
    <row r="76" spans="1:37" x14ac:dyDescent="0.25">
      <c r="A76" s="52"/>
      <c r="B76" s="53"/>
      <c r="C76" s="98"/>
      <c r="D76" s="51"/>
      <c r="E76" s="50"/>
      <c r="F76" s="49"/>
      <c r="G76" s="99"/>
      <c r="H76" s="100"/>
      <c r="I76" s="99"/>
      <c r="J76" s="48"/>
      <c r="K76" s="101"/>
      <c r="L76" s="49"/>
      <c r="M76" s="49"/>
      <c r="N76" s="50"/>
      <c r="O76" s="49"/>
      <c r="P76" s="49"/>
      <c r="Q76" s="50"/>
      <c r="R76" s="49"/>
      <c r="S76" s="49"/>
      <c r="T76" s="50"/>
      <c r="U76" s="49"/>
      <c r="V76" s="49"/>
      <c r="W76" s="50"/>
      <c r="X76" s="49"/>
      <c r="Y76" s="49"/>
      <c r="Z76" s="49"/>
      <c r="AA76" s="49"/>
      <c r="AB76" s="49"/>
      <c r="AC76" s="50"/>
      <c r="AD76" s="49"/>
      <c r="AE76" s="49"/>
      <c r="AF76" s="49"/>
      <c r="AG76" s="49"/>
      <c r="AH76" s="49"/>
      <c r="AI76" s="49"/>
      <c r="AJ76" s="49"/>
    </row>
    <row r="77" spans="1:37" x14ac:dyDescent="0.25">
      <c r="A77" s="52"/>
      <c r="B77" s="53"/>
      <c r="C77" s="49"/>
      <c r="D77" s="51"/>
      <c r="E77" s="50"/>
      <c r="F77" s="49"/>
      <c r="G77" s="51"/>
      <c r="H77" s="50"/>
      <c r="I77" s="49"/>
      <c r="J77" s="51"/>
      <c r="K77" s="49"/>
      <c r="L77" s="49"/>
      <c r="M77" s="49"/>
      <c r="N77" s="50"/>
      <c r="O77" s="49"/>
      <c r="P77" s="49"/>
      <c r="AB77" s="49"/>
      <c r="AC77" s="50"/>
      <c r="AD77" s="49"/>
      <c r="AE77" s="49"/>
      <c r="AF77" s="49"/>
      <c r="AG77" s="49"/>
      <c r="AH77" s="49"/>
      <c r="AI77" s="49"/>
      <c r="AJ77" s="49"/>
    </row>
    <row r="78" spans="1:37" x14ac:dyDescent="0.25">
      <c r="A78" s="52"/>
      <c r="B78" s="53"/>
      <c r="C78" s="49"/>
      <c r="D78" s="51"/>
      <c r="E78" s="50"/>
      <c r="F78" s="49"/>
      <c r="G78" s="51"/>
      <c r="H78" s="50"/>
      <c r="I78" s="49"/>
      <c r="J78" s="51"/>
      <c r="K78" s="49"/>
      <c r="L78" s="49"/>
      <c r="M78" s="49"/>
      <c r="N78" s="50"/>
      <c r="O78" s="49"/>
      <c r="P78" s="49"/>
      <c r="AB78" s="49"/>
      <c r="AC78" s="50"/>
      <c r="AD78" s="49"/>
      <c r="AE78" s="49"/>
      <c r="AF78" s="49"/>
      <c r="AG78" s="49"/>
      <c r="AH78" s="49"/>
      <c r="AI78" s="49"/>
      <c r="AJ78" s="49"/>
    </row>
    <row r="79" spans="1:37" x14ac:dyDescent="0.25">
      <c r="A79" s="52"/>
      <c r="B79" s="53"/>
      <c r="C79" s="49"/>
      <c r="D79" s="51"/>
      <c r="E79" s="50"/>
      <c r="F79" s="49"/>
      <c r="G79" s="51"/>
      <c r="H79" s="50"/>
      <c r="I79" s="49"/>
      <c r="J79" s="51"/>
      <c r="K79" s="49"/>
      <c r="L79" s="49"/>
      <c r="M79" s="49"/>
      <c r="N79" s="50"/>
      <c r="O79" s="49"/>
      <c r="P79" s="49"/>
      <c r="AE79" s="49"/>
      <c r="AF79" s="49"/>
      <c r="AG79" s="49"/>
      <c r="AH79" s="49"/>
      <c r="AI79" s="49"/>
      <c r="AJ79" s="49"/>
    </row>
    <row r="80" spans="1:37" x14ac:dyDescent="0.25">
      <c r="A80" s="52"/>
      <c r="B80" s="53"/>
      <c r="C80" s="49"/>
      <c r="D80" s="51"/>
      <c r="E80" s="49"/>
      <c r="F80" s="49"/>
      <c r="G80" s="51"/>
      <c r="H80" s="50"/>
      <c r="I80" s="49"/>
      <c r="J80" s="51"/>
      <c r="K80" s="49"/>
      <c r="L80" s="49"/>
      <c r="M80" s="49"/>
      <c r="N80" s="50"/>
      <c r="O80" s="49"/>
      <c r="P80" s="49"/>
      <c r="AE80" s="49"/>
      <c r="AF80" s="49"/>
      <c r="AG80" s="49"/>
      <c r="AH80" s="49"/>
      <c r="AI80" s="49"/>
      <c r="AJ80" s="49"/>
    </row>
    <row r="81" spans="1:36" x14ac:dyDescent="0.25">
      <c r="A81" s="52"/>
      <c r="B81" s="53"/>
      <c r="C81" s="49"/>
      <c r="D81" s="51"/>
      <c r="E81" s="49"/>
      <c r="F81" s="49"/>
      <c r="G81" s="51"/>
      <c r="H81" s="50"/>
      <c r="I81" s="49"/>
      <c r="J81" s="51"/>
      <c r="K81" s="49"/>
      <c r="L81" s="49"/>
      <c r="M81" s="49"/>
      <c r="N81" s="50"/>
      <c r="O81" s="49"/>
      <c r="P81" s="49"/>
      <c r="AE81" s="49"/>
      <c r="AF81" s="49"/>
      <c r="AG81" s="49"/>
      <c r="AH81" s="49"/>
      <c r="AI81" s="49"/>
      <c r="AJ81" s="49"/>
    </row>
    <row r="82" spans="1:36" x14ac:dyDescent="0.25">
      <c r="A82" s="51"/>
      <c r="B82" s="53"/>
      <c r="C82" s="49"/>
      <c r="D82" s="51"/>
      <c r="E82" s="49"/>
      <c r="F82" s="49"/>
      <c r="G82" s="51"/>
      <c r="H82" s="50"/>
      <c r="I82" s="49"/>
      <c r="J82" s="51"/>
      <c r="K82" s="49"/>
      <c r="L82" s="49"/>
      <c r="M82" s="49"/>
      <c r="N82" s="50"/>
      <c r="O82" s="49"/>
      <c r="P82" s="49"/>
      <c r="AH82" s="49"/>
      <c r="AI82" s="49"/>
      <c r="AJ82" s="49"/>
    </row>
    <row r="83" spans="1:36" x14ac:dyDescent="0.25">
      <c r="A83" s="51"/>
      <c r="B83" s="53"/>
      <c r="C83" s="53"/>
      <c r="D83" s="51"/>
      <c r="E83" s="49"/>
      <c r="F83" s="49"/>
      <c r="G83" s="51"/>
      <c r="H83" s="50"/>
      <c r="I83" s="49"/>
      <c r="J83" s="51"/>
      <c r="K83" s="49"/>
      <c r="L83" s="49"/>
      <c r="M83" s="49"/>
      <c r="N83" s="50"/>
      <c r="O83" s="49"/>
      <c r="P83" s="49"/>
      <c r="AH83" s="49"/>
      <c r="AI83" s="49"/>
      <c r="AJ83" s="49"/>
    </row>
    <row r="84" spans="1:36" x14ac:dyDescent="0.25">
      <c r="A84" s="51"/>
      <c r="B84" s="51"/>
      <c r="C84" s="49"/>
      <c r="D84" s="51"/>
      <c r="E84" s="49"/>
      <c r="F84" s="49"/>
      <c r="G84" s="51"/>
      <c r="H84" s="50"/>
      <c r="I84" s="49"/>
      <c r="J84" s="51"/>
      <c r="K84" s="49"/>
      <c r="L84" s="49"/>
      <c r="M84" s="49"/>
      <c r="N84" s="50"/>
      <c r="O84" s="49"/>
      <c r="P84" s="49"/>
    </row>
    <row r="85" spans="1:36" x14ac:dyDescent="0.25">
      <c r="A85" s="51"/>
      <c r="B85" s="53"/>
      <c r="C85" s="49"/>
      <c r="D85" s="51"/>
      <c r="E85" s="49"/>
      <c r="F85" s="49"/>
      <c r="G85" s="51"/>
      <c r="H85" s="50"/>
      <c r="I85" s="49"/>
      <c r="J85" s="51"/>
      <c r="K85" s="49"/>
      <c r="L85" s="49"/>
      <c r="M85" s="49"/>
      <c r="N85" s="50"/>
      <c r="O85" s="49"/>
      <c r="P85" s="49"/>
    </row>
    <row r="86" spans="1:36" x14ac:dyDescent="0.25">
      <c r="A86" s="51"/>
      <c r="B86" s="53"/>
      <c r="C86" s="49"/>
      <c r="D86" s="51"/>
      <c r="E86" s="49"/>
      <c r="F86" s="49"/>
      <c r="G86" s="51"/>
      <c r="H86" s="50"/>
      <c r="I86" s="49"/>
      <c r="J86" s="51"/>
      <c r="P86" s="49"/>
    </row>
    <row r="87" spans="1:36" x14ac:dyDescent="0.25">
      <c r="A87" s="51"/>
      <c r="B87" s="53"/>
      <c r="C87" s="49"/>
      <c r="D87" s="51"/>
      <c r="E87" s="49"/>
      <c r="F87" s="49"/>
      <c r="G87" s="51"/>
      <c r="H87" s="50"/>
      <c r="I87" s="49"/>
      <c r="J87" s="51"/>
      <c r="P87" s="49"/>
    </row>
    <row r="88" spans="1:36" x14ac:dyDescent="0.25">
      <c r="A88" s="51"/>
      <c r="B88" s="53"/>
      <c r="C88" s="49"/>
      <c r="D88" s="51"/>
      <c r="E88" s="49"/>
      <c r="F88" s="49"/>
      <c r="G88" s="51"/>
      <c r="H88" s="50"/>
      <c r="I88" s="49"/>
      <c r="J88" s="51"/>
      <c r="P88" s="49"/>
    </row>
    <row r="89" spans="1:36" x14ac:dyDescent="0.25">
      <c r="A89" s="51"/>
      <c r="B89" s="53"/>
      <c r="C89" s="49"/>
      <c r="D89" s="51"/>
      <c r="E89" s="49"/>
      <c r="F89" s="49"/>
      <c r="G89" s="51"/>
      <c r="H89" s="50"/>
      <c r="I89" s="49"/>
      <c r="J89" s="51"/>
      <c r="P89" s="49"/>
    </row>
    <row r="90" spans="1:36" x14ac:dyDescent="0.25">
      <c r="A90" s="51"/>
      <c r="B90" s="53"/>
      <c r="C90" s="49"/>
      <c r="D90" s="51"/>
      <c r="E90" s="49"/>
      <c r="F90" s="49"/>
      <c r="G90" s="51"/>
      <c r="H90" s="50"/>
      <c r="I90" s="49"/>
      <c r="J90" s="51"/>
      <c r="P90" s="49"/>
    </row>
    <row r="91" spans="1:36" x14ac:dyDescent="0.25">
      <c r="A91" s="51"/>
      <c r="B91" s="53"/>
      <c r="C91" s="49"/>
      <c r="D91" s="51"/>
      <c r="E91" s="49"/>
      <c r="F91" s="49"/>
      <c r="G91" s="51"/>
      <c r="H91" s="50"/>
      <c r="I91" s="49"/>
      <c r="J91" s="51"/>
    </row>
    <row r="92" spans="1:36" x14ac:dyDescent="0.25">
      <c r="A92" s="51"/>
      <c r="B92" s="53"/>
      <c r="C92" s="49"/>
      <c r="D92" s="51"/>
      <c r="E92" s="49"/>
      <c r="F92" s="49"/>
      <c r="G92" s="51"/>
      <c r="H92" s="50"/>
      <c r="I92" s="49"/>
      <c r="J92" s="51"/>
    </row>
    <row r="93" spans="1:36" x14ac:dyDescent="0.25">
      <c r="A93" s="51"/>
      <c r="B93" s="53"/>
      <c r="C93" s="49"/>
      <c r="D93" s="51"/>
      <c r="E93" s="49"/>
      <c r="F93" s="49"/>
      <c r="G93" s="51"/>
      <c r="H93" s="50"/>
      <c r="I93" s="49"/>
      <c r="J93" s="51"/>
    </row>
    <row r="94" spans="1:36" x14ac:dyDescent="0.25">
      <c r="A94" s="51"/>
      <c r="B94" s="53"/>
      <c r="C94" s="49"/>
      <c r="D94" s="51"/>
      <c r="E94" s="49"/>
      <c r="F94" s="49"/>
      <c r="G94" s="51"/>
      <c r="H94" s="50"/>
      <c r="I94" s="49"/>
      <c r="J94" s="51"/>
    </row>
    <row r="95" spans="1:36" x14ac:dyDescent="0.25">
      <c r="A95" s="51"/>
      <c r="B95" s="53"/>
      <c r="C95" s="49"/>
      <c r="D95" s="51"/>
      <c r="E95" s="49"/>
      <c r="F95" s="49"/>
      <c r="G95" s="51"/>
      <c r="H95" s="50"/>
      <c r="I95" s="49"/>
      <c r="J95" s="51"/>
    </row>
    <row r="96" spans="1:36" x14ac:dyDescent="0.25">
      <c r="A96" s="51"/>
      <c r="B96" s="53"/>
      <c r="C96" s="49"/>
      <c r="D96" s="51"/>
      <c r="E96" s="49"/>
      <c r="F96" s="49"/>
      <c r="G96" s="51"/>
      <c r="H96" s="50"/>
      <c r="I96" s="49"/>
      <c r="J96" s="51"/>
    </row>
    <row r="97" spans="1:10" x14ac:dyDescent="0.25">
      <c r="A97" s="51"/>
      <c r="B97" s="53"/>
      <c r="C97" s="49"/>
      <c r="D97" s="51"/>
      <c r="E97" s="49"/>
      <c r="F97" s="49"/>
      <c r="G97" s="51"/>
      <c r="H97" s="50"/>
      <c r="I97" s="49"/>
      <c r="J97" s="51"/>
    </row>
    <row r="98" spans="1:10" x14ac:dyDescent="0.25">
      <c r="A98" s="51"/>
      <c r="B98" s="53"/>
      <c r="C98" s="49"/>
      <c r="D98" s="51"/>
      <c r="E98" s="49"/>
      <c r="F98" s="49"/>
      <c r="G98" s="51"/>
      <c r="H98" s="50"/>
      <c r="I98" s="49"/>
      <c r="J98" s="51"/>
    </row>
    <row r="99" spans="1:10" x14ac:dyDescent="0.25">
      <c r="A99" s="51"/>
      <c r="B99" s="53"/>
      <c r="C99" s="49"/>
      <c r="D99" s="51"/>
      <c r="E99" s="49"/>
      <c r="F99" s="49"/>
      <c r="G99" s="51"/>
      <c r="H99" s="50"/>
      <c r="I99" s="49"/>
      <c r="J99" s="51"/>
    </row>
    <row r="100" spans="1:10" x14ac:dyDescent="0.25">
      <c r="A100" s="51"/>
      <c r="B100" s="53"/>
      <c r="C100" s="49"/>
      <c r="D100" s="51"/>
      <c r="E100" s="49"/>
      <c r="F100" s="49"/>
      <c r="G100" s="51"/>
      <c r="H100" s="50"/>
      <c r="I100" s="49"/>
      <c r="J100" s="51"/>
    </row>
    <row r="101" spans="1:10" x14ac:dyDescent="0.25">
      <c r="A101" s="51"/>
      <c r="B101" s="53"/>
      <c r="C101" s="49"/>
      <c r="D101" s="51"/>
      <c r="E101" s="49"/>
      <c r="F101" s="49"/>
      <c r="G101" s="51"/>
      <c r="H101" s="50"/>
      <c r="I101" s="49"/>
      <c r="J101" s="51"/>
    </row>
    <row r="102" spans="1:10" x14ac:dyDescent="0.25">
      <c r="A102" s="51"/>
      <c r="B102" s="53"/>
      <c r="C102" s="49"/>
      <c r="D102" s="51"/>
      <c r="E102" s="49"/>
      <c r="F102" s="49"/>
      <c r="G102" s="51"/>
      <c r="H102" s="50"/>
      <c r="I102" s="49"/>
      <c r="J102" s="51"/>
    </row>
    <row r="103" spans="1:10" x14ac:dyDescent="0.25">
      <c r="A103" s="51"/>
      <c r="B103" s="53"/>
      <c r="C103" s="49"/>
      <c r="D103" s="51"/>
      <c r="E103" s="49"/>
      <c r="F103" s="49"/>
      <c r="G103" s="51"/>
      <c r="H103" s="50"/>
      <c r="I103" s="49"/>
      <c r="J103" s="51"/>
    </row>
    <row r="104" spans="1:10" x14ac:dyDescent="0.25">
      <c r="A104" s="51"/>
      <c r="B104" s="53"/>
      <c r="C104" s="49"/>
      <c r="D104" s="51"/>
      <c r="E104" s="49"/>
      <c r="F104" s="49"/>
      <c r="G104" s="51"/>
      <c r="H104" s="50"/>
      <c r="I104" s="49"/>
      <c r="J104" s="51"/>
    </row>
    <row r="105" spans="1:10" x14ac:dyDescent="0.25">
      <c r="A105" s="51"/>
      <c r="B105" s="53"/>
      <c r="C105" s="49"/>
      <c r="D105" s="51"/>
      <c r="E105" s="49"/>
      <c r="F105" s="49"/>
      <c r="G105" s="51"/>
      <c r="H105" s="50"/>
      <c r="I105" s="49"/>
      <c r="J105" s="51"/>
    </row>
    <row r="106" spans="1:10" x14ac:dyDescent="0.25">
      <c r="A106" s="51"/>
      <c r="B106" s="53"/>
      <c r="C106" s="49"/>
      <c r="D106" s="51"/>
      <c r="E106" s="49"/>
      <c r="F106" s="49"/>
      <c r="G106" s="51"/>
      <c r="H106" s="50"/>
      <c r="I106" s="49"/>
      <c r="J106" s="51"/>
    </row>
    <row r="107" spans="1:10" x14ac:dyDescent="0.25">
      <c r="A107" s="51"/>
      <c r="B107" s="53"/>
      <c r="C107" s="49"/>
      <c r="D107" s="51"/>
      <c r="E107" s="49"/>
      <c r="F107" s="49"/>
      <c r="G107" s="51"/>
      <c r="H107" s="50"/>
      <c r="I107" s="49"/>
      <c r="J107" s="51"/>
    </row>
    <row r="108" spans="1:10" x14ac:dyDescent="0.25">
      <c r="A108" s="51"/>
      <c r="B108" s="53"/>
      <c r="C108" s="49"/>
      <c r="D108" s="51"/>
      <c r="E108" s="49"/>
      <c r="F108" s="49"/>
      <c r="G108" s="51"/>
      <c r="H108" s="50"/>
      <c r="I108" s="49"/>
      <c r="J108" s="51"/>
    </row>
    <row r="109" spans="1:10" x14ac:dyDescent="0.25">
      <c r="A109" s="51"/>
      <c r="B109" s="53"/>
      <c r="C109" s="49"/>
      <c r="D109" s="51"/>
      <c r="E109" s="49"/>
      <c r="F109" s="49"/>
      <c r="G109" s="51"/>
      <c r="H109" s="50"/>
      <c r="I109" s="49"/>
      <c r="J109" s="51"/>
    </row>
    <row r="110" spans="1:10" x14ac:dyDescent="0.25">
      <c r="A110" s="51"/>
      <c r="B110" s="53"/>
      <c r="C110" s="49"/>
      <c r="D110" s="51"/>
      <c r="E110" s="49"/>
      <c r="F110" s="49"/>
      <c r="G110" s="51"/>
      <c r="H110" s="50"/>
      <c r="I110" s="49"/>
      <c r="J110" s="51"/>
    </row>
    <row r="111" spans="1:10" x14ac:dyDescent="0.25">
      <c r="A111" s="51"/>
      <c r="B111" s="53"/>
      <c r="C111" s="49"/>
      <c r="D111" s="51"/>
      <c r="E111" s="49"/>
      <c r="F111" s="49"/>
      <c r="G111" s="51"/>
      <c r="H111" s="50"/>
      <c r="I111" s="49"/>
      <c r="J111" s="51"/>
    </row>
    <row r="112" spans="1:10" x14ac:dyDescent="0.25">
      <c r="A112" s="51"/>
      <c r="B112" s="53"/>
      <c r="C112" s="49"/>
      <c r="D112" s="51"/>
      <c r="E112" s="49"/>
      <c r="F112" s="49"/>
      <c r="G112" s="51"/>
      <c r="H112" s="50"/>
      <c r="I112" s="49"/>
      <c r="J112" s="51"/>
    </row>
    <row r="113" spans="1:10" x14ac:dyDescent="0.25">
      <c r="A113" s="51"/>
      <c r="B113" s="53"/>
      <c r="C113" s="49"/>
      <c r="D113" s="51"/>
      <c r="E113" s="49"/>
      <c r="F113" s="49"/>
      <c r="G113" s="51"/>
      <c r="H113" s="50"/>
      <c r="I113" s="49"/>
      <c r="J113" s="51"/>
    </row>
    <row r="114" spans="1:10" x14ac:dyDescent="0.25">
      <c r="A114" s="51"/>
      <c r="B114" s="53"/>
      <c r="C114" s="49"/>
      <c r="D114" s="51"/>
      <c r="E114" s="49"/>
      <c r="F114" s="49"/>
      <c r="G114" s="51"/>
      <c r="H114" s="50"/>
      <c r="I114" s="49"/>
      <c r="J114" s="51"/>
    </row>
    <row r="115" spans="1:10" x14ac:dyDescent="0.25">
      <c r="A115" s="51"/>
      <c r="B115" s="53"/>
      <c r="C115" s="49"/>
      <c r="D115" s="51"/>
      <c r="E115" s="49"/>
      <c r="F115" s="49"/>
      <c r="G115" s="51"/>
      <c r="H115" s="50"/>
      <c r="I115" s="49"/>
      <c r="J115" s="51"/>
    </row>
    <row r="116" spans="1:10" x14ac:dyDescent="0.25">
      <c r="A116" s="51"/>
      <c r="B116" s="53"/>
      <c r="C116" s="49"/>
      <c r="D116" s="51"/>
      <c r="E116" s="49"/>
      <c r="F116" s="49"/>
      <c r="G116" s="51"/>
      <c r="H116" s="50"/>
      <c r="I116" s="49"/>
      <c r="J116" s="51"/>
    </row>
    <row r="117" spans="1:10" x14ac:dyDescent="0.25">
      <c r="A117" s="51"/>
      <c r="B117" s="53"/>
      <c r="C117" s="49"/>
      <c r="D117" s="51"/>
      <c r="E117" s="49"/>
      <c r="F117" s="49"/>
      <c r="G117" s="51"/>
      <c r="H117" s="50"/>
      <c r="I117" s="49"/>
      <c r="J117" s="51"/>
    </row>
    <row r="118" spans="1:10" x14ac:dyDescent="0.25">
      <c r="A118" s="51"/>
      <c r="B118" s="53"/>
      <c r="C118" s="49"/>
      <c r="D118" s="51"/>
      <c r="E118" s="49"/>
      <c r="F118" s="49"/>
      <c r="G118" s="51"/>
      <c r="H118" s="50"/>
      <c r="I118" s="49"/>
      <c r="J118" s="51"/>
    </row>
    <row r="119" spans="1:10" x14ac:dyDescent="0.25">
      <c r="A119" s="51"/>
      <c r="B119" s="53"/>
      <c r="C119" s="49"/>
      <c r="D119" s="51"/>
      <c r="E119" s="49"/>
      <c r="F119" s="49"/>
      <c r="G119" s="51"/>
      <c r="H119" s="50"/>
      <c r="I119" s="49"/>
      <c r="J119" s="51"/>
    </row>
    <row r="120" spans="1:10" x14ac:dyDescent="0.25">
      <c r="A120" s="51"/>
      <c r="B120" s="53"/>
      <c r="C120" s="49"/>
      <c r="D120" s="51"/>
      <c r="E120" s="49"/>
      <c r="F120" s="49"/>
      <c r="G120" s="51"/>
      <c r="H120" s="50"/>
      <c r="I120" s="49"/>
      <c r="J120" s="51"/>
    </row>
    <row r="121" spans="1:10" x14ac:dyDescent="0.25">
      <c r="A121" s="51"/>
      <c r="B121" s="53"/>
      <c r="C121" s="49"/>
      <c r="D121" s="51"/>
      <c r="E121" s="49"/>
      <c r="F121" s="49"/>
      <c r="G121" s="51"/>
      <c r="H121" s="50"/>
      <c r="I121" s="49"/>
      <c r="J121" s="51"/>
    </row>
    <row r="122" spans="1:10" x14ac:dyDescent="0.25">
      <c r="A122" s="51"/>
      <c r="B122" s="53"/>
      <c r="C122" s="49"/>
      <c r="D122" s="51"/>
      <c r="E122" s="49"/>
      <c r="F122" s="49"/>
      <c r="G122" s="51"/>
      <c r="H122" s="50"/>
      <c r="I122" s="49"/>
      <c r="J122" s="51"/>
    </row>
    <row r="123" spans="1:10" x14ac:dyDescent="0.25">
      <c r="A123" s="51"/>
      <c r="B123" s="53"/>
      <c r="C123" s="49"/>
      <c r="D123" s="51"/>
      <c r="E123" s="49"/>
      <c r="F123" s="49"/>
      <c r="G123" s="51"/>
      <c r="H123" s="50"/>
      <c r="I123" s="49"/>
      <c r="J123" s="51"/>
    </row>
    <row r="124" spans="1:10" x14ac:dyDescent="0.25">
      <c r="A124" s="51"/>
      <c r="B124" s="53"/>
      <c r="C124" s="49"/>
      <c r="D124" s="51"/>
      <c r="E124" s="49"/>
      <c r="F124" s="49"/>
      <c r="G124" s="51"/>
      <c r="H124" s="50"/>
      <c r="I124" s="49"/>
      <c r="J124" s="51"/>
    </row>
    <row r="125" spans="1:10" x14ac:dyDescent="0.25">
      <c r="A125" s="51"/>
      <c r="B125" s="53"/>
      <c r="C125" s="49"/>
      <c r="D125" s="51"/>
      <c r="E125" s="49"/>
      <c r="F125" s="49"/>
      <c r="G125" s="51"/>
      <c r="H125" s="50"/>
      <c r="I125" s="49"/>
      <c r="J125" s="51"/>
    </row>
    <row r="126" spans="1:10" x14ac:dyDescent="0.25">
      <c r="A126" s="51"/>
      <c r="B126" s="53"/>
      <c r="C126" s="49"/>
      <c r="D126" s="51"/>
      <c r="E126" s="49"/>
      <c r="F126" s="49"/>
      <c r="G126" s="51"/>
      <c r="H126" s="50"/>
      <c r="I126" s="49"/>
      <c r="J126" s="51"/>
    </row>
    <row r="127" spans="1:10" x14ac:dyDescent="0.25">
      <c r="A127" s="51"/>
      <c r="B127" s="53"/>
      <c r="C127" s="49"/>
      <c r="D127" s="51"/>
      <c r="E127" s="49"/>
      <c r="F127" s="49"/>
      <c r="G127" s="51"/>
      <c r="H127" s="50"/>
      <c r="I127" s="49"/>
      <c r="J127" s="51"/>
    </row>
    <row r="128" spans="1:10" x14ac:dyDescent="0.25">
      <c r="A128" s="51"/>
      <c r="B128" s="53"/>
      <c r="C128" s="49"/>
      <c r="D128" s="51"/>
      <c r="E128" s="49"/>
      <c r="F128" s="49"/>
      <c r="G128" s="51"/>
      <c r="H128" s="50"/>
      <c r="I128" s="49"/>
      <c r="J128" s="51"/>
    </row>
    <row r="129" spans="1:10" x14ac:dyDescent="0.25">
      <c r="A129" s="51"/>
      <c r="B129" s="53"/>
      <c r="C129" s="49"/>
      <c r="D129" s="51"/>
      <c r="E129" s="49"/>
      <c r="F129" s="49"/>
      <c r="G129" s="51"/>
      <c r="H129" s="50"/>
      <c r="I129" s="49"/>
      <c r="J129" s="51"/>
    </row>
    <row r="130" spans="1:10" x14ac:dyDescent="0.25">
      <c r="A130" s="51"/>
      <c r="B130" s="53"/>
      <c r="C130" s="49"/>
      <c r="D130" s="51"/>
      <c r="E130" s="49"/>
      <c r="F130" s="49"/>
      <c r="G130" s="51"/>
      <c r="H130" s="50"/>
      <c r="I130" s="49"/>
      <c r="J130" s="51"/>
    </row>
    <row r="131" spans="1:10" x14ac:dyDescent="0.25">
      <c r="A131" s="51"/>
      <c r="B131" s="53"/>
      <c r="C131" s="49"/>
      <c r="D131" s="51"/>
      <c r="E131" s="49"/>
      <c r="F131" s="49"/>
      <c r="G131" s="51"/>
      <c r="H131" s="50"/>
      <c r="I131" s="49"/>
      <c r="J131" s="51"/>
    </row>
    <row r="132" spans="1:10" x14ac:dyDescent="0.25">
      <c r="A132" s="51"/>
      <c r="B132" s="53"/>
      <c r="C132" s="49"/>
      <c r="D132" s="51"/>
      <c r="E132" s="49"/>
      <c r="F132" s="49"/>
      <c r="G132" s="51"/>
      <c r="H132" s="50"/>
      <c r="I132" s="49"/>
      <c r="J132" s="51"/>
    </row>
    <row r="133" spans="1:10" x14ac:dyDescent="0.25">
      <c r="A133" s="51"/>
      <c r="B133" s="53"/>
      <c r="C133" s="49"/>
      <c r="D133" s="51"/>
      <c r="E133" s="49"/>
      <c r="F133" s="49"/>
      <c r="G133" s="51"/>
      <c r="H133" s="50"/>
      <c r="I133" s="49"/>
      <c r="J133" s="51"/>
    </row>
    <row r="134" spans="1:10" x14ac:dyDescent="0.25">
      <c r="A134" s="51"/>
      <c r="B134" s="53"/>
      <c r="C134" s="49"/>
      <c r="D134" s="51"/>
      <c r="E134" s="49"/>
      <c r="F134" s="49"/>
      <c r="G134" s="51"/>
      <c r="H134" s="50"/>
      <c r="I134" s="49"/>
      <c r="J134" s="51"/>
    </row>
    <row r="135" spans="1:10" x14ac:dyDescent="0.25">
      <c r="A135" s="51"/>
      <c r="B135" s="53"/>
      <c r="C135" s="49"/>
      <c r="D135" s="51"/>
      <c r="E135" s="49"/>
      <c r="F135" s="49"/>
      <c r="G135" s="51"/>
      <c r="H135" s="50"/>
      <c r="I135" s="49"/>
      <c r="J135" s="51"/>
    </row>
    <row r="136" spans="1:10" x14ac:dyDescent="0.25">
      <c r="A136" s="51"/>
      <c r="B136" s="53"/>
      <c r="C136" s="49"/>
      <c r="D136" s="51"/>
      <c r="E136" s="49"/>
      <c r="F136" s="49"/>
      <c r="G136" s="51"/>
      <c r="H136" s="50"/>
      <c r="I136" s="49"/>
      <c r="J136" s="51"/>
    </row>
    <row r="137" spans="1:10" x14ac:dyDescent="0.25">
      <c r="A137" s="51"/>
      <c r="B137" s="53"/>
      <c r="C137" s="49"/>
      <c r="D137" s="51"/>
      <c r="E137" s="49"/>
      <c r="F137" s="49"/>
      <c r="G137" s="51"/>
      <c r="H137" s="50"/>
      <c r="I137" s="49"/>
      <c r="J137" s="51"/>
    </row>
    <row r="138" spans="1:10" x14ac:dyDescent="0.25">
      <c r="A138" s="51"/>
      <c r="B138" s="53"/>
      <c r="C138" s="49"/>
      <c r="D138" s="51"/>
      <c r="E138" s="49"/>
      <c r="F138" s="49"/>
      <c r="G138" s="51"/>
      <c r="H138" s="50"/>
      <c r="I138" s="49"/>
      <c r="J138" s="51"/>
    </row>
    <row r="139" spans="1:10" x14ac:dyDescent="0.25">
      <c r="A139" s="51"/>
      <c r="B139" s="53"/>
      <c r="C139" s="49"/>
      <c r="D139" s="51"/>
      <c r="E139" s="49"/>
      <c r="F139" s="49"/>
      <c r="G139" s="51"/>
      <c r="H139" s="50"/>
      <c r="I139" s="49"/>
      <c r="J139" s="51"/>
    </row>
    <row r="140" spans="1:10" x14ac:dyDescent="0.25">
      <c r="A140" s="51"/>
      <c r="B140" s="53"/>
      <c r="C140" s="49"/>
      <c r="D140" s="51"/>
      <c r="E140" s="49"/>
      <c r="F140" s="49"/>
      <c r="G140" s="51"/>
      <c r="H140" s="50"/>
      <c r="I140" s="49"/>
      <c r="J140" s="51"/>
    </row>
    <row r="141" spans="1:10" x14ac:dyDescent="0.25">
      <c r="A141" s="51"/>
      <c r="B141" s="53"/>
      <c r="C141" s="49"/>
      <c r="D141" s="51"/>
      <c r="E141" s="49"/>
      <c r="F141" s="49"/>
      <c r="G141" s="51"/>
      <c r="H141" s="50"/>
      <c r="I141" s="49"/>
      <c r="J141" s="51"/>
    </row>
    <row r="142" spans="1:10" x14ac:dyDescent="0.25">
      <c r="A142" s="51"/>
      <c r="B142" s="53"/>
      <c r="C142" s="49"/>
      <c r="D142" s="51"/>
      <c r="E142" s="49"/>
      <c r="F142" s="49"/>
      <c r="G142" s="51"/>
      <c r="H142" s="50"/>
      <c r="I142" s="49"/>
      <c r="J142" s="51"/>
    </row>
    <row r="143" spans="1:10" x14ac:dyDescent="0.25">
      <c r="A143" s="51"/>
      <c r="B143" s="53"/>
      <c r="C143" s="49"/>
      <c r="D143" s="51"/>
      <c r="E143" s="49"/>
      <c r="F143" s="49"/>
      <c r="G143" s="51"/>
      <c r="H143" s="50"/>
      <c r="I143" s="49"/>
      <c r="J143" s="51"/>
    </row>
    <row r="144" spans="1:10" x14ac:dyDescent="0.25">
      <c r="A144" s="51"/>
      <c r="B144" s="53"/>
      <c r="C144" s="49"/>
      <c r="D144" s="51"/>
      <c r="E144" s="49"/>
      <c r="F144" s="49"/>
      <c r="G144" s="51"/>
      <c r="H144" s="50"/>
      <c r="I144" s="49"/>
      <c r="J144" s="51"/>
    </row>
    <row r="145" spans="1:10" x14ac:dyDescent="0.25">
      <c r="A145" s="51"/>
      <c r="B145" s="53"/>
      <c r="C145" s="49"/>
      <c r="D145" s="51"/>
      <c r="E145" s="49"/>
      <c r="F145" s="49"/>
      <c r="G145" s="51"/>
      <c r="H145" s="50"/>
      <c r="I145" s="49"/>
      <c r="J145" s="51"/>
    </row>
    <row r="146" spans="1:10" x14ac:dyDescent="0.25">
      <c r="A146" s="51"/>
      <c r="B146" s="53"/>
      <c r="C146" s="49"/>
      <c r="D146" s="51"/>
      <c r="E146" s="49"/>
      <c r="F146" s="49"/>
      <c r="G146" s="51"/>
      <c r="H146" s="50"/>
      <c r="I146" s="49"/>
      <c r="J146" s="51"/>
    </row>
    <row r="147" spans="1:10" x14ac:dyDescent="0.25">
      <c r="A147" s="51"/>
      <c r="B147" s="53"/>
      <c r="C147" s="49"/>
      <c r="D147" s="51"/>
      <c r="E147" s="49"/>
      <c r="F147" s="49"/>
      <c r="G147" s="51"/>
      <c r="H147" s="50"/>
      <c r="I147" s="49"/>
      <c r="J147" s="51"/>
    </row>
    <row r="148" spans="1:10" x14ac:dyDescent="0.25">
      <c r="A148" s="51"/>
      <c r="B148" s="53"/>
      <c r="C148" s="49"/>
      <c r="D148" s="51"/>
      <c r="E148" s="49"/>
      <c r="F148" s="49"/>
      <c r="G148" s="51"/>
      <c r="H148" s="50"/>
      <c r="I148" s="49"/>
      <c r="J148" s="51"/>
    </row>
    <row r="149" spans="1:10" x14ac:dyDescent="0.25">
      <c r="A149" s="51"/>
      <c r="B149" s="53"/>
      <c r="C149" s="49"/>
      <c r="D149" s="51"/>
      <c r="E149" s="49"/>
      <c r="F149" s="49"/>
      <c r="G149" s="51"/>
      <c r="H149" s="50"/>
      <c r="I149" s="49"/>
      <c r="J149" s="51"/>
    </row>
    <row r="150" spans="1:10" x14ac:dyDescent="0.25">
      <c r="A150" s="51"/>
      <c r="B150" s="53"/>
      <c r="C150" s="49"/>
      <c r="D150" s="51"/>
      <c r="E150" s="49"/>
      <c r="F150" s="49"/>
      <c r="G150" s="51"/>
      <c r="H150" s="50"/>
      <c r="I150" s="49"/>
      <c r="J150" s="51"/>
    </row>
    <row r="151" spans="1:10" x14ac:dyDescent="0.25">
      <c r="A151" s="51"/>
      <c r="B151" s="53"/>
      <c r="C151" s="49"/>
      <c r="D151" s="51"/>
      <c r="E151" s="49"/>
      <c r="F151" s="49"/>
      <c r="G151" s="51"/>
      <c r="H151" s="50"/>
      <c r="I151" s="49"/>
      <c r="J151" s="51"/>
    </row>
    <row r="152" spans="1:10" x14ac:dyDescent="0.25">
      <c r="A152" s="51"/>
      <c r="B152" s="53"/>
      <c r="C152" s="49"/>
      <c r="D152" s="51"/>
      <c r="E152" s="49"/>
      <c r="F152" s="49"/>
      <c r="G152" s="51"/>
      <c r="H152" s="50"/>
      <c r="I152" s="49"/>
      <c r="J152" s="51"/>
    </row>
    <row r="153" spans="1:10" x14ac:dyDescent="0.25">
      <c r="A153" s="51"/>
      <c r="B153" s="53"/>
      <c r="C153" s="49"/>
      <c r="D153" s="51"/>
      <c r="E153" s="49"/>
      <c r="F153" s="49"/>
      <c r="G153" s="51"/>
      <c r="H153" s="50"/>
      <c r="I153" s="49"/>
      <c r="J153" s="51"/>
    </row>
    <row r="154" spans="1:10" x14ac:dyDescent="0.25">
      <c r="A154" s="51"/>
      <c r="B154" s="53"/>
      <c r="C154" s="49"/>
      <c r="D154" s="51"/>
      <c r="E154" s="49"/>
      <c r="F154" s="49"/>
      <c r="G154" s="51"/>
      <c r="H154" s="50"/>
      <c r="I154" s="49"/>
      <c r="J154" s="51"/>
    </row>
    <row r="155" spans="1:10" x14ac:dyDescent="0.25">
      <c r="A155" s="51"/>
      <c r="B155" s="53"/>
      <c r="C155" s="49"/>
      <c r="D155" s="51"/>
      <c r="E155" s="49"/>
      <c r="F155" s="49"/>
      <c r="G155" s="51"/>
      <c r="H155" s="50"/>
      <c r="I155" s="49"/>
      <c r="J155" s="51"/>
    </row>
    <row r="156" spans="1:10" x14ac:dyDescent="0.25">
      <c r="A156" s="51"/>
      <c r="B156" s="53"/>
      <c r="C156" s="49"/>
      <c r="D156" s="51"/>
      <c r="E156" s="49"/>
      <c r="F156" s="49"/>
      <c r="G156" s="51"/>
      <c r="H156" s="50"/>
      <c r="I156" s="49"/>
      <c r="J156" s="51"/>
    </row>
    <row r="157" spans="1:10" x14ac:dyDescent="0.25">
      <c r="A157" s="51"/>
      <c r="B157" s="53"/>
      <c r="C157" s="49"/>
      <c r="D157" s="51"/>
      <c r="E157" s="49"/>
      <c r="F157" s="49"/>
      <c r="G157" s="51"/>
      <c r="H157" s="50"/>
      <c r="I157" s="49"/>
      <c r="J157" s="51"/>
    </row>
    <row r="158" spans="1:10" x14ac:dyDescent="0.25">
      <c r="A158" s="51"/>
      <c r="B158" s="53"/>
      <c r="C158" s="49"/>
      <c r="D158" s="51"/>
      <c r="E158" s="49"/>
      <c r="F158" s="49"/>
      <c r="G158" s="51"/>
      <c r="H158" s="50"/>
      <c r="I158" s="49"/>
      <c r="J158" s="51"/>
    </row>
    <row r="159" spans="1:10" x14ac:dyDescent="0.25">
      <c r="A159" s="51"/>
      <c r="B159" s="53"/>
      <c r="C159" s="49"/>
      <c r="D159" s="51"/>
      <c r="E159" s="49"/>
      <c r="F159" s="49"/>
      <c r="G159" s="51"/>
      <c r="H159" s="50"/>
      <c r="I159" s="49"/>
      <c r="J159" s="51"/>
    </row>
    <row r="160" spans="1:10" x14ac:dyDescent="0.25">
      <c r="A160" s="51"/>
      <c r="B160" s="53"/>
      <c r="C160" s="49"/>
      <c r="D160" s="51"/>
      <c r="E160" s="49"/>
      <c r="F160" s="49"/>
      <c r="G160" s="51"/>
      <c r="H160" s="50"/>
      <c r="I160" s="49"/>
      <c r="J160" s="51"/>
    </row>
    <row r="161" spans="1:10" x14ac:dyDescent="0.25">
      <c r="A161" s="51"/>
      <c r="B161" s="53"/>
      <c r="C161" s="49"/>
      <c r="D161" s="51"/>
      <c r="E161" s="49"/>
      <c r="F161" s="49"/>
      <c r="G161" s="51"/>
      <c r="H161" s="50"/>
      <c r="I161" s="49"/>
      <c r="J161" s="51"/>
    </row>
    <row r="162" spans="1:10" x14ac:dyDescent="0.25">
      <c r="A162" s="51"/>
      <c r="B162" s="53"/>
      <c r="C162" s="49"/>
      <c r="D162" s="51"/>
      <c r="E162" s="49"/>
      <c r="F162" s="49"/>
      <c r="G162" s="51"/>
      <c r="H162" s="50"/>
      <c r="I162" s="49"/>
      <c r="J162" s="51"/>
    </row>
    <row r="163" spans="1:10" x14ac:dyDescent="0.25">
      <c r="A163" s="51"/>
      <c r="B163" s="53"/>
      <c r="C163" s="49"/>
      <c r="D163" s="51"/>
      <c r="E163" s="49"/>
      <c r="F163" s="49"/>
      <c r="G163" s="51"/>
      <c r="H163" s="50"/>
      <c r="I163" s="49"/>
      <c r="J163" s="51"/>
    </row>
    <row r="164" spans="1:10" x14ac:dyDescent="0.25">
      <c r="A164" s="51"/>
      <c r="B164" s="53"/>
      <c r="C164" s="49"/>
      <c r="D164" s="51"/>
      <c r="E164" s="49"/>
      <c r="F164" s="49"/>
      <c r="G164" s="51"/>
      <c r="H164" s="50"/>
      <c r="I164" s="49"/>
      <c r="J164" s="51"/>
    </row>
    <row r="165" spans="1:10" x14ac:dyDescent="0.25">
      <c r="A165" s="51"/>
      <c r="B165" s="53"/>
      <c r="C165" s="49"/>
      <c r="D165" s="51"/>
      <c r="E165" s="49"/>
      <c r="F165" s="49"/>
      <c r="G165" s="51"/>
      <c r="H165" s="50"/>
      <c r="I165" s="49"/>
      <c r="J165" s="51"/>
    </row>
    <row r="166" spans="1:10" x14ac:dyDescent="0.25">
      <c r="A166" s="51"/>
      <c r="B166" s="53"/>
      <c r="C166" s="49"/>
      <c r="D166" s="51"/>
      <c r="E166" s="49"/>
      <c r="F166" s="49"/>
      <c r="G166" s="51"/>
      <c r="H166" s="50"/>
      <c r="I166" s="49"/>
      <c r="J166" s="51"/>
    </row>
    <row r="167" spans="1:10" x14ac:dyDescent="0.25">
      <c r="A167" s="51"/>
      <c r="B167" s="53"/>
      <c r="C167" s="49"/>
      <c r="D167" s="51"/>
      <c r="E167" s="49"/>
      <c r="F167" s="49"/>
      <c r="G167" s="51"/>
      <c r="H167" s="50"/>
      <c r="I167" s="49"/>
      <c r="J167" s="51"/>
    </row>
    <row r="168" spans="1:10" x14ac:dyDescent="0.25">
      <c r="A168" s="51"/>
      <c r="B168" s="53"/>
      <c r="C168" s="49"/>
      <c r="D168" s="51"/>
      <c r="E168" s="49"/>
      <c r="F168" s="49"/>
      <c r="G168" s="51"/>
      <c r="H168" s="50"/>
      <c r="I168" s="49"/>
      <c r="J168" s="51"/>
    </row>
    <row r="169" spans="1:10" x14ac:dyDescent="0.25">
      <c r="A169" s="51"/>
      <c r="B169" s="53"/>
      <c r="C169" s="49"/>
      <c r="D169" s="51"/>
      <c r="E169" s="49"/>
      <c r="F169" s="49"/>
      <c r="G169" s="51"/>
      <c r="H169" s="50"/>
      <c r="I169" s="49"/>
      <c r="J169" s="51"/>
    </row>
    <row r="170" spans="1:10" x14ac:dyDescent="0.25">
      <c r="A170" s="51"/>
      <c r="B170" s="53"/>
      <c r="C170" s="49"/>
      <c r="D170" s="51"/>
      <c r="E170" s="49"/>
      <c r="F170" s="49"/>
      <c r="G170" s="51"/>
      <c r="H170" s="50"/>
      <c r="I170" s="49"/>
      <c r="J170" s="51"/>
    </row>
    <row r="171" spans="1:10" x14ac:dyDescent="0.25">
      <c r="A171" s="51"/>
      <c r="B171" s="53"/>
      <c r="C171" s="49"/>
      <c r="D171" s="51"/>
      <c r="E171" s="49"/>
      <c r="F171" s="49"/>
      <c r="G171" s="51"/>
      <c r="H171" s="50"/>
      <c r="I171" s="49"/>
      <c r="J171" s="51"/>
    </row>
    <row r="172" spans="1:10" x14ac:dyDescent="0.25">
      <c r="A172" s="51"/>
      <c r="B172" s="53"/>
      <c r="C172" s="49"/>
      <c r="D172" s="51"/>
      <c r="E172" s="49"/>
      <c r="F172" s="49"/>
      <c r="G172" s="51"/>
      <c r="H172" s="50"/>
      <c r="I172" s="49"/>
      <c r="J172" s="51"/>
    </row>
    <row r="173" spans="1:10" x14ac:dyDescent="0.25">
      <c r="A173" s="51"/>
      <c r="B173" s="53"/>
      <c r="C173" s="49"/>
      <c r="D173" s="51"/>
      <c r="E173" s="49"/>
      <c r="F173" s="49"/>
      <c r="G173" s="51"/>
      <c r="H173" s="50"/>
      <c r="I173" s="49"/>
      <c r="J173" s="51"/>
    </row>
    <row r="174" spans="1:10" x14ac:dyDescent="0.25">
      <c r="A174" s="51"/>
      <c r="B174" s="53"/>
      <c r="C174" s="49"/>
      <c r="D174" s="51"/>
      <c r="E174" s="49"/>
      <c r="F174" s="49"/>
      <c r="G174" s="51"/>
      <c r="H174" s="50"/>
      <c r="I174" s="49"/>
      <c r="J174" s="51"/>
    </row>
    <row r="175" spans="1:10" x14ac:dyDescent="0.25">
      <c r="A175" s="51"/>
      <c r="B175" s="53"/>
      <c r="C175" s="49"/>
      <c r="D175" s="51"/>
      <c r="E175" s="49"/>
      <c r="F175" s="49"/>
      <c r="G175" s="51"/>
      <c r="H175" s="50"/>
      <c r="I175" s="49"/>
      <c r="J175" s="51"/>
    </row>
    <row r="176" spans="1:10" x14ac:dyDescent="0.25">
      <c r="A176" s="51"/>
      <c r="B176" s="53"/>
      <c r="C176" s="49"/>
      <c r="D176" s="51"/>
      <c r="E176" s="49"/>
      <c r="F176" s="49"/>
      <c r="G176" s="51"/>
      <c r="H176" s="50"/>
      <c r="I176" s="49"/>
      <c r="J176" s="51"/>
    </row>
    <row r="177" spans="1:10" x14ac:dyDescent="0.25">
      <c r="A177" s="51"/>
      <c r="B177" s="53"/>
      <c r="C177" s="49"/>
      <c r="D177" s="51"/>
      <c r="E177" s="49"/>
      <c r="F177" s="49"/>
      <c r="G177" s="51"/>
      <c r="H177" s="50"/>
      <c r="I177" s="49"/>
      <c r="J177" s="51"/>
    </row>
    <row r="178" spans="1:10" x14ac:dyDescent="0.25">
      <c r="A178" s="51"/>
      <c r="B178" s="53"/>
      <c r="C178" s="49"/>
      <c r="D178" s="51"/>
      <c r="E178" s="49"/>
      <c r="F178" s="49"/>
      <c r="G178" s="51"/>
      <c r="H178" s="50"/>
      <c r="I178" s="49"/>
      <c r="J178" s="51"/>
    </row>
    <row r="179" spans="1:10" x14ac:dyDescent="0.25">
      <c r="A179" s="51"/>
      <c r="B179" s="53"/>
      <c r="C179" s="49"/>
      <c r="D179" s="51"/>
      <c r="E179" s="49"/>
      <c r="F179" s="49"/>
      <c r="G179" s="51"/>
      <c r="H179" s="50"/>
      <c r="I179" s="49"/>
      <c r="J179" s="51"/>
    </row>
    <row r="180" spans="1:10" x14ac:dyDescent="0.25">
      <c r="A180" s="51"/>
      <c r="B180" s="53"/>
      <c r="C180" s="49"/>
      <c r="D180" s="51"/>
      <c r="E180" s="49"/>
      <c r="F180" s="49"/>
      <c r="G180" s="51"/>
      <c r="H180" s="49"/>
      <c r="I180" s="49"/>
      <c r="J180" s="51"/>
    </row>
    <row r="181" spans="1:10" x14ac:dyDescent="0.25">
      <c r="B181" s="12"/>
      <c r="J181" s="51"/>
    </row>
    <row r="182" spans="1:10" x14ac:dyDescent="0.25">
      <c r="B182" s="12"/>
    </row>
    <row r="183" spans="1:10" x14ac:dyDescent="0.25">
      <c r="B183" s="12"/>
    </row>
    <row r="184" spans="1:10" x14ac:dyDescent="0.25">
      <c r="B184" s="12"/>
    </row>
    <row r="185" spans="1:10" x14ac:dyDescent="0.25">
      <c r="B185" s="12"/>
    </row>
    <row r="186" spans="1:10" x14ac:dyDescent="0.25">
      <c r="B186" s="12"/>
    </row>
    <row r="187" spans="1:10" x14ac:dyDescent="0.25">
      <c r="B187" s="12"/>
    </row>
    <row r="188" spans="1:10" x14ac:dyDescent="0.25">
      <c r="B188" s="12"/>
    </row>
    <row r="189" spans="1:10" x14ac:dyDescent="0.25">
      <c r="B189" s="12"/>
    </row>
    <row r="190" spans="1:10" x14ac:dyDescent="0.25">
      <c r="B190" s="12"/>
    </row>
    <row r="191" spans="1:10" x14ac:dyDescent="0.25">
      <c r="B191" s="12"/>
    </row>
    <row r="192" spans="1:10" x14ac:dyDescent="0.25">
      <c r="B192" s="12"/>
    </row>
    <row r="193" spans="2:2" x14ac:dyDescent="0.25">
      <c r="B193" s="12"/>
    </row>
    <row r="194" spans="2:2" x14ac:dyDescent="0.25">
      <c r="B194" s="12"/>
    </row>
    <row r="195" spans="2:2" x14ac:dyDescent="0.25">
      <c r="B195" s="12"/>
    </row>
    <row r="196" spans="2:2" x14ac:dyDescent="0.25">
      <c r="B196" s="12"/>
    </row>
    <row r="197" spans="2:2" x14ac:dyDescent="0.25">
      <c r="B197" s="12"/>
    </row>
    <row r="198" spans="2:2" x14ac:dyDescent="0.25">
      <c r="B198" s="12"/>
    </row>
    <row r="199" spans="2:2" x14ac:dyDescent="0.25">
      <c r="B199" s="12"/>
    </row>
    <row r="200" spans="2:2" x14ac:dyDescent="0.25">
      <c r="B200" s="12"/>
    </row>
    <row r="201" spans="2:2" x14ac:dyDescent="0.25">
      <c r="B201" s="12"/>
    </row>
    <row r="202" spans="2:2" x14ac:dyDescent="0.25">
      <c r="B202" s="12"/>
    </row>
    <row r="203" spans="2:2" x14ac:dyDescent="0.25">
      <c r="B203" s="12"/>
    </row>
    <row r="204" spans="2:2" x14ac:dyDescent="0.25">
      <c r="B204" s="12"/>
    </row>
    <row r="205" spans="2:2" x14ac:dyDescent="0.25">
      <c r="B205" s="12"/>
    </row>
    <row r="206" spans="2:2" x14ac:dyDescent="0.25">
      <c r="B206" s="12"/>
    </row>
    <row r="207" spans="2:2" x14ac:dyDescent="0.25">
      <c r="B207" s="12"/>
    </row>
    <row r="208" spans="2:2" x14ac:dyDescent="0.25">
      <c r="B208" s="12"/>
    </row>
    <row r="209" spans="2:2" x14ac:dyDescent="0.25">
      <c r="B209" s="12"/>
    </row>
    <row r="210" spans="2:2" x14ac:dyDescent="0.25">
      <c r="B210" s="12"/>
    </row>
    <row r="211" spans="2:2" x14ac:dyDescent="0.25">
      <c r="B211" s="12"/>
    </row>
    <row r="212" spans="2:2" x14ac:dyDescent="0.25">
      <c r="B212" s="12"/>
    </row>
    <row r="213" spans="2:2" x14ac:dyDescent="0.25">
      <c r="B213" s="12"/>
    </row>
    <row r="214" spans="2:2" x14ac:dyDescent="0.25">
      <c r="B214" s="12"/>
    </row>
    <row r="215" spans="2:2" x14ac:dyDescent="0.25">
      <c r="B215" s="12"/>
    </row>
    <row r="216" spans="2:2" x14ac:dyDescent="0.25">
      <c r="B216" s="12"/>
    </row>
    <row r="217" spans="2:2" x14ac:dyDescent="0.25">
      <c r="B217" s="12"/>
    </row>
    <row r="218" spans="2:2" x14ac:dyDescent="0.25">
      <c r="B218" s="12"/>
    </row>
    <row r="219" spans="2:2" x14ac:dyDescent="0.25">
      <c r="B219" s="12"/>
    </row>
    <row r="220" spans="2:2" x14ac:dyDescent="0.25">
      <c r="B220" s="12"/>
    </row>
    <row r="221" spans="2:2" x14ac:dyDescent="0.25">
      <c r="B221" s="12"/>
    </row>
    <row r="222" spans="2:2" x14ac:dyDescent="0.25">
      <c r="B222" s="12"/>
    </row>
    <row r="223" spans="2:2" x14ac:dyDescent="0.25">
      <c r="B223" s="12"/>
    </row>
    <row r="224" spans="2:2" x14ac:dyDescent="0.25">
      <c r="B224" s="12"/>
    </row>
    <row r="225" spans="2:2" x14ac:dyDescent="0.25">
      <c r="B225" s="12"/>
    </row>
    <row r="226" spans="2:2" x14ac:dyDescent="0.25">
      <c r="B226" s="12"/>
    </row>
    <row r="227" spans="2:2" x14ac:dyDescent="0.25">
      <c r="B227" s="12"/>
    </row>
    <row r="228" spans="2:2" x14ac:dyDescent="0.25">
      <c r="B228" s="12"/>
    </row>
    <row r="229" spans="2:2" x14ac:dyDescent="0.25">
      <c r="B229" s="12"/>
    </row>
    <row r="230" spans="2:2" x14ac:dyDescent="0.25">
      <c r="B230" s="12"/>
    </row>
    <row r="231" spans="2:2" x14ac:dyDescent="0.25">
      <c r="B231" s="12"/>
    </row>
    <row r="232" spans="2:2" x14ac:dyDescent="0.25">
      <c r="B232" s="12"/>
    </row>
    <row r="233" spans="2:2" x14ac:dyDescent="0.25">
      <c r="B233" s="12"/>
    </row>
    <row r="234" spans="2:2" x14ac:dyDescent="0.25">
      <c r="B234" s="12"/>
    </row>
    <row r="235" spans="2:2" x14ac:dyDescent="0.25">
      <c r="B235" s="12"/>
    </row>
    <row r="236" spans="2:2" x14ac:dyDescent="0.25">
      <c r="B236" s="12"/>
    </row>
    <row r="237" spans="2:2" x14ac:dyDescent="0.25">
      <c r="B237" s="12"/>
    </row>
    <row r="238" spans="2:2" x14ac:dyDescent="0.25">
      <c r="B238" s="12"/>
    </row>
    <row r="239" spans="2:2" x14ac:dyDescent="0.25">
      <c r="B239" s="12"/>
    </row>
    <row r="240" spans="2:2" x14ac:dyDescent="0.25">
      <c r="B240" s="12"/>
    </row>
    <row r="241" spans="2:2" x14ac:dyDescent="0.25">
      <c r="B241" s="12"/>
    </row>
    <row r="242" spans="2:2" x14ac:dyDescent="0.25">
      <c r="B242" s="12"/>
    </row>
    <row r="243" spans="2:2" x14ac:dyDescent="0.25">
      <c r="B243" s="12"/>
    </row>
    <row r="244" spans="2:2" x14ac:dyDescent="0.25">
      <c r="B244" s="12"/>
    </row>
    <row r="245" spans="2:2" x14ac:dyDescent="0.25">
      <c r="B245" s="12"/>
    </row>
    <row r="246" spans="2:2" x14ac:dyDescent="0.25">
      <c r="B246" s="12"/>
    </row>
    <row r="247" spans="2:2" x14ac:dyDescent="0.25">
      <c r="B247" s="12"/>
    </row>
    <row r="248" spans="2:2" x14ac:dyDescent="0.25">
      <c r="B248" s="12"/>
    </row>
    <row r="249" spans="2:2" x14ac:dyDescent="0.25">
      <c r="B249" s="12"/>
    </row>
    <row r="250" spans="2:2" x14ac:dyDescent="0.25">
      <c r="B250" s="12"/>
    </row>
    <row r="251" spans="2:2" x14ac:dyDescent="0.25">
      <c r="B251" s="12"/>
    </row>
    <row r="252" spans="2:2" x14ac:dyDescent="0.25">
      <c r="B252" s="12"/>
    </row>
    <row r="253" spans="2:2" x14ac:dyDescent="0.25">
      <c r="B253" s="12"/>
    </row>
    <row r="254" spans="2:2" x14ac:dyDescent="0.25">
      <c r="B254" s="12"/>
    </row>
    <row r="255" spans="2:2" x14ac:dyDescent="0.25">
      <c r="B255" s="12"/>
    </row>
    <row r="256" spans="2:2" x14ac:dyDescent="0.25">
      <c r="B256" s="12"/>
    </row>
    <row r="257" spans="2:2" x14ac:dyDescent="0.25">
      <c r="B257" s="12"/>
    </row>
    <row r="258" spans="2:2" x14ac:dyDescent="0.25">
      <c r="B258" s="12"/>
    </row>
    <row r="259" spans="2:2" x14ac:dyDescent="0.25">
      <c r="B259" s="12"/>
    </row>
    <row r="260" spans="2:2" x14ac:dyDescent="0.25">
      <c r="B260" s="12"/>
    </row>
    <row r="261" spans="2:2" x14ac:dyDescent="0.25">
      <c r="B261" s="12"/>
    </row>
    <row r="262" spans="2:2" x14ac:dyDescent="0.25">
      <c r="B262" s="12"/>
    </row>
    <row r="263" spans="2:2" x14ac:dyDescent="0.25">
      <c r="B263" s="12"/>
    </row>
    <row r="264" spans="2:2" x14ac:dyDescent="0.25">
      <c r="B264" s="12"/>
    </row>
    <row r="265" spans="2:2" x14ac:dyDescent="0.25">
      <c r="B265" s="12"/>
    </row>
    <row r="266" spans="2:2" x14ac:dyDescent="0.25">
      <c r="B266" s="12"/>
    </row>
    <row r="267" spans="2:2" x14ac:dyDescent="0.25">
      <c r="B267" s="12"/>
    </row>
    <row r="268" spans="2:2" x14ac:dyDescent="0.25">
      <c r="B268" s="12"/>
    </row>
    <row r="269" spans="2:2" x14ac:dyDescent="0.25">
      <c r="B269" s="12"/>
    </row>
    <row r="270" spans="2:2" x14ac:dyDescent="0.25">
      <c r="B270" s="12"/>
    </row>
    <row r="271" spans="2:2" x14ac:dyDescent="0.25">
      <c r="B271" s="12"/>
    </row>
    <row r="272" spans="2:2" x14ac:dyDescent="0.25">
      <c r="B272" s="12"/>
    </row>
    <row r="273" spans="2:2" x14ac:dyDescent="0.25">
      <c r="B273" s="12"/>
    </row>
    <row r="274" spans="2:2" x14ac:dyDescent="0.25">
      <c r="B274" s="12"/>
    </row>
    <row r="275" spans="2:2" x14ac:dyDescent="0.25">
      <c r="B275" s="12"/>
    </row>
    <row r="276" spans="2:2" x14ac:dyDescent="0.25">
      <c r="B276" s="12"/>
    </row>
    <row r="277" spans="2:2" x14ac:dyDescent="0.25">
      <c r="B277" s="12"/>
    </row>
    <row r="278" spans="2:2" x14ac:dyDescent="0.25">
      <c r="B278" s="12"/>
    </row>
  </sheetData>
  <mergeCells count="14">
    <mergeCell ref="S2:U2"/>
    <mergeCell ref="P2:R2"/>
    <mergeCell ref="A1:K1"/>
    <mergeCell ref="L1:M1"/>
    <mergeCell ref="M2:O2"/>
    <mergeCell ref="J2:L2"/>
    <mergeCell ref="G2:I2"/>
    <mergeCell ref="D2:F2"/>
    <mergeCell ref="A2:C2"/>
    <mergeCell ref="V2:X2"/>
    <mergeCell ref="Y2:AA2"/>
    <mergeCell ref="AB2:AD2"/>
    <mergeCell ref="AE2:AG2"/>
    <mergeCell ref="AH2:AJ2"/>
  </mergeCells>
  <pageMargins left="0.19685039370078741" right="0.19685039370078741" top="0.39370078740157483" bottom="0.59055118110236227" header="0.31496062992125984" footer="0.31496062992125984"/>
  <pageSetup scale="95" orientation="landscape" r:id="rId1"/>
  <headerFooter>
    <oddFooter>&amp;C&amp;P de &amp;N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2</vt:i4>
      </vt:variant>
    </vt:vector>
  </HeadingPairs>
  <TitlesOfParts>
    <vt:vector size="3" baseType="lpstr">
      <vt:lpstr>C C DE EGRESOS 2014</vt:lpstr>
      <vt:lpstr>'C C DE EGRESOS 2014'!Área_de_impresión</vt:lpstr>
      <vt:lpstr>'C C DE EGRESOS 2014'!Títulos_a_imprimir</vt:lpstr>
    </vt:vector>
  </TitlesOfParts>
  <Company>Toshiba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JOSE LUIS GALVEZ</dc:creator>
  <cp:lastModifiedBy>Bsala</cp:lastModifiedBy>
  <cp:lastPrinted>2014-01-03T22:07:41Z</cp:lastPrinted>
  <dcterms:created xsi:type="dcterms:W3CDTF">2013-12-30T22:30:56Z</dcterms:created>
  <dcterms:modified xsi:type="dcterms:W3CDTF">2015-07-17T22:52:08Z</dcterms:modified>
</cp:coreProperties>
</file>