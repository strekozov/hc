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3715" windowHeight="9270" activeTab="1"/>
  </bookViews>
  <sheets>
    <sheet name="COBRANZA-RESULTADOS 2012" sheetId="4" r:id="rId1"/>
    <sheet name="COBRANZA-RESULTADOS 2013" sheetId="5" r:id="rId2"/>
  </sheets>
  <definedNames>
    <definedName name="_xlnm.Print_Area" localSheetId="0">'COBRANZA-RESULTADOS 2012'!$C$1:$AB$26</definedName>
    <definedName name="_xlnm.Print_Area" localSheetId="1">'COBRANZA-RESULTADOS 2013'!$C$1:$AB$26</definedName>
  </definedNames>
  <calcPr calcId="145621"/>
</workbook>
</file>

<file path=xl/calcChain.xml><?xml version="1.0" encoding="utf-8"?>
<calcChain xmlns="http://schemas.openxmlformats.org/spreadsheetml/2006/main">
  <c r="X25" i="5" l="1"/>
  <c r="T25" i="5"/>
  <c r="P25" i="5"/>
  <c r="Y25" i="5"/>
  <c r="W25" i="5"/>
  <c r="U25" i="5"/>
  <c r="E25" i="5" l="1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8" i="5"/>
  <c r="S25" i="5" l="1"/>
  <c r="T24" i="5" l="1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J8" i="5" l="1"/>
  <c r="G25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8" i="5"/>
  <c r="AA25" i="5"/>
  <c r="AB25" i="5" s="1"/>
  <c r="Q25" i="5"/>
  <c r="R25" i="5" s="1"/>
  <c r="O25" i="5"/>
  <c r="M25" i="5"/>
  <c r="N25" i="5" s="1"/>
  <c r="K25" i="5"/>
  <c r="L25" i="5" s="1"/>
  <c r="I25" i="5"/>
  <c r="J25" i="5" s="1"/>
  <c r="D25" i="5"/>
  <c r="F25" i="5" s="1"/>
  <c r="AB24" i="5"/>
  <c r="X24" i="5"/>
  <c r="R24" i="5"/>
  <c r="P24" i="5"/>
  <c r="N24" i="5"/>
  <c r="L24" i="5"/>
  <c r="J24" i="5"/>
  <c r="AB23" i="5"/>
  <c r="X23" i="5"/>
  <c r="R23" i="5"/>
  <c r="P23" i="5"/>
  <c r="N23" i="5"/>
  <c r="L23" i="5"/>
  <c r="J23" i="5"/>
  <c r="AB22" i="5"/>
  <c r="X22" i="5"/>
  <c r="R22" i="5"/>
  <c r="P22" i="5"/>
  <c r="N22" i="5"/>
  <c r="L22" i="5"/>
  <c r="J22" i="5"/>
  <c r="AB21" i="5"/>
  <c r="X21" i="5"/>
  <c r="R21" i="5"/>
  <c r="P21" i="5"/>
  <c r="N21" i="5"/>
  <c r="L21" i="5"/>
  <c r="J21" i="5"/>
  <c r="AB20" i="5"/>
  <c r="X20" i="5"/>
  <c r="R20" i="5"/>
  <c r="P20" i="5"/>
  <c r="N20" i="5"/>
  <c r="L20" i="5"/>
  <c r="J20" i="5"/>
  <c r="AB19" i="5"/>
  <c r="X19" i="5"/>
  <c r="R19" i="5"/>
  <c r="P19" i="5"/>
  <c r="N19" i="5"/>
  <c r="L19" i="5"/>
  <c r="J19" i="5"/>
  <c r="AB18" i="5"/>
  <c r="X18" i="5"/>
  <c r="R18" i="5"/>
  <c r="P18" i="5"/>
  <c r="N18" i="5"/>
  <c r="L18" i="5"/>
  <c r="J18" i="5"/>
  <c r="AB17" i="5"/>
  <c r="X17" i="5"/>
  <c r="R17" i="5"/>
  <c r="P17" i="5"/>
  <c r="N17" i="5"/>
  <c r="L17" i="5"/>
  <c r="J17" i="5"/>
  <c r="AB16" i="5"/>
  <c r="X16" i="5"/>
  <c r="R16" i="5"/>
  <c r="P16" i="5"/>
  <c r="N16" i="5"/>
  <c r="L16" i="5"/>
  <c r="J16" i="5"/>
  <c r="AB15" i="5"/>
  <c r="X15" i="5"/>
  <c r="R15" i="5"/>
  <c r="P15" i="5"/>
  <c r="N15" i="5"/>
  <c r="L15" i="5"/>
  <c r="J15" i="5"/>
  <c r="AB14" i="5"/>
  <c r="X14" i="5"/>
  <c r="R14" i="5"/>
  <c r="P14" i="5"/>
  <c r="N14" i="5"/>
  <c r="L14" i="5"/>
  <c r="J14" i="5"/>
  <c r="AB13" i="5"/>
  <c r="X13" i="5"/>
  <c r="R13" i="5"/>
  <c r="P13" i="5"/>
  <c r="N13" i="5"/>
  <c r="L13" i="5"/>
  <c r="J13" i="5"/>
  <c r="AB12" i="5"/>
  <c r="X12" i="5"/>
  <c r="R12" i="5"/>
  <c r="P12" i="5"/>
  <c r="N12" i="5"/>
  <c r="L12" i="5"/>
  <c r="J12" i="5"/>
  <c r="AB11" i="5"/>
  <c r="X11" i="5"/>
  <c r="R11" i="5"/>
  <c r="P11" i="5"/>
  <c r="N11" i="5"/>
  <c r="L11" i="5"/>
  <c r="J11" i="5"/>
  <c r="AB10" i="5"/>
  <c r="X10" i="5"/>
  <c r="R10" i="5"/>
  <c r="P10" i="5"/>
  <c r="N10" i="5"/>
  <c r="L10" i="5"/>
  <c r="J10" i="5"/>
  <c r="AB9" i="5"/>
  <c r="X9" i="5"/>
  <c r="R9" i="5"/>
  <c r="P9" i="5"/>
  <c r="N9" i="5"/>
  <c r="L9" i="5"/>
  <c r="J9" i="5"/>
  <c r="AB8" i="5"/>
  <c r="X8" i="5"/>
  <c r="R8" i="5"/>
  <c r="P8" i="5"/>
  <c r="N8" i="5"/>
  <c r="L8" i="5"/>
  <c r="J8" i="4" l="1"/>
  <c r="L8" i="4"/>
  <c r="N8" i="4"/>
  <c r="P8" i="4"/>
  <c r="R8" i="4"/>
  <c r="X8" i="4"/>
  <c r="AB8" i="4"/>
  <c r="J9" i="4"/>
  <c r="L9" i="4"/>
  <c r="N9" i="4"/>
  <c r="P9" i="4"/>
  <c r="R9" i="4"/>
  <c r="X9" i="4"/>
  <c r="AB9" i="4"/>
  <c r="J10" i="4"/>
  <c r="L10" i="4"/>
  <c r="N10" i="4"/>
  <c r="P10" i="4"/>
  <c r="R10" i="4"/>
  <c r="X10" i="4"/>
  <c r="AB10" i="4"/>
  <c r="J11" i="4"/>
  <c r="L11" i="4"/>
  <c r="N11" i="4"/>
  <c r="P11" i="4"/>
  <c r="R11" i="4"/>
  <c r="X11" i="4"/>
  <c r="AB11" i="4"/>
  <c r="J12" i="4"/>
  <c r="L12" i="4"/>
  <c r="N12" i="4"/>
  <c r="P12" i="4"/>
  <c r="R12" i="4"/>
  <c r="X12" i="4"/>
  <c r="AB12" i="4"/>
  <c r="J13" i="4"/>
  <c r="L13" i="4"/>
  <c r="N13" i="4"/>
  <c r="P13" i="4"/>
  <c r="R13" i="4"/>
  <c r="X13" i="4"/>
  <c r="AB13" i="4"/>
  <c r="J14" i="4"/>
  <c r="L14" i="4"/>
  <c r="N14" i="4"/>
  <c r="P14" i="4"/>
  <c r="R14" i="4"/>
  <c r="X14" i="4"/>
  <c r="AB14" i="4"/>
  <c r="J15" i="4"/>
  <c r="L15" i="4"/>
  <c r="N15" i="4"/>
  <c r="P15" i="4"/>
  <c r="R15" i="4"/>
  <c r="X15" i="4"/>
  <c r="AB15" i="4"/>
  <c r="J16" i="4"/>
  <c r="L16" i="4"/>
  <c r="N16" i="4"/>
  <c r="P16" i="4"/>
  <c r="R16" i="4"/>
  <c r="X16" i="4"/>
  <c r="AB16" i="4"/>
  <c r="J17" i="4"/>
  <c r="L17" i="4"/>
  <c r="N17" i="4"/>
  <c r="P17" i="4"/>
  <c r="R17" i="4"/>
  <c r="X17" i="4"/>
  <c r="AB17" i="4"/>
  <c r="J18" i="4"/>
  <c r="L18" i="4"/>
  <c r="N18" i="4"/>
  <c r="P18" i="4"/>
  <c r="R18" i="4"/>
  <c r="X18" i="4"/>
  <c r="AB18" i="4"/>
  <c r="J19" i="4"/>
  <c r="L19" i="4"/>
  <c r="N19" i="4"/>
  <c r="P19" i="4"/>
  <c r="R19" i="4"/>
  <c r="X19" i="4"/>
  <c r="AB19" i="4"/>
  <c r="J20" i="4"/>
  <c r="L20" i="4"/>
  <c r="N20" i="4"/>
  <c r="P20" i="4"/>
  <c r="R20" i="4"/>
  <c r="X20" i="4"/>
  <c r="AB20" i="4"/>
  <c r="J21" i="4"/>
  <c r="L21" i="4"/>
  <c r="N21" i="4"/>
  <c r="P21" i="4"/>
  <c r="R21" i="4"/>
  <c r="X21" i="4"/>
  <c r="AB21" i="4"/>
  <c r="J22" i="4"/>
  <c r="L22" i="4"/>
  <c r="N22" i="4"/>
  <c r="P22" i="4"/>
  <c r="R22" i="4"/>
  <c r="X22" i="4"/>
  <c r="AB22" i="4"/>
  <c r="J23" i="4"/>
  <c r="L23" i="4"/>
  <c r="N23" i="4"/>
  <c r="P23" i="4"/>
  <c r="R23" i="4"/>
  <c r="X23" i="4"/>
  <c r="AB23" i="4"/>
  <c r="J24" i="4"/>
  <c r="L24" i="4"/>
  <c r="N24" i="4"/>
  <c r="P24" i="4"/>
  <c r="R24" i="4"/>
  <c r="X24" i="4"/>
  <c r="AB24" i="4"/>
  <c r="D25" i="4"/>
  <c r="I25" i="4"/>
  <c r="J25" i="4"/>
  <c r="K25" i="4"/>
  <c r="L25" i="4" s="1"/>
  <c r="M25" i="4"/>
  <c r="N25" i="4" s="1"/>
  <c r="O25" i="4"/>
  <c r="P25" i="4" s="1"/>
  <c r="Q25" i="4"/>
  <c r="R25" i="4"/>
  <c r="W25" i="4"/>
  <c r="X25" i="4" s="1"/>
  <c r="AA25" i="4"/>
  <c r="AB25" i="4" s="1"/>
</calcChain>
</file>

<file path=xl/sharedStrings.xml><?xml version="1.0" encoding="utf-8"?>
<sst xmlns="http://schemas.openxmlformats.org/spreadsheetml/2006/main" count="78" uniqueCount="28">
  <si>
    <t>HUESO</t>
  </si>
  <si>
    <t>RECOVECO</t>
  </si>
  <si>
    <t>ESTOPILA</t>
  </si>
  <si>
    <t>ROMERAL</t>
  </si>
  <si>
    <t>CUCHILLA</t>
  </si>
  <si>
    <t>UPACUARO</t>
  </si>
  <si>
    <t>LANDERO</t>
  </si>
  <si>
    <t>ZINAMPA</t>
  </si>
  <si>
    <t>ESTANZUELA</t>
  </si>
  <si>
    <t>%</t>
  </si>
  <si>
    <t>DI</t>
  </si>
  <si>
    <t>NO</t>
  </si>
  <si>
    <t>OC</t>
  </si>
  <si>
    <t>SE</t>
  </si>
  <si>
    <t>AG</t>
  </si>
  <si>
    <t>JU</t>
  </si>
  <si>
    <t>MA</t>
  </si>
  <si>
    <t>AB</t>
  </si>
  <si>
    <t>FE</t>
  </si>
  <si>
    <t>EN</t>
  </si>
  <si>
    <t>VIVIENDAS</t>
  </si>
  <si>
    <t xml:space="preserve">TOTAL </t>
  </si>
  <si>
    <t>C A L L E</t>
  </si>
  <si>
    <t>MESA DIRECTIVA 2012</t>
  </si>
  <si>
    <t>FRACCIONAMIENTO HACIENDAS DE COYOACAN</t>
  </si>
  <si>
    <t>RESULTADOS DE LA COBRANZA 2013</t>
  </si>
  <si>
    <t>RESULTADOS DE LA COBRANZA 2012</t>
  </si>
  <si>
    <t>MESA DIRECTIVA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</si>
</sst>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</font>
    <font>
      <sz val="12"/>
      <color indexed="9"/>
      <name val="Calibri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/>
    <xf numFmtId="0" fontId="0" fillId="0" borderId="0" xfId="0" applyAlignment="1"/>
    <xf numFmtId="164" fontId="2" fillId="2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0" fillId="0" borderId="0" xfId="0" applyBorder="1"/>
    <xf numFmtId="164" fontId="0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ill="1"/>
    <xf numFmtId="1" fontId="0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3" fillId="4" borderId="0" xfId="0" applyFont="1" applyFill="1" applyAlignment="1"/>
    <xf numFmtId="165" fontId="2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164" fontId="0" fillId="2" borderId="1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8"/>
  <sheetViews>
    <sheetView workbookViewId="0">
      <selection activeCell="C1" sqref="C1"/>
    </sheetView>
  </sheetViews>
  <sheetFormatPr baseColWidth="10" defaultRowHeight="15" x14ac:dyDescent="0.25"/>
  <cols>
    <col min="3" max="3" width="11.85546875" customWidth="1"/>
    <col min="4" max="4" width="10.42578125" customWidth="1"/>
    <col min="5" max="5" width="3.85546875" customWidth="1"/>
    <col min="6" max="6" width="3.5703125" customWidth="1"/>
    <col min="7" max="7" width="3.42578125" customWidth="1"/>
    <col min="8" max="8" width="4.42578125" customWidth="1"/>
    <col min="9" max="9" width="3.85546875" customWidth="1"/>
    <col min="10" max="10" width="6.5703125" customWidth="1"/>
    <col min="11" max="11" width="3.85546875" customWidth="1"/>
    <col min="12" max="12" width="6" customWidth="1"/>
    <col min="13" max="13" width="3.85546875" customWidth="1"/>
    <col min="14" max="14" width="5.85546875" customWidth="1"/>
    <col min="15" max="15" width="4.140625" style="1" customWidth="1"/>
    <col min="16" max="16" width="5.85546875" style="2" customWidth="1"/>
    <col min="17" max="17" width="4" style="1" customWidth="1"/>
    <col min="18" max="18" width="5.85546875" customWidth="1"/>
    <col min="19" max="19" width="3.140625" customWidth="1"/>
    <col min="20" max="20" width="4.42578125" customWidth="1"/>
    <col min="21" max="21" width="3.7109375" customWidth="1"/>
    <col min="22" max="22" width="4" customWidth="1"/>
    <col min="23" max="23" width="4" style="1" customWidth="1"/>
    <col min="24" max="24" width="5.85546875" customWidth="1"/>
    <col min="25" max="25" width="3.7109375" customWidth="1"/>
    <col min="26" max="26" width="4.5703125" customWidth="1"/>
    <col min="27" max="27" width="3.85546875" customWidth="1"/>
    <col min="28" max="28" width="6.5703125" customWidth="1"/>
  </cols>
  <sheetData>
    <row r="1" spans="2:28" x14ac:dyDescent="0.25">
      <c r="B1" s="14"/>
      <c r="C1" s="21">
        <v>40909</v>
      </c>
      <c r="D1" s="14"/>
      <c r="E1" s="27"/>
      <c r="F1" s="27"/>
      <c r="G1" s="13"/>
      <c r="H1" s="13"/>
      <c r="I1" s="13"/>
      <c r="J1" s="14"/>
      <c r="K1" s="14"/>
      <c r="L1" s="14"/>
    </row>
    <row r="3" spans="2:28" ht="15.75" x14ac:dyDescent="0.25">
      <c r="C3" s="26" t="s">
        <v>24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2:28" ht="17.25" customHeight="1" x14ac:dyDescent="0.25">
      <c r="C4" s="26" t="s">
        <v>23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2:28" ht="17.25" customHeight="1" x14ac:dyDescent="0.25">
      <c r="C5" s="17" t="s">
        <v>22</v>
      </c>
      <c r="D5" s="17" t="s">
        <v>21</v>
      </c>
      <c r="E5" s="20"/>
      <c r="F5" s="20"/>
      <c r="G5" s="20"/>
      <c r="H5" s="20"/>
      <c r="I5" s="20"/>
      <c r="J5" s="26" t="s">
        <v>26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0"/>
      <c r="V5" s="20"/>
      <c r="W5" s="17"/>
      <c r="X5" s="20"/>
      <c r="Y5" s="20"/>
      <c r="Z5" s="20"/>
      <c r="AA5" s="20"/>
      <c r="AB5" s="20"/>
    </row>
    <row r="6" spans="2:28" ht="17.25" customHeight="1" x14ac:dyDescent="0.25">
      <c r="C6" s="17"/>
      <c r="D6" s="17" t="s">
        <v>20</v>
      </c>
      <c r="E6" s="17" t="s">
        <v>19</v>
      </c>
      <c r="F6" s="17" t="s">
        <v>9</v>
      </c>
      <c r="G6" s="17" t="s">
        <v>18</v>
      </c>
      <c r="H6" s="17" t="s">
        <v>9</v>
      </c>
      <c r="I6" s="17" t="s">
        <v>16</v>
      </c>
      <c r="J6" s="17" t="s">
        <v>9</v>
      </c>
      <c r="K6" s="17" t="s">
        <v>17</v>
      </c>
      <c r="L6" s="17" t="s">
        <v>9</v>
      </c>
      <c r="M6" s="17" t="s">
        <v>16</v>
      </c>
      <c r="N6" s="18" t="s">
        <v>9</v>
      </c>
      <c r="O6" s="17" t="s">
        <v>15</v>
      </c>
      <c r="P6" s="19" t="s">
        <v>9</v>
      </c>
      <c r="Q6" s="17" t="s">
        <v>15</v>
      </c>
      <c r="R6" s="17" t="s">
        <v>9</v>
      </c>
      <c r="S6" s="17" t="s">
        <v>14</v>
      </c>
      <c r="T6" s="17" t="s">
        <v>9</v>
      </c>
      <c r="U6" s="17" t="s">
        <v>13</v>
      </c>
      <c r="V6" s="17" t="s">
        <v>9</v>
      </c>
      <c r="W6" s="17" t="s">
        <v>12</v>
      </c>
      <c r="X6" s="18" t="s">
        <v>9</v>
      </c>
      <c r="Y6" s="17" t="s">
        <v>11</v>
      </c>
      <c r="Z6" s="17" t="s">
        <v>9</v>
      </c>
      <c r="AA6" s="17" t="s">
        <v>10</v>
      </c>
      <c r="AB6" s="17" t="s">
        <v>9</v>
      </c>
    </row>
    <row r="8" spans="2:28" x14ac:dyDescent="0.25">
      <c r="C8" s="3" t="s">
        <v>8</v>
      </c>
      <c r="D8" s="13">
        <v>76</v>
      </c>
      <c r="E8" s="13"/>
      <c r="F8" s="13"/>
      <c r="G8" s="13"/>
      <c r="H8" s="10"/>
      <c r="I8" s="11">
        <v>64</v>
      </c>
      <c r="J8" s="10">
        <f t="shared" ref="J8:J25" si="0">IF(I8=0,"",I8/D8)</f>
        <v>0.84210526315789469</v>
      </c>
      <c r="K8" s="12">
        <v>53</v>
      </c>
      <c r="L8" s="10">
        <f t="shared" ref="L8:L25" si="1">IF(K8=0,"",K8/D8)</f>
        <v>0.69736842105263153</v>
      </c>
      <c r="M8" s="11">
        <v>56</v>
      </c>
      <c r="N8" s="10">
        <f t="shared" ref="N8:N25" si="2">IF(M8=0,"",M8/D8)</f>
        <v>0.73684210526315785</v>
      </c>
      <c r="O8" s="1">
        <v>52</v>
      </c>
      <c r="P8" s="10">
        <f t="shared" ref="P8:P25" si="3">IF(O8=0,"",O8/D8)</f>
        <v>0.68421052631578949</v>
      </c>
      <c r="Q8" s="11">
        <v>45</v>
      </c>
      <c r="R8" s="10">
        <f t="shared" ref="R8:R25" si="4">IF(Q8=0,"",Q8/D8)</f>
        <v>0.59210526315789469</v>
      </c>
      <c r="T8" s="10"/>
      <c r="V8" s="10"/>
      <c r="W8" s="11">
        <v>36</v>
      </c>
      <c r="X8" s="10">
        <f t="shared" ref="X8:X25" si="5">IF(W8=0,"",W8/D8)</f>
        <v>0.47368421052631576</v>
      </c>
      <c r="Z8" s="10"/>
      <c r="AA8">
        <v>48</v>
      </c>
      <c r="AB8" s="10">
        <f t="shared" ref="AB8:AB25" si="6">IF(AA8=0,"",AA8/D8)</f>
        <v>0.63157894736842102</v>
      </c>
    </row>
    <row r="9" spans="2:28" x14ac:dyDescent="0.25">
      <c r="C9" s="3"/>
      <c r="D9" s="13"/>
      <c r="E9" s="14"/>
      <c r="F9" s="14"/>
      <c r="G9" s="13"/>
      <c r="H9" s="10"/>
      <c r="I9" s="11"/>
      <c r="J9" s="10" t="str">
        <f t="shared" si="0"/>
        <v/>
      </c>
      <c r="K9" s="11"/>
      <c r="L9" s="10" t="str">
        <f t="shared" si="1"/>
        <v/>
      </c>
      <c r="M9" s="11"/>
      <c r="N9" s="10" t="str">
        <f t="shared" si="2"/>
        <v/>
      </c>
      <c r="P9" s="10" t="str">
        <f t="shared" si="3"/>
        <v/>
      </c>
      <c r="Q9" s="11"/>
      <c r="R9" s="10" t="str">
        <f t="shared" si="4"/>
        <v/>
      </c>
      <c r="T9" s="10"/>
      <c r="V9" s="10"/>
      <c r="W9" s="11"/>
      <c r="X9" s="10" t="str">
        <f t="shared" si="5"/>
        <v/>
      </c>
      <c r="Z9" s="10"/>
      <c r="AB9" s="10" t="str">
        <f t="shared" si="6"/>
        <v/>
      </c>
    </row>
    <row r="10" spans="2:28" x14ac:dyDescent="0.25">
      <c r="C10" s="3" t="s">
        <v>7</v>
      </c>
      <c r="D10" s="13">
        <v>33</v>
      </c>
      <c r="E10" s="16"/>
      <c r="F10" s="13"/>
      <c r="G10" s="13"/>
      <c r="H10" s="10"/>
      <c r="I10" s="11">
        <v>26</v>
      </c>
      <c r="J10" s="10">
        <f t="shared" si="0"/>
        <v>0.78787878787878785</v>
      </c>
      <c r="K10" s="12">
        <v>24</v>
      </c>
      <c r="L10" s="10">
        <f t="shared" si="1"/>
        <v>0.72727272727272729</v>
      </c>
      <c r="M10" s="11">
        <v>26</v>
      </c>
      <c r="N10" s="10">
        <f t="shared" si="2"/>
        <v>0.78787878787878785</v>
      </c>
      <c r="O10" s="1">
        <v>27</v>
      </c>
      <c r="P10" s="10">
        <f t="shared" si="3"/>
        <v>0.81818181818181823</v>
      </c>
      <c r="Q10" s="11">
        <v>24</v>
      </c>
      <c r="R10" s="10">
        <f t="shared" si="4"/>
        <v>0.72727272727272729</v>
      </c>
      <c r="T10" s="10"/>
      <c r="V10" s="10"/>
      <c r="W10" s="11">
        <v>24</v>
      </c>
      <c r="X10" s="10">
        <f t="shared" si="5"/>
        <v>0.72727272727272729</v>
      </c>
      <c r="Z10" s="10"/>
      <c r="AA10">
        <v>21</v>
      </c>
      <c r="AB10" s="10">
        <f t="shared" si="6"/>
        <v>0.63636363636363635</v>
      </c>
    </row>
    <row r="11" spans="2:28" x14ac:dyDescent="0.25">
      <c r="C11" s="3"/>
      <c r="D11" s="13"/>
      <c r="E11" s="16"/>
      <c r="F11" s="13"/>
      <c r="G11" s="13"/>
      <c r="H11" s="10"/>
      <c r="I11" s="11"/>
      <c r="J11" s="10" t="str">
        <f t="shared" si="0"/>
        <v/>
      </c>
      <c r="K11" s="12"/>
      <c r="L11" s="10" t="str">
        <f t="shared" si="1"/>
        <v/>
      </c>
      <c r="M11" s="11"/>
      <c r="N11" s="10" t="str">
        <f t="shared" si="2"/>
        <v/>
      </c>
      <c r="P11" s="10" t="str">
        <f t="shared" si="3"/>
        <v/>
      </c>
      <c r="Q11" s="11"/>
      <c r="R11" s="10" t="str">
        <f t="shared" si="4"/>
        <v/>
      </c>
      <c r="T11" s="10"/>
      <c r="V11" s="10"/>
      <c r="W11" s="11"/>
      <c r="X11" s="10" t="str">
        <f t="shared" si="5"/>
        <v/>
      </c>
      <c r="Z11" s="10"/>
      <c r="AB11" s="10" t="str">
        <f t="shared" si="6"/>
        <v/>
      </c>
    </row>
    <row r="12" spans="2:28" x14ac:dyDescent="0.25">
      <c r="C12" s="3" t="s">
        <v>6</v>
      </c>
      <c r="D12" s="13">
        <v>81</v>
      </c>
      <c r="E12" s="13"/>
      <c r="F12" s="13"/>
      <c r="G12" s="13"/>
      <c r="H12" s="10"/>
      <c r="I12" s="11">
        <v>69</v>
      </c>
      <c r="J12" s="10">
        <f t="shared" si="0"/>
        <v>0.85185185185185186</v>
      </c>
      <c r="K12" s="12">
        <v>67</v>
      </c>
      <c r="L12" s="10">
        <f t="shared" si="1"/>
        <v>0.8271604938271605</v>
      </c>
      <c r="M12" s="11">
        <v>66</v>
      </c>
      <c r="N12" s="10">
        <f t="shared" si="2"/>
        <v>0.81481481481481477</v>
      </c>
      <c r="O12" s="1">
        <v>66</v>
      </c>
      <c r="P12" s="10">
        <f t="shared" si="3"/>
        <v>0.81481481481481477</v>
      </c>
      <c r="Q12" s="11">
        <v>52</v>
      </c>
      <c r="R12" s="10">
        <f t="shared" si="4"/>
        <v>0.64197530864197527</v>
      </c>
      <c r="T12" s="10"/>
      <c r="V12" s="10"/>
      <c r="W12" s="11">
        <v>42</v>
      </c>
      <c r="X12" s="10">
        <f t="shared" si="5"/>
        <v>0.51851851851851849</v>
      </c>
      <c r="Z12" s="10"/>
      <c r="AA12">
        <v>49</v>
      </c>
      <c r="AB12" s="10">
        <f t="shared" si="6"/>
        <v>0.60493827160493829</v>
      </c>
    </row>
    <row r="13" spans="2:28" x14ac:dyDescent="0.25">
      <c r="C13" s="3"/>
      <c r="D13" s="13"/>
      <c r="E13" s="14"/>
      <c r="F13" s="14"/>
      <c r="G13" s="13"/>
      <c r="H13" s="10"/>
      <c r="I13" s="11"/>
      <c r="J13" s="10" t="str">
        <f t="shared" si="0"/>
        <v/>
      </c>
      <c r="K13" s="11"/>
      <c r="L13" s="10" t="str">
        <f t="shared" si="1"/>
        <v/>
      </c>
      <c r="M13" s="11"/>
      <c r="N13" s="10" t="str">
        <f t="shared" si="2"/>
        <v/>
      </c>
      <c r="P13" s="10" t="str">
        <f t="shared" si="3"/>
        <v/>
      </c>
      <c r="Q13" s="11"/>
      <c r="R13" s="10" t="str">
        <f t="shared" si="4"/>
        <v/>
      </c>
      <c r="T13" s="10"/>
      <c r="V13" s="10"/>
      <c r="W13" s="11"/>
      <c r="X13" s="10" t="str">
        <f t="shared" si="5"/>
        <v/>
      </c>
      <c r="Z13" s="10"/>
      <c r="AB13" s="10" t="str">
        <f t="shared" si="6"/>
        <v/>
      </c>
    </row>
    <row r="14" spans="2:28" x14ac:dyDescent="0.25">
      <c r="C14" s="3" t="s">
        <v>5</v>
      </c>
      <c r="D14" s="13">
        <v>101</v>
      </c>
      <c r="E14" s="16"/>
      <c r="F14" s="13"/>
      <c r="G14" s="13"/>
      <c r="H14" s="10"/>
      <c r="I14" s="11">
        <v>79</v>
      </c>
      <c r="J14" s="10">
        <f t="shared" si="0"/>
        <v>0.78217821782178221</v>
      </c>
      <c r="K14" s="12">
        <v>75</v>
      </c>
      <c r="L14" s="10">
        <f t="shared" si="1"/>
        <v>0.74257425742574257</v>
      </c>
      <c r="M14" s="11">
        <v>75</v>
      </c>
      <c r="N14" s="10">
        <f t="shared" si="2"/>
        <v>0.74257425742574257</v>
      </c>
      <c r="O14" s="1">
        <v>77</v>
      </c>
      <c r="P14" s="10">
        <f t="shared" si="3"/>
        <v>0.76237623762376239</v>
      </c>
      <c r="Q14" s="11">
        <v>67</v>
      </c>
      <c r="R14" s="10">
        <f t="shared" si="4"/>
        <v>0.6633663366336634</v>
      </c>
      <c r="T14" s="10"/>
      <c r="V14" s="10"/>
      <c r="W14" s="11">
        <v>61</v>
      </c>
      <c r="X14" s="10">
        <f t="shared" si="5"/>
        <v>0.60396039603960394</v>
      </c>
      <c r="Z14" s="10"/>
      <c r="AA14">
        <v>67</v>
      </c>
      <c r="AB14" s="10">
        <f t="shared" si="6"/>
        <v>0.6633663366336634</v>
      </c>
    </row>
    <row r="15" spans="2:28" x14ac:dyDescent="0.25">
      <c r="D15" s="13"/>
      <c r="G15" s="13"/>
      <c r="H15" s="10"/>
      <c r="I15" s="11"/>
      <c r="J15" s="10" t="str">
        <f t="shared" si="0"/>
        <v/>
      </c>
      <c r="L15" s="10" t="str">
        <f t="shared" si="1"/>
        <v/>
      </c>
      <c r="M15" s="3"/>
      <c r="N15" s="10" t="str">
        <f t="shared" si="2"/>
        <v/>
      </c>
      <c r="P15" s="10" t="str">
        <f t="shared" si="3"/>
        <v/>
      </c>
      <c r="Q15" s="11"/>
      <c r="R15" s="10" t="str">
        <f t="shared" si="4"/>
        <v/>
      </c>
      <c r="T15" s="10"/>
      <c r="V15" s="10"/>
      <c r="W15" s="11"/>
      <c r="X15" s="10" t="str">
        <f t="shared" si="5"/>
        <v/>
      </c>
      <c r="Z15" s="10"/>
      <c r="AB15" s="10" t="str">
        <f t="shared" si="6"/>
        <v/>
      </c>
    </row>
    <row r="16" spans="2:28" x14ac:dyDescent="0.25">
      <c r="B16" s="15"/>
      <c r="C16" s="3" t="s">
        <v>4</v>
      </c>
      <c r="D16" s="13">
        <v>108</v>
      </c>
      <c r="E16" s="13"/>
      <c r="F16" s="13"/>
      <c r="G16" s="13"/>
      <c r="H16" s="10"/>
      <c r="I16" s="11">
        <v>90</v>
      </c>
      <c r="J16" s="10">
        <f t="shared" si="0"/>
        <v>0.83333333333333337</v>
      </c>
      <c r="K16" s="12">
        <v>68</v>
      </c>
      <c r="L16" s="10">
        <f t="shared" si="1"/>
        <v>0.62962962962962965</v>
      </c>
      <c r="M16" s="11">
        <v>78</v>
      </c>
      <c r="N16" s="10">
        <f t="shared" si="2"/>
        <v>0.72222222222222221</v>
      </c>
      <c r="O16" s="1">
        <v>73</v>
      </c>
      <c r="P16" s="10">
        <f t="shared" si="3"/>
        <v>0.67592592592592593</v>
      </c>
      <c r="Q16" s="11">
        <v>64</v>
      </c>
      <c r="R16" s="10">
        <f t="shared" si="4"/>
        <v>0.59259259259259256</v>
      </c>
      <c r="T16" s="10"/>
      <c r="V16" s="10"/>
      <c r="W16" s="11">
        <v>62</v>
      </c>
      <c r="X16" s="10">
        <f t="shared" si="5"/>
        <v>0.57407407407407407</v>
      </c>
      <c r="Z16" s="10"/>
      <c r="AA16">
        <v>69</v>
      </c>
      <c r="AB16" s="10">
        <f t="shared" si="6"/>
        <v>0.63888888888888884</v>
      </c>
    </row>
    <row r="17" spans="3:28" x14ac:dyDescent="0.25">
      <c r="D17" s="13"/>
      <c r="G17" s="13"/>
      <c r="H17" s="10"/>
      <c r="I17" s="11"/>
      <c r="J17" s="10" t="str">
        <f t="shared" si="0"/>
        <v/>
      </c>
      <c r="L17" s="10" t="str">
        <f t="shared" si="1"/>
        <v/>
      </c>
      <c r="M17" s="3"/>
      <c r="N17" s="10" t="str">
        <f t="shared" si="2"/>
        <v/>
      </c>
      <c r="P17" s="10" t="str">
        <f t="shared" si="3"/>
        <v/>
      </c>
      <c r="Q17" s="11"/>
      <c r="R17" s="10" t="str">
        <f t="shared" si="4"/>
        <v/>
      </c>
      <c r="T17" s="10"/>
      <c r="V17" s="10"/>
      <c r="W17" s="11"/>
      <c r="X17" s="10" t="str">
        <f t="shared" si="5"/>
        <v/>
      </c>
      <c r="Z17" s="10"/>
      <c r="AB17" s="10" t="str">
        <f t="shared" si="6"/>
        <v/>
      </c>
    </row>
    <row r="18" spans="3:28" x14ac:dyDescent="0.25">
      <c r="C18" s="3" t="s">
        <v>3</v>
      </c>
      <c r="D18" s="13">
        <v>10</v>
      </c>
      <c r="E18" s="13"/>
      <c r="F18" s="13"/>
      <c r="G18" s="13"/>
      <c r="H18" s="10"/>
      <c r="I18" s="11">
        <v>7</v>
      </c>
      <c r="J18" s="10">
        <f t="shared" si="0"/>
        <v>0.7</v>
      </c>
      <c r="K18" s="12">
        <v>6</v>
      </c>
      <c r="L18" s="10">
        <f t="shared" si="1"/>
        <v>0.6</v>
      </c>
      <c r="M18" s="11">
        <v>8</v>
      </c>
      <c r="N18" s="10">
        <f t="shared" si="2"/>
        <v>0.8</v>
      </c>
      <c r="O18" s="1">
        <v>8</v>
      </c>
      <c r="P18" s="10">
        <f t="shared" si="3"/>
        <v>0.8</v>
      </c>
      <c r="Q18" s="11">
        <v>5</v>
      </c>
      <c r="R18" s="10">
        <f t="shared" si="4"/>
        <v>0.5</v>
      </c>
      <c r="T18" s="10"/>
      <c r="V18" s="10"/>
      <c r="W18" s="11">
        <v>6</v>
      </c>
      <c r="X18" s="10">
        <f t="shared" si="5"/>
        <v>0.6</v>
      </c>
      <c r="Z18" s="10"/>
      <c r="AA18">
        <v>7</v>
      </c>
      <c r="AB18" s="10">
        <f t="shared" si="6"/>
        <v>0.7</v>
      </c>
    </row>
    <row r="19" spans="3:28" x14ac:dyDescent="0.25">
      <c r="C19" s="3"/>
      <c r="D19" s="13"/>
      <c r="E19" s="14"/>
      <c r="F19" s="14"/>
      <c r="G19" s="13"/>
      <c r="H19" s="10"/>
      <c r="I19" s="11"/>
      <c r="J19" s="10" t="str">
        <f t="shared" si="0"/>
        <v/>
      </c>
      <c r="K19" s="11"/>
      <c r="L19" s="10" t="str">
        <f t="shared" si="1"/>
        <v/>
      </c>
      <c r="M19" s="11"/>
      <c r="N19" s="10" t="str">
        <f t="shared" si="2"/>
        <v/>
      </c>
      <c r="P19" s="10" t="str">
        <f t="shared" si="3"/>
        <v/>
      </c>
      <c r="Q19" s="11"/>
      <c r="R19" s="10" t="str">
        <f t="shared" si="4"/>
        <v/>
      </c>
      <c r="T19" s="10"/>
      <c r="V19" s="10"/>
      <c r="W19" s="11"/>
      <c r="X19" s="10" t="str">
        <f t="shared" si="5"/>
        <v/>
      </c>
      <c r="Z19" s="10"/>
      <c r="AB19" s="10" t="str">
        <f t="shared" si="6"/>
        <v/>
      </c>
    </row>
    <row r="20" spans="3:28" x14ac:dyDescent="0.25">
      <c r="C20" s="3" t="s">
        <v>2</v>
      </c>
      <c r="D20" s="13">
        <v>5</v>
      </c>
      <c r="E20" s="13"/>
      <c r="F20" s="13"/>
      <c r="G20" s="13"/>
      <c r="H20" s="10"/>
      <c r="I20" s="11">
        <v>2</v>
      </c>
      <c r="J20" s="10">
        <f t="shared" si="0"/>
        <v>0.4</v>
      </c>
      <c r="K20" s="11">
        <v>2</v>
      </c>
      <c r="L20" s="10">
        <f t="shared" si="1"/>
        <v>0.4</v>
      </c>
      <c r="M20" s="11">
        <v>2</v>
      </c>
      <c r="N20" s="10">
        <f t="shared" si="2"/>
        <v>0.4</v>
      </c>
      <c r="O20" s="1">
        <v>2</v>
      </c>
      <c r="P20" s="10">
        <f t="shared" si="3"/>
        <v>0.4</v>
      </c>
      <c r="Q20" s="11">
        <v>2</v>
      </c>
      <c r="R20" s="10">
        <f t="shared" si="4"/>
        <v>0.4</v>
      </c>
      <c r="T20" s="10"/>
      <c r="V20" s="10"/>
      <c r="W20" s="11">
        <v>2</v>
      </c>
      <c r="X20" s="10">
        <f t="shared" si="5"/>
        <v>0.4</v>
      </c>
      <c r="Z20" s="10"/>
      <c r="AA20">
        <v>2</v>
      </c>
      <c r="AB20" s="10">
        <f t="shared" si="6"/>
        <v>0.4</v>
      </c>
    </row>
    <row r="21" spans="3:28" x14ac:dyDescent="0.25">
      <c r="C21" s="3"/>
      <c r="D21" s="13"/>
      <c r="E21" s="14"/>
      <c r="F21" s="14"/>
      <c r="G21" s="13"/>
      <c r="H21" s="10"/>
      <c r="I21" s="11"/>
      <c r="J21" s="10" t="str">
        <f t="shared" si="0"/>
        <v/>
      </c>
      <c r="K21" s="11"/>
      <c r="L21" s="10" t="str">
        <f t="shared" si="1"/>
        <v/>
      </c>
      <c r="M21" s="11"/>
      <c r="N21" s="10" t="str">
        <f t="shared" si="2"/>
        <v/>
      </c>
      <c r="P21" s="10" t="str">
        <f t="shared" si="3"/>
        <v/>
      </c>
      <c r="Q21" s="11"/>
      <c r="R21" s="10" t="str">
        <f t="shared" si="4"/>
        <v/>
      </c>
      <c r="T21" s="10"/>
      <c r="V21" s="10"/>
      <c r="W21" s="11"/>
      <c r="X21" s="10" t="str">
        <f t="shared" si="5"/>
        <v/>
      </c>
      <c r="Z21" s="10"/>
      <c r="AB21" s="10" t="str">
        <f t="shared" si="6"/>
        <v/>
      </c>
    </row>
    <row r="22" spans="3:28" x14ac:dyDescent="0.25">
      <c r="C22" s="3" t="s">
        <v>1</v>
      </c>
      <c r="D22" s="13">
        <v>16</v>
      </c>
      <c r="E22" s="13"/>
      <c r="F22" s="13"/>
      <c r="G22" s="13"/>
      <c r="H22" s="10"/>
      <c r="I22" s="11">
        <v>13</v>
      </c>
      <c r="J22" s="10">
        <f t="shared" si="0"/>
        <v>0.8125</v>
      </c>
      <c r="K22" s="12">
        <v>13</v>
      </c>
      <c r="L22" s="10">
        <f t="shared" si="1"/>
        <v>0.8125</v>
      </c>
      <c r="M22" s="11">
        <v>11</v>
      </c>
      <c r="N22" s="10">
        <f t="shared" si="2"/>
        <v>0.6875</v>
      </c>
      <c r="O22" s="1">
        <v>12</v>
      </c>
      <c r="P22" s="10">
        <f t="shared" si="3"/>
        <v>0.75</v>
      </c>
      <c r="Q22" s="11">
        <v>11</v>
      </c>
      <c r="R22" s="10">
        <f t="shared" si="4"/>
        <v>0.6875</v>
      </c>
      <c r="T22" s="10"/>
      <c r="V22" s="10"/>
      <c r="W22" s="11">
        <v>12</v>
      </c>
      <c r="X22" s="10">
        <f t="shared" si="5"/>
        <v>0.75</v>
      </c>
      <c r="Z22" s="10"/>
      <c r="AA22">
        <v>11</v>
      </c>
      <c r="AB22" s="10">
        <f t="shared" si="6"/>
        <v>0.6875</v>
      </c>
    </row>
    <row r="23" spans="3:28" x14ac:dyDescent="0.25">
      <c r="C23" s="3"/>
      <c r="D23" s="13"/>
      <c r="E23" s="13"/>
      <c r="F23" s="13"/>
      <c r="G23" s="13"/>
      <c r="H23" s="10"/>
      <c r="I23" s="11"/>
      <c r="J23" s="10" t="str">
        <f t="shared" si="0"/>
        <v/>
      </c>
      <c r="K23" s="12"/>
      <c r="L23" s="10" t="str">
        <f t="shared" si="1"/>
        <v/>
      </c>
      <c r="M23" s="11"/>
      <c r="N23" s="10" t="str">
        <f t="shared" si="2"/>
        <v/>
      </c>
      <c r="P23" s="10" t="str">
        <f t="shared" si="3"/>
        <v/>
      </c>
      <c r="Q23" s="11"/>
      <c r="R23" s="10" t="str">
        <f t="shared" si="4"/>
        <v/>
      </c>
      <c r="T23" s="10"/>
      <c r="V23" s="10"/>
      <c r="W23" s="11"/>
      <c r="X23" s="10" t="str">
        <f t="shared" si="5"/>
        <v/>
      </c>
      <c r="Z23" s="10"/>
      <c r="AB23" s="10" t="str">
        <f t="shared" si="6"/>
        <v/>
      </c>
    </row>
    <row r="24" spans="3:28" x14ac:dyDescent="0.25">
      <c r="C24" s="3" t="s">
        <v>0</v>
      </c>
      <c r="D24" s="13">
        <v>5</v>
      </c>
      <c r="E24" s="13"/>
      <c r="F24" s="13"/>
      <c r="G24" s="13"/>
      <c r="H24" s="10"/>
      <c r="I24" s="11">
        <v>3</v>
      </c>
      <c r="J24" s="10">
        <f t="shared" si="0"/>
        <v>0.6</v>
      </c>
      <c r="K24" s="12">
        <v>3</v>
      </c>
      <c r="L24" s="10">
        <f t="shared" si="1"/>
        <v>0.6</v>
      </c>
      <c r="M24" s="11">
        <v>3</v>
      </c>
      <c r="N24" s="10">
        <f t="shared" si="2"/>
        <v>0.6</v>
      </c>
      <c r="O24" s="1">
        <v>3</v>
      </c>
      <c r="P24" s="10">
        <f t="shared" si="3"/>
        <v>0.6</v>
      </c>
      <c r="Q24" s="11">
        <v>3</v>
      </c>
      <c r="R24" s="10">
        <f t="shared" si="4"/>
        <v>0.6</v>
      </c>
      <c r="T24" s="10"/>
      <c r="V24" s="10"/>
      <c r="W24" s="11">
        <v>2</v>
      </c>
      <c r="X24" s="10">
        <f t="shared" si="5"/>
        <v>0.4</v>
      </c>
      <c r="Z24" s="10"/>
      <c r="AA24">
        <v>2</v>
      </c>
      <c r="AB24" s="10">
        <f t="shared" si="6"/>
        <v>0.4</v>
      </c>
    </row>
    <row r="25" spans="3:28" ht="15.75" thickBot="1" x14ac:dyDescent="0.3">
      <c r="C25" s="9"/>
      <c r="D25" s="7">
        <f>SUM(D8:D24)</f>
        <v>435</v>
      </c>
      <c r="E25" s="7"/>
      <c r="F25" s="7"/>
      <c r="G25" s="7"/>
      <c r="H25" s="8"/>
      <c r="I25" s="7">
        <f>SUM(I8:I24)</f>
        <v>353</v>
      </c>
      <c r="J25" s="5">
        <f t="shared" si="0"/>
        <v>0.81149425287356325</v>
      </c>
      <c r="K25" s="6">
        <f>SUM(K8:K24)</f>
        <v>311</v>
      </c>
      <c r="L25" s="5">
        <f t="shared" si="1"/>
        <v>0.71494252873563213</v>
      </c>
      <c r="M25" s="7">
        <f>SUM(M8:M24)</f>
        <v>325</v>
      </c>
      <c r="N25" s="5">
        <f t="shared" si="2"/>
        <v>0.74712643678160917</v>
      </c>
      <c r="O25" s="7">
        <f>SUM(O8:O24)</f>
        <v>320</v>
      </c>
      <c r="P25" s="5">
        <f t="shared" si="3"/>
        <v>0.73563218390804597</v>
      </c>
      <c r="Q25" s="7">
        <f>SUM(Q8:Q24)</f>
        <v>273</v>
      </c>
      <c r="R25" s="5">
        <f t="shared" si="4"/>
        <v>0.62758620689655176</v>
      </c>
      <c r="S25" s="7"/>
      <c r="T25" s="5"/>
      <c r="U25" s="7"/>
      <c r="V25" s="5"/>
      <c r="W25" s="6">
        <f>SUM(W7:W24)</f>
        <v>247</v>
      </c>
      <c r="X25" s="5">
        <f t="shared" si="5"/>
        <v>0.56781609195402294</v>
      </c>
      <c r="Y25" s="7"/>
      <c r="Z25" s="5"/>
      <c r="AA25" s="6">
        <f>SUM(AA7:AA24)</f>
        <v>276</v>
      </c>
      <c r="AB25" s="5">
        <f t="shared" si="6"/>
        <v>0.6344827586206897</v>
      </c>
    </row>
    <row r="26" spans="3:28" ht="15.75" thickTop="1" x14ac:dyDescent="0.25"/>
    <row r="28" spans="3:28" x14ac:dyDescent="0.25">
      <c r="D28" s="4"/>
      <c r="N28" s="3"/>
    </row>
  </sheetData>
  <mergeCells count="4">
    <mergeCell ref="C3:AB3"/>
    <mergeCell ref="C4:AB4"/>
    <mergeCell ref="E1:F1"/>
    <mergeCell ref="J5:T5"/>
  </mergeCells>
  <printOptions horizontalCentered="1"/>
  <pageMargins left="0" right="0" top="0.74803149606299213" bottom="0.74803149606299213" header="0.31496062992125984" footer="0.31496062992125984"/>
  <pageSetup paperSize="9" orientation="landscape" horizontalDpi="0" verticalDpi="0" r:id="rId1"/>
  <ignoredErrors>
    <ignoredError sqref="J25:R2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8"/>
  <sheetViews>
    <sheetView tabSelected="1" workbookViewId="0">
      <selection activeCell="D1" sqref="D1"/>
    </sheetView>
  </sheetViews>
  <sheetFormatPr baseColWidth="10" defaultRowHeight="15" x14ac:dyDescent="0.25"/>
  <cols>
    <col min="3" max="3" width="11.85546875" customWidth="1"/>
    <col min="4" max="4" width="10.42578125" customWidth="1"/>
    <col min="5" max="5" width="3.85546875" customWidth="1"/>
    <col min="6" max="6" width="6" customWidth="1"/>
    <col min="7" max="7" width="4.28515625" customWidth="1"/>
    <col min="8" max="8" width="6.140625" customWidth="1"/>
    <col min="9" max="9" width="3.85546875" customWidth="1"/>
    <col min="10" max="10" width="6.5703125" customWidth="1"/>
    <col min="11" max="11" width="3.85546875" customWidth="1"/>
    <col min="12" max="12" width="6" customWidth="1"/>
    <col min="13" max="13" width="3.85546875" customWidth="1"/>
    <col min="14" max="14" width="5.85546875" customWidth="1"/>
    <col min="15" max="15" width="4.140625" style="1" customWidth="1"/>
    <col min="16" max="16" width="5.85546875" style="2" customWidth="1"/>
    <col min="17" max="17" width="4" style="1" customWidth="1"/>
    <col min="18" max="18" width="5.85546875" customWidth="1"/>
    <col min="19" max="19" width="3.140625" customWidth="1"/>
    <col min="20" max="20" width="4.42578125" customWidth="1"/>
    <col min="21" max="21" width="3.7109375" customWidth="1"/>
    <col min="22" max="22" width="4" customWidth="1"/>
    <col min="23" max="23" width="4" style="1" customWidth="1"/>
    <col min="24" max="24" width="5.85546875" customWidth="1"/>
    <col min="25" max="25" width="3.7109375" customWidth="1"/>
    <col min="26" max="26" width="4.5703125" customWidth="1"/>
    <col min="27" max="27" width="3.85546875" customWidth="1"/>
    <col min="28" max="28" width="6.5703125" customWidth="1"/>
  </cols>
  <sheetData>
    <row r="1" spans="2:28" x14ac:dyDescent="0.25">
      <c r="B1" s="14"/>
      <c r="C1" s="21">
        <v>41408</v>
      </c>
      <c r="D1" s="28"/>
      <c r="E1" s="27"/>
      <c r="F1" s="27"/>
      <c r="G1" s="23"/>
      <c r="H1" s="23"/>
      <c r="I1" s="23"/>
      <c r="J1" s="14"/>
      <c r="K1" s="14"/>
      <c r="L1" s="14"/>
    </row>
    <row r="3" spans="2:28" ht="15.75" x14ac:dyDescent="0.25">
      <c r="C3" s="26" t="s">
        <v>24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2:28" ht="17.25" customHeight="1" x14ac:dyDescent="0.25">
      <c r="C4" s="26" t="s">
        <v>27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2:28" ht="17.25" customHeight="1" x14ac:dyDescent="0.25">
      <c r="C5" s="22" t="s">
        <v>22</v>
      </c>
      <c r="D5" s="22" t="s">
        <v>21</v>
      </c>
      <c r="E5" s="20"/>
      <c r="F5" s="20"/>
      <c r="G5" s="20"/>
      <c r="H5" s="26" t="s">
        <v>25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0"/>
      <c r="V5" s="20"/>
      <c r="W5" s="22"/>
      <c r="X5" s="20"/>
      <c r="Y5" s="20"/>
      <c r="Z5" s="20"/>
      <c r="AA5" s="20"/>
      <c r="AB5" s="20"/>
    </row>
    <row r="6" spans="2:28" ht="17.25" customHeight="1" x14ac:dyDescent="0.25">
      <c r="C6" s="22"/>
      <c r="D6" s="22" t="s">
        <v>20</v>
      </c>
      <c r="E6" s="22" t="s">
        <v>19</v>
      </c>
      <c r="F6" s="22" t="s">
        <v>9</v>
      </c>
      <c r="G6" s="22" t="s">
        <v>18</v>
      </c>
      <c r="H6" s="25" t="s">
        <v>9</v>
      </c>
      <c r="I6" s="22" t="s">
        <v>16</v>
      </c>
      <c r="J6" s="22" t="s">
        <v>9</v>
      </c>
      <c r="K6" s="22" t="s">
        <v>17</v>
      </c>
      <c r="L6" s="22" t="s">
        <v>9</v>
      </c>
      <c r="M6" s="22" t="s">
        <v>16</v>
      </c>
      <c r="N6" s="18" t="s">
        <v>9</v>
      </c>
      <c r="O6" s="22" t="s">
        <v>15</v>
      </c>
      <c r="P6" s="19" t="s">
        <v>9</v>
      </c>
      <c r="Q6" s="22" t="s">
        <v>15</v>
      </c>
      <c r="R6" s="22" t="s">
        <v>9</v>
      </c>
      <c r="S6" s="22" t="s">
        <v>14</v>
      </c>
      <c r="T6" s="22" t="s">
        <v>9</v>
      </c>
      <c r="U6" s="22" t="s">
        <v>13</v>
      </c>
      <c r="V6" s="22" t="s">
        <v>9</v>
      </c>
      <c r="W6" s="22" t="s">
        <v>12</v>
      </c>
      <c r="X6" s="18" t="s">
        <v>9</v>
      </c>
      <c r="Y6" s="22" t="s">
        <v>11</v>
      </c>
      <c r="Z6" s="22" t="s">
        <v>9</v>
      </c>
      <c r="AA6" s="22" t="s">
        <v>10</v>
      </c>
      <c r="AB6" s="22" t="s">
        <v>9</v>
      </c>
    </row>
    <row r="7" spans="2:28" x14ac:dyDescent="0.25">
      <c r="S7" s="1"/>
    </row>
    <row r="8" spans="2:28" x14ac:dyDescent="0.25">
      <c r="C8" s="3" t="s">
        <v>8</v>
      </c>
      <c r="D8" s="23">
        <v>76</v>
      </c>
      <c r="E8" s="23">
        <v>50</v>
      </c>
      <c r="F8" s="10">
        <f>IF(D8=0,"",E8/D8)</f>
        <v>0.65789473684210531</v>
      </c>
      <c r="G8" s="11">
        <v>38</v>
      </c>
      <c r="H8" s="10">
        <f>IF(G8=0,"",G8/D8)</f>
        <v>0.5</v>
      </c>
      <c r="I8" s="11">
        <v>36</v>
      </c>
      <c r="J8" s="10">
        <f>IF(I8=0,"",I8/D8)</f>
        <v>0.47368421052631576</v>
      </c>
      <c r="K8" s="12">
        <v>39</v>
      </c>
      <c r="L8" s="10">
        <f t="shared" ref="L8:L24" si="0">IF(K8=0,"",K8/D8)</f>
        <v>0.51315789473684215</v>
      </c>
      <c r="M8" s="11"/>
      <c r="N8" s="10" t="str">
        <f t="shared" ref="N8:N24" si="1">IF(M8=0,"",M8/D8)</f>
        <v/>
      </c>
      <c r="P8" s="10" t="str">
        <f t="shared" ref="P8:P24" si="2">IF(O8=0,"",O8/D8)</f>
        <v/>
      </c>
      <c r="Q8" s="11"/>
      <c r="R8" s="10" t="str">
        <f t="shared" ref="R8:T24" si="3">IF(Q8=0,"",Q8/D8)</f>
        <v/>
      </c>
      <c r="S8" s="11"/>
      <c r="T8" s="10" t="str">
        <f t="shared" si="3"/>
        <v/>
      </c>
      <c r="V8" s="10"/>
      <c r="W8" s="11"/>
      <c r="X8" s="10" t="str">
        <f t="shared" ref="X8:X24" si="4">IF(W8=0,"",W8/D8)</f>
        <v/>
      </c>
      <c r="Z8" s="10"/>
      <c r="AB8" s="10" t="str">
        <f t="shared" ref="AB8:AB24" si="5">IF(AA8=0,"",AA8/D8)</f>
        <v/>
      </c>
    </row>
    <row r="9" spans="2:28" x14ac:dyDescent="0.25">
      <c r="C9" s="3"/>
      <c r="D9" s="23"/>
      <c r="E9" s="14"/>
      <c r="F9" s="10" t="str">
        <f t="shared" ref="F9:F24" si="6">IF(D9=0,"",E9/D9)</f>
        <v/>
      </c>
      <c r="G9" s="11"/>
      <c r="H9" s="10" t="str">
        <f t="shared" ref="H9:H24" si="7">IF(G9=0,"",G9/D9)</f>
        <v/>
      </c>
      <c r="I9" s="11"/>
      <c r="J9" s="10" t="str">
        <f t="shared" ref="J9:J24" si="8">IF(I9=0,"",I9/D9)</f>
        <v/>
      </c>
      <c r="K9" s="11"/>
      <c r="L9" s="10" t="str">
        <f t="shared" si="0"/>
        <v/>
      </c>
      <c r="M9" s="11"/>
      <c r="N9" s="10" t="str">
        <f t="shared" si="1"/>
        <v/>
      </c>
      <c r="P9" s="10" t="str">
        <f t="shared" si="2"/>
        <v/>
      </c>
      <c r="Q9" s="11"/>
      <c r="R9" s="10" t="str">
        <f t="shared" si="3"/>
        <v/>
      </c>
      <c r="S9" s="11"/>
      <c r="T9" s="10" t="str">
        <f t="shared" si="3"/>
        <v/>
      </c>
      <c r="V9" s="10"/>
      <c r="W9" s="11"/>
      <c r="X9" s="10" t="str">
        <f t="shared" si="4"/>
        <v/>
      </c>
      <c r="Z9" s="10"/>
      <c r="AB9" s="10" t="str">
        <f t="shared" si="5"/>
        <v/>
      </c>
    </row>
    <row r="10" spans="2:28" x14ac:dyDescent="0.25">
      <c r="C10" s="3" t="s">
        <v>7</v>
      </c>
      <c r="D10" s="23">
        <v>33</v>
      </c>
      <c r="E10" s="16">
        <v>23</v>
      </c>
      <c r="F10" s="10">
        <f t="shared" si="6"/>
        <v>0.69696969696969702</v>
      </c>
      <c r="G10" s="11">
        <v>20</v>
      </c>
      <c r="H10" s="10">
        <f t="shared" si="7"/>
        <v>0.60606060606060608</v>
      </c>
      <c r="I10" s="11">
        <v>18</v>
      </c>
      <c r="J10" s="10">
        <f t="shared" si="8"/>
        <v>0.54545454545454541</v>
      </c>
      <c r="K10" s="12">
        <v>17</v>
      </c>
      <c r="L10" s="10">
        <f t="shared" si="0"/>
        <v>0.51515151515151514</v>
      </c>
      <c r="M10" s="11"/>
      <c r="N10" s="10" t="str">
        <f t="shared" si="1"/>
        <v/>
      </c>
      <c r="P10" s="10" t="str">
        <f t="shared" si="2"/>
        <v/>
      </c>
      <c r="Q10" s="11"/>
      <c r="R10" s="10" t="str">
        <f t="shared" si="3"/>
        <v/>
      </c>
      <c r="S10" s="11"/>
      <c r="T10" s="10" t="str">
        <f t="shared" si="3"/>
        <v/>
      </c>
      <c r="V10" s="10"/>
      <c r="W10" s="11"/>
      <c r="X10" s="10" t="str">
        <f t="shared" si="4"/>
        <v/>
      </c>
      <c r="Z10" s="10"/>
      <c r="AB10" s="10" t="str">
        <f t="shared" si="5"/>
        <v/>
      </c>
    </row>
    <row r="11" spans="2:28" x14ac:dyDescent="0.25">
      <c r="C11" s="3"/>
      <c r="D11" s="23"/>
      <c r="E11" s="16"/>
      <c r="F11" s="10" t="str">
        <f t="shared" si="6"/>
        <v/>
      </c>
      <c r="G11" s="11"/>
      <c r="H11" s="10" t="str">
        <f t="shared" si="7"/>
        <v/>
      </c>
      <c r="I11" s="11"/>
      <c r="J11" s="10" t="str">
        <f t="shared" si="8"/>
        <v/>
      </c>
      <c r="K11" s="12"/>
      <c r="L11" s="10" t="str">
        <f t="shared" si="0"/>
        <v/>
      </c>
      <c r="M11" s="11"/>
      <c r="N11" s="10" t="str">
        <f t="shared" si="1"/>
        <v/>
      </c>
      <c r="P11" s="10" t="str">
        <f t="shared" si="2"/>
        <v/>
      </c>
      <c r="Q11" s="11"/>
      <c r="R11" s="10" t="str">
        <f t="shared" si="3"/>
        <v/>
      </c>
      <c r="S11" s="11"/>
      <c r="T11" s="10" t="str">
        <f t="shared" si="3"/>
        <v/>
      </c>
      <c r="V11" s="10"/>
      <c r="W11" s="11"/>
      <c r="X11" s="10" t="str">
        <f t="shared" si="4"/>
        <v/>
      </c>
      <c r="Z11" s="10"/>
      <c r="AB11" s="10" t="str">
        <f t="shared" si="5"/>
        <v/>
      </c>
    </row>
    <row r="12" spans="2:28" x14ac:dyDescent="0.25">
      <c r="C12" s="3" t="s">
        <v>6</v>
      </c>
      <c r="D12" s="23">
        <v>81</v>
      </c>
      <c r="E12" s="23">
        <v>53</v>
      </c>
      <c r="F12" s="10">
        <f t="shared" si="6"/>
        <v>0.65432098765432101</v>
      </c>
      <c r="G12" s="11">
        <v>49</v>
      </c>
      <c r="H12" s="10">
        <f t="shared" si="7"/>
        <v>0.60493827160493829</v>
      </c>
      <c r="I12" s="11">
        <v>40</v>
      </c>
      <c r="J12" s="10">
        <f t="shared" si="8"/>
        <v>0.49382716049382713</v>
      </c>
      <c r="K12" s="12">
        <v>40</v>
      </c>
      <c r="L12" s="10">
        <f t="shared" si="0"/>
        <v>0.49382716049382713</v>
      </c>
      <c r="M12" s="11"/>
      <c r="N12" s="10" t="str">
        <f t="shared" si="1"/>
        <v/>
      </c>
      <c r="P12" s="10" t="str">
        <f t="shared" si="2"/>
        <v/>
      </c>
      <c r="Q12" s="11"/>
      <c r="R12" s="10" t="str">
        <f t="shared" si="3"/>
        <v/>
      </c>
      <c r="S12" s="11"/>
      <c r="T12" s="10" t="str">
        <f t="shared" si="3"/>
        <v/>
      </c>
      <c r="V12" s="10"/>
      <c r="W12" s="11"/>
      <c r="X12" s="10" t="str">
        <f t="shared" si="4"/>
        <v/>
      </c>
      <c r="Z12" s="10"/>
      <c r="AB12" s="10" t="str">
        <f t="shared" si="5"/>
        <v/>
      </c>
    </row>
    <row r="13" spans="2:28" x14ac:dyDescent="0.25">
      <c r="C13" s="3"/>
      <c r="D13" s="23"/>
      <c r="E13" s="14"/>
      <c r="F13" s="10" t="str">
        <f t="shared" si="6"/>
        <v/>
      </c>
      <c r="G13" s="11"/>
      <c r="H13" s="10" t="str">
        <f t="shared" si="7"/>
        <v/>
      </c>
      <c r="I13" s="11"/>
      <c r="J13" s="10" t="str">
        <f t="shared" si="8"/>
        <v/>
      </c>
      <c r="K13" s="11"/>
      <c r="L13" s="10" t="str">
        <f t="shared" si="0"/>
        <v/>
      </c>
      <c r="M13" s="11"/>
      <c r="N13" s="10" t="str">
        <f t="shared" si="1"/>
        <v/>
      </c>
      <c r="P13" s="10" t="str">
        <f t="shared" si="2"/>
        <v/>
      </c>
      <c r="Q13" s="11"/>
      <c r="R13" s="10" t="str">
        <f t="shared" si="3"/>
        <v/>
      </c>
      <c r="S13" s="11"/>
      <c r="T13" s="10" t="str">
        <f t="shared" si="3"/>
        <v/>
      </c>
      <c r="V13" s="10"/>
      <c r="W13" s="11"/>
      <c r="X13" s="10" t="str">
        <f t="shared" si="4"/>
        <v/>
      </c>
      <c r="Z13" s="10"/>
      <c r="AB13" s="10" t="str">
        <f t="shared" si="5"/>
        <v/>
      </c>
    </row>
    <row r="14" spans="2:28" x14ac:dyDescent="0.25">
      <c r="C14" s="3" t="s">
        <v>5</v>
      </c>
      <c r="D14" s="23">
        <v>101</v>
      </c>
      <c r="E14" s="16">
        <v>67</v>
      </c>
      <c r="F14" s="10">
        <f t="shared" si="6"/>
        <v>0.6633663366336634</v>
      </c>
      <c r="G14" s="11">
        <v>61</v>
      </c>
      <c r="H14" s="10">
        <f t="shared" si="7"/>
        <v>0.60396039603960394</v>
      </c>
      <c r="I14" s="11">
        <v>61</v>
      </c>
      <c r="J14" s="10">
        <f t="shared" si="8"/>
        <v>0.60396039603960394</v>
      </c>
      <c r="K14" s="12">
        <v>54</v>
      </c>
      <c r="L14" s="10">
        <f t="shared" si="0"/>
        <v>0.53465346534653468</v>
      </c>
      <c r="M14" s="11"/>
      <c r="N14" s="10" t="str">
        <f t="shared" si="1"/>
        <v/>
      </c>
      <c r="P14" s="10" t="str">
        <f t="shared" si="2"/>
        <v/>
      </c>
      <c r="Q14" s="11"/>
      <c r="R14" s="10" t="str">
        <f t="shared" si="3"/>
        <v/>
      </c>
      <c r="S14" s="11"/>
      <c r="T14" s="10" t="str">
        <f t="shared" si="3"/>
        <v/>
      </c>
      <c r="V14" s="10"/>
      <c r="W14" s="11"/>
      <c r="X14" s="10" t="str">
        <f t="shared" si="4"/>
        <v/>
      </c>
      <c r="Z14" s="10"/>
      <c r="AB14" s="10" t="str">
        <f t="shared" si="5"/>
        <v/>
      </c>
    </row>
    <row r="15" spans="2:28" x14ac:dyDescent="0.25">
      <c r="D15" s="23"/>
      <c r="F15" s="10" t="str">
        <f t="shared" si="6"/>
        <v/>
      </c>
      <c r="G15" s="11"/>
      <c r="H15" s="10" t="str">
        <f t="shared" si="7"/>
        <v/>
      </c>
      <c r="I15" s="11"/>
      <c r="J15" s="10" t="str">
        <f t="shared" si="8"/>
        <v/>
      </c>
      <c r="L15" s="10" t="str">
        <f t="shared" si="0"/>
        <v/>
      </c>
      <c r="M15" s="3"/>
      <c r="N15" s="10" t="str">
        <f t="shared" si="1"/>
        <v/>
      </c>
      <c r="P15" s="10" t="str">
        <f t="shared" si="2"/>
        <v/>
      </c>
      <c r="Q15" s="11"/>
      <c r="R15" s="10" t="str">
        <f t="shared" si="3"/>
        <v/>
      </c>
      <c r="S15" s="11"/>
      <c r="T15" s="10" t="str">
        <f t="shared" si="3"/>
        <v/>
      </c>
      <c r="V15" s="10"/>
      <c r="W15" s="11"/>
      <c r="X15" s="10" t="str">
        <f t="shared" si="4"/>
        <v/>
      </c>
      <c r="Z15" s="10"/>
      <c r="AB15" s="10" t="str">
        <f t="shared" si="5"/>
        <v/>
      </c>
    </row>
    <row r="16" spans="2:28" x14ac:dyDescent="0.25">
      <c r="B16" s="15"/>
      <c r="C16" s="3" t="s">
        <v>4</v>
      </c>
      <c r="D16" s="23">
        <v>108</v>
      </c>
      <c r="E16" s="23">
        <v>71</v>
      </c>
      <c r="F16" s="10">
        <f t="shared" si="6"/>
        <v>0.65740740740740744</v>
      </c>
      <c r="G16" s="11">
        <v>62</v>
      </c>
      <c r="H16" s="10">
        <f t="shared" si="7"/>
        <v>0.57407407407407407</v>
      </c>
      <c r="I16" s="11">
        <v>65</v>
      </c>
      <c r="J16" s="10">
        <f t="shared" si="8"/>
        <v>0.60185185185185186</v>
      </c>
      <c r="K16" s="12">
        <v>61</v>
      </c>
      <c r="L16" s="10">
        <f t="shared" si="0"/>
        <v>0.56481481481481477</v>
      </c>
      <c r="M16" s="11"/>
      <c r="N16" s="10" t="str">
        <f t="shared" si="1"/>
        <v/>
      </c>
      <c r="P16" s="10" t="str">
        <f t="shared" si="2"/>
        <v/>
      </c>
      <c r="Q16" s="11"/>
      <c r="R16" s="10" t="str">
        <f t="shared" si="3"/>
        <v/>
      </c>
      <c r="S16" s="11"/>
      <c r="T16" s="10" t="str">
        <f t="shared" si="3"/>
        <v/>
      </c>
      <c r="V16" s="10"/>
      <c r="W16" s="11"/>
      <c r="X16" s="10" t="str">
        <f t="shared" si="4"/>
        <v/>
      </c>
      <c r="Z16" s="10"/>
      <c r="AB16" s="10" t="str">
        <f t="shared" si="5"/>
        <v/>
      </c>
    </row>
    <row r="17" spans="3:28" x14ac:dyDescent="0.25">
      <c r="D17" s="23"/>
      <c r="F17" s="10" t="str">
        <f t="shared" si="6"/>
        <v/>
      </c>
      <c r="G17" s="11"/>
      <c r="H17" s="10" t="str">
        <f t="shared" si="7"/>
        <v/>
      </c>
      <c r="I17" s="11"/>
      <c r="J17" s="10" t="str">
        <f t="shared" si="8"/>
        <v/>
      </c>
      <c r="L17" s="10" t="str">
        <f t="shared" si="0"/>
        <v/>
      </c>
      <c r="M17" s="3"/>
      <c r="N17" s="10" t="str">
        <f t="shared" si="1"/>
        <v/>
      </c>
      <c r="P17" s="10" t="str">
        <f t="shared" si="2"/>
        <v/>
      </c>
      <c r="Q17" s="11"/>
      <c r="R17" s="10" t="str">
        <f t="shared" si="3"/>
        <v/>
      </c>
      <c r="S17" s="11"/>
      <c r="T17" s="10" t="str">
        <f t="shared" si="3"/>
        <v/>
      </c>
      <c r="V17" s="10"/>
      <c r="W17" s="11"/>
      <c r="X17" s="10" t="str">
        <f t="shared" si="4"/>
        <v/>
      </c>
      <c r="Z17" s="10"/>
      <c r="AB17" s="10" t="str">
        <f t="shared" si="5"/>
        <v/>
      </c>
    </row>
    <row r="18" spans="3:28" x14ac:dyDescent="0.25">
      <c r="C18" s="3" t="s">
        <v>3</v>
      </c>
      <c r="D18" s="23">
        <v>10</v>
      </c>
      <c r="E18" s="23">
        <v>7</v>
      </c>
      <c r="F18" s="10">
        <f t="shared" si="6"/>
        <v>0.7</v>
      </c>
      <c r="G18" s="11">
        <v>5</v>
      </c>
      <c r="H18" s="10">
        <f t="shared" si="7"/>
        <v>0.5</v>
      </c>
      <c r="I18" s="11">
        <v>5</v>
      </c>
      <c r="J18" s="10">
        <f t="shared" si="8"/>
        <v>0.5</v>
      </c>
      <c r="K18" s="12">
        <v>4</v>
      </c>
      <c r="L18" s="10">
        <f t="shared" si="0"/>
        <v>0.4</v>
      </c>
      <c r="M18" s="11"/>
      <c r="N18" s="10" t="str">
        <f t="shared" si="1"/>
        <v/>
      </c>
      <c r="P18" s="10" t="str">
        <f t="shared" si="2"/>
        <v/>
      </c>
      <c r="Q18" s="11"/>
      <c r="R18" s="10" t="str">
        <f t="shared" si="3"/>
        <v/>
      </c>
      <c r="S18" s="11"/>
      <c r="T18" s="10" t="str">
        <f t="shared" si="3"/>
        <v/>
      </c>
      <c r="V18" s="10"/>
      <c r="W18" s="11"/>
      <c r="X18" s="10" t="str">
        <f t="shared" si="4"/>
        <v/>
      </c>
      <c r="Z18" s="10"/>
      <c r="AB18" s="10" t="str">
        <f t="shared" si="5"/>
        <v/>
      </c>
    </row>
    <row r="19" spans="3:28" x14ac:dyDescent="0.25">
      <c r="C19" s="3"/>
      <c r="D19" s="23"/>
      <c r="E19" s="14"/>
      <c r="F19" s="10" t="str">
        <f t="shared" si="6"/>
        <v/>
      </c>
      <c r="G19" s="11"/>
      <c r="H19" s="10" t="str">
        <f t="shared" si="7"/>
        <v/>
      </c>
      <c r="I19" s="11"/>
      <c r="J19" s="10" t="str">
        <f t="shared" si="8"/>
        <v/>
      </c>
      <c r="K19" s="11"/>
      <c r="L19" s="10" t="str">
        <f t="shared" si="0"/>
        <v/>
      </c>
      <c r="M19" s="11"/>
      <c r="N19" s="10" t="str">
        <f t="shared" si="1"/>
        <v/>
      </c>
      <c r="P19" s="10" t="str">
        <f t="shared" si="2"/>
        <v/>
      </c>
      <c r="Q19" s="11"/>
      <c r="R19" s="10" t="str">
        <f t="shared" si="3"/>
        <v/>
      </c>
      <c r="S19" s="11"/>
      <c r="T19" s="10" t="str">
        <f t="shared" si="3"/>
        <v/>
      </c>
      <c r="V19" s="10"/>
      <c r="W19" s="11"/>
      <c r="X19" s="10" t="str">
        <f t="shared" si="4"/>
        <v/>
      </c>
      <c r="Z19" s="10"/>
      <c r="AB19" s="10" t="str">
        <f t="shared" si="5"/>
        <v/>
      </c>
    </row>
    <row r="20" spans="3:28" x14ac:dyDescent="0.25">
      <c r="C20" s="3" t="s">
        <v>2</v>
      </c>
      <c r="D20" s="23">
        <v>5</v>
      </c>
      <c r="E20" s="23">
        <v>2</v>
      </c>
      <c r="F20" s="10">
        <f t="shared" si="6"/>
        <v>0.4</v>
      </c>
      <c r="G20" s="11">
        <v>2</v>
      </c>
      <c r="H20" s="10">
        <f t="shared" si="7"/>
        <v>0.4</v>
      </c>
      <c r="I20" s="11">
        <v>2</v>
      </c>
      <c r="J20" s="10">
        <f t="shared" si="8"/>
        <v>0.4</v>
      </c>
      <c r="K20" s="11">
        <v>2</v>
      </c>
      <c r="L20" s="10">
        <f t="shared" si="0"/>
        <v>0.4</v>
      </c>
      <c r="M20" s="11"/>
      <c r="N20" s="10" t="str">
        <f t="shared" si="1"/>
        <v/>
      </c>
      <c r="P20" s="10" t="str">
        <f t="shared" si="2"/>
        <v/>
      </c>
      <c r="Q20" s="11"/>
      <c r="R20" s="10" t="str">
        <f t="shared" si="3"/>
        <v/>
      </c>
      <c r="S20" s="11"/>
      <c r="T20" s="10" t="str">
        <f t="shared" si="3"/>
        <v/>
      </c>
      <c r="V20" s="10"/>
      <c r="W20" s="11"/>
      <c r="X20" s="10" t="str">
        <f t="shared" si="4"/>
        <v/>
      </c>
      <c r="Z20" s="10"/>
      <c r="AB20" s="10" t="str">
        <f t="shared" si="5"/>
        <v/>
      </c>
    </row>
    <row r="21" spans="3:28" x14ac:dyDescent="0.25">
      <c r="C21" s="3"/>
      <c r="D21" s="23"/>
      <c r="E21" s="14"/>
      <c r="F21" s="10" t="str">
        <f t="shared" si="6"/>
        <v/>
      </c>
      <c r="G21" s="11"/>
      <c r="H21" s="10" t="str">
        <f t="shared" si="7"/>
        <v/>
      </c>
      <c r="I21" s="11"/>
      <c r="J21" s="10" t="str">
        <f t="shared" si="8"/>
        <v/>
      </c>
      <c r="K21" s="11"/>
      <c r="L21" s="10" t="str">
        <f t="shared" si="0"/>
        <v/>
      </c>
      <c r="M21" s="11"/>
      <c r="N21" s="10" t="str">
        <f t="shared" si="1"/>
        <v/>
      </c>
      <c r="P21" s="10" t="str">
        <f t="shared" si="2"/>
        <v/>
      </c>
      <c r="Q21" s="11"/>
      <c r="R21" s="10" t="str">
        <f t="shared" si="3"/>
        <v/>
      </c>
      <c r="S21" s="11"/>
      <c r="T21" s="10" t="str">
        <f t="shared" si="3"/>
        <v/>
      </c>
      <c r="V21" s="10"/>
      <c r="W21" s="11"/>
      <c r="X21" s="10" t="str">
        <f t="shared" si="4"/>
        <v/>
      </c>
      <c r="Z21" s="10"/>
      <c r="AB21" s="10" t="str">
        <f t="shared" si="5"/>
        <v/>
      </c>
    </row>
    <row r="22" spans="3:28" x14ac:dyDescent="0.25">
      <c r="C22" s="3" t="s">
        <v>1</v>
      </c>
      <c r="D22" s="23">
        <v>16</v>
      </c>
      <c r="E22" s="23">
        <v>11</v>
      </c>
      <c r="F22" s="10">
        <f t="shared" si="6"/>
        <v>0.6875</v>
      </c>
      <c r="G22" s="11">
        <v>11</v>
      </c>
      <c r="H22" s="10">
        <f t="shared" si="7"/>
        <v>0.6875</v>
      </c>
      <c r="I22" s="11">
        <v>10</v>
      </c>
      <c r="J22" s="10">
        <f t="shared" si="8"/>
        <v>0.625</v>
      </c>
      <c r="K22" s="12">
        <v>11</v>
      </c>
      <c r="L22" s="10">
        <f t="shared" si="0"/>
        <v>0.6875</v>
      </c>
      <c r="M22" s="11"/>
      <c r="N22" s="10" t="str">
        <f t="shared" si="1"/>
        <v/>
      </c>
      <c r="P22" s="10" t="str">
        <f t="shared" si="2"/>
        <v/>
      </c>
      <c r="Q22" s="11"/>
      <c r="R22" s="10" t="str">
        <f t="shared" si="3"/>
        <v/>
      </c>
      <c r="S22" s="11"/>
      <c r="T22" s="10" t="str">
        <f t="shared" si="3"/>
        <v/>
      </c>
      <c r="V22" s="10"/>
      <c r="W22" s="11"/>
      <c r="X22" s="10" t="str">
        <f t="shared" si="4"/>
        <v/>
      </c>
      <c r="Z22" s="10"/>
      <c r="AB22" s="10" t="str">
        <f t="shared" si="5"/>
        <v/>
      </c>
    </row>
    <row r="23" spans="3:28" x14ac:dyDescent="0.25">
      <c r="C23" s="3"/>
      <c r="D23" s="23"/>
      <c r="E23" s="23"/>
      <c r="F23" s="10" t="str">
        <f t="shared" si="6"/>
        <v/>
      </c>
      <c r="G23" s="11"/>
      <c r="H23" s="10" t="str">
        <f t="shared" si="7"/>
        <v/>
      </c>
      <c r="I23" s="11"/>
      <c r="J23" s="10" t="str">
        <f t="shared" si="8"/>
        <v/>
      </c>
      <c r="K23" s="12"/>
      <c r="L23" s="10" t="str">
        <f t="shared" si="0"/>
        <v/>
      </c>
      <c r="M23" s="11"/>
      <c r="N23" s="10" t="str">
        <f t="shared" si="1"/>
        <v/>
      </c>
      <c r="P23" s="10" t="str">
        <f t="shared" si="2"/>
        <v/>
      </c>
      <c r="Q23" s="11"/>
      <c r="R23" s="10" t="str">
        <f t="shared" si="3"/>
        <v/>
      </c>
      <c r="S23" s="11"/>
      <c r="T23" s="10" t="str">
        <f t="shared" si="3"/>
        <v/>
      </c>
      <c r="V23" s="10"/>
      <c r="W23" s="11"/>
      <c r="X23" s="10" t="str">
        <f t="shared" si="4"/>
        <v/>
      </c>
      <c r="Z23" s="10"/>
      <c r="AB23" s="10" t="str">
        <f t="shared" si="5"/>
        <v/>
      </c>
    </row>
    <row r="24" spans="3:28" x14ac:dyDescent="0.25">
      <c r="C24" s="3" t="s">
        <v>0</v>
      </c>
      <c r="D24" s="23">
        <v>5</v>
      </c>
      <c r="E24" s="23">
        <v>2</v>
      </c>
      <c r="F24" s="10">
        <f t="shared" si="6"/>
        <v>0.4</v>
      </c>
      <c r="G24" s="11">
        <v>3</v>
      </c>
      <c r="H24" s="10">
        <f t="shared" si="7"/>
        <v>0.6</v>
      </c>
      <c r="I24" s="11">
        <v>3</v>
      </c>
      <c r="J24" s="10">
        <f t="shared" si="8"/>
        <v>0.6</v>
      </c>
      <c r="K24" s="12">
        <v>3</v>
      </c>
      <c r="L24" s="10">
        <f t="shared" si="0"/>
        <v>0.6</v>
      </c>
      <c r="M24" s="11"/>
      <c r="N24" s="10" t="str">
        <f t="shared" si="1"/>
        <v/>
      </c>
      <c r="P24" s="10" t="str">
        <f t="shared" si="2"/>
        <v/>
      </c>
      <c r="Q24" s="11"/>
      <c r="R24" s="10" t="str">
        <f t="shared" si="3"/>
        <v/>
      </c>
      <c r="S24" s="11"/>
      <c r="T24" s="10" t="str">
        <f t="shared" si="3"/>
        <v/>
      </c>
      <c r="V24" s="10"/>
      <c r="W24" s="11"/>
      <c r="X24" s="10" t="str">
        <f t="shared" si="4"/>
        <v/>
      </c>
      <c r="Z24" s="10"/>
      <c r="AB24" s="10" t="str">
        <f t="shared" si="5"/>
        <v/>
      </c>
    </row>
    <row r="25" spans="3:28" ht="15.75" thickBot="1" x14ac:dyDescent="0.3">
      <c r="C25" s="9"/>
      <c r="D25" s="7">
        <f>SUM(D8:D24)</f>
        <v>435</v>
      </c>
      <c r="E25" s="7">
        <f>SUM(E8:E24)</f>
        <v>286</v>
      </c>
      <c r="F25" s="24">
        <f>IF(D25=0,"",E25/D25)</f>
        <v>0.65747126436781611</v>
      </c>
      <c r="G25" s="7">
        <f>SUM(G8:G24)</f>
        <v>251</v>
      </c>
      <c r="H25" s="24">
        <f>IF(G25=0,"",G25/D25)</f>
        <v>0.57701149425287357</v>
      </c>
      <c r="I25" s="7">
        <f>SUM(I8:I24)</f>
        <v>240</v>
      </c>
      <c r="J25" s="5">
        <f>IF(I25=0,"",I25/D25)</f>
        <v>0.55172413793103448</v>
      </c>
      <c r="K25" s="6">
        <f>SUM(K8:K24)</f>
        <v>231</v>
      </c>
      <c r="L25" s="5">
        <f>IF(K25=0,"",K25/D25)</f>
        <v>0.53103448275862064</v>
      </c>
      <c r="M25" s="7">
        <f>SUM(M8:M24)</f>
        <v>0</v>
      </c>
      <c r="N25" s="5" t="str">
        <f>IF(M25=0,"",M25/D25)</f>
        <v/>
      </c>
      <c r="O25" s="7">
        <f>SUM(O8:O24)</f>
        <v>0</v>
      </c>
      <c r="P25" s="5" t="str">
        <f>IF(O25=0,"",O25/D25)</f>
        <v/>
      </c>
      <c r="Q25" s="7">
        <f>SUM(Q8:Q24)</f>
        <v>0</v>
      </c>
      <c r="R25" s="5" t="str">
        <f>IF(Q25=0,"",Q25/D25)</f>
        <v/>
      </c>
      <c r="S25" s="7">
        <f>SUM(S8:S24)</f>
        <v>0</v>
      </c>
      <c r="T25" s="5" t="str">
        <f>IF(S25=0,"",S25/D25)</f>
        <v/>
      </c>
      <c r="U25" s="7">
        <f>SUM(U8:U24)</f>
        <v>0</v>
      </c>
      <c r="V25" s="5"/>
      <c r="W25" s="7">
        <f>SUM(W8:W24)</f>
        <v>0</v>
      </c>
      <c r="X25" s="5" t="str">
        <f>IF(W25=0,"",W25/D25)</f>
        <v/>
      </c>
      <c r="Y25" s="7">
        <f>SUM(Y8:Y24)</f>
        <v>0</v>
      </c>
      <c r="Z25" s="5"/>
      <c r="AA25" s="6">
        <f>SUM(AA7:AA24)</f>
        <v>0</v>
      </c>
      <c r="AB25" s="5" t="str">
        <f>IF(AA25=0,"",AA25/D25)</f>
        <v/>
      </c>
    </row>
    <row r="26" spans="3:28" ht="15.75" thickTop="1" x14ac:dyDescent="0.25"/>
    <row r="28" spans="3:28" x14ac:dyDescent="0.25">
      <c r="D28" s="4"/>
      <c r="N28" s="3"/>
    </row>
  </sheetData>
  <mergeCells count="4">
    <mergeCell ref="H5:T5"/>
    <mergeCell ref="E1:F1"/>
    <mergeCell ref="C3:AB3"/>
    <mergeCell ref="C4:AB4"/>
  </mergeCells>
  <printOptions horizontalCentered="1"/>
  <pageMargins left="0" right="0" top="0.74803149606299213" bottom="0.74803149606299213" header="0.31496062992125984" footer="0.31496062992125984"/>
  <pageSetup paperSize="9" scale="90" orientation="landscape" horizontalDpi="0" verticalDpi="0" r:id="rId1"/>
  <ignoredErrors>
    <ignoredError sqref="J25:P25 H25 V25 Z25:AB25 F25 Q25:T25 X2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COBRANZA-RESULTADOS 2012</vt:lpstr>
      <vt:lpstr>COBRANZA-RESULTADOS 2013</vt:lpstr>
      <vt:lpstr>'COBRANZA-RESULTADOS 2012'!Área_de_impresión</vt:lpstr>
      <vt:lpstr>'COBRANZA-RESULTADOS 2013'!Área_de_impresión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Baldemar Sala Bay</cp:lastModifiedBy>
  <cp:lastPrinted>2013-05-14T20:57:47Z</cp:lastPrinted>
  <dcterms:created xsi:type="dcterms:W3CDTF">2013-01-25T02:52:06Z</dcterms:created>
  <dcterms:modified xsi:type="dcterms:W3CDTF">2013-06-24T13:49:59Z</dcterms:modified>
</cp:coreProperties>
</file>