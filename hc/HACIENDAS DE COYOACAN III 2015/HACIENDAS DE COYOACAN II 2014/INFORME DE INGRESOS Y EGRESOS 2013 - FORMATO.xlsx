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0800" windowHeight="9720"/>
  </bookViews>
  <sheets>
    <sheet name="financiero" sheetId="1" r:id="rId1"/>
    <sheet name="Gastos (detalle)" sheetId="2" r:id="rId2"/>
  </sheets>
  <definedNames>
    <definedName name="_xlnm.Print_Area" localSheetId="0">financiero!$B$1:$K$52</definedName>
    <definedName name="_xlnm.Print_Titles" localSheetId="1">'Gastos (detalle)'!$1:$5</definedName>
  </definedNames>
  <calcPr calcId="145621"/>
</workbook>
</file>

<file path=xl/calcChain.xml><?xml version="1.0" encoding="utf-8"?>
<calcChain xmlns="http://schemas.openxmlformats.org/spreadsheetml/2006/main">
  <c r="I178" i="2" l="1"/>
  <c r="H178" i="2"/>
  <c r="I175" i="2"/>
  <c r="H175" i="2"/>
  <c r="I171" i="2"/>
  <c r="H171" i="2"/>
  <c r="I167" i="2"/>
  <c r="H167" i="2"/>
  <c r="I159" i="2"/>
  <c r="H159" i="2"/>
  <c r="I146" i="2"/>
  <c r="H146" i="2"/>
  <c r="I134" i="2"/>
  <c r="H134" i="2"/>
  <c r="I119" i="2"/>
  <c r="H119" i="2"/>
  <c r="I104" i="2"/>
  <c r="H104" i="2"/>
  <c r="I101" i="2"/>
  <c r="H101" i="2"/>
  <c r="I95" i="2"/>
  <c r="H95" i="2"/>
  <c r="I90" i="2"/>
  <c r="H90" i="2"/>
  <c r="I82" i="2"/>
  <c r="H82" i="2"/>
  <c r="I73" i="2"/>
  <c r="H73" i="2"/>
  <c r="I61" i="2"/>
  <c r="H61" i="2"/>
  <c r="I57" i="2"/>
  <c r="H57" i="2"/>
  <c r="I54" i="2"/>
  <c r="H54" i="2"/>
  <c r="I49" i="2"/>
  <c r="H49" i="2"/>
  <c r="I47" i="2"/>
  <c r="H47" i="2"/>
  <c r="I42" i="2"/>
  <c r="H42" i="2"/>
  <c r="I28" i="2"/>
  <c r="H28" i="2"/>
  <c r="I13" i="2"/>
  <c r="I179" i="2" s="1"/>
  <c r="H13" i="2"/>
  <c r="H179" i="2" s="1"/>
</calcChain>
</file>

<file path=xl/sharedStrings.xml><?xml version="1.0" encoding="utf-8"?>
<sst xmlns="http://schemas.openxmlformats.org/spreadsheetml/2006/main" count="504" uniqueCount="232">
  <si>
    <t>Asociación de Colonos HACIENDAS DE COYOACÁN</t>
  </si>
  <si>
    <t>REPORTE FINANCIERO</t>
  </si>
  <si>
    <t>AÑO: 2013</t>
  </si>
  <si>
    <t>CONCEPTO  /  MES</t>
  </si>
  <si>
    <t>DICIEMBRE
2012</t>
  </si>
  <si>
    <t>ANUAL
2013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</si>
  <si>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</si>
  <si>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</si>
  <si>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</si>
  <si>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</si>
  <si>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</si>
  <si>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</si>
  <si>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</si>
  <si>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</si>
  <si>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INGRESOS</t>
  </si>
  <si>
    <t>Cuotas de vigilancia</t>
  </si>
  <si>
    <t>Cuotas extraordinarias</t>
  </si>
  <si>
    <t>Venta de llaves</t>
  </si>
  <si>
    <t>Venta de tarjetas electrónicas</t>
  </si>
  <si>
    <t>Venta de tarjetones</t>
  </si>
  <si>
    <t>Aportación Colegio Carmel y otros depósitos</t>
  </si>
  <si>
    <t>Otros ingresos</t>
  </si>
  <si>
    <t>SUMA INGRESOS</t>
  </si>
  <si>
    <t>EGRESOS</t>
  </si>
  <si>
    <t>COSTO DE VIGILANCIA</t>
  </si>
  <si>
    <t>G_NMNVG</t>
  </si>
  <si>
    <t>Sueldos y bono de puntualidad</t>
  </si>
  <si>
    <t>G_AGUA</t>
  </si>
  <si>
    <t>Agua</t>
  </si>
  <si>
    <t>G_ALMVG</t>
  </si>
  <si>
    <t>Alimentos</t>
  </si>
  <si>
    <t>G_UNF</t>
  </si>
  <si>
    <t>Uniformes</t>
  </si>
  <si>
    <t>G_MDC</t>
  </si>
  <si>
    <t>Atención médica</t>
  </si>
  <si>
    <t>G_TRSP</t>
  </si>
  <si>
    <t>Mantenimiento de bicicletas</t>
  </si>
  <si>
    <t>G_MTLPZ</t>
  </si>
  <si>
    <t>Artículos de limpieza</t>
  </si>
  <si>
    <t>INFRAESTRUCTURA Y SUMINISTROS</t>
  </si>
  <si>
    <t>G_INFRA</t>
  </si>
  <si>
    <t>Cámaras de vigilancia</t>
  </si>
  <si>
    <t>G_USB</t>
  </si>
  <si>
    <t>Dispositivos USB</t>
  </si>
  <si>
    <t>G_ADQ</t>
  </si>
  <si>
    <t>Llaves electrónicas y de acceso peatonal</t>
  </si>
  <si>
    <t>MANTENIMIENTO</t>
  </si>
  <si>
    <t>G_JDN</t>
  </si>
  <si>
    <t>Al jardín del fraccionamiento</t>
  </si>
  <si>
    <t>G_MTCYP</t>
  </si>
  <si>
    <t>A cámaras de vigilancia y plumas de acceso</t>
  </si>
  <si>
    <t>G_MTCST</t>
  </si>
  <si>
    <t>A casetas</t>
  </si>
  <si>
    <t>G_MTILM</t>
  </si>
  <si>
    <t>A luminarias</t>
  </si>
  <si>
    <t>G_MTPTA</t>
  </si>
  <si>
    <t>A las puertas de acceso peatonal</t>
  </si>
  <si>
    <t>GASTOS ADMINISTRATIVOS</t>
  </si>
  <si>
    <t>G_PAPE</t>
  </si>
  <si>
    <t>Papelería</t>
  </si>
  <si>
    <t>G_TLF</t>
  </si>
  <si>
    <t>Teléfono e Internet</t>
  </si>
  <si>
    <t>G_CBR</t>
  </si>
  <si>
    <t>Cobranza</t>
  </si>
  <si>
    <t>G_HCTB</t>
  </si>
  <si>
    <t>Honorarios contables</t>
  </si>
  <si>
    <t>G_HJRD</t>
  </si>
  <si>
    <t>Honorarios jurídicos</t>
  </si>
  <si>
    <t>G_ORG</t>
  </si>
  <si>
    <t>Gastos de organización</t>
  </si>
  <si>
    <t>G_DIF</t>
  </si>
  <si>
    <t>Publicidad</t>
  </si>
  <si>
    <t>IMPUESTOS Y CONTRIBUCIONES</t>
  </si>
  <si>
    <t>I.V.A. Pagado</t>
  </si>
  <si>
    <t>SUMA EGRESOS</t>
  </si>
  <si>
    <t>DÉFICIT / SUPERAVIT DEL MES</t>
  </si>
  <si>
    <t>Comparativo BASE - Informe oficial mensual</t>
  </si>
  <si>
    <t>CONCEPTO</t>
  </si>
  <si>
    <t>ANUAL</t>
  </si>
  <si>
    <t>Aportación Colegio Carmel</t>
  </si>
  <si>
    <t>Diferencias sin el Colegio Carmel</t>
  </si>
  <si>
    <t>cifras de Olivia</t>
  </si>
  <si>
    <t>Diferencias:</t>
  </si>
  <si>
    <t>N°</t>
  </si>
  <si>
    <t>clave</t>
  </si>
  <si>
    <t>fecha</t>
  </si>
  <si>
    <t>Beneficiario</t>
  </si>
  <si>
    <t>Concepto</t>
  </si>
  <si>
    <t>Gasto</t>
  </si>
  <si>
    <t>I.V.A.</t>
  </si>
  <si>
    <t>Total</t>
  </si>
  <si>
    <t xml:space="preserve"> Trabajos de herrería</t>
  </si>
  <si>
    <t xml:space="preserve"> Pago mano de obra trabajos diversos en casetas</t>
  </si>
  <si>
    <t xml:space="preserve"> Pago de llaves y una chapa de alta seguridad</t>
  </si>
  <si>
    <t xml:space="preserve"> Materiales</t>
  </si>
  <si>
    <t xml:space="preserve"> Gasolina</t>
  </si>
  <si>
    <t xml:space="preserve"> Papelería e imprenta</t>
  </si>
  <si>
    <t xml:space="preserve"> Pago de vigilancia del 1 al 15 de enero 2013</t>
  </si>
  <si>
    <t xml:space="preserve"> Pago de vigilancia del 16 al 31 de enero 2013</t>
  </si>
  <si>
    <t xml:space="preserve"> Comida para vigilantes</t>
  </si>
  <si>
    <t xml:space="preserve"> Segundo pago de cámaras, tercera etapa</t>
  </si>
  <si>
    <t xml:space="preserve"> Reposición de macetones, árboles, plantas, pasto…</t>
  </si>
  <si>
    <t xml:space="preserve"> Gratificación por cobranza al Sr Pedro Chávez</t>
  </si>
  <si>
    <t xml:space="preserve"> Gratificaciones diversas (jardinería, recolección, basura,etc</t>
  </si>
  <si>
    <t xml:space="preserve"> Gratificación por reparación de luminarias</t>
  </si>
  <si>
    <t xml:space="preserve"> Gastos de administración</t>
  </si>
  <si>
    <t xml:space="preserve"> Pago de tarjetas electrónicas</t>
  </si>
  <si>
    <t xml:space="preserve"> Agua para casetas y artículos de limpieza</t>
  </si>
  <si>
    <t xml:space="preserve"> Telmex: pago enero</t>
  </si>
  <si>
    <t xml:space="preserve"> Gastos de contabilidad</t>
  </si>
  <si>
    <t xml:space="preserve"> Tercer pago de cámaras, 3ra Etapa</t>
  </si>
  <si>
    <t xml:space="preserve"> Pago vigilancia del 1 al 15 de febrero del 2013</t>
  </si>
  <si>
    <t xml:space="preserve"> Pago vigilancia del 16 al 28 de febrero del 2013</t>
  </si>
  <si>
    <t xml:space="preserve"> Gstos de contabilidad</t>
  </si>
  <si>
    <t xml:space="preserve"> Reparación, cableado, control y cambio de luminarias</t>
  </si>
  <si>
    <t xml:space="preserve"> Asesoría legal</t>
  </si>
  <si>
    <t xml:space="preserve"> Mano de mano de obra de mantenimiento de casetas</t>
  </si>
  <si>
    <t xml:space="preserve"> Gratificación recolección de basura</t>
  </si>
  <si>
    <t xml:space="preserve"> Telmex: pago febrero</t>
  </si>
  <si>
    <t xml:space="preserve"> Pago de mano de obra trabajos diversos en casetas</t>
  </si>
  <si>
    <t xml:space="preserve"> Uniformes para vigilantes</t>
  </si>
  <si>
    <t xml:space="preserve"> Pago de vigilancia del 1 al 15 de marzo 2013</t>
  </si>
  <si>
    <t xml:space="preserve"> Pago de vigilancia del 16 al 31 de marzo 2013</t>
  </si>
  <si>
    <t xml:space="preserve"> Gratificación alumbrado público y recolección de basura</t>
  </si>
  <si>
    <t xml:space="preserve"> Telmex: pago marzo</t>
  </si>
  <si>
    <t xml:space="preserve"> Pago de llaves</t>
  </si>
  <si>
    <t xml:space="preserve"> Medicinas para vigilantes</t>
  </si>
  <si>
    <t xml:space="preserve"> Pago de vigilancia del 01 al 15 de abril</t>
  </si>
  <si>
    <t xml:space="preserve"> Pago de vigilancia del 16 al 30 de abril</t>
  </si>
  <si>
    <t xml:space="preserve"> Mantenimiento y reparación de plumas y cámaras</t>
  </si>
  <si>
    <t xml:space="preserve"> Telmex: pago abril</t>
  </si>
  <si>
    <t>Office Depot de México, S. A. de C. V.</t>
  </si>
  <si>
    <t xml:space="preserve"> Pago de vigilancia del 1 al 15 de mayo</t>
  </si>
  <si>
    <t xml:space="preserve"> Pago quincena y liquidación de Oscar Gutiérrez Segundo</t>
  </si>
  <si>
    <t>Comida para  vigilantes del 29 abril al 13 de mayo</t>
  </si>
  <si>
    <t>Gratificación recolección de basura</t>
  </si>
  <si>
    <t xml:space="preserve"> Reparación y mantenimiento de cámaras y plumas aut</t>
  </si>
  <si>
    <t xml:space="preserve"> Gastos de protocolización</t>
  </si>
  <si>
    <t>Distribuidora de Bicicletas Benotto, S. A. de C. V.</t>
  </si>
  <si>
    <t>Artículos para bicicletas</t>
  </si>
  <si>
    <t>Juárez Illana Xochitl Elizabeth</t>
  </si>
  <si>
    <t>Mantenimiento para bicicletas</t>
  </si>
  <si>
    <t>Electropura, S. de R. L. de C. V.</t>
  </si>
  <si>
    <t>Agua purificada</t>
  </si>
  <si>
    <t>Luis Hernández</t>
  </si>
  <si>
    <t>Mantenimiento a chapas</t>
  </si>
  <si>
    <t>Gastronomía Avanzada Pastelerías, S. A. de C. V.</t>
  </si>
  <si>
    <t>Bebidas</t>
  </si>
  <si>
    <t>Roberto Miranda</t>
  </si>
  <si>
    <t>Mantenimiento del jardín</t>
  </si>
  <si>
    <t>Cerrajería Gran Sur</t>
  </si>
  <si>
    <t>Duplicado de llaves</t>
  </si>
  <si>
    <t>Óscar Medina</t>
  </si>
  <si>
    <t>Sabina</t>
  </si>
  <si>
    <t>Alimentación a vigilantes</t>
  </si>
  <si>
    <t>Nómina de vigilantes</t>
  </si>
  <si>
    <t>No disponible</t>
  </si>
  <si>
    <t>Lilia Carolina Revueltas Ugalde</t>
  </si>
  <si>
    <t>Moisés Cedeño Rivas</t>
  </si>
  <si>
    <t>Cambio de luminarias</t>
  </si>
  <si>
    <t>Tiendas Chedraui, S. A. de C. V.</t>
  </si>
  <si>
    <t>MD Gran Formato, S. A. de C. V.</t>
  </si>
  <si>
    <t>Comunicados a colonos</t>
  </si>
  <si>
    <t>Aldo Grado</t>
  </si>
  <si>
    <t>Reparación de pluma</t>
  </si>
  <si>
    <t>Sujetador, folder y copias</t>
  </si>
  <si>
    <t>Teléfonos de México, S.A.B. de C.V.</t>
  </si>
  <si>
    <t>Comercial Mexicana</t>
  </si>
  <si>
    <t>Antonio González García</t>
  </si>
  <si>
    <t>Consulta médica</t>
  </si>
  <si>
    <t>Boligrafos y cuadernos</t>
  </si>
  <si>
    <t>20 tarjetas electrónicas</t>
  </si>
  <si>
    <t>Farmacia de Genéricos, S. A. de C. V.</t>
  </si>
  <si>
    <t>Medicamentos</t>
  </si>
  <si>
    <t>Comercializadora CASPIN, S. A. de C.V.</t>
  </si>
  <si>
    <t>Felpas COMEX</t>
  </si>
  <si>
    <t>Compañía Sherwin Williams, S. A. de C. V.</t>
  </si>
  <si>
    <t>Thinner</t>
  </si>
  <si>
    <t>Pintura, aguarrás, estopa y felpas</t>
  </si>
  <si>
    <t>Comercializadora de fármacos Similares, S. A. de C.V.</t>
  </si>
  <si>
    <t>Constantino Cabrera</t>
  </si>
  <si>
    <t>David Elizalde Arrieta</t>
  </si>
  <si>
    <t>Cambio y configuración de tarjetas electrónicas</t>
  </si>
  <si>
    <t>Configuración de tarjetas electrónicas</t>
  </si>
  <si>
    <t>Centro Médico Coyoacán</t>
  </si>
  <si>
    <t>RX</t>
  </si>
  <si>
    <t>César Ramírez</t>
  </si>
  <si>
    <t>Pintura, brocha, masking y rodillo</t>
  </si>
  <si>
    <t>Elvia Cortés</t>
  </si>
  <si>
    <t>Reparación de chapa</t>
  </si>
  <si>
    <t>Iris Luna Hernández</t>
  </si>
  <si>
    <t>Botas</t>
  </si>
  <si>
    <t>Pintura, aguarrás y estopa</t>
  </si>
  <si>
    <t>Bajar información a USB y configurar tarjetas</t>
  </si>
  <si>
    <t>Memoria USB</t>
  </si>
  <si>
    <t>Reyna Romano Ríos</t>
  </si>
  <si>
    <t>Mantenimiento de cámaras de vigilancia</t>
  </si>
  <si>
    <t>Compra de DVR</t>
  </si>
  <si>
    <t>Pintura</t>
  </si>
  <si>
    <t>Ricardo Betanzos Zamudio</t>
  </si>
  <si>
    <t>Mano de obra para pintura</t>
  </si>
  <si>
    <t>Graciela Hernández Martínez</t>
  </si>
  <si>
    <t>Cuaderno, sobres y cartuchos</t>
  </si>
  <si>
    <t>Concepto Profesional Strategga Style, S. A. de C. V.</t>
  </si>
  <si>
    <t>Uniforme</t>
  </si>
  <si>
    <t>Cadena Comercial Oxxo, S. A. de C. V.</t>
  </si>
  <si>
    <t>Comisión pago Telmex</t>
  </si>
  <si>
    <t>Total G_ADQ</t>
  </si>
  <si>
    <t>Total G_AGUA</t>
  </si>
  <si>
    <t>Total G_ALMVG</t>
  </si>
  <si>
    <t>Total G_CBR</t>
  </si>
  <si>
    <t>Total G_DIF</t>
  </si>
  <si>
    <t>Total G_HCTB</t>
  </si>
  <si>
    <t>Total G_HJRD</t>
  </si>
  <si>
    <t>Total G_INFRA</t>
  </si>
  <si>
    <t>Total G_JDN</t>
  </si>
  <si>
    <t>Total G_MDC</t>
  </si>
  <si>
    <t>Total G_MTCST</t>
  </si>
  <si>
    <t>Total G_MTCYP</t>
  </si>
  <si>
    <t>Total G_MTILM</t>
  </si>
  <si>
    <t>Total G_MTLPZ</t>
  </si>
  <si>
    <t>Total G_MTPTA</t>
  </si>
  <si>
    <t>Total G_NMNVG</t>
  </si>
  <si>
    <t>Total G_ORG</t>
  </si>
  <si>
    <t>Total G_PAPE</t>
  </si>
  <si>
    <t>Total G_TLF</t>
  </si>
  <si>
    <t>Total G_TRSP</t>
  </si>
  <si>
    <t>Total G_UNF</t>
  </si>
  <si>
    <t>Total G_USB</t>
  </si>
  <si>
    <t>Total general</t>
  </si>
  <si>
    <t>Reporte detallado de gastos</t>
  </si>
  <si>
    <t>Período: 1° de enero al 31 de julio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</si>
</sst>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\(#,##0.00\)"/>
    <numFmt numFmtId="165" formatCode="#,##0.00;[Red]#,##0.00"/>
    <numFmt numFmtId="166" formatCode="00#"/>
  </numFmts>
  <fonts count="8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6"/>
      <color theme="1"/>
      <name val="Baskerville Old Face"/>
      <family val="1"/>
    </font>
    <font>
      <b/>
      <sz val="11"/>
      <color theme="1"/>
      <name val="Tahoma"/>
      <family val="2"/>
    </font>
    <font>
      <b/>
      <i/>
      <sz val="10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</font>
    <font>
      <b/>
      <i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indent="1"/>
    </xf>
    <xf numFmtId="4" fontId="0" fillId="0" borderId="0" xfId="0" applyNumberFormat="1"/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left" indent="1"/>
    </xf>
    <xf numFmtId="4" fontId="0" fillId="0" borderId="3" xfId="0" applyNumberFormat="1" applyBorder="1" applyProtection="1">
      <protection hidden="1"/>
    </xf>
    <xf numFmtId="4" fontId="0" fillId="0" borderId="3" xfId="0" applyNumberFormat="1" applyFill="1" applyBorder="1" applyProtection="1">
      <protection hidden="1"/>
    </xf>
    <xf numFmtId="0" fontId="0" fillId="0" borderId="4" xfId="0" applyBorder="1" applyAlignment="1">
      <alignment horizontal="left" indent="1"/>
    </xf>
    <xf numFmtId="4" fontId="0" fillId="0" borderId="4" xfId="0" applyNumberFormat="1" applyBorder="1" applyProtection="1">
      <protection hidden="1"/>
    </xf>
    <xf numFmtId="0" fontId="0" fillId="0" borderId="5" xfId="0" applyBorder="1" applyAlignment="1">
      <alignment horizontal="left" indent="3"/>
    </xf>
    <xf numFmtId="0" fontId="0" fillId="0" borderId="6" xfId="0" applyBorder="1"/>
    <xf numFmtId="4" fontId="0" fillId="0" borderId="6" xfId="0" applyNumberFormat="1" applyBorder="1"/>
    <xf numFmtId="4" fontId="0" fillId="0" borderId="6" xfId="0" applyNumberFormat="1" applyBorder="1" applyProtection="1">
      <protection hidden="1"/>
    </xf>
    <xf numFmtId="0" fontId="0" fillId="0" borderId="7" xfId="0" applyBorder="1"/>
    <xf numFmtId="0" fontId="1" fillId="0" borderId="8" xfId="0" applyFont="1" applyFill="1" applyBorder="1" applyAlignment="1">
      <alignment horizontal="left" vertical="center" indent="1"/>
    </xf>
    <xf numFmtId="4" fontId="1" fillId="0" borderId="8" xfId="0" applyNumberFormat="1" applyFont="1" applyBorder="1" applyAlignment="1" applyProtection="1">
      <alignment vertical="center"/>
      <protection hidden="1"/>
    </xf>
    <xf numFmtId="4" fontId="1" fillId="0" borderId="1" xfId="0" applyNumberFormat="1" applyFont="1" applyBorder="1" applyAlignment="1" applyProtection="1">
      <alignment vertical="center"/>
      <protection hidden="1"/>
    </xf>
    <xf numFmtId="0" fontId="1" fillId="0" borderId="0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indent="1"/>
    </xf>
    <xf numFmtId="0" fontId="4" fillId="2" borderId="6" xfId="0" applyFont="1" applyFill="1" applyBorder="1"/>
    <xf numFmtId="4" fontId="4" fillId="2" borderId="6" xfId="0" applyNumberFormat="1" applyFont="1" applyFill="1" applyBorder="1"/>
    <xf numFmtId="0" fontId="0" fillId="0" borderId="0" xfId="0" applyBorder="1"/>
    <xf numFmtId="0" fontId="5" fillId="0" borderId="0" xfId="0" applyFont="1" applyFill="1"/>
    <xf numFmtId="0" fontId="0" fillId="0" borderId="9" xfId="0" applyBorder="1" applyAlignment="1">
      <alignment horizontal="left" indent="3"/>
    </xf>
    <xf numFmtId="0" fontId="0" fillId="0" borderId="9" xfId="0" applyBorder="1"/>
    <xf numFmtId="4" fontId="0" fillId="0" borderId="9" xfId="0" applyNumberFormat="1" applyBorder="1"/>
    <xf numFmtId="4" fontId="5" fillId="0" borderId="3" xfId="0" applyNumberFormat="1" applyFont="1" applyBorder="1" applyProtection="1">
      <protection hidden="1"/>
    </xf>
    <xf numFmtId="4" fontId="0" fillId="0" borderId="0" xfId="0" applyNumberFormat="1" applyBorder="1" applyProtection="1">
      <protection hidden="1"/>
    </xf>
    <xf numFmtId="0" fontId="0" fillId="0" borderId="3" xfId="0" applyBorder="1" applyAlignment="1">
      <alignment horizontal="left" indent="3"/>
    </xf>
    <xf numFmtId="0" fontId="0" fillId="0" borderId="3" xfId="0" applyBorder="1"/>
    <xf numFmtId="4" fontId="0" fillId="0" borderId="3" xfId="0" applyNumberFormat="1" applyBorder="1"/>
    <xf numFmtId="4" fontId="5" fillId="0" borderId="3" xfId="0" applyNumberFormat="1" applyFont="1" applyFill="1" applyBorder="1" applyProtection="1">
      <protection hidden="1"/>
    </xf>
    <xf numFmtId="0" fontId="0" fillId="0" borderId="4" xfId="0" applyBorder="1" applyAlignment="1">
      <alignment horizontal="left" indent="3"/>
    </xf>
    <xf numFmtId="0" fontId="0" fillId="0" borderId="4" xfId="0" applyBorder="1"/>
    <xf numFmtId="4" fontId="0" fillId="0" borderId="4" xfId="0" applyNumberFormat="1" applyBorder="1"/>
    <xf numFmtId="0" fontId="0" fillId="0" borderId="2" xfId="0" applyBorder="1" applyAlignment="1">
      <alignment horizontal="left" indent="3"/>
    </xf>
    <xf numFmtId="0" fontId="0" fillId="0" borderId="2" xfId="0" applyBorder="1"/>
    <xf numFmtId="4" fontId="0" fillId="0" borderId="2" xfId="0" applyNumberFormat="1" applyBorder="1"/>
    <xf numFmtId="4" fontId="5" fillId="0" borderId="2" xfId="0" applyNumberFormat="1" applyFont="1" applyFill="1" applyBorder="1" applyProtection="1">
      <protection hidden="1"/>
    </xf>
    <xf numFmtId="4" fontId="5" fillId="0" borderId="9" xfId="0" applyNumberFormat="1" applyFont="1" applyFill="1" applyBorder="1" applyProtection="1">
      <protection hidden="1"/>
    </xf>
    <xf numFmtId="4" fontId="5" fillId="0" borderId="10" xfId="0" applyNumberFormat="1" applyFont="1" applyBorder="1"/>
    <xf numFmtId="4" fontId="4" fillId="2" borderId="11" xfId="0" applyNumberFormat="1" applyFont="1" applyFill="1" applyBorder="1"/>
    <xf numFmtId="4" fontId="5" fillId="0" borderId="10" xfId="0" applyNumberFormat="1" applyFont="1" applyFill="1" applyBorder="1" applyProtection="1">
      <protection hidden="1"/>
    </xf>
    <xf numFmtId="4" fontId="5" fillId="0" borderId="9" xfId="0" applyNumberFormat="1" applyFont="1" applyBorder="1" applyProtection="1">
      <protection hidden="1"/>
    </xf>
    <xf numFmtId="4" fontId="5" fillId="0" borderId="10" xfId="0" applyNumberFormat="1" applyFont="1" applyBorder="1" applyProtection="1">
      <protection hidden="1"/>
    </xf>
    <xf numFmtId="0" fontId="0" fillId="0" borderId="1" xfId="0" applyBorder="1" applyAlignment="1">
      <alignment horizontal="left" indent="3"/>
    </xf>
    <xf numFmtId="0" fontId="0" fillId="0" borderId="1" xfId="0" applyBorder="1"/>
    <xf numFmtId="4" fontId="0" fillId="0" borderId="1" xfId="0" applyNumberFormat="1" applyBorder="1"/>
    <xf numFmtId="4" fontId="5" fillId="0" borderId="1" xfId="0" applyNumberFormat="1" applyFont="1" applyBorder="1" applyProtection="1">
      <protection hidden="1"/>
    </xf>
    <xf numFmtId="4" fontId="1" fillId="0" borderId="0" xfId="0" applyNumberFormat="1" applyFont="1" applyBorder="1" applyAlignment="1" applyProtection="1">
      <alignment vertical="center"/>
      <protection hidden="1"/>
    </xf>
    <xf numFmtId="0" fontId="1" fillId="0" borderId="12" xfId="0" applyFont="1" applyFill="1" applyBorder="1" applyAlignment="1">
      <alignment horizontal="left" vertical="center" indent="1"/>
    </xf>
    <xf numFmtId="4" fontId="1" fillId="0" borderId="12" xfId="0" applyNumberFormat="1" applyFont="1" applyBorder="1" applyAlignment="1" applyProtection="1">
      <alignment vertical="center"/>
      <protection hidden="1"/>
    </xf>
    <xf numFmtId="164" fontId="1" fillId="0" borderId="12" xfId="0" applyNumberFormat="1" applyFont="1" applyBorder="1" applyAlignment="1" applyProtection="1">
      <alignment vertical="center"/>
      <protection hidden="1"/>
    </xf>
    <xf numFmtId="0" fontId="0" fillId="0" borderId="2" xfId="0" applyBorder="1" applyAlignment="1">
      <alignment horizontal="left" indent="1"/>
    </xf>
    <xf numFmtId="164" fontId="0" fillId="0" borderId="2" xfId="0" applyNumberFormat="1" applyBorder="1"/>
    <xf numFmtId="164" fontId="0" fillId="0" borderId="3" xfId="0" applyNumberFormat="1" applyBorder="1"/>
    <xf numFmtId="0" fontId="0" fillId="0" borderId="13" xfId="0" applyBorder="1" applyAlignment="1">
      <alignment horizontal="left" indent="1"/>
    </xf>
    <xf numFmtId="0" fontId="0" fillId="0" borderId="13" xfId="0" applyBorder="1"/>
    <xf numFmtId="164" fontId="0" fillId="0" borderId="8" xfId="0" applyNumberFormat="1" applyBorder="1"/>
    <xf numFmtId="0" fontId="0" fillId="0" borderId="8" xfId="0" applyBorder="1"/>
    <xf numFmtId="0" fontId="0" fillId="0" borderId="1" xfId="0" applyFill="1" applyBorder="1" applyAlignment="1">
      <alignment horizontal="left" indent="1"/>
    </xf>
    <xf numFmtId="165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166" fontId="0" fillId="0" borderId="3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left" vertical="center" indent="1"/>
    </xf>
    <xf numFmtId="0" fontId="4" fillId="0" borderId="0" xfId="0" applyFont="1" applyAlignment="1">
      <alignment horizontal="right"/>
    </xf>
    <xf numFmtId="166" fontId="0" fillId="2" borderId="3" xfId="0" applyNumberFormat="1" applyFill="1" applyBorder="1" applyAlignment="1">
      <alignment horizontal="center" vertical="center"/>
    </xf>
    <xf numFmtId="0" fontId="4" fillId="2" borderId="3" xfId="0" applyFont="1" applyFill="1" applyBorder="1"/>
    <xf numFmtId="15" fontId="0" fillId="2" borderId="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left" vertical="center" indent="1"/>
    </xf>
    <xf numFmtId="0" fontId="0" fillId="2" borderId="3" xfId="0" applyFill="1" applyBorder="1" applyAlignment="1">
      <alignment horizontal="left" indent="1"/>
    </xf>
    <xf numFmtId="164" fontId="0" fillId="2" borderId="3" xfId="0" applyNumberFormat="1" applyFill="1" applyBorder="1"/>
    <xf numFmtId="0" fontId="4" fillId="2" borderId="3" xfId="0" applyFont="1" applyFill="1" applyBorder="1" applyAlignment="1">
      <alignment horizontal="right"/>
    </xf>
    <xf numFmtId="166" fontId="6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/>
    <xf numFmtId="15" fontId="6" fillId="2" borderId="3" xfId="0" applyNumberFormat="1" applyFont="1" applyFill="1" applyBorder="1" applyAlignment="1">
      <alignment horizontal="center" vertical="center"/>
    </xf>
    <xf numFmtId="15" fontId="6" fillId="2" borderId="3" xfId="0" applyNumberFormat="1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indent="1"/>
    </xf>
    <xf numFmtId="164" fontId="6" fillId="2" borderId="3" xfId="0" applyNumberFormat="1" applyFont="1" applyFill="1" applyBorder="1"/>
    <xf numFmtId="0" fontId="7" fillId="2" borderId="3" xfId="0" applyFont="1" applyFill="1" applyBorder="1" applyAlignment="1">
      <alignment horizontal="right"/>
    </xf>
    <xf numFmtId="164" fontId="3" fillId="2" borderId="3" xfId="0" applyNumberFormat="1" applyFont="1" applyFill="1" applyBorder="1"/>
    <xf numFmtId="0" fontId="2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7"/>
  <sheetViews>
    <sheetView showGridLines="0" showZeros="0" tabSelected="1" topLeftCell="A5" zoomScale="90" zoomScaleNormal="90" workbookViewId="0">
      <selection activeCell="I7" sqref="I7"/>
    </sheetView>
  </sheetViews>
  <sheetFormatPr baseColWidth="10" defaultRowHeight="12.75" x14ac:dyDescent="0.2"/>
  <cols>
    <col min="1" max="1" width="11.5703125" customWidth="1"/>
    <col min="2" max="2" width="43.85546875" customWidth="1"/>
    <col min="3" max="3" width="13.5703125" hidden="1" customWidth="1"/>
    <col min="4" max="4" width="13.7109375" hidden="1" customWidth="1"/>
    <col min="5" max="12" width="13.7109375" customWidth="1"/>
  </cols>
  <sheetData>
    <row r="1" spans="2:13" ht="20.25" x14ac:dyDescent="0.3">
      <c r="B1" s="92" t="s">
        <v>0</v>
      </c>
      <c r="C1" s="92"/>
      <c r="D1" s="92"/>
      <c r="E1" s="92"/>
      <c r="F1" s="92"/>
      <c r="G1" s="92"/>
      <c r="H1" s="92"/>
      <c r="I1" s="92"/>
      <c r="J1" s="92"/>
    </row>
    <row r="2" spans="2:13" ht="6" customHeight="1" x14ac:dyDescent="0.2"/>
    <row r="3" spans="2:13" ht="18" customHeight="1" x14ac:dyDescent="0.2">
      <c r="B3" s="1" t="s">
        <v>1</v>
      </c>
      <c r="C3" s="1"/>
    </row>
    <row r="4" spans="2:13" ht="18" customHeight="1" x14ac:dyDescent="0.2">
      <c r="B4" s="1" t="s">
        <v>2</v>
      </c>
      <c r="C4" s="1"/>
    </row>
    <row r="5" spans="2:13" x14ac:dyDescent="0.2">
      <c r="B5" s="2"/>
      <c r="C5" s="2"/>
      <c r="D5" s="3"/>
      <c r="E5" s="3"/>
      <c r="F5" s="3"/>
      <c r="G5" s="3"/>
      <c r="H5" s="3"/>
      <c r="I5" s="3"/>
      <c r="J5" s="3"/>
      <c r="K5" s="3"/>
      <c r="L5" s="3"/>
    </row>
    <row r="6" spans="2:13" ht="30" customHeight="1" x14ac:dyDescent="0.2">
      <c r="B6" s="4" t="s">
        <v>3</v>
      </c>
      <c r="C6" s="5" t="s">
        <v>4</v>
      </c>
      <c r="D6" s="5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</row>
    <row r="7" spans="2:13" ht="15" customHeight="1" x14ac:dyDescent="0.2">
      <c r="B7" s="7" t="s">
        <v>14</v>
      </c>
      <c r="C7" s="8"/>
      <c r="D7" s="8"/>
      <c r="E7" s="9"/>
      <c r="F7" s="9"/>
      <c r="G7" s="9"/>
      <c r="H7" s="9"/>
      <c r="I7" s="9"/>
      <c r="J7" s="9"/>
      <c r="K7" s="9"/>
      <c r="L7" s="9"/>
    </row>
    <row r="8" spans="2:13" x14ac:dyDescent="0.2">
      <c r="B8" s="10" t="s">
        <v>15</v>
      </c>
      <c r="C8" s="11">
        <v>81975</v>
      </c>
      <c r="D8" s="11">
        <v>582270</v>
      </c>
      <c r="E8" s="11">
        <v>126225</v>
      </c>
      <c r="F8" s="11">
        <v>86575</v>
      </c>
      <c r="G8" s="11">
        <v>80975</v>
      </c>
      <c r="H8" s="11">
        <v>56925</v>
      </c>
      <c r="I8" s="11">
        <v>67095</v>
      </c>
      <c r="J8" s="11">
        <v>70775</v>
      </c>
      <c r="K8" s="11">
        <v>68325</v>
      </c>
      <c r="L8" s="11">
        <v>25375</v>
      </c>
      <c r="M8" s="3"/>
    </row>
    <row r="9" spans="2:13" x14ac:dyDescent="0.2">
      <c r="B9" s="10" t="s">
        <v>16</v>
      </c>
      <c r="C9" s="11">
        <v>8750</v>
      </c>
      <c r="D9" s="11">
        <v>2300</v>
      </c>
      <c r="E9" s="11">
        <v>900</v>
      </c>
      <c r="F9" s="11">
        <v>1100</v>
      </c>
      <c r="G9" s="11">
        <v>300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3"/>
    </row>
    <row r="10" spans="2:13" x14ac:dyDescent="0.2">
      <c r="B10" s="10" t="s">
        <v>17</v>
      </c>
      <c r="C10" s="11">
        <v>1500</v>
      </c>
      <c r="D10" s="11">
        <v>14200</v>
      </c>
      <c r="E10" s="11">
        <v>3180</v>
      </c>
      <c r="F10" s="11">
        <v>2280</v>
      </c>
      <c r="G10" s="11">
        <v>1650</v>
      </c>
      <c r="H10" s="11">
        <v>1390</v>
      </c>
      <c r="I10" s="11">
        <v>1650</v>
      </c>
      <c r="J10" s="11">
        <v>1500</v>
      </c>
      <c r="K10" s="11">
        <v>2550</v>
      </c>
      <c r="L10" s="11">
        <v>0</v>
      </c>
      <c r="M10" s="3"/>
    </row>
    <row r="11" spans="2:13" x14ac:dyDescent="0.2">
      <c r="B11" s="10" t="s">
        <v>18</v>
      </c>
      <c r="C11" s="11">
        <v>2080</v>
      </c>
      <c r="D11" s="11">
        <v>13920</v>
      </c>
      <c r="E11" s="11">
        <v>1920</v>
      </c>
      <c r="F11" s="11">
        <v>800</v>
      </c>
      <c r="G11" s="11">
        <v>2560</v>
      </c>
      <c r="H11" s="11">
        <v>2240</v>
      </c>
      <c r="I11" s="11">
        <v>2880</v>
      </c>
      <c r="J11" s="11">
        <v>2560</v>
      </c>
      <c r="K11" s="11">
        <v>800</v>
      </c>
      <c r="L11" s="11">
        <v>160</v>
      </c>
      <c r="M11" s="3"/>
    </row>
    <row r="12" spans="2:13" x14ac:dyDescent="0.2">
      <c r="B12" s="10" t="s">
        <v>19</v>
      </c>
      <c r="C12" s="11">
        <v>320</v>
      </c>
      <c r="D12" s="11">
        <v>1580</v>
      </c>
      <c r="E12" s="11">
        <v>20</v>
      </c>
      <c r="F12" s="11">
        <v>300</v>
      </c>
      <c r="G12" s="11">
        <v>320</v>
      </c>
      <c r="H12" s="11">
        <v>240</v>
      </c>
      <c r="I12" s="11">
        <v>60</v>
      </c>
      <c r="J12" s="11">
        <v>80</v>
      </c>
      <c r="K12" s="11">
        <v>460</v>
      </c>
      <c r="L12" s="11">
        <v>100</v>
      </c>
      <c r="M12" s="3"/>
    </row>
    <row r="13" spans="2:13" x14ac:dyDescent="0.2">
      <c r="B13" s="10" t="s">
        <v>20</v>
      </c>
      <c r="C13" s="11"/>
      <c r="D13" s="11">
        <v>76300</v>
      </c>
      <c r="E13" s="11">
        <v>10600</v>
      </c>
      <c r="F13" s="11">
        <v>11200</v>
      </c>
      <c r="G13" s="11">
        <v>11200</v>
      </c>
      <c r="H13" s="11">
        <v>1200</v>
      </c>
      <c r="I13" s="11">
        <v>20900</v>
      </c>
      <c r="J13" s="12">
        <v>10600</v>
      </c>
      <c r="K13" s="12">
        <v>10600</v>
      </c>
      <c r="L13" s="12"/>
      <c r="M13" s="3"/>
    </row>
    <row r="14" spans="2:13" x14ac:dyDescent="0.2">
      <c r="B14" s="13" t="s">
        <v>21</v>
      </c>
      <c r="C14" s="14">
        <v>1000</v>
      </c>
      <c r="D14" s="14">
        <v>250</v>
      </c>
      <c r="E14" s="14">
        <v>200</v>
      </c>
      <c r="F14" s="14">
        <v>0</v>
      </c>
      <c r="G14" s="14">
        <v>50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3"/>
    </row>
    <row r="15" spans="2:13" ht="6" customHeight="1" x14ac:dyDescent="0.2">
      <c r="B15" s="15"/>
      <c r="C15" s="16"/>
      <c r="D15" s="17"/>
      <c r="E15" s="17"/>
      <c r="F15" s="17"/>
      <c r="G15" s="17"/>
      <c r="H15" s="17"/>
      <c r="I15" s="16"/>
      <c r="J15" s="18"/>
      <c r="K15" s="19"/>
      <c r="L15" s="19"/>
    </row>
    <row r="16" spans="2:13" ht="21.95" customHeight="1" thickBot="1" x14ac:dyDescent="0.25">
      <c r="B16" s="20" t="s">
        <v>22</v>
      </c>
      <c r="C16" s="21">
        <v>95625</v>
      </c>
      <c r="D16" s="21">
        <v>690820</v>
      </c>
      <c r="E16" s="21">
        <v>143045</v>
      </c>
      <c r="F16" s="21">
        <v>102255</v>
      </c>
      <c r="G16" s="21">
        <v>97055</v>
      </c>
      <c r="H16" s="21">
        <v>61995</v>
      </c>
      <c r="I16" s="21">
        <v>92585</v>
      </c>
      <c r="J16" s="21">
        <v>85515</v>
      </c>
      <c r="K16" s="21">
        <v>82735</v>
      </c>
      <c r="L16" s="21">
        <v>25635</v>
      </c>
      <c r="M16" s="3"/>
    </row>
    <row r="17" spans="1:12" ht="13.5" thickTop="1" x14ac:dyDescent="0.2">
      <c r="D17" s="3"/>
    </row>
    <row r="18" spans="1:12" ht="15" customHeight="1" x14ac:dyDescent="0.2">
      <c r="B18" s="4" t="s">
        <v>23</v>
      </c>
      <c r="C18" s="5"/>
      <c r="D18" s="5"/>
      <c r="E18" s="6"/>
      <c r="F18" s="6"/>
      <c r="G18" s="6"/>
      <c r="H18" s="6"/>
      <c r="I18" s="6"/>
      <c r="J18" s="22"/>
      <c r="K18" s="6"/>
      <c r="L18" s="23"/>
    </row>
    <row r="19" spans="1:12" x14ac:dyDescent="0.2">
      <c r="B19" s="24" t="s">
        <v>24</v>
      </c>
      <c r="C19" s="25"/>
      <c r="D19" s="26"/>
      <c r="E19" s="26">
        <v>59769.5</v>
      </c>
      <c r="F19" s="26">
        <v>57058.52</v>
      </c>
      <c r="G19" s="26">
        <v>61345.5</v>
      </c>
      <c r="H19" s="26">
        <v>58909</v>
      </c>
      <c r="I19" s="26">
        <v>30982.92</v>
      </c>
      <c r="J19" s="26">
        <v>48437.84</v>
      </c>
      <c r="K19" s="26">
        <v>51282.687931034488</v>
      </c>
      <c r="L19" s="27"/>
    </row>
    <row r="20" spans="1:12" x14ac:dyDescent="0.2">
      <c r="A20" s="28"/>
      <c r="B20" s="29" t="s">
        <v>26</v>
      </c>
      <c r="C20" s="30"/>
      <c r="D20" s="31"/>
      <c r="E20" s="32">
        <v>56500</v>
      </c>
      <c r="F20" s="32">
        <v>54400</v>
      </c>
      <c r="G20" s="32">
        <v>57023</v>
      </c>
      <c r="H20" s="32">
        <v>55120</v>
      </c>
      <c r="I20" s="32">
        <v>29000</v>
      </c>
      <c r="J20" s="32">
        <v>46400</v>
      </c>
      <c r="K20" s="32">
        <v>46150</v>
      </c>
      <c r="L20" s="33"/>
    </row>
    <row r="21" spans="1:12" x14ac:dyDescent="0.2">
      <c r="A21" s="28"/>
      <c r="B21" s="34" t="s">
        <v>28</v>
      </c>
      <c r="C21" s="35"/>
      <c r="D21" s="36"/>
      <c r="E21" s="37">
        <v>689.5</v>
      </c>
      <c r="F21" s="37">
        <v>478.52</v>
      </c>
      <c r="G21" s="37">
        <v>420</v>
      </c>
      <c r="H21" s="37">
        <v>501</v>
      </c>
      <c r="I21" s="37">
        <v>420</v>
      </c>
      <c r="J21" s="37">
        <v>300</v>
      </c>
      <c r="K21" s="37">
        <v>390</v>
      </c>
      <c r="L21" s="33"/>
    </row>
    <row r="22" spans="1:12" x14ac:dyDescent="0.2">
      <c r="A22" s="28"/>
      <c r="B22" s="34" t="s">
        <v>30</v>
      </c>
      <c r="C22" s="35"/>
      <c r="D22" s="36"/>
      <c r="E22" s="37">
        <v>2580</v>
      </c>
      <c r="F22" s="37">
        <v>2180</v>
      </c>
      <c r="G22" s="37">
        <v>2320</v>
      </c>
      <c r="H22" s="37">
        <v>2200</v>
      </c>
      <c r="I22" s="37">
        <v>800</v>
      </c>
      <c r="J22" s="37">
        <v>1600</v>
      </c>
      <c r="K22" s="37">
        <v>1600</v>
      </c>
      <c r="L22" s="33"/>
    </row>
    <row r="23" spans="1:12" x14ac:dyDescent="0.2">
      <c r="A23" s="28"/>
      <c r="B23" s="34" t="s">
        <v>32</v>
      </c>
      <c r="C23" s="35"/>
      <c r="D23" s="36"/>
      <c r="E23" s="37">
        <v>0</v>
      </c>
      <c r="F23" s="37">
        <v>0</v>
      </c>
      <c r="G23" s="37">
        <v>1582.5</v>
      </c>
      <c r="H23" s="37">
        <v>0</v>
      </c>
      <c r="I23" s="37">
        <v>0</v>
      </c>
      <c r="J23" s="37">
        <v>0</v>
      </c>
      <c r="K23" s="37">
        <v>2010.12</v>
      </c>
      <c r="L23" s="33"/>
    </row>
    <row r="24" spans="1:12" x14ac:dyDescent="0.2">
      <c r="A24" s="28"/>
      <c r="B24" s="34" t="s">
        <v>34</v>
      </c>
      <c r="C24" s="35"/>
      <c r="D24" s="36"/>
      <c r="E24" s="37">
        <v>0</v>
      </c>
      <c r="F24" s="37">
        <v>0</v>
      </c>
      <c r="G24" s="37">
        <v>0</v>
      </c>
      <c r="H24" s="37">
        <v>1088</v>
      </c>
      <c r="I24" s="37">
        <v>0</v>
      </c>
      <c r="J24" s="37">
        <v>0</v>
      </c>
      <c r="K24" s="37">
        <v>864.55</v>
      </c>
      <c r="L24" s="33"/>
    </row>
    <row r="25" spans="1:12" x14ac:dyDescent="0.2">
      <c r="A25" s="28"/>
      <c r="B25" s="34" t="s">
        <v>36</v>
      </c>
      <c r="C25" s="35"/>
      <c r="D25" s="36"/>
      <c r="E25" s="37">
        <v>0</v>
      </c>
      <c r="F25" s="37">
        <v>0</v>
      </c>
      <c r="G25" s="37">
        <v>0</v>
      </c>
      <c r="H25" s="37">
        <v>0</v>
      </c>
      <c r="I25" s="37">
        <v>762.92000000000007</v>
      </c>
      <c r="J25" s="37">
        <v>0</v>
      </c>
      <c r="K25" s="37">
        <v>116.38</v>
      </c>
      <c r="L25" s="33"/>
    </row>
    <row r="26" spans="1:12" x14ac:dyDescent="0.2">
      <c r="A26" s="28"/>
      <c r="B26" s="38" t="s">
        <v>38</v>
      </c>
      <c r="C26" s="39"/>
      <c r="D26" s="40"/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137.84</v>
      </c>
      <c r="K26" s="37">
        <v>151.63793103448276</v>
      </c>
      <c r="L26" s="33"/>
    </row>
    <row r="27" spans="1:12" x14ac:dyDescent="0.2">
      <c r="A27" s="28"/>
      <c r="B27" s="24" t="s">
        <v>39</v>
      </c>
      <c r="C27" s="25"/>
      <c r="D27" s="26"/>
      <c r="E27" s="26">
        <v>42712</v>
      </c>
      <c r="F27" s="26">
        <v>21000</v>
      </c>
      <c r="G27" s="26">
        <v>4950</v>
      </c>
      <c r="H27" s="26">
        <v>2400</v>
      </c>
      <c r="I27" s="26">
        <v>2400</v>
      </c>
      <c r="J27" s="26">
        <v>1800</v>
      </c>
      <c r="K27" s="26">
        <v>2540.52</v>
      </c>
      <c r="L27" s="27"/>
    </row>
    <row r="28" spans="1:12" x14ac:dyDescent="0.2">
      <c r="A28" s="28"/>
      <c r="B28" s="41" t="s">
        <v>41</v>
      </c>
      <c r="C28" s="42"/>
      <c r="D28" s="43"/>
      <c r="E28" s="44">
        <v>35000</v>
      </c>
      <c r="F28" s="44">
        <v>21000</v>
      </c>
      <c r="G28" s="44">
        <v>0</v>
      </c>
      <c r="H28" s="44">
        <v>0</v>
      </c>
      <c r="I28" s="44">
        <v>0</v>
      </c>
      <c r="J28" s="44">
        <v>0</v>
      </c>
      <c r="K28" s="44">
        <v>1200</v>
      </c>
      <c r="L28" s="33"/>
    </row>
    <row r="29" spans="1:12" x14ac:dyDescent="0.2">
      <c r="A29" s="28"/>
      <c r="B29" s="34" t="s">
        <v>43</v>
      </c>
      <c r="C29" s="30"/>
      <c r="D29" s="31"/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240.51999999999998</v>
      </c>
      <c r="L29" s="33"/>
    </row>
    <row r="30" spans="1:12" x14ac:dyDescent="0.2">
      <c r="A30" s="28"/>
      <c r="B30" s="34" t="s">
        <v>45</v>
      </c>
      <c r="C30" s="30"/>
      <c r="D30" s="31"/>
      <c r="E30" s="46">
        <v>7712</v>
      </c>
      <c r="F30" s="46">
        <v>0</v>
      </c>
      <c r="G30" s="46">
        <v>4950</v>
      </c>
      <c r="H30" s="46">
        <v>2400</v>
      </c>
      <c r="I30" s="46">
        <v>2400</v>
      </c>
      <c r="J30" s="46">
        <v>1800</v>
      </c>
      <c r="K30" s="46">
        <v>1100</v>
      </c>
      <c r="L30" s="33"/>
    </row>
    <row r="31" spans="1:12" x14ac:dyDescent="0.2">
      <c r="A31" s="28"/>
      <c r="B31" s="24" t="s">
        <v>46</v>
      </c>
      <c r="C31" s="25"/>
      <c r="D31" s="26"/>
      <c r="E31" s="47">
        <v>23851.15</v>
      </c>
      <c r="F31" s="47">
        <v>17379.89</v>
      </c>
      <c r="G31" s="47">
        <v>9092.5</v>
      </c>
      <c r="H31" s="47">
        <v>3550</v>
      </c>
      <c r="I31" s="47">
        <v>3120</v>
      </c>
      <c r="J31" s="47">
        <v>2000</v>
      </c>
      <c r="K31" s="47">
        <v>8437.4700000000012</v>
      </c>
      <c r="L31" s="27"/>
    </row>
    <row r="32" spans="1:12" x14ac:dyDescent="0.2">
      <c r="A32" s="28"/>
      <c r="B32" s="34" t="s">
        <v>48</v>
      </c>
      <c r="C32" s="30"/>
      <c r="D32" s="31"/>
      <c r="E32" s="44">
        <v>5726</v>
      </c>
      <c r="F32" s="44">
        <v>490</v>
      </c>
      <c r="G32" s="44">
        <v>0</v>
      </c>
      <c r="H32" s="44">
        <v>0</v>
      </c>
      <c r="I32" s="44">
        <v>620</v>
      </c>
      <c r="J32" s="44">
        <v>450</v>
      </c>
      <c r="K32" s="44">
        <v>550</v>
      </c>
      <c r="L32" s="33"/>
    </row>
    <row r="33" spans="1:12" x14ac:dyDescent="0.2">
      <c r="A33" s="28"/>
      <c r="B33" s="34" t="s">
        <v>50</v>
      </c>
      <c r="C33" s="30"/>
      <c r="D33" s="31"/>
      <c r="E33" s="45">
        <v>0</v>
      </c>
      <c r="F33" s="45">
        <v>0</v>
      </c>
      <c r="G33" s="45">
        <v>0</v>
      </c>
      <c r="H33" s="45">
        <v>2500</v>
      </c>
      <c r="I33" s="45">
        <v>2500</v>
      </c>
      <c r="J33" s="45">
        <v>0</v>
      </c>
      <c r="K33" s="45">
        <v>1600</v>
      </c>
      <c r="L33" s="33"/>
    </row>
    <row r="34" spans="1:12" x14ac:dyDescent="0.2">
      <c r="A34" s="28"/>
      <c r="B34" s="34" t="s">
        <v>52</v>
      </c>
      <c r="C34" s="30"/>
      <c r="D34" s="31"/>
      <c r="E34" s="45">
        <v>8625.15</v>
      </c>
      <c r="F34" s="45">
        <v>7389.89</v>
      </c>
      <c r="G34" s="45">
        <v>8092.5</v>
      </c>
      <c r="H34" s="45">
        <v>300</v>
      </c>
      <c r="I34" s="45">
        <v>0</v>
      </c>
      <c r="J34" s="45">
        <v>0</v>
      </c>
      <c r="K34" s="45">
        <v>0</v>
      </c>
      <c r="L34" s="33"/>
    </row>
    <row r="35" spans="1:12" x14ac:dyDescent="0.2">
      <c r="A35" s="28"/>
      <c r="B35" s="34" t="s">
        <v>54</v>
      </c>
      <c r="C35" s="30"/>
      <c r="D35" s="31"/>
      <c r="E35" s="45">
        <v>1000</v>
      </c>
      <c r="F35" s="45">
        <v>9500</v>
      </c>
      <c r="G35" s="45">
        <v>1000</v>
      </c>
      <c r="H35" s="45">
        <v>0</v>
      </c>
      <c r="I35" s="45">
        <v>0</v>
      </c>
      <c r="J35" s="45">
        <v>1200</v>
      </c>
      <c r="K35" s="45">
        <v>200</v>
      </c>
      <c r="L35" s="33"/>
    </row>
    <row r="36" spans="1:12" x14ac:dyDescent="0.2">
      <c r="A36" s="28"/>
      <c r="B36" s="34" t="s">
        <v>56</v>
      </c>
      <c r="C36" s="30"/>
      <c r="D36" s="31"/>
      <c r="E36" s="48">
        <v>8500</v>
      </c>
      <c r="F36" s="48">
        <v>0</v>
      </c>
      <c r="G36" s="48">
        <v>0</v>
      </c>
      <c r="H36" s="48">
        <v>750</v>
      </c>
      <c r="I36" s="48">
        <v>0</v>
      </c>
      <c r="J36" s="48">
        <v>350</v>
      </c>
      <c r="K36" s="48">
        <v>6087.47</v>
      </c>
      <c r="L36" s="33"/>
    </row>
    <row r="37" spans="1:12" x14ac:dyDescent="0.2">
      <c r="A37" s="28"/>
      <c r="B37" s="24" t="s">
        <v>57</v>
      </c>
      <c r="C37" s="25"/>
      <c r="D37" s="26"/>
      <c r="E37" s="47">
        <v>11658.39</v>
      </c>
      <c r="F37" s="47">
        <v>14110.82</v>
      </c>
      <c r="G37" s="47">
        <v>9773.2000000000007</v>
      </c>
      <c r="H37" s="47">
        <v>8809.31</v>
      </c>
      <c r="I37" s="47">
        <v>11666.19</v>
      </c>
      <c r="J37" s="47">
        <v>569.95000000000005</v>
      </c>
      <c r="K37" s="47">
        <v>2280.4500000000003</v>
      </c>
      <c r="L37" s="27"/>
    </row>
    <row r="38" spans="1:12" x14ac:dyDescent="0.2">
      <c r="A38" s="28"/>
      <c r="B38" s="34" t="s">
        <v>59</v>
      </c>
      <c r="C38" s="30"/>
      <c r="D38" s="31"/>
      <c r="E38" s="44">
        <v>1438</v>
      </c>
      <c r="F38" s="44">
        <v>287.5</v>
      </c>
      <c r="G38" s="44">
        <v>1002.69</v>
      </c>
      <c r="H38" s="44">
        <v>1217.31</v>
      </c>
      <c r="I38" s="44">
        <v>1497</v>
      </c>
      <c r="J38" s="44">
        <v>124.03</v>
      </c>
      <c r="K38" s="44">
        <v>686.36</v>
      </c>
      <c r="L38" s="33"/>
    </row>
    <row r="39" spans="1:12" x14ac:dyDescent="0.2">
      <c r="A39" s="28"/>
      <c r="B39" s="34" t="s">
        <v>61</v>
      </c>
      <c r="C39" s="30"/>
      <c r="D39" s="31"/>
      <c r="E39" s="45">
        <v>879</v>
      </c>
      <c r="F39" s="45">
        <v>938</v>
      </c>
      <c r="G39" s="45">
        <v>871</v>
      </c>
      <c r="H39" s="45">
        <v>812</v>
      </c>
      <c r="I39" s="45">
        <v>0</v>
      </c>
      <c r="J39" s="45">
        <v>0</v>
      </c>
      <c r="K39" s="45">
        <v>1594.0900000000001</v>
      </c>
      <c r="L39" s="33"/>
    </row>
    <row r="40" spans="1:12" x14ac:dyDescent="0.2">
      <c r="A40" s="28"/>
      <c r="B40" s="34" t="s">
        <v>63</v>
      </c>
      <c r="C40" s="30"/>
      <c r="D40" s="31"/>
      <c r="E40" s="45">
        <v>1700</v>
      </c>
      <c r="F40" s="45">
        <v>1120</v>
      </c>
      <c r="G40" s="45">
        <v>1000</v>
      </c>
      <c r="H40" s="45">
        <v>520</v>
      </c>
      <c r="I40" s="45">
        <v>0</v>
      </c>
      <c r="J40" s="45">
        <v>0</v>
      </c>
      <c r="K40" s="45">
        <v>0</v>
      </c>
      <c r="L40" s="33"/>
    </row>
    <row r="41" spans="1:12" x14ac:dyDescent="0.2">
      <c r="A41" s="28"/>
      <c r="B41" s="34" t="s">
        <v>65</v>
      </c>
      <c r="C41" s="30"/>
      <c r="D41" s="31"/>
      <c r="E41" s="45">
        <v>1160</v>
      </c>
      <c r="F41" s="45">
        <v>1160</v>
      </c>
      <c r="G41" s="45">
        <v>2320</v>
      </c>
      <c r="H41" s="45">
        <v>1160</v>
      </c>
      <c r="I41" s="45">
        <v>0</v>
      </c>
      <c r="J41" s="45">
        <v>0</v>
      </c>
      <c r="K41" s="45">
        <v>0</v>
      </c>
      <c r="L41" s="33"/>
    </row>
    <row r="42" spans="1:12" x14ac:dyDescent="0.2">
      <c r="A42" s="28"/>
      <c r="B42" s="34" t="s">
        <v>67</v>
      </c>
      <c r="C42" s="30"/>
      <c r="D42" s="31"/>
      <c r="E42" s="45">
        <v>0</v>
      </c>
      <c r="F42" s="45">
        <v>4000</v>
      </c>
      <c r="G42" s="45">
        <v>0</v>
      </c>
      <c r="H42" s="45">
        <v>0</v>
      </c>
      <c r="I42" s="45">
        <v>7500</v>
      </c>
      <c r="J42" s="45">
        <v>0</v>
      </c>
      <c r="K42" s="45">
        <v>0</v>
      </c>
      <c r="L42" s="33"/>
    </row>
    <row r="43" spans="1:12" x14ac:dyDescent="0.2">
      <c r="A43" s="28"/>
      <c r="B43" s="34" t="s">
        <v>69</v>
      </c>
      <c r="C43" s="30"/>
      <c r="D43" s="31"/>
      <c r="E43" s="49">
        <v>6481.3899999999994</v>
      </c>
      <c r="F43" s="49">
        <v>6605.32</v>
      </c>
      <c r="G43" s="49">
        <v>4579.51</v>
      </c>
      <c r="H43" s="49">
        <v>5100</v>
      </c>
      <c r="I43" s="49">
        <v>2669.19</v>
      </c>
      <c r="J43" s="49">
        <v>53.92</v>
      </c>
      <c r="K43" s="49">
        <v>0</v>
      </c>
      <c r="L43" s="33"/>
    </row>
    <row r="44" spans="1:12" x14ac:dyDescent="0.2">
      <c r="A44" s="28"/>
      <c r="B44" s="34" t="s">
        <v>71</v>
      </c>
      <c r="C44" s="30"/>
      <c r="D44" s="31"/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392</v>
      </c>
      <c r="K44" s="50">
        <v>0</v>
      </c>
      <c r="L44" s="33"/>
    </row>
    <row r="45" spans="1:12" x14ac:dyDescent="0.2">
      <c r="A45" s="28"/>
      <c r="B45" s="24" t="s">
        <v>72</v>
      </c>
      <c r="C45" s="25"/>
      <c r="D45" s="26"/>
      <c r="E45" s="47">
        <v>0</v>
      </c>
      <c r="F45" s="47">
        <v>0</v>
      </c>
      <c r="G45" s="47">
        <v>0</v>
      </c>
      <c r="H45" s="47">
        <v>37.33</v>
      </c>
      <c r="I45" s="47">
        <v>121.77</v>
      </c>
      <c r="J45" s="47">
        <v>107.24</v>
      </c>
      <c r="K45" s="47">
        <v>935.7620689655173</v>
      </c>
      <c r="L45" s="27"/>
    </row>
    <row r="46" spans="1:12" x14ac:dyDescent="0.2">
      <c r="A46" s="28"/>
      <c r="B46" s="51" t="s">
        <v>73</v>
      </c>
      <c r="C46" s="52"/>
      <c r="D46" s="53"/>
      <c r="E46" s="54">
        <v>0</v>
      </c>
      <c r="F46" s="54">
        <v>0</v>
      </c>
      <c r="G46" s="54">
        <v>0</v>
      </c>
      <c r="H46" s="54">
        <v>37.33</v>
      </c>
      <c r="I46" s="54">
        <v>121.77</v>
      </c>
      <c r="J46" s="54">
        <v>107.24</v>
      </c>
      <c r="K46" s="54">
        <v>935.7620689655173</v>
      </c>
      <c r="L46" s="33"/>
    </row>
    <row r="47" spans="1:12" ht="6" customHeight="1" x14ac:dyDescent="0.2">
      <c r="B47" s="15"/>
      <c r="C47" s="16"/>
      <c r="D47" s="17"/>
      <c r="E47" s="17"/>
      <c r="F47" s="17"/>
      <c r="G47" s="17"/>
      <c r="H47" s="17"/>
      <c r="I47" s="17"/>
      <c r="J47" s="17"/>
      <c r="K47" s="17"/>
      <c r="L47" s="27"/>
    </row>
    <row r="48" spans="1:12" ht="21.95" customHeight="1" thickBot="1" x14ac:dyDescent="0.25">
      <c r="B48" s="20" t="s">
        <v>74</v>
      </c>
      <c r="C48" s="21">
        <v>0</v>
      </c>
      <c r="D48" s="21">
        <v>0</v>
      </c>
      <c r="E48" s="21">
        <v>137991.03999999998</v>
      </c>
      <c r="F48" s="21">
        <v>109549.22999999998</v>
      </c>
      <c r="G48" s="21">
        <v>85161.2</v>
      </c>
      <c r="H48" s="21">
        <v>73705.64</v>
      </c>
      <c r="I48" s="21">
        <v>48290.879999999997</v>
      </c>
      <c r="J48" s="21">
        <v>52915.029999999992</v>
      </c>
      <c r="K48" s="21">
        <v>65476.89</v>
      </c>
      <c r="L48" s="55"/>
    </row>
    <row r="49" spans="2:12" ht="14.25" thickTop="1" thickBot="1" x14ac:dyDescent="0.25">
      <c r="D49" s="3"/>
      <c r="E49" s="3"/>
      <c r="F49" s="3"/>
      <c r="G49" s="3"/>
      <c r="H49" s="3"/>
      <c r="J49" s="33"/>
    </row>
    <row r="50" spans="2:12" ht="21.95" customHeight="1" thickTop="1" thickBot="1" x14ac:dyDescent="0.25">
      <c r="B50" s="56" t="s">
        <v>75</v>
      </c>
      <c r="C50" s="57"/>
      <c r="D50" s="57"/>
      <c r="E50" s="58">
        <v>5053.960000000021</v>
      </c>
      <c r="F50" s="58">
        <v>-7294.2299999999814</v>
      </c>
      <c r="G50" s="58">
        <v>11893.800000000003</v>
      </c>
      <c r="H50" s="58">
        <v>-11710.64</v>
      </c>
      <c r="I50" s="58">
        <v>44294.12</v>
      </c>
      <c r="J50" s="58">
        <v>32599.970000000008</v>
      </c>
      <c r="K50" s="58">
        <v>17258.11</v>
      </c>
      <c r="L50" s="55"/>
    </row>
    <row r="51" spans="2:12" ht="13.5" thickTop="1" x14ac:dyDescent="0.2">
      <c r="D51" s="3"/>
      <c r="E51" s="3"/>
      <c r="F51" s="3"/>
      <c r="G51" s="3"/>
      <c r="H51" s="3"/>
      <c r="J51" s="33"/>
    </row>
    <row r="52" spans="2:12" x14ac:dyDescent="0.2">
      <c r="D52" s="3"/>
      <c r="E52" s="3"/>
      <c r="F52" s="3"/>
      <c r="G52" s="3"/>
      <c r="H52" s="3"/>
    </row>
    <row r="73" spans="2:9" x14ac:dyDescent="0.2">
      <c r="E73" t="s">
        <v>76</v>
      </c>
    </row>
    <row r="74" spans="2:9" ht="21.95" customHeight="1" x14ac:dyDescent="0.2">
      <c r="B74" s="4" t="s">
        <v>77</v>
      </c>
      <c r="C74" s="4"/>
      <c r="D74" s="6" t="s">
        <v>78</v>
      </c>
      <c r="E74" s="6" t="s">
        <v>6</v>
      </c>
      <c r="F74" s="6" t="s">
        <v>7</v>
      </c>
      <c r="G74" s="6" t="s">
        <v>8</v>
      </c>
      <c r="H74" s="6" t="s">
        <v>9</v>
      </c>
      <c r="I74" s="6" t="s">
        <v>10</v>
      </c>
    </row>
    <row r="75" spans="2:9" x14ac:dyDescent="0.2">
      <c r="B75" s="59" t="s">
        <v>15</v>
      </c>
      <c r="C75" s="59"/>
      <c r="D75" s="60">
        <v>-12870</v>
      </c>
      <c r="E75" s="60">
        <v>-2210</v>
      </c>
      <c r="F75" s="60">
        <v>-6050</v>
      </c>
      <c r="G75" s="60">
        <v>-2260</v>
      </c>
      <c r="H75" s="60">
        <v>-2350</v>
      </c>
      <c r="I75" s="42"/>
    </row>
    <row r="76" spans="2:9" x14ac:dyDescent="0.2">
      <c r="B76" s="10" t="s">
        <v>16</v>
      </c>
      <c r="C76" s="10"/>
      <c r="D76" s="61">
        <v>300</v>
      </c>
      <c r="E76" s="61">
        <v>300</v>
      </c>
      <c r="F76" s="61">
        <v>0</v>
      </c>
      <c r="G76" s="61">
        <v>0</v>
      </c>
      <c r="H76" s="61">
        <v>0</v>
      </c>
      <c r="I76" s="35"/>
    </row>
    <row r="77" spans="2:9" x14ac:dyDescent="0.2">
      <c r="B77" s="10" t="s">
        <v>17</v>
      </c>
      <c r="C77" s="10"/>
      <c r="D77" s="61">
        <v>160</v>
      </c>
      <c r="E77" s="61">
        <v>10</v>
      </c>
      <c r="F77" s="61">
        <v>0</v>
      </c>
      <c r="G77" s="61">
        <v>0</v>
      </c>
      <c r="H77" s="61">
        <v>150</v>
      </c>
      <c r="I77" s="35"/>
    </row>
    <row r="78" spans="2:9" x14ac:dyDescent="0.2">
      <c r="B78" s="10" t="s">
        <v>18</v>
      </c>
      <c r="C78" s="10"/>
      <c r="D78" s="61">
        <v>-30</v>
      </c>
      <c r="E78" s="61">
        <v>-30</v>
      </c>
      <c r="F78" s="61">
        <v>0</v>
      </c>
      <c r="G78" s="61">
        <v>0</v>
      </c>
      <c r="H78" s="61">
        <v>0</v>
      </c>
      <c r="I78" s="35"/>
    </row>
    <row r="79" spans="2:9" x14ac:dyDescent="0.2">
      <c r="B79" s="10" t="s">
        <v>19</v>
      </c>
      <c r="C79" s="10"/>
      <c r="D79" s="61">
        <v>-10</v>
      </c>
      <c r="E79" s="61">
        <v>0</v>
      </c>
      <c r="F79" s="61">
        <v>0</v>
      </c>
      <c r="G79" s="61">
        <v>-10</v>
      </c>
      <c r="H79" s="61">
        <v>0</v>
      </c>
      <c r="I79" s="35"/>
    </row>
    <row r="80" spans="2:9" x14ac:dyDescent="0.2">
      <c r="B80" s="10" t="s">
        <v>79</v>
      </c>
      <c r="C80" s="10"/>
      <c r="D80" s="61">
        <v>-40000</v>
      </c>
      <c r="E80" s="61">
        <v>-10000</v>
      </c>
      <c r="F80" s="61">
        <v>-10000</v>
      </c>
      <c r="G80" s="61">
        <v>-10000</v>
      </c>
      <c r="H80" s="61">
        <v>-10000</v>
      </c>
      <c r="I80" s="35"/>
    </row>
    <row r="81" spans="2:9" x14ac:dyDescent="0.2">
      <c r="B81" s="62" t="s">
        <v>21</v>
      </c>
      <c r="C81" s="62"/>
      <c r="D81" s="63">
        <v>0</v>
      </c>
      <c r="E81" s="63"/>
      <c r="F81" s="63"/>
      <c r="G81" s="63"/>
      <c r="H81" s="63"/>
      <c r="I81" s="63"/>
    </row>
    <row r="82" spans="2:9" ht="13.5" thickBot="1" x14ac:dyDescent="0.25">
      <c r="B82" s="20" t="s">
        <v>22</v>
      </c>
      <c r="C82" s="20"/>
      <c r="D82" s="64">
        <v>-52400</v>
      </c>
      <c r="E82" s="64">
        <v>-11930</v>
      </c>
      <c r="F82" s="64">
        <v>-16050</v>
      </c>
      <c r="G82" s="64">
        <v>-12220</v>
      </c>
      <c r="H82" s="64">
        <v>-12200</v>
      </c>
      <c r="I82" s="65"/>
    </row>
    <row r="83" spans="2:9" ht="13.5" thickTop="1" x14ac:dyDescent="0.2"/>
    <row r="84" spans="2:9" x14ac:dyDescent="0.2">
      <c r="B84" s="66" t="s">
        <v>80</v>
      </c>
      <c r="C84" s="66"/>
      <c r="D84" s="67">
        <v>-12400</v>
      </c>
    </row>
    <row r="85" spans="2:9" x14ac:dyDescent="0.2">
      <c r="D85" t="s">
        <v>81</v>
      </c>
      <c r="E85" s="11">
        <v>144045</v>
      </c>
      <c r="F85" s="11">
        <v>107105</v>
      </c>
      <c r="G85" s="11">
        <v>98055</v>
      </c>
      <c r="H85" s="11">
        <v>72995</v>
      </c>
    </row>
    <row r="86" spans="2:9" x14ac:dyDescent="0.2">
      <c r="D86" s="3"/>
      <c r="F86" s="3"/>
    </row>
    <row r="87" spans="2:9" x14ac:dyDescent="0.2">
      <c r="D87" s="3" t="s">
        <v>82</v>
      </c>
      <c r="E87" s="3">
        <v>1000</v>
      </c>
      <c r="F87" s="3">
        <v>4850</v>
      </c>
      <c r="G87" s="3">
        <v>1000</v>
      </c>
      <c r="H87" s="3">
        <v>11000</v>
      </c>
    </row>
  </sheetData>
  <sheetProtection password="971F" sheet="1" objects="1" scenarios="1"/>
  <mergeCells count="1">
    <mergeCell ref="B1:J1"/>
  </mergeCells>
  <printOptions horizontalCentered="1"/>
  <pageMargins left="0.78740157480314965" right="0.78740157480314965" top="0.78740157480314965" bottom="0.59055118110236227" header="0.31496062992125984" footer="0.39370078740157483"/>
  <pageSetup scale="70" orientation="landscape" horizontalDpi="0" verticalDpi="0" r:id="rId1"/>
  <headerFooter>
    <oddFooter>&amp;L&amp;"Tahoma,Cursiva"&amp;8&amp;D&amp;R&amp;F: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79"/>
  <sheetViews>
    <sheetView showGridLines="0" topLeftCell="A4" zoomScale="80" zoomScaleNormal="80" workbookViewId="0">
      <selection activeCell="J21" sqref="J21"/>
    </sheetView>
  </sheetViews>
  <sheetFormatPr baseColWidth="10" defaultRowHeight="12.75" outlineLevelRow="2" x14ac:dyDescent="0.2"/>
  <cols>
    <col min="1" max="1" width="5.7109375" customWidth="1"/>
    <col min="5" max="5" width="50" customWidth="1"/>
    <col min="6" max="6" width="53.7109375" customWidth="1"/>
    <col min="7" max="7" width="12.7109375" customWidth="1"/>
    <col min="8" max="8" width="13.7109375" customWidth="1"/>
    <col min="9" max="9" width="15.42578125" customWidth="1"/>
    <col min="10" max="10" width="43.28515625" customWidth="1"/>
  </cols>
  <sheetData>
    <row r="1" spans="2:10" ht="20.25" x14ac:dyDescent="0.3">
      <c r="B1" s="90" t="s">
        <v>0</v>
      </c>
    </row>
    <row r="2" spans="2:10" ht="14.25" x14ac:dyDescent="0.2">
      <c r="B2" s="91" t="s">
        <v>230</v>
      </c>
    </row>
    <row r="3" spans="2:10" x14ac:dyDescent="0.2">
      <c r="B3" s="2" t="s">
        <v>231</v>
      </c>
    </row>
    <row r="4" spans="2:10" x14ac:dyDescent="0.2">
      <c r="I4" s="68"/>
    </row>
    <row r="5" spans="2:10" ht="24" customHeight="1" x14ac:dyDescent="0.2">
      <c r="B5" s="69" t="s">
        <v>83</v>
      </c>
      <c r="C5" s="69" t="s">
        <v>84</v>
      </c>
      <c r="D5" s="69" t="s">
        <v>85</v>
      </c>
      <c r="E5" s="70" t="s">
        <v>86</v>
      </c>
      <c r="F5" s="70" t="s">
        <v>87</v>
      </c>
      <c r="G5" s="69" t="s">
        <v>88</v>
      </c>
      <c r="H5" s="69" t="s">
        <v>89</v>
      </c>
      <c r="I5" s="69" t="s">
        <v>90</v>
      </c>
    </row>
    <row r="6" spans="2:10" outlineLevel="2" x14ac:dyDescent="0.2">
      <c r="B6" s="71"/>
      <c r="C6" s="35" t="s">
        <v>44</v>
      </c>
      <c r="D6" s="72">
        <v>41275</v>
      </c>
      <c r="E6" s="73"/>
      <c r="F6" s="10" t="s">
        <v>93</v>
      </c>
      <c r="G6" s="61">
        <v>6612</v>
      </c>
      <c r="H6" s="61"/>
      <c r="I6" s="61">
        <v>6612</v>
      </c>
    </row>
    <row r="7" spans="2:10" outlineLevel="2" x14ac:dyDescent="0.2">
      <c r="B7" s="71"/>
      <c r="C7" s="35" t="s">
        <v>44</v>
      </c>
      <c r="D7" s="72">
        <v>41275</v>
      </c>
      <c r="E7" s="73"/>
      <c r="F7" s="10" t="s">
        <v>106</v>
      </c>
      <c r="G7" s="61">
        <v>1100</v>
      </c>
      <c r="H7" s="61"/>
      <c r="I7" s="61">
        <v>1100</v>
      </c>
    </row>
    <row r="8" spans="2:10" outlineLevel="2" x14ac:dyDescent="0.2">
      <c r="B8" s="71"/>
      <c r="C8" s="35" t="s">
        <v>44</v>
      </c>
      <c r="D8" s="72">
        <v>41334</v>
      </c>
      <c r="E8" s="73"/>
      <c r="F8" s="10" t="s">
        <v>106</v>
      </c>
      <c r="G8" s="61">
        <v>4950</v>
      </c>
      <c r="H8" s="61"/>
      <c r="I8" s="61">
        <v>4950</v>
      </c>
    </row>
    <row r="9" spans="2:10" outlineLevel="2" x14ac:dyDescent="0.2">
      <c r="B9" s="71"/>
      <c r="C9" s="35" t="s">
        <v>44</v>
      </c>
      <c r="D9" s="72">
        <v>41365</v>
      </c>
      <c r="E9" s="73"/>
      <c r="F9" s="10" t="s">
        <v>125</v>
      </c>
      <c r="G9" s="61">
        <v>2400</v>
      </c>
      <c r="H9" s="61"/>
      <c r="I9" s="61">
        <v>2400</v>
      </c>
    </row>
    <row r="10" spans="2:10" outlineLevel="2" x14ac:dyDescent="0.2">
      <c r="B10" s="71"/>
      <c r="C10" s="35" t="s">
        <v>44</v>
      </c>
      <c r="D10" s="72">
        <v>41395</v>
      </c>
      <c r="E10" s="73"/>
      <c r="F10" s="10" t="s">
        <v>125</v>
      </c>
      <c r="G10" s="61">
        <v>2400</v>
      </c>
      <c r="H10" s="61"/>
      <c r="I10" s="61">
        <v>2400</v>
      </c>
    </row>
    <row r="11" spans="2:10" outlineLevel="2" x14ac:dyDescent="0.2">
      <c r="B11" s="71">
        <v>8</v>
      </c>
      <c r="C11" s="35" t="s">
        <v>44</v>
      </c>
      <c r="D11" s="72">
        <v>41433</v>
      </c>
      <c r="E11" s="73" t="s">
        <v>150</v>
      </c>
      <c r="F11" s="10" t="s">
        <v>151</v>
      </c>
      <c r="G11" s="61">
        <v>1800</v>
      </c>
      <c r="H11" s="61"/>
      <c r="I11" s="61">
        <v>1800</v>
      </c>
    </row>
    <row r="12" spans="2:10" outlineLevel="2" x14ac:dyDescent="0.2">
      <c r="B12" s="71">
        <v>35</v>
      </c>
      <c r="C12" s="35" t="s">
        <v>44</v>
      </c>
      <c r="D12" s="72">
        <v>41464</v>
      </c>
      <c r="E12" s="73" t="s">
        <v>163</v>
      </c>
      <c r="F12" s="10" t="s">
        <v>171</v>
      </c>
      <c r="G12" s="61">
        <v>1100</v>
      </c>
      <c r="H12" s="61"/>
      <c r="I12" s="61">
        <v>1100</v>
      </c>
    </row>
    <row r="13" spans="2:10" ht="14.25" outlineLevel="1" x14ac:dyDescent="0.2">
      <c r="B13" s="75"/>
      <c r="C13" s="76" t="s">
        <v>207</v>
      </c>
      <c r="D13" s="77"/>
      <c r="E13" s="78"/>
      <c r="F13" s="79"/>
      <c r="G13" s="80"/>
      <c r="H13" s="89">
        <f>SUBTOTAL(9,H6:H12)</f>
        <v>0</v>
      </c>
      <c r="I13" s="89">
        <f>SUBTOTAL(9,I6:I12)</f>
        <v>20362</v>
      </c>
      <c r="J13" s="81" t="s">
        <v>45</v>
      </c>
    </row>
    <row r="14" spans="2:10" outlineLevel="2" x14ac:dyDescent="0.2">
      <c r="B14" s="71"/>
      <c r="C14" s="35" t="s">
        <v>27</v>
      </c>
      <c r="D14" s="72">
        <v>41275</v>
      </c>
      <c r="E14" s="73"/>
      <c r="F14" s="10" t="s">
        <v>107</v>
      </c>
      <c r="G14" s="61">
        <v>689.5</v>
      </c>
      <c r="H14" s="61"/>
      <c r="I14" s="61">
        <v>689.5</v>
      </c>
      <c r="J14" s="74"/>
    </row>
    <row r="15" spans="2:10" outlineLevel="2" x14ac:dyDescent="0.2">
      <c r="B15" s="71"/>
      <c r="C15" s="35" t="s">
        <v>27</v>
      </c>
      <c r="D15" s="72">
        <v>41306</v>
      </c>
      <c r="E15" s="73"/>
      <c r="F15" s="10" t="s">
        <v>107</v>
      </c>
      <c r="G15" s="61">
        <v>478.52</v>
      </c>
      <c r="H15" s="61"/>
      <c r="I15" s="61">
        <v>478.52</v>
      </c>
      <c r="J15" s="74"/>
    </row>
    <row r="16" spans="2:10" outlineLevel="2" x14ac:dyDescent="0.2">
      <c r="B16" s="71"/>
      <c r="C16" s="27" t="s">
        <v>27</v>
      </c>
      <c r="D16" s="72">
        <v>41334</v>
      </c>
      <c r="E16" s="73"/>
      <c r="F16" s="10" t="s">
        <v>107</v>
      </c>
      <c r="G16" s="61">
        <v>420</v>
      </c>
      <c r="H16" s="61"/>
      <c r="I16" s="61">
        <v>420</v>
      </c>
      <c r="J16" s="74"/>
    </row>
    <row r="17" spans="2:10" outlineLevel="2" x14ac:dyDescent="0.2">
      <c r="B17" s="71"/>
      <c r="C17" s="35" t="s">
        <v>27</v>
      </c>
      <c r="D17" s="72">
        <v>41365</v>
      </c>
      <c r="E17" s="73"/>
      <c r="F17" s="10" t="s">
        <v>107</v>
      </c>
      <c r="G17" s="61">
        <v>501</v>
      </c>
      <c r="H17" s="61"/>
      <c r="I17" s="61">
        <v>501</v>
      </c>
      <c r="J17" s="74"/>
    </row>
    <row r="18" spans="2:10" outlineLevel="2" x14ac:dyDescent="0.2">
      <c r="B18" s="71"/>
      <c r="C18" s="35" t="s">
        <v>27</v>
      </c>
      <c r="D18" s="72">
        <v>41395</v>
      </c>
      <c r="E18" s="73"/>
      <c r="F18" s="10" t="s">
        <v>107</v>
      </c>
      <c r="G18" s="61">
        <v>420</v>
      </c>
      <c r="H18" s="61"/>
      <c r="I18" s="61">
        <v>420</v>
      </c>
      <c r="J18" s="74"/>
    </row>
    <row r="19" spans="2:10" outlineLevel="2" x14ac:dyDescent="0.2">
      <c r="B19" s="71">
        <v>4</v>
      </c>
      <c r="C19" s="35" t="s">
        <v>27</v>
      </c>
      <c r="D19" s="72">
        <v>41428</v>
      </c>
      <c r="E19" s="73" t="s">
        <v>142</v>
      </c>
      <c r="F19" s="10" t="s">
        <v>143</v>
      </c>
      <c r="G19" s="61">
        <v>90</v>
      </c>
      <c r="H19" s="61"/>
      <c r="I19" s="61">
        <v>90</v>
      </c>
      <c r="J19" s="74"/>
    </row>
    <row r="20" spans="2:10" outlineLevel="2" x14ac:dyDescent="0.2">
      <c r="B20" s="71">
        <v>10</v>
      </c>
      <c r="C20" s="35" t="s">
        <v>27</v>
      </c>
      <c r="D20" s="72">
        <v>41435</v>
      </c>
      <c r="E20" s="73" t="s">
        <v>142</v>
      </c>
      <c r="F20" s="10" t="s">
        <v>143</v>
      </c>
      <c r="G20" s="61">
        <v>60</v>
      </c>
      <c r="H20" s="61"/>
      <c r="I20" s="61">
        <v>60</v>
      </c>
      <c r="J20" s="74"/>
    </row>
    <row r="21" spans="2:10" outlineLevel="2" x14ac:dyDescent="0.2">
      <c r="B21" s="71">
        <v>15</v>
      </c>
      <c r="C21" s="35" t="s">
        <v>27</v>
      </c>
      <c r="D21" s="72">
        <v>41442</v>
      </c>
      <c r="E21" s="73" t="s">
        <v>142</v>
      </c>
      <c r="F21" s="10" t="s">
        <v>143</v>
      </c>
      <c r="G21" s="61">
        <v>90</v>
      </c>
      <c r="H21" s="61"/>
      <c r="I21" s="61">
        <v>90</v>
      </c>
      <c r="J21" s="74"/>
    </row>
    <row r="22" spans="2:10" outlineLevel="2" x14ac:dyDescent="0.2">
      <c r="B22" s="71">
        <v>17</v>
      </c>
      <c r="C22" s="35" t="s">
        <v>27</v>
      </c>
      <c r="D22" s="72">
        <v>41449</v>
      </c>
      <c r="E22" s="73" t="s">
        <v>142</v>
      </c>
      <c r="F22" s="10" t="s">
        <v>143</v>
      </c>
      <c r="G22" s="61">
        <v>60</v>
      </c>
      <c r="H22" s="61"/>
      <c r="I22" s="61">
        <v>60</v>
      </c>
      <c r="J22" s="74"/>
    </row>
    <row r="23" spans="2:10" outlineLevel="2" x14ac:dyDescent="0.2">
      <c r="B23" s="71">
        <v>26</v>
      </c>
      <c r="C23" s="35" t="s">
        <v>27</v>
      </c>
      <c r="D23" s="72">
        <v>41456</v>
      </c>
      <c r="E23" s="73" t="s">
        <v>142</v>
      </c>
      <c r="F23" s="10" t="s">
        <v>143</v>
      </c>
      <c r="G23" s="61">
        <v>90</v>
      </c>
      <c r="H23" s="61"/>
      <c r="I23" s="61">
        <v>90</v>
      </c>
      <c r="J23" s="74"/>
    </row>
    <row r="24" spans="2:10" outlineLevel="2" x14ac:dyDescent="0.2">
      <c r="B24" s="71">
        <v>33</v>
      </c>
      <c r="C24" s="35" t="s">
        <v>27</v>
      </c>
      <c r="D24" s="72">
        <v>41463</v>
      </c>
      <c r="E24" s="73" t="s">
        <v>142</v>
      </c>
      <c r="F24" s="10" t="s">
        <v>143</v>
      </c>
      <c r="G24" s="61">
        <v>60</v>
      </c>
      <c r="H24" s="61"/>
      <c r="I24" s="61">
        <v>60</v>
      </c>
      <c r="J24" s="74"/>
    </row>
    <row r="25" spans="2:10" outlineLevel="2" x14ac:dyDescent="0.2">
      <c r="B25" s="71">
        <v>45</v>
      </c>
      <c r="C25" s="35" t="s">
        <v>27</v>
      </c>
      <c r="D25" s="72">
        <v>41470</v>
      </c>
      <c r="E25" s="73" t="s">
        <v>142</v>
      </c>
      <c r="F25" s="10" t="s">
        <v>143</v>
      </c>
      <c r="G25" s="61">
        <v>90</v>
      </c>
      <c r="H25" s="61"/>
      <c r="I25" s="61">
        <v>90</v>
      </c>
      <c r="J25" s="74"/>
    </row>
    <row r="26" spans="2:10" outlineLevel="2" x14ac:dyDescent="0.2">
      <c r="B26" s="71">
        <v>59</v>
      </c>
      <c r="C26" s="35" t="s">
        <v>27</v>
      </c>
      <c r="D26" s="72">
        <v>41477</v>
      </c>
      <c r="E26" s="73" t="s">
        <v>142</v>
      </c>
      <c r="F26" s="10" t="s">
        <v>143</v>
      </c>
      <c r="G26" s="61">
        <v>90</v>
      </c>
      <c r="H26" s="61"/>
      <c r="I26" s="61">
        <v>90</v>
      </c>
      <c r="J26" s="74"/>
    </row>
    <row r="27" spans="2:10" outlineLevel="2" x14ac:dyDescent="0.2">
      <c r="B27" s="71">
        <v>70</v>
      </c>
      <c r="C27" s="35" t="s">
        <v>27</v>
      </c>
      <c r="D27" s="72">
        <v>41484</v>
      </c>
      <c r="E27" s="73" t="s">
        <v>142</v>
      </c>
      <c r="F27" s="10" t="s">
        <v>143</v>
      </c>
      <c r="G27" s="61">
        <v>60</v>
      </c>
      <c r="H27" s="61"/>
      <c r="I27" s="61">
        <v>60</v>
      </c>
      <c r="J27" s="74"/>
    </row>
    <row r="28" spans="2:10" ht="14.25" outlineLevel="1" x14ac:dyDescent="0.2">
      <c r="B28" s="75"/>
      <c r="C28" s="76" t="s">
        <v>208</v>
      </c>
      <c r="D28" s="77"/>
      <c r="E28" s="78"/>
      <c r="F28" s="79"/>
      <c r="G28" s="80"/>
      <c r="H28" s="89">
        <f>SUBTOTAL(9,H14:H27)</f>
        <v>0</v>
      </c>
      <c r="I28" s="89">
        <f>SUBTOTAL(9,I14:I27)</f>
        <v>3199.02</v>
      </c>
      <c r="J28" s="81" t="s">
        <v>28</v>
      </c>
    </row>
    <row r="29" spans="2:10" outlineLevel="2" x14ac:dyDescent="0.2">
      <c r="B29" s="71"/>
      <c r="C29" s="35" t="s">
        <v>29</v>
      </c>
      <c r="D29" s="72">
        <v>41275</v>
      </c>
      <c r="E29" s="73"/>
      <c r="F29" s="10" t="s">
        <v>99</v>
      </c>
      <c r="G29" s="61">
        <v>2580</v>
      </c>
      <c r="H29" s="61"/>
      <c r="I29" s="61">
        <v>2580</v>
      </c>
      <c r="J29" s="74"/>
    </row>
    <row r="30" spans="2:10" outlineLevel="2" x14ac:dyDescent="0.2">
      <c r="B30" s="71"/>
      <c r="C30" s="35" t="s">
        <v>29</v>
      </c>
      <c r="D30" s="72">
        <v>41306</v>
      </c>
      <c r="E30" s="73"/>
      <c r="F30" s="10" t="s">
        <v>99</v>
      </c>
      <c r="G30" s="61">
        <v>2180</v>
      </c>
      <c r="H30" s="61"/>
      <c r="I30" s="61">
        <v>2180</v>
      </c>
      <c r="J30" s="74"/>
    </row>
    <row r="31" spans="2:10" outlineLevel="2" x14ac:dyDescent="0.2">
      <c r="B31" s="71"/>
      <c r="C31" s="35" t="s">
        <v>29</v>
      </c>
      <c r="D31" s="72">
        <v>41334</v>
      </c>
      <c r="E31" s="73"/>
      <c r="F31" s="10" t="s">
        <v>99</v>
      </c>
      <c r="G31" s="61">
        <v>2320</v>
      </c>
      <c r="H31" s="61"/>
      <c r="I31" s="61">
        <v>2320</v>
      </c>
      <c r="J31" s="74"/>
    </row>
    <row r="32" spans="2:10" outlineLevel="2" x14ac:dyDescent="0.2">
      <c r="B32" s="71"/>
      <c r="C32" s="35" t="s">
        <v>29</v>
      </c>
      <c r="D32" s="72">
        <v>41365</v>
      </c>
      <c r="E32" s="73"/>
      <c r="F32" s="10" t="s">
        <v>99</v>
      </c>
      <c r="G32" s="61">
        <v>2200</v>
      </c>
      <c r="H32" s="61"/>
      <c r="I32" s="61">
        <v>2200</v>
      </c>
      <c r="J32" s="74"/>
    </row>
    <row r="33" spans="2:10" outlineLevel="2" x14ac:dyDescent="0.2">
      <c r="B33" s="71"/>
      <c r="C33" s="35" t="s">
        <v>29</v>
      </c>
      <c r="D33" s="72">
        <v>41395</v>
      </c>
      <c r="E33" s="73"/>
      <c r="F33" s="10" t="s">
        <v>134</v>
      </c>
      <c r="G33" s="61">
        <v>800</v>
      </c>
      <c r="H33" s="61"/>
      <c r="I33" s="61">
        <v>800</v>
      </c>
      <c r="J33" s="74"/>
    </row>
    <row r="34" spans="2:10" outlineLevel="2" x14ac:dyDescent="0.2">
      <c r="B34" s="71">
        <v>12</v>
      </c>
      <c r="C34" s="35" t="s">
        <v>29</v>
      </c>
      <c r="D34" s="72">
        <v>41436</v>
      </c>
      <c r="E34" s="73" t="s">
        <v>153</v>
      </c>
      <c r="F34" s="73" t="s">
        <v>154</v>
      </c>
      <c r="G34" s="61">
        <v>400</v>
      </c>
      <c r="H34" s="61"/>
      <c r="I34" s="61">
        <v>400</v>
      </c>
      <c r="J34" s="74"/>
    </row>
    <row r="35" spans="2:10" outlineLevel="2" x14ac:dyDescent="0.2">
      <c r="B35" s="71">
        <v>16</v>
      </c>
      <c r="C35" s="35" t="s">
        <v>29</v>
      </c>
      <c r="D35" s="72">
        <v>41444</v>
      </c>
      <c r="E35" s="73" t="s">
        <v>153</v>
      </c>
      <c r="F35" s="73" t="s">
        <v>154</v>
      </c>
      <c r="G35" s="61">
        <v>400</v>
      </c>
      <c r="H35" s="61"/>
      <c r="I35" s="61">
        <v>400</v>
      </c>
      <c r="J35" s="74"/>
    </row>
    <row r="36" spans="2:10" outlineLevel="2" x14ac:dyDescent="0.2">
      <c r="B36" s="71">
        <v>21</v>
      </c>
      <c r="C36" s="35" t="s">
        <v>29</v>
      </c>
      <c r="D36" s="72">
        <v>41450</v>
      </c>
      <c r="E36" s="73" t="s">
        <v>153</v>
      </c>
      <c r="F36" s="73" t="s">
        <v>154</v>
      </c>
      <c r="G36" s="61">
        <v>400</v>
      </c>
      <c r="H36" s="61"/>
      <c r="I36" s="61">
        <v>400</v>
      </c>
      <c r="J36" s="74"/>
    </row>
    <row r="37" spans="2:10" outlineLevel="2" x14ac:dyDescent="0.2">
      <c r="B37" s="71">
        <v>24</v>
      </c>
      <c r="C37" s="35" t="s">
        <v>29</v>
      </c>
      <c r="D37" s="72">
        <v>41453</v>
      </c>
      <c r="E37" s="73" t="s">
        <v>153</v>
      </c>
      <c r="F37" s="73" t="s">
        <v>154</v>
      </c>
      <c r="G37" s="61">
        <v>400</v>
      </c>
      <c r="H37" s="61"/>
      <c r="I37" s="61">
        <v>400</v>
      </c>
      <c r="J37" s="74"/>
    </row>
    <row r="38" spans="2:10" outlineLevel="2" x14ac:dyDescent="0.2">
      <c r="B38" s="71">
        <v>37</v>
      </c>
      <c r="C38" s="35" t="s">
        <v>29</v>
      </c>
      <c r="D38" s="72">
        <v>41464</v>
      </c>
      <c r="E38" s="73" t="s">
        <v>153</v>
      </c>
      <c r="F38" s="10" t="s">
        <v>154</v>
      </c>
      <c r="G38" s="61">
        <v>400</v>
      </c>
      <c r="H38" s="61"/>
      <c r="I38" s="61">
        <v>400</v>
      </c>
      <c r="J38" s="74"/>
    </row>
    <row r="39" spans="2:10" outlineLevel="2" x14ac:dyDescent="0.2">
      <c r="B39" s="71">
        <v>49</v>
      </c>
      <c r="C39" s="35" t="s">
        <v>29</v>
      </c>
      <c r="D39" s="72">
        <v>41470</v>
      </c>
      <c r="E39" s="73" t="s">
        <v>153</v>
      </c>
      <c r="F39" s="10" t="s">
        <v>154</v>
      </c>
      <c r="G39" s="61">
        <v>400</v>
      </c>
      <c r="H39" s="61"/>
      <c r="I39" s="61">
        <v>400</v>
      </c>
      <c r="J39" s="74"/>
    </row>
    <row r="40" spans="2:10" outlineLevel="2" x14ac:dyDescent="0.2">
      <c r="B40" s="71">
        <v>67</v>
      </c>
      <c r="C40" s="35" t="s">
        <v>29</v>
      </c>
      <c r="D40" s="72">
        <v>41479</v>
      </c>
      <c r="E40" s="73" t="s">
        <v>153</v>
      </c>
      <c r="F40" s="10" t="s">
        <v>154</v>
      </c>
      <c r="G40" s="61">
        <v>400</v>
      </c>
      <c r="H40" s="61"/>
      <c r="I40" s="61">
        <v>400</v>
      </c>
      <c r="J40" s="74"/>
    </row>
    <row r="41" spans="2:10" outlineLevel="2" x14ac:dyDescent="0.2">
      <c r="B41" s="71">
        <v>74</v>
      </c>
      <c r="C41" s="35" t="s">
        <v>29</v>
      </c>
      <c r="D41" s="72">
        <v>41486</v>
      </c>
      <c r="E41" s="73" t="s">
        <v>153</v>
      </c>
      <c r="F41" s="10" t="s">
        <v>154</v>
      </c>
      <c r="G41" s="61">
        <v>400</v>
      </c>
      <c r="H41" s="61"/>
      <c r="I41" s="61">
        <v>400</v>
      </c>
      <c r="J41" s="74"/>
    </row>
    <row r="42" spans="2:10" ht="14.25" outlineLevel="1" x14ac:dyDescent="0.2">
      <c r="B42" s="75"/>
      <c r="C42" s="76" t="s">
        <v>209</v>
      </c>
      <c r="D42" s="77"/>
      <c r="E42" s="78"/>
      <c r="F42" s="79"/>
      <c r="G42" s="80"/>
      <c r="H42" s="89">
        <f>SUBTOTAL(9,H29:H41)</f>
        <v>0</v>
      </c>
      <c r="I42" s="89">
        <f>SUBTOTAL(9,I29:I41)</f>
        <v>13280</v>
      </c>
      <c r="J42" s="81" t="s">
        <v>30</v>
      </c>
    </row>
    <row r="43" spans="2:10" outlineLevel="2" x14ac:dyDescent="0.2">
      <c r="B43" s="71"/>
      <c r="C43" s="35" t="s">
        <v>62</v>
      </c>
      <c r="D43" s="72">
        <v>41275</v>
      </c>
      <c r="E43" s="73"/>
      <c r="F43" s="10" t="s">
        <v>102</v>
      </c>
      <c r="G43" s="61">
        <v>1700</v>
      </c>
      <c r="H43" s="61"/>
      <c r="I43" s="61">
        <v>1700</v>
      </c>
      <c r="J43" s="74"/>
    </row>
    <row r="44" spans="2:10" outlineLevel="2" x14ac:dyDescent="0.2">
      <c r="B44" s="71"/>
      <c r="C44" s="35" t="s">
        <v>62</v>
      </c>
      <c r="D44" s="72">
        <v>41306</v>
      </c>
      <c r="E44" s="73"/>
      <c r="F44" s="10" t="s">
        <v>102</v>
      </c>
      <c r="G44" s="61">
        <v>1120</v>
      </c>
      <c r="H44" s="61"/>
      <c r="I44" s="61">
        <v>1120</v>
      </c>
      <c r="J44" s="74"/>
    </row>
    <row r="45" spans="2:10" outlineLevel="2" x14ac:dyDescent="0.2">
      <c r="B45" s="71"/>
      <c r="C45" s="35" t="s">
        <v>62</v>
      </c>
      <c r="D45" s="72">
        <v>41334</v>
      </c>
      <c r="E45" s="73"/>
      <c r="F45" s="10" t="s">
        <v>102</v>
      </c>
      <c r="G45" s="61">
        <v>1000</v>
      </c>
      <c r="H45" s="61"/>
      <c r="I45" s="61">
        <v>1000</v>
      </c>
      <c r="J45" s="74"/>
    </row>
    <row r="46" spans="2:10" outlineLevel="2" x14ac:dyDescent="0.2">
      <c r="B46" s="71"/>
      <c r="C46" s="35" t="s">
        <v>62</v>
      </c>
      <c r="D46" s="72">
        <v>41365</v>
      </c>
      <c r="E46" s="73"/>
      <c r="F46" s="10" t="s">
        <v>102</v>
      </c>
      <c r="G46" s="61">
        <v>520</v>
      </c>
      <c r="H46" s="61"/>
      <c r="I46" s="61">
        <v>520</v>
      </c>
      <c r="J46" s="74"/>
    </row>
    <row r="47" spans="2:10" ht="14.25" outlineLevel="1" x14ac:dyDescent="0.2">
      <c r="B47" s="75"/>
      <c r="C47" s="76" t="s">
        <v>210</v>
      </c>
      <c r="D47" s="77"/>
      <c r="E47" s="78"/>
      <c r="F47" s="79"/>
      <c r="G47" s="80"/>
      <c r="H47" s="89">
        <f>SUBTOTAL(9,H43:H46)</f>
        <v>0</v>
      </c>
      <c r="I47" s="89">
        <f>SUBTOTAL(9,I43:I46)</f>
        <v>4340</v>
      </c>
      <c r="J47" s="81" t="s">
        <v>63</v>
      </c>
    </row>
    <row r="48" spans="2:10" outlineLevel="2" x14ac:dyDescent="0.2">
      <c r="B48" s="71">
        <v>23</v>
      </c>
      <c r="C48" s="35" t="s">
        <v>70</v>
      </c>
      <c r="D48" s="72">
        <v>41452</v>
      </c>
      <c r="E48" s="73" t="s">
        <v>161</v>
      </c>
      <c r="F48" s="10" t="s">
        <v>162</v>
      </c>
      <c r="G48" s="61">
        <v>392</v>
      </c>
      <c r="H48" s="61">
        <v>62.72</v>
      </c>
      <c r="I48" s="61">
        <v>454.72</v>
      </c>
      <c r="J48" s="74"/>
    </row>
    <row r="49" spans="2:10" ht="14.25" outlineLevel="1" x14ac:dyDescent="0.2">
      <c r="B49" s="75"/>
      <c r="C49" s="76" t="s">
        <v>211</v>
      </c>
      <c r="D49" s="77"/>
      <c r="E49" s="78"/>
      <c r="F49" s="79"/>
      <c r="G49" s="80"/>
      <c r="H49" s="89">
        <f>SUBTOTAL(9,H48:H48)</f>
        <v>62.72</v>
      </c>
      <c r="I49" s="89">
        <f>SUBTOTAL(9,I48:I48)</f>
        <v>454.72</v>
      </c>
      <c r="J49" s="81" t="s">
        <v>71</v>
      </c>
    </row>
    <row r="50" spans="2:10" outlineLevel="2" x14ac:dyDescent="0.2">
      <c r="B50" s="71"/>
      <c r="C50" s="35" t="s">
        <v>64</v>
      </c>
      <c r="D50" s="72">
        <v>41275</v>
      </c>
      <c r="E50" s="73"/>
      <c r="F50" s="10" t="s">
        <v>109</v>
      </c>
      <c r="G50" s="61">
        <v>1160</v>
      </c>
      <c r="H50" s="61"/>
      <c r="I50" s="61">
        <v>1160</v>
      </c>
      <c r="J50" s="74"/>
    </row>
    <row r="51" spans="2:10" outlineLevel="2" x14ac:dyDescent="0.2">
      <c r="B51" s="71"/>
      <c r="C51" s="35" t="s">
        <v>64</v>
      </c>
      <c r="D51" s="72">
        <v>41306</v>
      </c>
      <c r="E51" s="73"/>
      <c r="F51" s="10" t="s">
        <v>113</v>
      </c>
      <c r="G51" s="61">
        <v>1160</v>
      </c>
      <c r="H51" s="61"/>
      <c r="I51" s="61">
        <v>1160</v>
      </c>
      <c r="J51" s="74"/>
    </row>
    <row r="52" spans="2:10" outlineLevel="2" x14ac:dyDescent="0.2">
      <c r="B52" s="71"/>
      <c r="C52" s="35" t="s">
        <v>64</v>
      </c>
      <c r="D52" s="72">
        <v>41334</v>
      </c>
      <c r="E52" s="73"/>
      <c r="F52" s="10" t="s">
        <v>109</v>
      </c>
      <c r="G52" s="61">
        <v>2320</v>
      </c>
      <c r="H52" s="61"/>
      <c r="I52" s="61">
        <v>2320</v>
      </c>
      <c r="J52" s="74"/>
    </row>
    <row r="53" spans="2:10" outlineLevel="2" x14ac:dyDescent="0.2">
      <c r="B53" s="71"/>
      <c r="C53" s="35" t="s">
        <v>64</v>
      </c>
      <c r="D53" s="72">
        <v>41365</v>
      </c>
      <c r="E53" s="73"/>
      <c r="F53" s="10" t="s">
        <v>109</v>
      </c>
      <c r="G53" s="61">
        <v>1160</v>
      </c>
      <c r="H53" s="61"/>
      <c r="I53" s="61">
        <v>1160</v>
      </c>
      <c r="J53" s="74"/>
    </row>
    <row r="54" spans="2:10" ht="14.25" outlineLevel="1" x14ac:dyDescent="0.2">
      <c r="B54" s="75"/>
      <c r="C54" s="76" t="s">
        <v>212</v>
      </c>
      <c r="D54" s="77"/>
      <c r="E54" s="78"/>
      <c r="F54" s="79"/>
      <c r="G54" s="80"/>
      <c r="H54" s="89">
        <f>SUBTOTAL(9,H50:H53)</f>
        <v>0</v>
      </c>
      <c r="I54" s="89">
        <f>SUBTOTAL(9,I50:I53)</f>
        <v>5800</v>
      </c>
      <c r="J54" s="81" t="s">
        <v>65</v>
      </c>
    </row>
    <row r="55" spans="2:10" outlineLevel="2" x14ac:dyDescent="0.2">
      <c r="B55" s="71"/>
      <c r="C55" s="35" t="s">
        <v>66</v>
      </c>
      <c r="D55" s="72">
        <v>41306</v>
      </c>
      <c r="E55" s="73"/>
      <c r="F55" s="10" t="s">
        <v>115</v>
      </c>
      <c r="G55" s="61">
        <v>4000</v>
      </c>
      <c r="H55" s="61"/>
      <c r="I55" s="61">
        <v>4000</v>
      </c>
      <c r="J55" s="74"/>
    </row>
    <row r="56" spans="2:10" outlineLevel="2" x14ac:dyDescent="0.2">
      <c r="B56" s="71"/>
      <c r="C56" s="35" t="s">
        <v>66</v>
      </c>
      <c r="D56" s="72">
        <v>41395</v>
      </c>
      <c r="E56" s="73"/>
      <c r="F56" s="10" t="s">
        <v>137</v>
      </c>
      <c r="G56" s="61">
        <v>7500</v>
      </c>
      <c r="H56" s="61"/>
      <c r="I56" s="61">
        <v>7500</v>
      </c>
      <c r="J56" s="74"/>
    </row>
    <row r="57" spans="2:10" ht="14.25" outlineLevel="1" x14ac:dyDescent="0.2">
      <c r="B57" s="75"/>
      <c r="C57" s="76" t="s">
        <v>213</v>
      </c>
      <c r="D57" s="77"/>
      <c r="E57" s="78"/>
      <c r="F57" s="79"/>
      <c r="G57" s="80"/>
      <c r="H57" s="89">
        <f>SUBTOTAL(9,H55:H56)</f>
        <v>0</v>
      </c>
      <c r="I57" s="89">
        <f>SUBTOTAL(9,I55:I56)</f>
        <v>11500</v>
      </c>
      <c r="J57" s="81" t="s">
        <v>67</v>
      </c>
    </row>
    <row r="58" spans="2:10" outlineLevel="2" x14ac:dyDescent="0.2">
      <c r="B58" s="71"/>
      <c r="C58" s="35" t="s">
        <v>40</v>
      </c>
      <c r="D58" s="72">
        <v>41275</v>
      </c>
      <c r="E58" s="73"/>
      <c r="F58" s="10" t="s">
        <v>100</v>
      </c>
      <c r="G58" s="61">
        <v>35000</v>
      </c>
      <c r="H58" s="61"/>
      <c r="I58" s="61">
        <v>35000</v>
      </c>
      <c r="J58" s="74"/>
    </row>
    <row r="59" spans="2:10" outlineLevel="2" x14ac:dyDescent="0.2">
      <c r="B59" s="71"/>
      <c r="C59" s="35" t="s">
        <v>40</v>
      </c>
      <c r="D59" s="72">
        <v>41306</v>
      </c>
      <c r="E59" s="73"/>
      <c r="F59" s="10" t="s">
        <v>110</v>
      </c>
      <c r="G59" s="61">
        <v>21000</v>
      </c>
      <c r="H59" s="61"/>
      <c r="I59" s="61">
        <v>21000</v>
      </c>
      <c r="J59" s="74"/>
    </row>
    <row r="60" spans="2:10" outlineLevel="2" x14ac:dyDescent="0.2">
      <c r="B60" s="71">
        <v>64</v>
      </c>
      <c r="C60" s="35" t="s">
        <v>40</v>
      </c>
      <c r="D60" s="72">
        <v>41479</v>
      </c>
      <c r="E60" s="73" t="s">
        <v>163</v>
      </c>
      <c r="F60" s="10" t="s">
        <v>197</v>
      </c>
      <c r="G60" s="61">
        <v>1200</v>
      </c>
      <c r="H60" s="61"/>
      <c r="I60" s="61">
        <v>1200</v>
      </c>
      <c r="J60" s="74"/>
    </row>
    <row r="61" spans="2:10" ht="14.25" outlineLevel="1" x14ac:dyDescent="0.2">
      <c r="B61" s="75"/>
      <c r="C61" s="76" t="s">
        <v>214</v>
      </c>
      <c r="D61" s="77"/>
      <c r="E61" s="78"/>
      <c r="F61" s="79"/>
      <c r="G61" s="80"/>
      <c r="H61" s="89">
        <f>SUBTOTAL(9,H58:H60)</f>
        <v>0</v>
      </c>
      <c r="I61" s="89">
        <f>SUBTOTAL(9,I58:I60)</f>
        <v>57200</v>
      </c>
      <c r="J61" s="81" t="s">
        <v>41</v>
      </c>
    </row>
    <row r="62" spans="2:10" outlineLevel="2" x14ac:dyDescent="0.2">
      <c r="B62" s="71"/>
      <c r="C62" s="35" t="s">
        <v>47</v>
      </c>
      <c r="D62" s="72">
        <v>41275</v>
      </c>
      <c r="E62" s="73"/>
      <c r="F62" s="10" t="s">
        <v>101</v>
      </c>
      <c r="G62" s="61">
        <v>4576</v>
      </c>
      <c r="H62" s="61"/>
      <c r="I62" s="61">
        <v>4576</v>
      </c>
      <c r="J62" s="74"/>
    </row>
    <row r="63" spans="2:10" outlineLevel="2" x14ac:dyDescent="0.2">
      <c r="B63" s="71"/>
      <c r="C63" s="35" t="s">
        <v>47</v>
      </c>
      <c r="D63" s="72">
        <v>41275</v>
      </c>
      <c r="E63" s="73"/>
      <c r="F63" s="10" t="s">
        <v>103</v>
      </c>
      <c r="G63" s="61">
        <v>1150</v>
      </c>
      <c r="H63" s="61"/>
      <c r="I63" s="61">
        <v>1150</v>
      </c>
      <c r="J63" s="74"/>
    </row>
    <row r="64" spans="2:10" outlineLevel="2" x14ac:dyDescent="0.2">
      <c r="B64" s="71"/>
      <c r="C64" s="35" t="s">
        <v>47</v>
      </c>
      <c r="D64" s="72">
        <v>41306</v>
      </c>
      <c r="E64" s="73"/>
      <c r="F64" s="10" t="s">
        <v>117</v>
      </c>
      <c r="G64" s="61">
        <v>490</v>
      </c>
      <c r="H64" s="61"/>
      <c r="I64" s="61">
        <v>490</v>
      </c>
      <c r="J64" s="74"/>
    </row>
    <row r="65" spans="2:10" outlineLevel="2" x14ac:dyDescent="0.2">
      <c r="B65" s="71"/>
      <c r="C65" s="35" t="s">
        <v>47</v>
      </c>
      <c r="D65" s="72">
        <v>41395</v>
      </c>
      <c r="E65" s="73"/>
      <c r="F65" s="10" t="s">
        <v>135</v>
      </c>
      <c r="G65" s="61">
        <v>620</v>
      </c>
      <c r="H65" s="61"/>
      <c r="I65" s="61">
        <v>620</v>
      </c>
      <c r="J65" s="74"/>
    </row>
    <row r="66" spans="2:10" outlineLevel="2" x14ac:dyDescent="0.2">
      <c r="B66" s="71">
        <v>7</v>
      </c>
      <c r="C66" s="35" t="s">
        <v>47</v>
      </c>
      <c r="D66" s="72">
        <v>41432</v>
      </c>
      <c r="E66" s="73" t="s">
        <v>148</v>
      </c>
      <c r="F66" s="10" t="s">
        <v>149</v>
      </c>
      <c r="G66" s="61">
        <v>100</v>
      </c>
      <c r="H66" s="61"/>
      <c r="I66" s="61">
        <v>100</v>
      </c>
      <c r="J66" s="74"/>
    </row>
    <row r="67" spans="2:10" outlineLevel="2" x14ac:dyDescent="0.2">
      <c r="B67" s="71">
        <v>9</v>
      </c>
      <c r="C67" s="35" t="s">
        <v>47</v>
      </c>
      <c r="D67" s="72">
        <v>41433</v>
      </c>
      <c r="E67" s="73" t="s">
        <v>152</v>
      </c>
      <c r="F67" s="10" t="s">
        <v>149</v>
      </c>
      <c r="G67" s="61">
        <v>250</v>
      </c>
      <c r="H67" s="61"/>
      <c r="I67" s="61">
        <v>250</v>
      </c>
      <c r="J67" s="74"/>
    </row>
    <row r="68" spans="2:10" outlineLevel="2" x14ac:dyDescent="0.2">
      <c r="B68" s="71">
        <v>14</v>
      </c>
      <c r="C68" s="35" t="s">
        <v>47</v>
      </c>
      <c r="D68" s="72">
        <v>41440</v>
      </c>
      <c r="E68" s="73" t="s">
        <v>148</v>
      </c>
      <c r="F68" s="10" t="s">
        <v>149</v>
      </c>
      <c r="G68" s="61">
        <v>100</v>
      </c>
      <c r="H68" s="61"/>
      <c r="I68" s="61">
        <v>100</v>
      </c>
      <c r="J68" s="74"/>
    </row>
    <row r="69" spans="2:10" outlineLevel="2" x14ac:dyDescent="0.2">
      <c r="B69" s="71">
        <v>28</v>
      </c>
      <c r="C69" s="35" t="s">
        <v>47</v>
      </c>
      <c r="D69" s="72">
        <v>41457</v>
      </c>
      <c r="E69" s="73" t="s">
        <v>148</v>
      </c>
      <c r="F69" s="10" t="s">
        <v>149</v>
      </c>
      <c r="G69" s="61">
        <v>100</v>
      </c>
      <c r="H69" s="61"/>
      <c r="I69" s="61">
        <v>100</v>
      </c>
      <c r="J69" s="74"/>
    </row>
    <row r="70" spans="2:10" outlineLevel="2" x14ac:dyDescent="0.2">
      <c r="B70" s="71">
        <v>43</v>
      </c>
      <c r="C70" s="35" t="s">
        <v>47</v>
      </c>
      <c r="D70" s="72">
        <v>41470</v>
      </c>
      <c r="E70" s="73" t="s">
        <v>180</v>
      </c>
      <c r="F70" s="10" t="s">
        <v>149</v>
      </c>
      <c r="G70" s="61">
        <v>150</v>
      </c>
      <c r="H70" s="61"/>
      <c r="I70" s="61">
        <v>150</v>
      </c>
      <c r="J70" s="74"/>
    </row>
    <row r="71" spans="2:10" outlineLevel="2" x14ac:dyDescent="0.2">
      <c r="B71" s="71">
        <v>48</v>
      </c>
      <c r="C71" s="35" t="s">
        <v>47</v>
      </c>
      <c r="D71" s="72">
        <v>41470</v>
      </c>
      <c r="E71" s="73" t="s">
        <v>148</v>
      </c>
      <c r="F71" s="10" t="s">
        <v>149</v>
      </c>
      <c r="G71" s="61">
        <v>100</v>
      </c>
      <c r="H71" s="61"/>
      <c r="I71" s="61">
        <v>100</v>
      </c>
      <c r="J71" s="74"/>
    </row>
    <row r="72" spans="2:10" outlineLevel="2" x14ac:dyDescent="0.2">
      <c r="B72" s="71">
        <v>53</v>
      </c>
      <c r="C72" s="35" t="s">
        <v>47</v>
      </c>
      <c r="D72" s="72">
        <v>41474</v>
      </c>
      <c r="E72" s="73" t="s">
        <v>186</v>
      </c>
      <c r="F72" s="10" t="s">
        <v>149</v>
      </c>
      <c r="G72" s="61">
        <v>200</v>
      </c>
      <c r="H72" s="61"/>
      <c r="I72" s="61">
        <v>200</v>
      </c>
      <c r="J72" s="74"/>
    </row>
    <row r="73" spans="2:10" ht="14.25" outlineLevel="1" x14ac:dyDescent="0.2">
      <c r="B73" s="75"/>
      <c r="C73" s="76" t="s">
        <v>215</v>
      </c>
      <c r="D73" s="77"/>
      <c r="E73" s="78"/>
      <c r="F73" s="79"/>
      <c r="G73" s="80"/>
      <c r="H73" s="89">
        <f>SUBTOTAL(9,H62:H72)</f>
        <v>0</v>
      </c>
      <c r="I73" s="89">
        <f>SUBTOTAL(9,I62:I72)</f>
        <v>7836</v>
      </c>
      <c r="J73" s="81" t="s">
        <v>48</v>
      </c>
    </row>
    <row r="74" spans="2:10" outlineLevel="2" x14ac:dyDescent="0.2">
      <c r="B74" s="71"/>
      <c r="C74" s="35" t="s">
        <v>33</v>
      </c>
      <c r="D74" s="72">
        <v>41365</v>
      </c>
      <c r="E74" s="73"/>
      <c r="F74" s="10" t="s">
        <v>126</v>
      </c>
      <c r="G74" s="61">
        <v>1088</v>
      </c>
      <c r="H74" s="61"/>
      <c r="I74" s="61">
        <v>1088</v>
      </c>
      <c r="J74" s="74"/>
    </row>
    <row r="75" spans="2:10" outlineLevel="2" x14ac:dyDescent="0.2">
      <c r="B75" s="71">
        <v>32</v>
      </c>
      <c r="C75" s="35" t="s">
        <v>33</v>
      </c>
      <c r="D75" s="72">
        <v>41462</v>
      </c>
      <c r="E75" s="73" t="s">
        <v>168</v>
      </c>
      <c r="F75" s="10" t="s">
        <v>169</v>
      </c>
      <c r="G75" s="61">
        <v>50</v>
      </c>
      <c r="H75" s="61"/>
      <c r="I75" s="61">
        <v>50</v>
      </c>
      <c r="J75" s="74"/>
    </row>
    <row r="76" spans="2:10" outlineLevel="2" x14ac:dyDescent="0.2">
      <c r="B76" s="71">
        <v>36</v>
      </c>
      <c r="C76" s="35" t="s">
        <v>33</v>
      </c>
      <c r="D76" s="72">
        <v>41464</v>
      </c>
      <c r="E76" s="73" t="s">
        <v>172</v>
      </c>
      <c r="F76" s="10" t="s">
        <v>173</v>
      </c>
      <c r="G76" s="61">
        <v>69.5</v>
      </c>
      <c r="H76" s="61"/>
      <c r="I76" s="61">
        <v>69.5</v>
      </c>
      <c r="J76" s="74"/>
    </row>
    <row r="77" spans="2:10" outlineLevel="2" x14ac:dyDescent="0.2">
      <c r="B77" s="71">
        <v>40</v>
      </c>
      <c r="C77" s="35" t="s">
        <v>33</v>
      </c>
      <c r="D77" s="72">
        <v>41466</v>
      </c>
      <c r="E77" s="73" t="s">
        <v>172</v>
      </c>
      <c r="F77" s="10" t="s">
        <v>173</v>
      </c>
      <c r="G77" s="61">
        <v>62.75</v>
      </c>
      <c r="H77" s="61"/>
      <c r="I77" s="61">
        <v>62.75</v>
      </c>
      <c r="J77" s="74"/>
    </row>
    <row r="78" spans="2:10" outlineLevel="2" x14ac:dyDescent="0.2">
      <c r="B78" s="71">
        <v>42</v>
      </c>
      <c r="C78" s="35" t="s">
        <v>33</v>
      </c>
      <c r="D78" s="72">
        <v>41470</v>
      </c>
      <c r="E78" s="73" t="s">
        <v>179</v>
      </c>
      <c r="F78" s="10" t="s">
        <v>173</v>
      </c>
      <c r="G78" s="61">
        <v>33.75</v>
      </c>
      <c r="H78" s="61"/>
      <c r="I78" s="61">
        <v>33.75</v>
      </c>
      <c r="J78" s="74"/>
    </row>
    <row r="79" spans="2:10" outlineLevel="2" x14ac:dyDescent="0.2">
      <c r="B79" s="71">
        <v>44</v>
      </c>
      <c r="C79" s="35" t="s">
        <v>33</v>
      </c>
      <c r="D79" s="72">
        <v>41470</v>
      </c>
      <c r="E79" s="73" t="s">
        <v>181</v>
      </c>
      <c r="F79" s="10" t="s">
        <v>169</v>
      </c>
      <c r="G79" s="61">
        <v>30</v>
      </c>
      <c r="H79" s="61"/>
      <c r="I79" s="61">
        <v>30</v>
      </c>
      <c r="J79" s="74"/>
    </row>
    <row r="80" spans="2:10" outlineLevel="2" x14ac:dyDescent="0.2">
      <c r="B80" s="71">
        <v>46</v>
      </c>
      <c r="C80" s="35" t="s">
        <v>33</v>
      </c>
      <c r="D80" s="72">
        <v>41470</v>
      </c>
      <c r="E80" s="73" t="s">
        <v>172</v>
      </c>
      <c r="F80" s="10" t="s">
        <v>173</v>
      </c>
      <c r="G80" s="61">
        <v>118.55</v>
      </c>
      <c r="H80" s="61"/>
      <c r="I80" s="61">
        <v>118.55</v>
      </c>
      <c r="J80" s="74"/>
    </row>
    <row r="81" spans="2:10" outlineLevel="2" x14ac:dyDescent="0.2">
      <c r="B81" s="71">
        <v>52</v>
      </c>
      <c r="C81" s="35" t="s">
        <v>33</v>
      </c>
      <c r="D81" s="72">
        <v>41474</v>
      </c>
      <c r="E81" s="73" t="s">
        <v>184</v>
      </c>
      <c r="F81" s="10" t="s">
        <v>185</v>
      </c>
      <c r="G81" s="61">
        <v>500</v>
      </c>
      <c r="H81" s="61"/>
      <c r="I81" s="61">
        <v>500</v>
      </c>
      <c r="J81" s="74"/>
    </row>
    <row r="82" spans="2:10" ht="14.25" outlineLevel="1" x14ac:dyDescent="0.2">
      <c r="B82" s="75"/>
      <c r="C82" s="76" t="s">
        <v>216</v>
      </c>
      <c r="D82" s="77"/>
      <c r="E82" s="78"/>
      <c r="F82" s="79"/>
      <c r="G82" s="80"/>
      <c r="H82" s="89">
        <f>SUBTOTAL(9,H74:H81)</f>
        <v>0</v>
      </c>
      <c r="I82" s="89">
        <f>SUBTOTAL(9,I74:I81)</f>
        <v>1952.55</v>
      </c>
      <c r="J82" s="81" t="s">
        <v>34</v>
      </c>
    </row>
    <row r="83" spans="2:10" outlineLevel="2" x14ac:dyDescent="0.2">
      <c r="B83" s="71"/>
      <c r="C83" s="35" t="s">
        <v>51</v>
      </c>
      <c r="D83" s="72">
        <v>41275</v>
      </c>
      <c r="E83" s="73"/>
      <c r="F83" s="10" t="s">
        <v>92</v>
      </c>
      <c r="G83" s="61">
        <v>2700</v>
      </c>
      <c r="H83" s="61"/>
      <c r="I83" s="61">
        <v>2700</v>
      </c>
      <c r="J83" s="74"/>
    </row>
    <row r="84" spans="2:10" outlineLevel="2" x14ac:dyDescent="0.2">
      <c r="B84" s="71"/>
      <c r="C84" s="35" t="s">
        <v>51</v>
      </c>
      <c r="D84" s="72">
        <v>41275</v>
      </c>
      <c r="E84" s="73"/>
      <c r="F84" s="10" t="s">
        <v>94</v>
      </c>
      <c r="G84" s="61">
        <v>5925.15</v>
      </c>
      <c r="H84" s="61"/>
      <c r="I84" s="61">
        <v>5925.15</v>
      </c>
      <c r="J84" s="74"/>
    </row>
    <row r="85" spans="2:10" outlineLevel="2" x14ac:dyDescent="0.2">
      <c r="B85" s="71"/>
      <c r="C85" s="35" t="s">
        <v>51</v>
      </c>
      <c r="D85" s="72">
        <v>41306</v>
      </c>
      <c r="E85" s="73"/>
      <c r="F85" s="10" t="s">
        <v>94</v>
      </c>
      <c r="G85" s="61">
        <v>6389.89</v>
      </c>
      <c r="H85" s="61"/>
      <c r="I85" s="61">
        <v>6389.89</v>
      </c>
      <c r="J85" s="74"/>
    </row>
    <row r="86" spans="2:10" outlineLevel="2" x14ac:dyDescent="0.2">
      <c r="B86" s="71"/>
      <c r="C86" s="35" t="s">
        <v>51</v>
      </c>
      <c r="D86" s="72">
        <v>41306</v>
      </c>
      <c r="E86" s="73"/>
      <c r="F86" s="10" t="s">
        <v>116</v>
      </c>
      <c r="G86" s="61">
        <v>1000</v>
      </c>
      <c r="H86" s="61"/>
      <c r="I86" s="61">
        <v>1000</v>
      </c>
      <c r="J86" s="74"/>
    </row>
    <row r="87" spans="2:10" outlineLevel="2" x14ac:dyDescent="0.2">
      <c r="B87" s="71"/>
      <c r="C87" s="35" t="s">
        <v>51</v>
      </c>
      <c r="D87" s="72">
        <v>41334</v>
      </c>
      <c r="E87" s="73"/>
      <c r="F87" s="10" t="s">
        <v>94</v>
      </c>
      <c r="G87" s="61">
        <v>4092.5</v>
      </c>
      <c r="H87" s="61"/>
      <c r="I87" s="61">
        <v>4092.5</v>
      </c>
      <c r="J87" s="74"/>
    </row>
    <row r="88" spans="2:10" outlineLevel="2" x14ac:dyDescent="0.2">
      <c r="B88" s="71"/>
      <c r="C88" s="35" t="s">
        <v>51</v>
      </c>
      <c r="D88" s="72">
        <v>41334</v>
      </c>
      <c r="E88" s="73"/>
      <c r="F88" s="10" t="s">
        <v>119</v>
      </c>
      <c r="G88" s="61">
        <v>4000</v>
      </c>
      <c r="H88" s="61"/>
      <c r="I88" s="61">
        <v>4000</v>
      </c>
      <c r="J88" s="74"/>
    </row>
    <row r="89" spans="2:10" outlineLevel="2" x14ac:dyDescent="0.2">
      <c r="B89" s="71"/>
      <c r="C89" s="35" t="s">
        <v>51</v>
      </c>
      <c r="D89" s="72">
        <v>41365</v>
      </c>
      <c r="E89" s="73"/>
      <c r="F89" s="10" t="s">
        <v>94</v>
      </c>
      <c r="G89" s="61">
        <v>300</v>
      </c>
      <c r="H89" s="61"/>
      <c r="I89" s="61">
        <v>300</v>
      </c>
      <c r="J89" s="74"/>
    </row>
    <row r="90" spans="2:10" ht="14.25" outlineLevel="1" x14ac:dyDescent="0.2">
      <c r="B90" s="75"/>
      <c r="C90" s="76" t="s">
        <v>217</v>
      </c>
      <c r="D90" s="77"/>
      <c r="E90" s="78"/>
      <c r="F90" s="79"/>
      <c r="G90" s="80"/>
      <c r="H90" s="89">
        <f>SUBTOTAL(9,H83:H89)</f>
        <v>0</v>
      </c>
      <c r="I90" s="89">
        <f>SUBTOTAL(9,I83:I89)</f>
        <v>24407.54</v>
      </c>
      <c r="J90" s="81" t="s">
        <v>52</v>
      </c>
    </row>
    <row r="91" spans="2:10" outlineLevel="2" x14ac:dyDescent="0.2">
      <c r="B91" s="71"/>
      <c r="C91" s="35" t="s">
        <v>49</v>
      </c>
      <c r="D91" s="72">
        <v>41365</v>
      </c>
      <c r="E91" s="73"/>
      <c r="F91" s="10" t="s">
        <v>129</v>
      </c>
      <c r="G91" s="61">
        <v>2500</v>
      </c>
      <c r="H91" s="61"/>
      <c r="I91" s="61">
        <v>2500</v>
      </c>
      <c r="J91" s="74"/>
    </row>
    <row r="92" spans="2:10" outlineLevel="2" x14ac:dyDescent="0.2">
      <c r="B92" s="71"/>
      <c r="C92" s="35" t="s">
        <v>49</v>
      </c>
      <c r="D92" s="72">
        <v>41395</v>
      </c>
      <c r="E92" s="73"/>
      <c r="F92" s="10" t="s">
        <v>136</v>
      </c>
      <c r="G92" s="61">
        <v>2500</v>
      </c>
      <c r="H92" s="61"/>
      <c r="I92" s="61">
        <v>2500</v>
      </c>
      <c r="J92" s="74"/>
    </row>
    <row r="93" spans="2:10" outlineLevel="2" x14ac:dyDescent="0.2">
      <c r="B93" s="71">
        <v>27</v>
      </c>
      <c r="C93" s="35" t="s">
        <v>49</v>
      </c>
      <c r="D93" s="72">
        <v>41457</v>
      </c>
      <c r="E93" s="73" t="s">
        <v>163</v>
      </c>
      <c r="F93" s="10" t="s">
        <v>164</v>
      </c>
      <c r="G93" s="61">
        <v>1000</v>
      </c>
      <c r="H93" s="61"/>
      <c r="I93" s="61">
        <v>1000</v>
      </c>
      <c r="J93" s="74"/>
    </row>
    <row r="94" spans="2:10" outlineLevel="2" x14ac:dyDescent="0.2">
      <c r="B94" s="71">
        <v>63</v>
      </c>
      <c r="C94" s="35" t="s">
        <v>49</v>
      </c>
      <c r="D94" s="72">
        <v>41479</v>
      </c>
      <c r="E94" s="73" t="s">
        <v>163</v>
      </c>
      <c r="F94" s="10" t="s">
        <v>196</v>
      </c>
      <c r="G94" s="61">
        <v>600</v>
      </c>
      <c r="H94" s="61"/>
      <c r="I94" s="61">
        <v>600</v>
      </c>
      <c r="J94" s="74"/>
    </row>
    <row r="95" spans="2:10" ht="14.25" outlineLevel="1" x14ac:dyDescent="0.2">
      <c r="B95" s="75"/>
      <c r="C95" s="76" t="s">
        <v>218</v>
      </c>
      <c r="D95" s="77"/>
      <c r="E95" s="78"/>
      <c r="F95" s="79"/>
      <c r="G95" s="80"/>
      <c r="H95" s="89">
        <f>SUBTOTAL(9,H91:H94)</f>
        <v>0</v>
      </c>
      <c r="I95" s="89">
        <f>SUBTOTAL(9,I91:I94)</f>
        <v>6600</v>
      </c>
      <c r="J95" s="81" t="s">
        <v>50</v>
      </c>
    </row>
    <row r="96" spans="2:10" outlineLevel="2" x14ac:dyDescent="0.2">
      <c r="B96" s="71"/>
      <c r="C96" s="35" t="s">
        <v>53</v>
      </c>
      <c r="D96" s="72">
        <v>41275</v>
      </c>
      <c r="E96" s="73"/>
      <c r="F96" s="10" t="s">
        <v>104</v>
      </c>
      <c r="G96" s="61">
        <v>1000</v>
      </c>
      <c r="H96" s="61"/>
      <c r="I96" s="61">
        <v>1000</v>
      </c>
      <c r="J96" s="74"/>
    </row>
    <row r="97" spans="2:10" outlineLevel="2" x14ac:dyDescent="0.2">
      <c r="B97" s="71"/>
      <c r="C97" s="35" t="s">
        <v>53</v>
      </c>
      <c r="D97" s="72">
        <v>41306</v>
      </c>
      <c r="E97" s="73"/>
      <c r="F97" s="10" t="s">
        <v>114</v>
      </c>
      <c r="G97" s="61">
        <v>9500</v>
      </c>
      <c r="H97" s="61"/>
      <c r="I97" s="61">
        <v>9500</v>
      </c>
      <c r="J97" s="74"/>
    </row>
    <row r="98" spans="2:10" outlineLevel="2" x14ac:dyDescent="0.2">
      <c r="B98" s="71"/>
      <c r="C98" s="35" t="s">
        <v>53</v>
      </c>
      <c r="D98" s="72">
        <v>41334</v>
      </c>
      <c r="E98" s="73"/>
      <c r="F98" s="10" t="s">
        <v>123</v>
      </c>
      <c r="G98" s="61">
        <v>1000</v>
      </c>
      <c r="H98" s="61"/>
      <c r="I98" s="61">
        <v>1000</v>
      </c>
      <c r="J98" s="74"/>
    </row>
    <row r="99" spans="2:10" outlineLevel="2" x14ac:dyDescent="0.2">
      <c r="B99" s="71">
        <v>20</v>
      </c>
      <c r="C99" s="35" t="s">
        <v>53</v>
      </c>
      <c r="D99" s="72">
        <v>41450</v>
      </c>
      <c r="E99" s="73" t="s">
        <v>158</v>
      </c>
      <c r="F99" s="10" t="s">
        <v>159</v>
      </c>
      <c r="G99" s="61">
        <v>1200</v>
      </c>
      <c r="H99" s="61"/>
      <c r="I99" s="61">
        <v>1200</v>
      </c>
      <c r="J99" s="74"/>
    </row>
    <row r="100" spans="2:10" outlineLevel="2" x14ac:dyDescent="0.2">
      <c r="B100" s="71">
        <v>62</v>
      </c>
      <c r="C100" s="35" t="s">
        <v>53</v>
      </c>
      <c r="D100" s="72">
        <v>41478</v>
      </c>
      <c r="E100" s="73" t="s">
        <v>158</v>
      </c>
      <c r="F100" s="10" t="s">
        <v>159</v>
      </c>
      <c r="G100" s="61">
        <v>200</v>
      </c>
      <c r="H100" s="61"/>
      <c r="I100" s="61">
        <v>200</v>
      </c>
      <c r="J100" s="74"/>
    </row>
    <row r="101" spans="2:10" ht="14.25" outlineLevel="1" x14ac:dyDescent="0.2">
      <c r="B101" s="75"/>
      <c r="C101" s="76" t="s">
        <v>219</v>
      </c>
      <c r="D101" s="77"/>
      <c r="E101" s="78"/>
      <c r="F101" s="79"/>
      <c r="G101" s="80"/>
      <c r="H101" s="89">
        <f>SUBTOTAL(9,H96:H100)</f>
        <v>0</v>
      </c>
      <c r="I101" s="89">
        <f>SUBTOTAL(9,I96:I100)</f>
        <v>12900</v>
      </c>
      <c r="J101" s="81" t="s">
        <v>54</v>
      </c>
    </row>
    <row r="102" spans="2:10" outlineLevel="2" x14ac:dyDescent="0.2">
      <c r="B102" s="71">
        <v>22</v>
      </c>
      <c r="C102" s="35" t="s">
        <v>37</v>
      </c>
      <c r="D102" s="72">
        <v>41450</v>
      </c>
      <c r="E102" s="73" t="s">
        <v>160</v>
      </c>
      <c r="F102" s="10" t="s">
        <v>38</v>
      </c>
      <c r="G102" s="61">
        <v>137.84</v>
      </c>
      <c r="H102" s="61">
        <v>22.06</v>
      </c>
      <c r="I102" s="61">
        <v>159.9</v>
      </c>
      <c r="J102" s="74"/>
    </row>
    <row r="103" spans="2:10" outlineLevel="2" x14ac:dyDescent="0.2">
      <c r="B103" s="71">
        <v>31</v>
      </c>
      <c r="C103" s="35" t="s">
        <v>37</v>
      </c>
      <c r="D103" s="72">
        <v>41461</v>
      </c>
      <c r="E103" s="73" t="s">
        <v>167</v>
      </c>
      <c r="F103" s="10" t="s">
        <v>38</v>
      </c>
      <c r="G103" s="61">
        <v>151.63793103448276</v>
      </c>
      <c r="H103" s="61">
        <v>24.262068965517244</v>
      </c>
      <c r="I103" s="61">
        <v>175.9</v>
      </c>
      <c r="J103" s="74"/>
    </row>
    <row r="104" spans="2:10" ht="14.25" outlineLevel="1" x14ac:dyDescent="0.2">
      <c r="B104" s="75"/>
      <c r="C104" s="76" t="s">
        <v>220</v>
      </c>
      <c r="D104" s="77"/>
      <c r="E104" s="78"/>
      <c r="F104" s="79"/>
      <c r="G104" s="80"/>
      <c r="H104" s="89">
        <f>SUBTOTAL(9,H102:H103)</f>
        <v>46.322068965517246</v>
      </c>
      <c r="I104" s="89">
        <f>SUBTOTAL(9,I102:I103)</f>
        <v>335.8</v>
      </c>
      <c r="J104" s="81" t="s">
        <v>38</v>
      </c>
    </row>
    <row r="105" spans="2:10" outlineLevel="2" x14ac:dyDescent="0.2">
      <c r="B105" s="71"/>
      <c r="C105" s="35" t="s">
        <v>55</v>
      </c>
      <c r="D105" s="72">
        <v>41275</v>
      </c>
      <c r="E105" s="73"/>
      <c r="F105" s="10" t="s">
        <v>91</v>
      </c>
      <c r="G105" s="61">
        <v>8500</v>
      </c>
      <c r="H105" s="61"/>
      <c r="I105" s="61">
        <v>8500</v>
      </c>
      <c r="J105" s="74"/>
    </row>
    <row r="106" spans="2:10" outlineLevel="2" x14ac:dyDescent="0.2">
      <c r="B106" s="71"/>
      <c r="C106" s="35" t="s">
        <v>55</v>
      </c>
      <c r="D106" s="72">
        <v>41365</v>
      </c>
      <c r="E106" s="73"/>
      <c r="F106" s="10" t="s">
        <v>91</v>
      </c>
      <c r="G106" s="61">
        <v>750</v>
      </c>
      <c r="H106" s="61"/>
      <c r="I106" s="61">
        <v>750</v>
      </c>
      <c r="J106" s="74"/>
    </row>
    <row r="107" spans="2:10" outlineLevel="2" x14ac:dyDescent="0.2">
      <c r="B107" s="71">
        <v>5</v>
      </c>
      <c r="C107" s="35" t="s">
        <v>55</v>
      </c>
      <c r="D107" s="72">
        <v>41430</v>
      </c>
      <c r="E107" s="73" t="s">
        <v>144</v>
      </c>
      <c r="F107" s="10" t="s">
        <v>145</v>
      </c>
      <c r="G107" s="61">
        <v>350</v>
      </c>
      <c r="H107" s="61"/>
      <c r="I107" s="61">
        <v>350</v>
      </c>
      <c r="J107" s="74"/>
    </row>
    <row r="108" spans="2:10" outlineLevel="2" x14ac:dyDescent="0.2">
      <c r="B108" s="71">
        <v>38</v>
      </c>
      <c r="C108" s="35" t="s">
        <v>55</v>
      </c>
      <c r="D108" s="72">
        <v>41465</v>
      </c>
      <c r="E108" s="73" t="s">
        <v>174</v>
      </c>
      <c r="F108" s="10" t="s">
        <v>175</v>
      </c>
      <c r="G108" s="61">
        <v>43.96</v>
      </c>
      <c r="H108" s="61">
        <v>7.04</v>
      </c>
      <c r="I108" s="61">
        <v>51</v>
      </c>
      <c r="J108" s="74"/>
    </row>
    <row r="109" spans="2:10" outlineLevel="2" x14ac:dyDescent="0.2">
      <c r="B109" s="71">
        <v>39</v>
      </c>
      <c r="C109" s="35" t="s">
        <v>55</v>
      </c>
      <c r="D109" s="72">
        <v>41466</v>
      </c>
      <c r="E109" s="73" t="s">
        <v>176</v>
      </c>
      <c r="F109" s="10" t="s">
        <v>177</v>
      </c>
      <c r="G109" s="61">
        <v>84.48</v>
      </c>
      <c r="H109" s="61">
        <v>13.52</v>
      </c>
      <c r="I109" s="61">
        <v>98</v>
      </c>
      <c r="J109" s="74"/>
    </row>
    <row r="110" spans="2:10" outlineLevel="2" x14ac:dyDescent="0.2">
      <c r="B110" s="71">
        <v>41</v>
      </c>
      <c r="C110" s="35" t="s">
        <v>55</v>
      </c>
      <c r="D110" s="72">
        <v>41467</v>
      </c>
      <c r="E110" s="73" t="s">
        <v>174</v>
      </c>
      <c r="F110" s="10" t="s">
        <v>178</v>
      </c>
      <c r="G110" s="61">
        <v>264.64999999999998</v>
      </c>
      <c r="H110" s="61">
        <v>42.35</v>
      </c>
      <c r="I110" s="61">
        <v>307</v>
      </c>
      <c r="J110" s="74"/>
    </row>
    <row r="111" spans="2:10" outlineLevel="2" x14ac:dyDescent="0.2">
      <c r="B111" s="71">
        <v>50</v>
      </c>
      <c r="C111" s="35" t="s">
        <v>55</v>
      </c>
      <c r="D111" s="72">
        <v>41471</v>
      </c>
      <c r="E111" s="73" t="s">
        <v>163</v>
      </c>
      <c r="F111" s="10" t="s">
        <v>182</v>
      </c>
      <c r="G111" s="61">
        <v>200</v>
      </c>
      <c r="H111" s="61"/>
      <c r="I111" s="61">
        <v>200</v>
      </c>
      <c r="J111" s="74"/>
    </row>
    <row r="112" spans="2:10" outlineLevel="2" x14ac:dyDescent="0.2">
      <c r="B112" s="71">
        <v>51</v>
      </c>
      <c r="C112" s="35" t="s">
        <v>55</v>
      </c>
      <c r="D112" s="72">
        <v>41471</v>
      </c>
      <c r="E112" s="73" t="s">
        <v>163</v>
      </c>
      <c r="F112" s="10" t="s">
        <v>183</v>
      </c>
      <c r="G112" s="61">
        <v>300</v>
      </c>
      <c r="H112" s="61"/>
      <c r="I112" s="61">
        <v>300</v>
      </c>
      <c r="J112" s="74"/>
    </row>
    <row r="113" spans="2:11" outlineLevel="2" x14ac:dyDescent="0.2">
      <c r="B113" s="71">
        <v>54</v>
      </c>
      <c r="C113" s="35" t="s">
        <v>55</v>
      </c>
      <c r="D113" s="72">
        <v>41474</v>
      </c>
      <c r="E113" s="73" t="s">
        <v>174</v>
      </c>
      <c r="F113" s="10" t="s">
        <v>187</v>
      </c>
      <c r="G113" s="61">
        <v>256.45999999999998</v>
      </c>
      <c r="H113" s="61">
        <v>41.04</v>
      </c>
      <c r="I113" s="61">
        <v>297.5</v>
      </c>
      <c r="J113" s="74"/>
    </row>
    <row r="114" spans="2:11" outlineLevel="2" x14ac:dyDescent="0.2">
      <c r="B114" s="71">
        <v>55</v>
      </c>
      <c r="C114" s="35" t="s">
        <v>55</v>
      </c>
      <c r="D114" s="72">
        <v>41475</v>
      </c>
      <c r="E114" s="73" t="s">
        <v>188</v>
      </c>
      <c r="F114" s="10" t="s">
        <v>189</v>
      </c>
      <c r="G114" s="61">
        <v>250</v>
      </c>
      <c r="H114" s="61"/>
      <c r="I114" s="61">
        <v>250</v>
      </c>
      <c r="J114" s="74"/>
    </row>
    <row r="115" spans="2:11" outlineLevel="2" x14ac:dyDescent="0.2">
      <c r="B115" s="71">
        <v>57</v>
      </c>
      <c r="C115" s="35" t="s">
        <v>55</v>
      </c>
      <c r="D115" s="72">
        <v>41476</v>
      </c>
      <c r="E115" s="73" t="s">
        <v>174</v>
      </c>
      <c r="F115" s="10" t="s">
        <v>192</v>
      </c>
      <c r="G115" s="61">
        <v>231.46</v>
      </c>
      <c r="H115" s="61">
        <v>37.04</v>
      </c>
      <c r="I115" s="61">
        <v>268.5</v>
      </c>
      <c r="J115" s="74"/>
    </row>
    <row r="116" spans="2:11" outlineLevel="2" x14ac:dyDescent="0.2">
      <c r="B116" s="71">
        <v>58</v>
      </c>
      <c r="C116" s="35" t="s">
        <v>55</v>
      </c>
      <c r="D116" s="72">
        <v>41477</v>
      </c>
      <c r="E116" s="73" t="s">
        <v>163</v>
      </c>
      <c r="F116" s="10" t="s">
        <v>193</v>
      </c>
      <c r="G116" s="61">
        <v>500</v>
      </c>
      <c r="H116" s="61"/>
      <c r="I116" s="61">
        <v>500</v>
      </c>
      <c r="J116" s="74"/>
    </row>
    <row r="117" spans="2:11" outlineLevel="2" x14ac:dyDescent="0.2">
      <c r="B117" s="71">
        <v>65</v>
      </c>
      <c r="C117" s="35" t="s">
        <v>55</v>
      </c>
      <c r="D117" s="72">
        <v>41479</v>
      </c>
      <c r="E117" s="73" t="s">
        <v>174</v>
      </c>
      <c r="F117" s="10" t="s">
        <v>198</v>
      </c>
      <c r="G117" s="61">
        <v>56.46</v>
      </c>
      <c r="H117" s="61">
        <v>9.0399999999999991</v>
      </c>
      <c r="I117" s="61">
        <v>65.5</v>
      </c>
      <c r="J117" s="74"/>
    </row>
    <row r="118" spans="2:11" outlineLevel="2" x14ac:dyDescent="0.2">
      <c r="B118" s="71">
        <v>66</v>
      </c>
      <c r="C118" s="35" t="s">
        <v>55</v>
      </c>
      <c r="D118" s="72">
        <v>41479</v>
      </c>
      <c r="E118" s="73" t="s">
        <v>199</v>
      </c>
      <c r="F118" s="10" t="s">
        <v>200</v>
      </c>
      <c r="G118" s="61">
        <v>3900</v>
      </c>
      <c r="H118" s="61"/>
      <c r="I118" s="61">
        <v>3900</v>
      </c>
      <c r="J118" s="74"/>
    </row>
    <row r="119" spans="2:11" ht="14.25" outlineLevel="1" x14ac:dyDescent="0.2">
      <c r="B119" s="75"/>
      <c r="C119" s="76" t="s">
        <v>221</v>
      </c>
      <c r="D119" s="77"/>
      <c r="E119" s="78"/>
      <c r="F119" s="79"/>
      <c r="G119" s="80"/>
      <c r="H119" s="89">
        <f>SUBTOTAL(9,H105:H118)</f>
        <v>150.02999999999997</v>
      </c>
      <c r="I119" s="89">
        <f>SUBTOTAL(9,I105:I118)</f>
        <v>15837.5</v>
      </c>
      <c r="J119" s="81" t="s">
        <v>56</v>
      </c>
    </row>
    <row r="120" spans="2:11" outlineLevel="2" x14ac:dyDescent="0.2">
      <c r="B120" s="71"/>
      <c r="C120" s="35" t="s">
        <v>25</v>
      </c>
      <c r="D120" s="72">
        <v>41275</v>
      </c>
      <c r="E120" s="73"/>
      <c r="F120" s="10" t="s">
        <v>97</v>
      </c>
      <c r="G120" s="61">
        <v>26050</v>
      </c>
      <c r="H120" s="61"/>
      <c r="I120" s="61">
        <v>26050</v>
      </c>
      <c r="J120" s="74"/>
    </row>
    <row r="121" spans="2:11" outlineLevel="2" x14ac:dyDescent="0.2">
      <c r="B121" s="71"/>
      <c r="C121" s="35" t="s">
        <v>25</v>
      </c>
      <c r="D121" s="72">
        <v>41275</v>
      </c>
      <c r="E121" s="73"/>
      <c r="F121" s="10" t="s">
        <v>98</v>
      </c>
      <c r="G121" s="61">
        <v>30450</v>
      </c>
      <c r="H121" s="61"/>
      <c r="I121" s="61">
        <v>30450</v>
      </c>
      <c r="J121" s="74">
        <v>12000</v>
      </c>
      <c r="K121" s="61">
        <v>113476.54999999999</v>
      </c>
    </row>
    <row r="122" spans="2:11" outlineLevel="2" x14ac:dyDescent="0.2">
      <c r="B122" s="71"/>
      <c r="C122" s="35" t="s">
        <v>25</v>
      </c>
      <c r="D122" s="72">
        <v>41306</v>
      </c>
      <c r="E122" s="73"/>
      <c r="F122" s="10" t="s">
        <v>111</v>
      </c>
      <c r="G122" s="61">
        <v>27650</v>
      </c>
      <c r="H122" s="61"/>
      <c r="I122" s="61">
        <v>27650</v>
      </c>
      <c r="J122" s="74"/>
    </row>
    <row r="123" spans="2:11" outlineLevel="2" x14ac:dyDescent="0.2">
      <c r="B123" s="71"/>
      <c r="C123" s="35" t="s">
        <v>25</v>
      </c>
      <c r="D123" s="72">
        <v>41306</v>
      </c>
      <c r="E123" s="73"/>
      <c r="F123" s="10" t="s">
        <v>112</v>
      </c>
      <c r="G123" s="61">
        <v>26750</v>
      </c>
      <c r="H123" s="61"/>
      <c r="I123" s="61">
        <v>26750</v>
      </c>
      <c r="J123" s="74"/>
    </row>
    <row r="124" spans="2:11" outlineLevel="2" x14ac:dyDescent="0.2">
      <c r="B124" s="71"/>
      <c r="C124" s="35" t="s">
        <v>25</v>
      </c>
      <c r="D124" s="72">
        <v>41334</v>
      </c>
      <c r="E124" s="73"/>
      <c r="F124" s="10" t="s">
        <v>121</v>
      </c>
      <c r="G124" s="61">
        <v>28373</v>
      </c>
      <c r="H124" s="61"/>
      <c r="I124" s="61">
        <v>28373</v>
      </c>
      <c r="J124" s="74"/>
    </row>
    <row r="125" spans="2:11" outlineLevel="2" x14ac:dyDescent="0.2">
      <c r="B125" s="71"/>
      <c r="C125" s="35" t="s">
        <v>25</v>
      </c>
      <c r="D125" s="72">
        <v>41334</v>
      </c>
      <c r="E125" s="73"/>
      <c r="F125" s="10" t="s">
        <v>122</v>
      </c>
      <c r="G125" s="61">
        <v>28650</v>
      </c>
      <c r="H125" s="61"/>
      <c r="I125" s="61">
        <v>28650</v>
      </c>
      <c r="J125" s="74"/>
    </row>
    <row r="126" spans="2:11" outlineLevel="2" x14ac:dyDescent="0.2">
      <c r="B126" s="71"/>
      <c r="C126" s="35" t="s">
        <v>25</v>
      </c>
      <c r="D126" s="72">
        <v>41365</v>
      </c>
      <c r="E126" s="73"/>
      <c r="F126" s="10" t="s">
        <v>127</v>
      </c>
      <c r="G126" s="61">
        <v>28220</v>
      </c>
      <c r="H126" s="61"/>
      <c r="I126" s="61">
        <v>28220</v>
      </c>
      <c r="J126" s="74"/>
    </row>
    <row r="127" spans="2:11" outlineLevel="2" x14ac:dyDescent="0.2">
      <c r="B127" s="71"/>
      <c r="C127" s="35" t="s">
        <v>25</v>
      </c>
      <c r="D127" s="72">
        <v>41365</v>
      </c>
      <c r="E127" s="73"/>
      <c r="F127" s="10" t="s">
        <v>128</v>
      </c>
      <c r="G127" s="61">
        <v>26900</v>
      </c>
      <c r="H127" s="61"/>
      <c r="I127" s="61">
        <v>26900</v>
      </c>
      <c r="J127" s="74"/>
    </row>
    <row r="128" spans="2:11" outlineLevel="2" x14ac:dyDescent="0.2">
      <c r="B128" s="71"/>
      <c r="C128" s="35" t="s">
        <v>25</v>
      </c>
      <c r="D128" s="72">
        <v>41395</v>
      </c>
      <c r="E128" s="73"/>
      <c r="F128" s="10" t="s">
        <v>132</v>
      </c>
      <c r="G128" s="61">
        <v>23200</v>
      </c>
      <c r="H128" s="61"/>
      <c r="I128" s="61">
        <v>23200</v>
      </c>
      <c r="J128" s="74"/>
    </row>
    <row r="129" spans="2:10" outlineLevel="2" x14ac:dyDescent="0.2">
      <c r="B129" s="71"/>
      <c r="C129" s="35" t="s">
        <v>25</v>
      </c>
      <c r="D129" s="72">
        <v>41395</v>
      </c>
      <c r="E129" s="73"/>
      <c r="F129" s="10" t="s">
        <v>133</v>
      </c>
      <c r="G129" s="61">
        <v>5800</v>
      </c>
      <c r="H129" s="61"/>
      <c r="I129" s="61">
        <v>5800</v>
      </c>
      <c r="J129" s="74"/>
    </row>
    <row r="130" spans="2:10" outlineLevel="2" x14ac:dyDescent="0.2">
      <c r="B130" s="71">
        <v>13</v>
      </c>
      <c r="C130" s="35" t="s">
        <v>25</v>
      </c>
      <c r="D130" s="72">
        <v>41440</v>
      </c>
      <c r="E130" s="73" t="s">
        <v>155</v>
      </c>
      <c r="F130" s="73" t="s">
        <v>155</v>
      </c>
      <c r="G130" s="61">
        <v>23200</v>
      </c>
      <c r="H130" s="61"/>
      <c r="I130" s="61">
        <v>23200</v>
      </c>
      <c r="J130" s="74"/>
    </row>
    <row r="131" spans="2:10" outlineLevel="2" x14ac:dyDescent="0.2">
      <c r="B131" s="71">
        <v>25</v>
      </c>
      <c r="C131" s="35" t="s">
        <v>25</v>
      </c>
      <c r="D131" s="72">
        <v>41455</v>
      </c>
      <c r="E131" s="73" t="s">
        <v>155</v>
      </c>
      <c r="F131" s="73" t="s">
        <v>155</v>
      </c>
      <c r="G131" s="61">
        <v>23200</v>
      </c>
      <c r="H131" s="61"/>
      <c r="I131" s="61">
        <v>23200</v>
      </c>
      <c r="J131" s="74"/>
    </row>
    <row r="132" spans="2:10" outlineLevel="2" x14ac:dyDescent="0.2">
      <c r="B132" s="71">
        <v>47</v>
      </c>
      <c r="C132" s="35" t="s">
        <v>25</v>
      </c>
      <c r="D132" s="72">
        <v>41470</v>
      </c>
      <c r="E132" s="73" t="s">
        <v>155</v>
      </c>
      <c r="F132" s="10" t="s">
        <v>155</v>
      </c>
      <c r="G132" s="61">
        <v>22950</v>
      </c>
      <c r="H132" s="61"/>
      <c r="I132" s="61">
        <v>22950</v>
      </c>
      <c r="J132" s="74"/>
    </row>
    <row r="133" spans="2:10" outlineLevel="2" x14ac:dyDescent="0.2">
      <c r="B133" s="71">
        <v>73</v>
      </c>
      <c r="C133" s="35" t="s">
        <v>25</v>
      </c>
      <c r="D133" s="72">
        <v>41486</v>
      </c>
      <c r="E133" s="73" t="s">
        <v>155</v>
      </c>
      <c r="F133" s="10" t="s">
        <v>155</v>
      </c>
      <c r="G133" s="61">
        <v>23200</v>
      </c>
      <c r="H133" s="61"/>
      <c r="I133" s="61">
        <v>23200</v>
      </c>
      <c r="J133" s="74"/>
    </row>
    <row r="134" spans="2:10" ht="14.25" outlineLevel="1" x14ac:dyDescent="0.2">
      <c r="B134" s="75"/>
      <c r="C134" s="76" t="s">
        <v>222</v>
      </c>
      <c r="D134" s="77"/>
      <c r="E134" s="78"/>
      <c r="F134" s="79"/>
      <c r="G134" s="80"/>
      <c r="H134" s="89">
        <f>SUBTOTAL(9,H120:H133)</f>
        <v>0</v>
      </c>
      <c r="I134" s="89">
        <f>SUBTOTAL(9,I120:I133)</f>
        <v>344593</v>
      </c>
      <c r="J134" s="81" t="s">
        <v>26</v>
      </c>
    </row>
    <row r="135" spans="2:10" outlineLevel="2" x14ac:dyDescent="0.2">
      <c r="B135" s="71"/>
      <c r="C135" s="35" t="s">
        <v>68</v>
      </c>
      <c r="D135" s="72">
        <v>41275</v>
      </c>
      <c r="E135" s="73"/>
      <c r="F135" s="10" t="s">
        <v>95</v>
      </c>
      <c r="G135" s="61">
        <v>2550.39</v>
      </c>
      <c r="H135" s="61"/>
      <c r="I135" s="61">
        <v>2550.39</v>
      </c>
      <c r="J135" s="74"/>
    </row>
    <row r="136" spans="2:10" outlineLevel="2" x14ac:dyDescent="0.2">
      <c r="B136" s="71"/>
      <c r="C136" s="35" t="s">
        <v>68</v>
      </c>
      <c r="D136" s="72">
        <v>41275</v>
      </c>
      <c r="E136" s="73"/>
      <c r="F136" s="10" t="s">
        <v>105</v>
      </c>
      <c r="G136" s="61">
        <v>3931</v>
      </c>
      <c r="H136" s="61"/>
      <c r="I136" s="61">
        <v>3931</v>
      </c>
      <c r="J136" s="74"/>
    </row>
    <row r="137" spans="2:10" outlineLevel="2" x14ac:dyDescent="0.2">
      <c r="B137" s="71"/>
      <c r="C137" s="35" t="s">
        <v>68</v>
      </c>
      <c r="D137" s="72">
        <v>41306</v>
      </c>
      <c r="E137" s="73"/>
      <c r="F137" s="10" t="s">
        <v>105</v>
      </c>
      <c r="G137" s="61">
        <v>4240</v>
      </c>
      <c r="H137" s="61"/>
      <c r="I137" s="61">
        <v>4240</v>
      </c>
      <c r="J137" s="74"/>
    </row>
    <row r="138" spans="2:10" outlineLevel="2" x14ac:dyDescent="0.2">
      <c r="B138" s="71"/>
      <c r="C138" s="35" t="s">
        <v>68</v>
      </c>
      <c r="D138" s="72">
        <v>41306</v>
      </c>
      <c r="E138" s="73"/>
      <c r="F138" s="10" t="s">
        <v>95</v>
      </c>
      <c r="G138" s="61">
        <v>2365.3200000000002</v>
      </c>
      <c r="H138" s="61"/>
      <c r="I138" s="61">
        <v>2365.3200000000002</v>
      </c>
      <c r="J138" s="74"/>
    </row>
    <row r="139" spans="2:10" outlineLevel="2" x14ac:dyDescent="0.2">
      <c r="B139" s="71"/>
      <c r="C139" s="35" t="s">
        <v>68</v>
      </c>
      <c r="D139" s="72">
        <v>41334</v>
      </c>
      <c r="E139" s="73"/>
      <c r="F139" s="10" t="s">
        <v>95</v>
      </c>
      <c r="G139" s="61">
        <v>865.01</v>
      </c>
      <c r="H139" s="61"/>
      <c r="I139" s="61">
        <v>865.01</v>
      </c>
      <c r="J139" s="74"/>
    </row>
    <row r="140" spans="2:10" outlineLevel="2" x14ac:dyDescent="0.2">
      <c r="B140" s="71"/>
      <c r="C140" s="35" t="s">
        <v>68</v>
      </c>
      <c r="D140" s="72">
        <v>41334</v>
      </c>
      <c r="E140" s="73"/>
      <c r="F140" s="10" t="s">
        <v>105</v>
      </c>
      <c r="G140" s="61">
        <v>3714.5</v>
      </c>
      <c r="H140" s="61"/>
      <c r="I140" s="61">
        <v>3714.5</v>
      </c>
      <c r="J140" s="74"/>
    </row>
    <row r="141" spans="2:10" outlineLevel="2" x14ac:dyDescent="0.2">
      <c r="B141" s="71"/>
      <c r="C141" s="35" t="s">
        <v>68</v>
      </c>
      <c r="D141" s="72">
        <v>41365</v>
      </c>
      <c r="E141" s="73"/>
      <c r="F141" s="10" t="s">
        <v>105</v>
      </c>
      <c r="G141" s="61">
        <v>3600</v>
      </c>
      <c r="H141" s="61"/>
      <c r="I141" s="61">
        <v>3600</v>
      </c>
      <c r="J141" s="74"/>
    </row>
    <row r="142" spans="2:10" outlineLevel="2" x14ac:dyDescent="0.2">
      <c r="B142" s="71"/>
      <c r="C142" s="35" t="s">
        <v>68</v>
      </c>
      <c r="D142" s="72">
        <v>41365</v>
      </c>
      <c r="E142" s="73"/>
      <c r="F142" s="10" t="s">
        <v>95</v>
      </c>
      <c r="G142" s="61">
        <v>1500</v>
      </c>
      <c r="H142" s="61"/>
      <c r="I142" s="61">
        <v>1500</v>
      </c>
      <c r="J142" s="74"/>
    </row>
    <row r="143" spans="2:10" outlineLevel="2" x14ac:dyDescent="0.2">
      <c r="B143" s="71"/>
      <c r="C143" s="35" t="s">
        <v>68</v>
      </c>
      <c r="D143" s="72">
        <v>41395</v>
      </c>
      <c r="E143" s="73"/>
      <c r="F143" s="10" t="s">
        <v>105</v>
      </c>
      <c r="G143" s="61">
        <v>1934</v>
      </c>
      <c r="H143" s="61"/>
      <c r="I143" s="61">
        <v>1934</v>
      </c>
      <c r="J143" s="74"/>
    </row>
    <row r="144" spans="2:10" outlineLevel="2" x14ac:dyDescent="0.2">
      <c r="B144" s="71"/>
      <c r="C144" s="35" t="s">
        <v>68</v>
      </c>
      <c r="D144" s="72">
        <v>41395</v>
      </c>
      <c r="E144" s="73"/>
      <c r="F144" s="10" t="s">
        <v>95</v>
      </c>
      <c r="G144" s="61">
        <v>735.19</v>
      </c>
      <c r="H144" s="61"/>
      <c r="I144" s="61">
        <v>735.19</v>
      </c>
      <c r="J144" s="74"/>
    </row>
    <row r="145" spans="2:10" outlineLevel="2" x14ac:dyDescent="0.2">
      <c r="B145" s="71">
        <v>6</v>
      </c>
      <c r="C145" s="35" t="s">
        <v>68</v>
      </c>
      <c r="D145" s="72">
        <v>41431</v>
      </c>
      <c r="E145" s="73" t="s">
        <v>146</v>
      </c>
      <c r="F145" s="10" t="s">
        <v>147</v>
      </c>
      <c r="G145" s="61">
        <v>53.92</v>
      </c>
      <c r="H145" s="61">
        <v>7.58</v>
      </c>
      <c r="I145" s="61">
        <v>61.5</v>
      </c>
      <c r="J145" s="74"/>
    </row>
    <row r="146" spans="2:10" ht="14.25" outlineLevel="1" x14ac:dyDescent="0.2">
      <c r="B146" s="75"/>
      <c r="C146" s="76" t="s">
        <v>223</v>
      </c>
      <c r="D146" s="77"/>
      <c r="E146" s="78"/>
      <c r="F146" s="79"/>
      <c r="G146" s="80"/>
      <c r="H146" s="89">
        <f>SUBTOTAL(9,H135:H145)</f>
        <v>7.58</v>
      </c>
      <c r="I146" s="89">
        <f>SUBTOTAL(9,I135:I145)</f>
        <v>25496.91</v>
      </c>
      <c r="J146" s="81" t="s">
        <v>69</v>
      </c>
    </row>
    <row r="147" spans="2:10" outlineLevel="2" x14ac:dyDescent="0.2">
      <c r="B147" s="71"/>
      <c r="C147" s="35" t="s">
        <v>58</v>
      </c>
      <c r="D147" s="72">
        <v>41275</v>
      </c>
      <c r="E147" s="73"/>
      <c r="F147" s="10" t="s">
        <v>96</v>
      </c>
      <c r="G147" s="61">
        <v>1438</v>
      </c>
      <c r="H147" s="61"/>
      <c r="I147" s="61">
        <v>1438</v>
      </c>
      <c r="J147" s="74"/>
    </row>
    <row r="148" spans="2:10" outlineLevel="2" x14ac:dyDescent="0.2">
      <c r="B148" s="71"/>
      <c r="C148" s="35" t="s">
        <v>58</v>
      </c>
      <c r="D148" s="72">
        <v>41306</v>
      </c>
      <c r="E148" s="73"/>
      <c r="F148" s="10" t="s">
        <v>96</v>
      </c>
      <c r="G148" s="61">
        <v>287.5</v>
      </c>
      <c r="H148" s="61"/>
      <c r="I148" s="61">
        <v>287.5</v>
      </c>
      <c r="J148" s="74"/>
    </row>
    <row r="149" spans="2:10" outlineLevel="2" x14ac:dyDescent="0.2">
      <c r="B149" s="71"/>
      <c r="C149" s="35" t="s">
        <v>58</v>
      </c>
      <c r="D149" s="72">
        <v>41334</v>
      </c>
      <c r="E149" s="73"/>
      <c r="F149" s="10" t="s">
        <v>96</v>
      </c>
      <c r="G149" s="61">
        <v>1002.69</v>
      </c>
      <c r="H149" s="61"/>
      <c r="I149" s="61">
        <v>1002.69</v>
      </c>
      <c r="J149" s="74"/>
    </row>
    <row r="150" spans="2:10" outlineLevel="2" x14ac:dyDescent="0.2">
      <c r="B150" s="71"/>
      <c r="C150" s="35" t="s">
        <v>58</v>
      </c>
      <c r="D150" s="72">
        <v>41365</v>
      </c>
      <c r="E150" s="73"/>
      <c r="F150" s="10" t="s">
        <v>96</v>
      </c>
      <c r="G150" s="61">
        <v>984</v>
      </c>
      <c r="H150" s="61"/>
      <c r="I150" s="61">
        <v>984</v>
      </c>
      <c r="J150" s="74"/>
    </row>
    <row r="151" spans="2:10" outlineLevel="2" x14ac:dyDescent="0.2">
      <c r="B151" s="71">
        <v>1</v>
      </c>
      <c r="C151" s="35" t="s">
        <v>58</v>
      </c>
      <c r="D151" s="72">
        <v>41383</v>
      </c>
      <c r="E151" s="73" t="s">
        <v>131</v>
      </c>
      <c r="F151" s="10" t="s">
        <v>59</v>
      </c>
      <c r="G151" s="61">
        <v>233.31</v>
      </c>
      <c r="H151" s="61">
        <v>37.33</v>
      </c>
      <c r="I151" s="61">
        <v>270.64</v>
      </c>
      <c r="J151" s="74"/>
    </row>
    <row r="152" spans="2:10" outlineLevel="2" x14ac:dyDescent="0.2">
      <c r="B152" s="71"/>
      <c r="C152" s="35" t="s">
        <v>58</v>
      </c>
      <c r="D152" s="72">
        <v>41395</v>
      </c>
      <c r="E152" s="73"/>
      <c r="F152" s="10" t="s">
        <v>96</v>
      </c>
      <c r="G152" s="61">
        <v>1497</v>
      </c>
      <c r="H152" s="61"/>
      <c r="I152" s="61">
        <v>1497</v>
      </c>
      <c r="J152" s="74"/>
    </row>
    <row r="153" spans="2:10" outlineLevel="2" x14ac:dyDescent="0.2">
      <c r="B153" s="71">
        <v>11</v>
      </c>
      <c r="C153" s="35" t="s">
        <v>58</v>
      </c>
      <c r="D153" s="72">
        <v>41436</v>
      </c>
      <c r="E153" s="73" t="s">
        <v>131</v>
      </c>
      <c r="F153" s="10" t="s">
        <v>59</v>
      </c>
      <c r="G153" s="61">
        <v>93.03</v>
      </c>
      <c r="H153" s="61">
        <v>14.88</v>
      </c>
      <c r="I153" s="61">
        <v>107.91</v>
      </c>
      <c r="J153" s="74"/>
    </row>
    <row r="154" spans="2:10" outlineLevel="2" x14ac:dyDescent="0.2">
      <c r="B154" s="71">
        <v>18</v>
      </c>
      <c r="C154" s="35" t="s">
        <v>58</v>
      </c>
      <c r="D154" s="72">
        <v>41449</v>
      </c>
      <c r="E154" s="73" t="s">
        <v>156</v>
      </c>
      <c r="F154" s="10" t="s">
        <v>59</v>
      </c>
      <c r="G154" s="61">
        <v>20</v>
      </c>
      <c r="H154" s="61"/>
      <c r="I154" s="61">
        <v>20</v>
      </c>
      <c r="J154" s="74"/>
    </row>
    <row r="155" spans="2:10" outlineLevel="2" x14ac:dyDescent="0.2">
      <c r="B155" s="71">
        <v>19</v>
      </c>
      <c r="C155" s="35" t="s">
        <v>58</v>
      </c>
      <c r="D155" s="72">
        <v>41450</v>
      </c>
      <c r="E155" s="73" t="s">
        <v>157</v>
      </c>
      <c r="F155" s="10" t="s">
        <v>59</v>
      </c>
      <c r="G155" s="61">
        <v>11</v>
      </c>
      <c r="H155" s="61"/>
      <c r="I155" s="61">
        <v>11</v>
      </c>
      <c r="J155" s="74"/>
    </row>
    <row r="156" spans="2:10" outlineLevel="2" x14ac:dyDescent="0.2">
      <c r="B156" s="71">
        <v>29</v>
      </c>
      <c r="C156" s="35" t="s">
        <v>58</v>
      </c>
      <c r="D156" s="72">
        <v>41458</v>
      </c>
      <c r="E156" s="73" t="s">
        <v>131</v>
      </c>
      <c r="F156" s="10" t="s">
        <v>165</v>
      </c>
      <c r="G156" s="61">
        <v>125.69</v>
      </c>
      <c r="H156" s="61">
        <v>20.11</v>
      </c>
      <c r="I156" s="61">
        <v>145.80000000000001</v>
      </c>
      <c r="J156" s="74"/>
    </row>
    <row r="157" spans="2:10" outlineLevel="2" x14ac:dyDescent="0.2">
      <c r="B157" s="71">
        <v>34</v>
      </c>
      <c r="C157" s="35" t="s">
        <v>58</v>
      </c>
      <c r="D157" s="72">
        <v>41463</v>
      </c>
      <c r="E157" s="73" t="s">
        <v>131</v>
      </c>
      <c r="F157" s="10" t="s">
        <v>170</v>
      </c>
      <c r="G157" s="61">
        <v>75.849999999999994</v>
      </c>
      <c r="H157" s="61">
        <v>12.15</v>
      </c>
      <c r="I157" s="61">
        <v>88</v>
      </c>
      <c r="J157" s="74"/>
    </row>
    <row r="158" spans="2:10" outlineLevel="2" x14ac:dyDescent="0.2">
      <c r="B158" s="71">
        <v>69</v>
      </c>
      <c r="C158" s="35" t="s">
        <v>58</v>
      </c>
      <c r="D158" s="72">
        <v>41482</v>
      </c>
      <c r="E158" s="73" t="s">
        <v>131</v>
      </c>
      <c r="F158" s="10" t="s">
        <v>202</v>
      </c>
      <c r="G158" s="61">
        <v>484.82</v>
      </c>
      <c r="H158" s="61">
        <v>77.58</v>
      </c>
      <c r="I158" s="61">
        <v>562.4</v>
      </c>
      <c r="J158" s="74"/>
    </row>
    <row r="159" spans="2:10" ht="14.25" outlineLevel="1" x14ac:dyDescent="0.2">
      <c r="B159" s="75"/>
      <c r="C159" s="76" t="s">
        <v>224</v>
      </c>
      <c r="D159" s="77"/>
      <c r="E159" s="78"/>
      <c r="F159" s="79"/>
      <c r="G159" s="80"/>
      <c r="H159" s="89">
        <f>SUBTOTAL(9,H147:H158)</f>
        <v>162.05000000000001</v>
      </c>
      <c r="I159" s="89">
        <f>SUBTOTAL(9,I147:I158)</f>
        <v>6414.94</v>
      </c>
      <c r="J159" s="81" t="s">
        <v>59</v>
      </c>
    </row>
    <row r="160" spans="2:10" outlineLevel="2" x14ac:dyDescent="0.2">
      <c r="B160" s="71"/>
      <c r="C160" s="35" t="s">
        <v>60</v>
      </c>
      <c r="D160" s="72">
        <v>41275</v>
      </c>
      <c r="E160" s="73"/>
      <c r="F160" s="10" t="s">
        <v>108</v>
      </c>
      <c r="G160" s="61">
        <v>879</v>
      </c>
      <c r="H160" s="61"/>
      <c r="I160" s="61">
        <v>879</v>
      </c>
      <c r="J160" s="74"/>
    </row>
    <row r="161" spans="2:10" outlineLevel="2" x14ac:dyDescent="0.2">
      <c r="B161" s="71"/>
      <c r="C161" s="35" t="s">
        <v>60</v>
      </c>
      <c r="D161" s="72">
        <v>41306</v>
      </c>
      <c r="E161" s="73"/>
      <c r="F161" s="10" t="s">
        <v>118</v>
      </c>
      <c r="G161" s="61">
        <v>938</v>
      </c>
      <c r="H161" s="61"/>
      <c r="I161" s="61">
        <v>938</v>
      </c>
      <c r="J161" s="74"/>
    </row>
    <row r="162" spans="2:10" outlineLevel="2" x14ac:dyDescent="0.2">
      <c r="B162" s="71"/>
      <c r="C162" s="35" t="s">
        <v>60</v>
      </c>
      <c r="D162" s="72">
        <v>41334</v>
      </c>
      <c r="E162" s="73"/>
      <c r="F162" s="10" t="s">
        <v>124</v>
      </c>
      <c r="G162" s="61">
        <v>871</v>
      </c>
      <c r="H162" s="61"/>
      <c r="I162" s="61">
        <v>871</v>
      </c>
      <c r="J162" s="74"/>
    </row>
    <row r="163" spans="2:10" outlineLevel="2" x14ac:dyDescent="0.2">
      <c r="B163" s="71"/>
      <c r="C163" s="35" t="s">
        <v>60</v>
      </c>
      <c r="D163" s="72">
        <v>41365</v>
      </c>
      <c r="E163" s="73"/>
      <c r="F163" s="10" t="s">
        <v>130</v>
      </c>
      <c r="G163" s="61">
        <v>812</v>
      </c>
      <c r="H163" s="61"/>
      <c r="I163" s="61">
        <v>812</v>
      </c>
      <c r="J163" s="74"/>
    </row>
    <row r="164" spans="2:10" outlineLevel="2" x14ac:dyDescent="0.2">
      <c r="B164" s="71">
        <v>30</v>
      </c>
      <c r="C164" s="35" t="s">
        <v>60</v>
      </c>
      <c r="D164" s="72">
        <v>41460</v>
      </c>
      <c r="E164" s="73" t="s">
        <v>166</v>
      </c>
      <c r="F164" s="10"/>
      <c r="G164" s="61">
        <v>692.37</v>
      </c>
      <c r="H164" s="61">
        <v>128.63</v>
      </c>
      <c r="I164" s="61">
        <v>821</v>
      </c>
      <c r="J164" s="74"/>
    </row>
    <row r="165" spans="2:10" outlineLevel="2" x14ac:dyDescent="0.2">
      <c r="B165" s="71">
        <v>72</v>
      </c>
      <c r="C165" s="35" t="s">
        <v>60</v>
      </c>
      <c r="D165" s="72">
        <v>41486</v>
      </c>
      <c r="E165" s="73" t="s">
        <v>205</v>
      </c>
      <c r="F165" s="10" t="s">
        <v>206</v>
      </c>
      <c r="G165" s="61">
        <v>6.9</v>
      </c>
      <c r="H165" s="61">
        <v>1.1000000000000001</v>
      </c>
      <c r="I165" s="61">
        <v>8</v>
      </c>
      <c r="J165" s="74"/>
    </row>
    <row r="166" spans="2:10" outlineLevel="2" x14ac:dyDescent="0.2">
      <c r="B166" s="71">
        <v>75</v>
      </c>
      <c r="C166" s="35" t="s">
        <v>60</v>
      </c>
      <c r="D166" s="72">
        <v>41486</v>
      </c>
      <c r="E166" s="73" t="s">
        <v>166</v>
      </c>
      <c r="F166" s="10"/>
      <c r="G166" s="61">
        <v>894.82</v>
      </c>
      <c r="H166" s="61">
        <v>143.18</v>
      </c>
      <c r="I166" s="61">
        <v>1038</v>
      </c>
      <c r="J166" s="74"/>
    </row>
    <row r="167" spans="2:10" ht="14.25" outlineLevel="1" x14ac:dyDescent="0.2">
      <c r="B167" s="75"/>
      <c r="C167" s="76" t="s">
        <v>225</v>
      </c>
      <c r="D167" s="77"/>
      <c r="E167" s="78"/>
      <c r="F167" s="79"/>
      <c r="G167" s="80"/>
      <c r="H167" s="89">
        <f>SUBTOTAL(9,H160:H166)</f>
        <v>272.90999999999997</v>
      </c>
      <c r="I167" s="89">
        <f>SUBTOTAL(9,I160:I166)</f>
        <v>5367</v>
      </c>
      <c r="J167" s="81" t="s">
        <v>61</v>
      </c>
    </row>
    <row r="168" spans="2:10" outlineLevel="2" x14ac:dyDescent="0.2">
      <c r="B168" s="71">
        <v>2</v>
      </c>
      <c r="C168" s="35" t="s">
        <v>35</v>
      </c>
      <c r="D168" s="72">
        <v>41400</v>
      </c>
      <c r="E168" s="73" t="s">
        <v>138</v>
      </c>
      <c r="F168" s="10" t="s">
        <v>139</v>
      </c>
      <c r="G168" s="61">
        <v>245.68</v>
      </c>
      <c r="H168" s="61">
        <v>39.31</v>
      </c>
      <c r="I168" s="61">
        <v>284.99</v>
      </c>
      <c r="J168" s="74"/>
    </row>
    <row r="169" spans="2:10" outlineLevel="2" x14ac:dyDescent="0.2">
      <c r="B169" s="71">
        <v>3</v>
      </c>
      <c r="C169" s="35" t="s">
        <v>35</v>
      </c>
      <c r="D169" s="72">
        <v>41419</v>
      </c>
      <c r="E169" s="73" t="s">
        <v>140</v>
      </c>
      <c r="F169" s="10" t="s">
        <v>141</v>
      </c>
      <c r="G169" s="61">
        <v>517.24</v>
      </c>
      <c r="H169" s="61">
        <v>82.46</v>
      </c>
      <c r="I169" s="61">
        <v>599.70000000000005</v>
      </c>
      <c r="J169" s="74"/>
    </row>
    <row r="170" spans="2:10" outlineLevel="2" x14ac:dyDescent="0.2">
      <c r="B170" s="71">
        <v>68</v>
      </c>
      <c r="C170" s="35" t="s">
        <v>35</v>
      </c>
      <c r="D170" s="72">
        <v>41481</v>
      </c>
      <c r="E170" s="73" t="s">
        <v>201</v>
      </c>
      <c r="F170" s="10" t="s">
        <v>36</v>
      </c>
      <c r="G170" s="61">
        <v>116.38</v>
      </c>
      <c r="H170" s="61">
        <v>18.62</v>
      </c>
      <c r="I170" s="61">
        <v>135</v>
      </c>
      <c r="J170" s="74"/>
    </row>
    <row r="171" spans="2:10" ht="14.25" outlineLevel="1" x14ac:dyDescent="0.2">
      <c r="B171" s="75"/>
      <c r="C171" s="76" t="s">
        <v>226</v>
      </c>
      <c r="D171" s="77"/>
      <c r="E171" s="78"/>
      <c r="F171" s="79"/>
      <c r="G171" s="80"/>
      <c r="H171" s="89">
        <f>SUBTOTAL(9,H168:H170)</f>
        <v>140.38999999999999</v>
      </c>
      <c r="I171" s="89">
        <f>SUBTOTAL(9,I168:I170)</f>
        <v>1019.69</v>
      </c>
      <c r="J171" s="81" t="s">
        <v>36</v>
      </c>
    </row>
    <row r="172" spans="2:10" outlineLevel="2" x14ac:dyDescent="0.2">
      <c r="B172" s="71"/>
      <c r="C172" s="35" t="s">
        <v>31</v>
      </c>
      <c r="D172" s="72">
        <v>41334</v>
      </c>
      <c r="E172" s="73"/>
      <c r="F172" s="10" t="s">
        <v>120</v>
      </c>
      <c r="G172" s="61">
        <v>1582.5</v>
      </c>
      <c r="H172" s="61"/>
      <c r="I172" s="61">
        <v>1582.5</v>
      </c>
      <c r="J172" s="74"/>
    </row>
    <row r="173" spans="2:10" outlineLevel="2" x14ac:dyDescent="0.2">
      <c r="B173" s="71">
        <v>56</v>
      </c>
      <c r="C173" s="35" t="s">
        <v>31</v>
      </c>
      <c r="D173" s="72">
        <v>41475</v>
      </c>
      <c r="E173" s="73" t="s">
        <v>190</v>
      </c>
      <c r="F173" s="10" t="s">
        <v>191</v>
      </c>
      <c r="G173" s="61">
        <v>758.62</v>
      </c>
      <c r="H173" s="61">
        <v>121.38</v>
      </c>
      <c r="I173" s="61">
        <v>880</v>
      </c>
      <c r="J173" s="74"/>
    </row>
    <row r="174" spans="2:10" outlineLevel="2" x14ac:dyDescent="0.2">
      <c r="B174" s="71">
        <v>71</v>
      </c>
      <c r="C174" s="35" t="s">
        <v>31</v>
      </c>
      <c r="D174" s="72">
        <v>41485</v>
      </c>
      <c r="E174" s="73" t="s">
        <v>203</v>
      </c>
      <c r="F174" s="10" t="s">
        <v>204</v>
      </c>
      <c r="G174" s="61">
        <v>1251.5</v>
      </c>
      <c r="H174" s="61">
        <v>200.24</v>
      </c>
      <c r="I174" s="61">
        <v>1451.74</v>
      </c>
      <c r="J174" s="74"/>
    </row>
    <row r="175" spans="2:10" ht="14.25" outlineLevel="1" x14ac:dyDescent="0.2">
      <c r="B175" s="75"/>
      <c r="C175" s="76" t="s">
        <v>227</v>
      </c>
      <c r="D175" s="77"/>
      <c r="E175" s="78"/>
      <c r="F175" s="79"/>
      <c r="G175" s="80"/>
      <c r="H175" s="89">
        <f>SUBTOTAL(9,H172:H174)</f>
        <v>321.62</v>
      </c>
      <c r="I175" s="89">
        <f>SUBTOTAL(9,I172:I174)</f>
        <v>3914.24</v>
      </c>
      <c r="J175" s="81" t="s">
        <v>32</v>
      </c>
    </row>
    <row r="176" spans="2:10" outlineLevel="2" x14ac:dyDescent="0.2">
      <c r="B176" s="71">
        <v>60</v>
      </c>
      <c r="C176" s="35" t="s">
        <v>42</v>
      </c>
      <c r="D176" s="72">
        <v>41477</v>
      </c>
      <c r="E176" s="73" t="s">
        <v>131</v>
      </c>
      <c r="F176" s="10" t="s">
        <v>194</v>
      </c>
      <c r="G176" s="61">
        <v>111.21</v>
      </c>
      <c r="H176" s="61">
        <v>17.79</v>
      </c>
      <c r="I176" s="61">
        <v>129</v>
      </c>
      <c r="J176" s="74"/>
    </row>
    <row r="177" spans="2:10" outlineLevel="2" x14ac:dyDescent="0.2">
      <c r="B177" s="71">
        <v>61</v>
      </c>
      <c r="C177" s="35" t="s">
        <v>42</v>
      </c>
      <c r="D177" s="72">
        <v>41477</v>
      </c>
      <c r="E177" s="73" t="s">
        <v>195</v>
      </c>
      <c r="F177" s="10" t="s">
        <v>194</v>
      </c>
      <c r="G177" s="61">
        <v>129.31</v>
      </c>
      <c r="H177" s="61">
        <v>20.69</v>
      </c>
      <c r="I177" s="61">
        <v>150</v>
      </c>
      <c r="J177" s="74"/>
    </row>
    <row r="178" spans="2:10" ht="14.25" outlineLevel="1" x14ac:dyDescent="0.2">
      <c r="B178" s="75"/>
      <c r="C178" s="76" t="s">
        <v>228</v>
      </c>
      <c r="D178" s="77"/>
      <c r="E178" s="78"/>
      <c r="F178" s="79"/>
      <c r="G178" s="80"/>
      <c r="H178" s="89">
        <f>SUBTOTAL(9,H176:H177)</f>
        <v>38.480000000000004</v>
      </c>
      <c r="I178" s="89">
        <f>SUBTOTAL(9,I176:I177)</f>
        <v>279</v>
      </c>
      <c r="J178" s="81" t="s">
        <v>43</v>
      </c>
    </row>
    <row r="179" spans="2:10" ht="14.25" x14ac:dyDescent="0.2">
      <c r="B179" s="82"/>
      <c r="C179" s="83" t="s">
        <v>229</v>
      </c>
      <c r="D179" s="84"/>
      <c r="E179" s="85"/>
      <c r="F179" s="86"/>
      <c r="G179" s="87"/>
      <c r="H179" s="89">
        <f>SUBTOTAL(9,H6:H177)</f>
        <v>1202.1020689655172</v>
      </c>
      <c r="I179" s="89">
        <f>SUBTOTAL(9,I6:I177)</f>
        <v>573089.90999999992</v>
      </c>
      <c r="J179" s="88"/>
    </row>
  </sheetData>
  <sheetProtection password="971F" sheet="1" objects="1" scenarios="1"/>
  <sortState ref="B4:I154">
    <sortCondition ref="C4:C154"/>
  </sortState>
  <pageMargins left="0.70866141732283472" right="0.70866141732283472" top="0.74803149606299213" bottom="0.74803149606299213" header="0.31496062992125984" footer="0.31496062992125984"/>
  <pageSetup scale="53" fitToHeight="3" orientation="landscape" horizontalDpi="0" verticalDpi="0" r:id="rId1"/>
  <rowBreaks count="2" manualBreakCount="2">
    <brk id="61" max="16383" man="1"/>
    <brk id="11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financiero</vt:lpstr>
      <vt:lpstr>Gastos (detalle)</vt:lpstr>
      <vt:lpstr>financiero!Área_de_impresión</vt:lpstr>
      <vt:lpstr>'Gastos (detalle)'!Títulos_a_imprimir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ERamírez Lepe</dc:creator>
  <cp:lastModifiedBy>Baldemar Sala Bay</cp:lastModifiedBy>
  <cp:lastPrinted>2013-08-09T15:33:31Z</cp:lastPrinted>
  <dcterms:created xsi:type="dcterms:W3CDTF">2013-08-09T10:56:29Z</dcterms:created>
  <dcterms:modified xsi:type="dcterms:W3CDTF">2013-08-19T17:45:32Z</dcterms:modified>
</cp:coreProperties>
</file>