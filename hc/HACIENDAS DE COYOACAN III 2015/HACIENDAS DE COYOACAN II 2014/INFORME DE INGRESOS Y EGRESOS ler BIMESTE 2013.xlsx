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9440" windowHeight="10035"/>
  </bookViews>
  <sheets>
    <sheet name="PRIMER BIMESTRE 2013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C55" i="1" l="1"/>
  <c r="D55" i="1"/>
  <c r="D29" i="1" l="1"/>
  <c r="D11" i="1"/>
  <c r="D30" i="1" l="1"/>
  <c r="C11" i="1"/>
  <c r="D39" i="1" l="1"/>
  <c r="D59" i="1" s="1"/>
  <c r="D60" i="1" s="1"/>
  <c r="C39" i="1"/>
  <c r="D56" i="1" l="1"/>
  <c r="C29" i="1"/>
  <c r="D61" i="1" s="1"/>
  <c r="D63" i="1" s="1"/>
</calcChain>
</file>

<file path=xl/sharedStrings.xml><?xml version="1.0" encoding="utf-8"?>
<sst xmlns="http://schemas.openxmlformats.org/spreadsheetml/2006/main" count="68" uniqueCount="50">
  <si>
    <t>Venta de llaves</t>
  </si>
  <si>
    <t>Aportación Colegio Carmel</t>
  </si>
  <si>
    <t>Pago de vigilancia</t>
  </si>
  <si>
    <t>Gasolina</t>
  </si>
  <si>
    <t>INGRESO PARCIAL</t>
  </si>
  <si>
    <t>INGRESO TOTAL</t>
  </si>
  <si>
    <t>EGRESO PARCIAL</t>
  </si>
  <si>
    <t>EGRESO TOTAL</t>
  </si>
  <si>
    <t>SALDO AL CORTE</t>
  </si>
  <si>
    <t>SALDO TOTAL AL CORTE</t>
  </si>
  <si>
    <t>Cuotas de vigilancia</t>
  </si>
  <si>
    <t>Venta de tarjetas electrónicas</t>
  </si>
  <si>
    <t>Trabajos de herrería en casetas y puertas</t>
  </si>
  <si>
    <t>Materiales</t>
  </si>
  <si>
    <t>Agua para casetas y artículos de limpieza</t>
  </si>
  <si>
    <t>Venta de Tarjetas Electrónicas</t>
  </si>
  <si>
    <t>Venta de tarjetones</t>
  </si>
  <si>
    <t>Gratificaciones diversas</t>
  </si>
  <si>
    <t>SALDO DISPONIBLE EN BANCO Y CAJA</t>
  </si>
  <si>
    <t>Cuotas extraordinarias</t>
  </si>
  <si>
    <t xml:space="preserve">Gastos de contabilidad </t>
  </si>
  <si>
    <t>Papelería e imprenta</t>
  </si>
  <si>
    <t>Gastos de contabilidad</t>
  </si>
  <si>
    <t>Pago de mano de obra por trabajos diversos</t>
  </si>
  <si>
    <t>INFORME DE INGRESOS Y EGRESOS : 1ER. BIMESTRE 2013</t>
  </si>
  <si>
    <t>CONCEPTO DE LOS INGRESOS DE ENERO</t>
  </si>
  <si>
    <t>TOTAL INGRESOS DE ENERO</t>
  </si>
  <si>
    <t>CONCEPTO DE LOS INGRESOS DE FEBRERO</t>
  </si>
  <si>
    <t>TOTAL INGRESOS DE FEBRERO</t>
  </si>
  <si>
    <t>CONCEPTO DE LOS EGRESOS DE ENERO</t>
  </si>
  <si>
    <t>TOTAL EGRESOS DE ENERO</t>
  </si>
  <si>
    <t>TOTAL EGRESOS DE FEBRERO</t>
  </si>
  <si>
    <t>CONCEPTO DE LOS EGRESOS DE FEBRERO</t>
  </si>
  <si>
    <t>Cuotas de vigilancia (incluye pagos anuales)</t>
  </si>
  <si>
    <t>3er. Pago de cámaras, 3ra. Etapa</t>
  </si>
  <si>
    <t>Telmex: pago febrero</t>
  </si>
  <si>
    <t>Gastos de administración</t>
  </si>
  <si>
    <t>Reparación de luminarias internas del parque</t>
  </si>
  <si>
    <t>Asesoría legal</t>
  </si>
  <si>
    <t>SALDO REMANENTE DE NOVIEMBRE Y DICIEMBRE</t>
  </si>
  <si>
    <t>TOTAL DE INGRESOS DE ENERO Y FEBRERO</t>
  </si>
  <si>
    <t>INGRESOSPRIMER BIMESTRE MÁS REMANENTE</t>
  </si>
  <si>
    <t>TOTAL DE EGRESOS DE ENERO Y FEBRERO</t>
  </si>
  <si>
    <t>Segundo pago de cámaras, tercera etapa</t>
  </si>
  <si>
    <t>Pago de llaves y chapa de alta seguridad</t>
  </si>
  <si>
    <t>Telmex: pago enero</t>
  </si>
  <si>
    <t>Pago de tarjetas electrónicas</t>
  </si>
  <si>
    <t>Reposición de macetones, árboles, plantas, etc…</t>
  </si>
  <si>
    <t>Pago de mano de obra por trabajos diversos en casetas</t>
  </si>
  <si>
    <t>Gratificaciones (alumbrado público, cobranza, basura…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</si>
</sst>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44" fontId="0" fillId="0" borderId="0" xfId="0" applyNumberFormat="1" applyFill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3"/>
  <sheetViews>
    <sheetView tabSelected="1" workbookViewId="0">
      <selection activeCell="F1" sqref="F1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5" t="s">
        <v>24</v>
      </c>
      <c r="B1" s="15"/>
      <c r="C1" s="15"/>
      <c r="D1" s="15"/>
    </row>
    <row r="4" spans="1:4" x14ac:dyDescent="0.25">
      <c r="A4" s="10" t="s">
        <v>25</v>
      </c>
      <c r="B4" s="10" t="s">
        <v>4</v>
      </c>
      <c r="C4" s="10" t="s">
        <v>5</v>
      </c>
      <c r="D4" s="11" t="s">
        <v>8</v>
      </c>
    </row>
    <row r="5" spans="1:4" x14ac:dyDescent="0.25">
      <c r="A5" s="4" t="s">
        <v>33</v>
      </c>
      <c r="B5" s="6">
        <v>128285</v>
      </c>
      <c r="C5" s="4"/>
      <c r="D5" s="4"/>
    </row>
    <row r="6" spans="1:4" x14ac:dyDescent="0.25">
      <c r="A6" s="4" t="s">
        <v>19</v>
      </c>
      <c r="B6" s="6">
        <v>800</v>
      </c>
      <c r="C6" s="4"/>
      <c r="D6" s="4"/>
    </row>
    <row r="7" spans="1:4" x14ac:dyDescent="0.25">
      <c r="A7" s="4" t="s">
        <v>0</v>
      </c>
      <c r="B7" s="6">
        <v>3020</v>
      </c>
      <c r="C7" s="4"/>
      <c r="D7" s="4"/>
    </row>
    <row r="8" spans="1:4" x14ac:dyDescent="0.25">
      <c r="A8" s="4" t="s">
        <v>11</v>
      </c>
      <c r="B8" s="6">
        <v>1920</v>
      </c>
      <c r="C8" s="4"/>
      <c r="D8" s="4"/>
    </row>
    <row r="9" spans="1:4" x14ac:dyDescent="0.25">
      <c r="A9" s="4" t="s">
        <v>16</v>
      </c>
      <c r="B9" s="6">
        <v>20</v>
      </c>
      <c r="C9" s="4"/>
      <c r="D9" s="4"/>
    </row>
    <row r="10" spans="1:4" x14ac:dyDescent="0.25">
      <c r="A10" s="4" t="s">
        <v>1</v>
      </c>
      <c r="B10" s="6">
        <v>10000</v>
      </c>
      <c r="C10" s="4"/>
      <c r="D10" s="4"/>
    </row>
    <row r="11" spans="1:4" x14ac:dyDescent="0.25">
      <c r="A11" s="5" t="s">
        <v>26</v>
      </c>
      <c r="C11" s="2">
        <f>SUM(B5:B10)</f>
        <v>144045</v>
      </c>
      <c r="D11" s="2">
        <f>SUM(B5:B10)</f>
        <v>144045</v>
      </c>
    </row>
    <row r="13" spans="1:4" x14ac:dyDescent="0.25">
      <c r="A13" s="10" t="s">
        <v>29</v>
      </c>
      <c r="B13" s="10" t="s">
        <v>6</v>
      </c>
      <c r="C13" s="10" t="s">
        <v>7</v>
      </c>
      <c r="D13" s="11" t="s">
        <v>8</v>
      </c>
    </row>
    <row r="14" spans="1:4" x14ac:dyDescent="0.25">
      <c r="A14" s="4" t="s">
        <v>2</v>
      </c>
      <c r="B14" s="6">
        <v>59080</v>
      </c>
      <c r="C14" s="4"/>
      <c r="D14" s="4"/>
    </row>
    <row r="15" spans="1:4" x14ac:dyDescent="0.25">
      <c r="A15" s="4" t="s">
        <v>43</v>
      </c>
      <c r="B15" s="6">
        <v>35000</v>
      </c>
      <c r="C15" s="4"/>
      <c r="D15" s="4"/>
    </row>
    <row r="16" spans="1:4" x14ac:dyDescent="0.25">
      <c r="A16" s="4" t="s">
        <v>44</v>
      </c>
      <c r="B16" s="6">
        <v>6612</v>
      </c>
      <c r="C16" s="4"/>
      <c r="D16" s="4"/>
    </row>
    <row r="17" spans="1:8" x14ac:dyDescent="0.25">
      <c r="A17" s="4" t="s">
        <v>12</v>
      </c>
      <c r="B17" s="6">
        <v>8500</v>
      </c>
      <c r="C17" s="4"/>
      <c r="D17" s="4"/>
    </row>
    <row r="18" spans="1:8" x14ac:dyDescent="0.25">
      <c r="A18" s="4" t="s">
        <v>13</v>
      </c>
      <c r="B18" s="6">
        <v>5925.15</v>
      </c>
      <c r="C18" s="4"/>
      <c r="D18" s="4"/>
    </row>
    <row r="19" spans="1:8" x14ac:dyDescent="0.25">
      <c r="A19" s="4" t="s">
        <v>21</v>
      </c>
      <c r="B19" s="6">
        <v>1438</v>
      </c>
      <c r="C19" s="4"/>
      <c r="D19" s="4"/>
    </row>
    <row r="20" spans="1:8" x14ac:dyDescent="0.25">
      <c r="A20" s="4" t="s">
        <v>14</v>
      </c>
      <c r="B20" s="6">
        <v>689.5</v>
      </c>
      <c r="C20" s="4"/>
      <c r="D20" s="4"/>
    </row>
    <row r="21" spans="1:8" x14ac:dyDescent="0.25">
      <c r="A21" s="4" t="s">
        <v>47</v>
      </c>
      <c r="B21" s="6">
        <v>4576</v>
      </c>
      <c r="C21" s="4"/>
      <c r="D21" s="4"/>
    </row>
    <row r="22" spans="1:8" x14ac:dyDescent="0.25">
      <c r="A22" s="4" t="s">
        <v>49</v>
      </c>
      <c r="B22" s="6">
        <v>3850</v>
      </c>
      <c r="C22" s="4"/>
      <c r="D22" s="4"/>
    </row>
    <row r="23" spans="1:8" x14ac:dyDescent="0.25">
      <c r="A23" s="4" t="s">
        <v>48</v>
      </c>
      <c r="B23" s="6">
        <v>2700</v>
      </c>
      <c r="C23" s="4"/>
      <c r="D23" s="4"/>
    </row>
    <row r="24" spans="1:8" x14ac:dyDescent="0.25">
      <c r="A24" s="4" t="s">
        <v>36</v>
      </c>
      <c r="B24" s="6">
        <v>3931</v>
      </c>
      <c r="C24" s="4"/>
      <c r="D24" s="4"/>
    </row>
    <row r="25" spans="1:8" x14ac:dyDescent="0.25">
      <c r="A25" s="4" t="s">
        <v>46</v>
      </c>
      <c r="B25" s="6">
        <v>1100</v>
      </c>
      <c r="C25" s="4"/>
      <c r="D25" s="4"/>
    </row>
    <row r="26" spans="1:8" x14ac:dyDescent="0.25">
      <c r="A26" s="4" t="s">
        <v>45</v>
      </c>
      <c r="B26" s="6">
        <v>879</v>
      </c>
      <c r="C26" s="4"/>
      <c r="D26" s="4"/>
    </row>
    <row r="27" spans="1:8" x14ac:dyDescent="0.25">
      <c r="A27" s="4" t="s">
        <v>3</v>
      </c>
      <c r="B27" s="6">
        <v>2550.39</v>
      </c>
      <c r="C27" s="4"/>
      <c r="D27" s="4"/>
    </row>
    <row r="28" spans="1:8" x14ac:dyDescent="0.25">
      <c r="A28" s="4" t="s">
        <v>20</v>
      </c>
      <c r="B28" s="6">
        <v>1160</v>
      </c>
      <c r="C28" s="4"/>
      <c r="D28" s="4"/>
    </row>
    <row r="29" spans="1:8" x14ac:dyDescent="0.25">
      <c r="A29" s="7" t="s">
        <v>30</v>
      </c>
      <c r="B29" s="6"/>
      <c r="C29" s="8">
        <f>SUM(B14:B28)</f>
        <v>137991.04000000001</v>
      </c>
      <c r="D29" s="8">
        <f>SUM(B14:B28)</f>
        <v>137991.04000000001</v>
      </c>
      <c r="F29" s="2"/>
    </row>
    <row r="30" spans="1:8" x14ac:dyDescent="0.25">
      <c r="A30" s="9" t="s">
        <v>9</v>
      </c>
      <c r="B30" s="6"/>
      <c r="C30" s="4"/>
      <c r="D30" s="8">
        <f>D11-D29</f>
        <v>6053.9599999999919</v>
      </c>
    </row>
    <row r="31" spans="1:8" x14ac:dyDescent="0.25">
      <c r="H31" s="2"/>
    </row>
    <row r="32" spans="1:8" x14ac:dyDescent="0.25">
      <c r="A32" s="10" t="s">
        <v>27</v>
      </c>
      <c r="B32" s="10" t="s">
        <v>4</v>
      </c>
      <c r="C32" s="10" t="s">
        <v>5</v>
      </c>
      <c r="D32" s="11" t="s">
        <v>8</v>
      </c>
    </row>
    <row r="33" spans="1:9" x14ac:dyDescent="0.25">
      <c r="A33" s="4" t="s">
        <v>10</v>
      </c>
      <c r="B33" s="6">
        <v>92625</v>
      </c>
      <c r="C33" s="4"/>
      <c r="D33" s="4"/>
    </row>
    <row r="34" spans="1:9" x14ac:dyDescent="0.25">
      <c r="A34" s="4" t="s">
        <v>19</v>
      </c>
      <c r="B34" s="6">
        <v>1100</v>
      </c>
      <c r="C34" s="4"/>
      <c r="D34" s="4"/>
    </row>
    <row r="35" spans="1:9" x14ac:dyDescent="0.25">
      <c r="A35" s="4" t="s">
        <v>0</v>
      </c>
      <c r="B35" s="6">
        <v>2280</v>
      </c>
      <c r="C35" s="6"/>
      <c r="D35" s="4"/>
    </row>
    <row r="36" spans="1:9" x14ac:dyDescent="0.25">
      <c r="A36" s="4" t="s">
        <v>15</v>
      </c>
      <c r="B36" s="6">
        <v>800</v>
      </c>
      <c r="C36" s="6"/>
      <c r="D36" s="4"/>
    </row>
    <row r="37" spans="1:9" x14ac:dyDescent="0.25">
      <c r="A37" s="4" t="s">
        <v>16</v>
      </c>
      <c r="B37" s="6">
        <v>300</v>
      </c>
      <c r="C37" s="4"/>
      <c r="D37" s="4"/>
    </row>
    <row r="38" spans="1:9" x14ac:dyDescent="0.25">
      <c r="A38" s="4" t="s">
        <v>1</v>
      </c>
      <c r="B38" s="1">
        <v>10000</v>
      </c>
      <c r="C38" s="1"/>
      <c r="D38" s="4"/>
    </row>
    <row r="39" spans="1:9" x14ac:dyDescent="0.25">
      <c r="A39" s="7" t="s">
        <v>28</v>
      </c>
      <c r="B39" s="4"/>
      <c r="C39" s="8">
        <f>SUM(B33:B38)</f>
        <v>107105</v>
      </c>
      <c r="D39" s="8">
        <f>SUM(B33:B38)</f>
        <v>107105</v>
      </c>
    </row>
    <row r="41" spans="1:9" x14ac:dyDescent="0.25">
      <c r="A41" s="10" t="s">
        <v>32</v>
      </c>
      <c r="B41" s="10" t="s">
        <v>6</v>
      </c>
      <c r="C41" s="10" t="s">
        <v>7</v>
      </c>
      <c r="D41" s="11" t="s">
        <v>8</v>
      </c>
    </row>
    <row r="42" spans="1:9" x14ac:dyDescent="0.25">
      <c r="A42" s="4" t="s">
        <v>2</v>
      </c>
      <c r="B42" s="6">
        <v>56580</v>
      </c>
      <c r="C42" s="4"/>
      <c r="D42" s="4"/>
    </row>
    <row r="43" spans="1:9" x14ac:dyDescent="0.25">
      <c r="A43" s="4" t="s">
        <v>13</v>
      </c>
      <c r="B43" s="6">
        <v>6389.89</v>
      </c>
      <c r="C43" s="4"/>
      <c r="D43" s="4"/>
    </row>
    <row r="44" spans="1:9" x14ac:dyDescent="0.25">
      <c r="A44" s="4" t="s">
        <v>21</v>
      </c>
      <c r="B44" s="6">
        <v>287.5</v>
      </c>
      <c r="C44" s="4"/>
      <c r="D44" s="4"/>
      <c r="I44" s="2"/>
    </row>
    <row r="45" spans="1:9" x14ac:dyDescent="0.25">
      <c r="A45" s="4" t="s">
        <v>23</v>
      </c>
      <c r="B45" s="6">
        <v>1000</v>
      </c>
      <c r="C45" s="4"/>
      <c r="D45" s="4"/>
    </row>
    <row r="46" spans="1:9" x14ac:dyDescent="0.25">
      <c r="A46" s="4" t="s">
        <v>3</v>
      </c>
      <c r="B46" s="6">
        <v>2365.3200000000002</v>
      </c>
      <c r="C46" s="4"/>
      <c r="D46" s="4"/>
    </row>
    <row r="47" spans="1:9" x14ac:dyDescent="0.25">
      <c r="A47" s="4" t="s">
        <v>34</v>
      </c>
      <c r="B47" s="6">
        <v>21000</v>
      </c>
      <c r="C47" s="4"/>
      <c r="D47" s="4"/>
    </row>
    <row r="48" spans="1:9" x14ac:dyDescent="0.25">
      <c r="A48" s="4" t="s">
        <v>36</v>
      </c>
      <c r="B48" s="6">
        <v>4240</v>
      </c>
      <c r="C48" s="4"/>
      <c r="D48" s="4"/>
    </row>
    <row r="49" spans="1:6" x14ac:dyDescent="0.25">
      <c r="A49" s="4" t="s">
        <v>37</v>
      </c>
      <c r="B49" s="6">
        <v>9500</v>
      </c>
      <c r="C49" s="4"/>
      <c r="D49" s="4"/>
    </row>
    <row r="50" spans="1:6" x14ac:dyDescent="0.25">
      <c r="A50" s="4" t="s">
        <v>35</v>
      </c>
      <c r="B50" s="6">
        <v>938</v>
      </c>
      <c r="C50" s="4"/>
      <c r="D50" s="4"/>
    </row>
    <row r="51" spans="1:6" x14ac:dyDescent="0.25">
      <c r="A51" s="4" t="s">
        <v>17</v>
      </c>
      <c r="B51" s="6">
        <v>1610</v>
      </c>
      <c r="C51" s="4"/>
      <c r="D51" s="4"/>
    </row>
    <row r="52" spans="1:6" x14ac:dyDescent="0.25">
      <c r="A52" s="4" t="s">
        <v>14</v>
      </c>
      <c r="B52" s="6">
        <v>478.52</v>
      </c>
      <c r="C52" s="4"/>
      <c r="D52" s="4"/>
    </row>
    <row r="53" spans="1:6" x14ac:dyDescent="0.25">
      <c r="A53" s="4" t="s">
        <v>38</v>
      </c>
      <c r="B53" s="6">
        <v>4000</v>
      </c>
      <c r="C53" s="4"/>
      <c r="D53" s="4"/>
    </row>
    <row r="54" spans="1:6" x14ac:dyDescent="0.25">
      <c r="A54" s="4" t="s">
        <v>22</v>
      </c>
      <c r="B54" s="6">
        <v>1160</v>
      </c>
      <c r="C54" s="4"/>
      <c r="D54" s="4"/>
    </row>
    <row r="55" spans="1:6" x14ac:dyDescent="0.25">
      <c r="A55" s="7" t="s">
        <v>31</v>
      </c>
      <c r="B55" s="6"/>
      <c r="C55" s="8">
        <f>SUM(B42:B54)</f>
        <v>109549.23000000001</v>
      </c>
      <c r="D55" s="8">
        <f>SUM(B42:B54)</f>
        <v>109549.23000000001</v>
      </c>
    </row>
    <row r="56" spans="1:6" x14ac:dyDescent="0.25">
      <c r="A56" s="9" t="s">
        <v>9</v>
      </c>
      <c r="B56" s="6"/>
      <c r="C56" s="4"/>
      <c r="D56" s="8">
        <f>D39-D55</f>
        <v>-2444.2300000000105</v>
      </c>
    </row>
    <row r="58" spans="1:6" x14ac:dyDescent="0.25">
      <c r="A58" t="s">
        <v>39</v>
      </c>
      <c r="D58" s="2">
        <v>25771.08</v>
      </c>
    </row>
    <row r="59" spans="1:6" x14ac:dyDescent="0.25">
      <c r="A59" t="s">
        <v>40</v>
      </c>
      <c r="D59" s="2">
        <f>SUM(D11+D39)</f>
        <v>251150</v>
      </c>
      <c r="E59" s="13"/>
    </row>
    <row r="60" spans="1:6" x14ac:dyDescent="0.25">
      <c r="A60" t="s">
        <v>41</v>
      </c>
      <c r="D60" s="1">
        <f>SUM(D58:D59)</f>
        <v>276921.08</v>
      </c>
      <c r="E60" s="12"/>
    </row>
    <row r="61" spans="1:6" x14ac:dyDescent="0.25">
      <c r="A61" t="s">
        <v>42</v>
      </c>
      <c r="D61" s="2">
        <f>SUM(C29+C55)</f>
        <v>247540.27000000002</v>
      </c>
      <c r="E61" s="14"/>
      <c r="F61" s="14"/>
    </row>
    <row r="63" spans="1:6" x14ac:dyDescent="0.25">
      <c r="A63" t="s">
        <v>18</v>
      </c>
      <c r="D63" s="14">
        <f>+D60-D61</f>
        <v>29380.809999999998</v>
      </c>
    </row>
    <row r="75" spans="2:3" x14ac:dyDescent="0.25">
      <c r="B75" s="3"/>
      <c r="C75" s="3"/>
    </row>
    <row r="83" spans="2:3" x14ac:dyDescent="0.25">
      <c r="B83" s="3"/>
      <c r="C83" s="3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PRIMER BIMESTRE 2013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cp:lastPrinted>2013-08-25T02:43:54Z</cp:lastPrinted>
  <dcterms:created xsi:type="dcterms:W3CDTF">2012-03-13T02:38:06Z</dcterms:created>
  <dcterms:modified xsi:type="dcterms:W3CDTF">2013-08-25T02:48:00Z</dcterms:modified>
</cp:coreProperties>
</file>