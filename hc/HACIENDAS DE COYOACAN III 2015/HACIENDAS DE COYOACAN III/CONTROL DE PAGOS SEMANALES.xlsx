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sala\Documents\HACIENDAS DE COYOACAN III\"/>
    </mc:Choice>
  </mc:AlternateContent>
  <bookViews>
    <workbookView xWindow="0" yWindow="0" windowWidth="24000" windowHeight="934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1" i="1" l="1"/>
  <c r="J41" i="1"/>
  <c r="J37" i="1"/>
  <c r="G37" i="1"/>
  <c r="J35" i="1"/>
  <c r="G35" i="1"/>
  <c r="J33" i="1"/>
  <c r="G33" i="1"/>
  <c r="G32" i="1"/>
  <c r="G34" i="1"/>
  <c r="G36" i="1"/>
  <c r="G38" i="1"/>
  <c r="G39" i="1"/>
  <c r="G40" i="1"/>
  <c r="J15" i="1"/>
  <c r="J13" i="1"/>
  <c r="J5" i="1"/>
  <c r="J6" i="1"/>
  <c r="J7" i="1"/>
  <c r="J9" i="1"/>
  <c r="J10" i="1"/>
  <c r="J11" i="1"/>
  <c r="J12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2" i="1"/>
  <c r="J34" i="1"/>
  <c r="J36" i="1"/>
  <c r="J38" i="1"/>
  <c r="J39" i="1"/>
  <c r="J40" i="1"/>
  <c r="J4" i="1"/>
  <c r="G19" i="1"/>
  <c r="G21" i="1"/>
  <c r="G22" i="1"/>
  <c r="G23" i="1"/>
  <c r="G24" i="1"/>
  <c r="G26" i="1"/>
  <c r="G27" i="1"/>
  <c r="G28" i="1"/>
  <c r="G29" i="1"/>
  <c r="G30" i="1"/>
  <c r="G5" i="1" l="1"/>
  <c r="G6" i="1"/>
  <c r="G7" i="1"/>
  <c r="G9" i="1"/>
  <c r="G10" i="1"/>
  <c r="G11" i="1"/>
  <c r="G12" i="1"/>
  <c r="G13" i="1"/>
  <c r="G15" i="1"/>
  <c r="G16" i="1"/>
  <c r="G17" i="1"/>
  <c r="G18" i="1"/>
  <c r="G4" i="1"/>
</calcChain>
</file>

<file path=xl/sharedStrings.xml><?xml version="1.0" encoding="utf-8"?>
<sst xmlns="http://schemas.openxmlformats.org/spreadsheetml/2006/main" count="63" uniqueCount="31">
  <si>
    <t>SEMANA</t>
  </si>
  <si>
    <t>IMPORTE</t>
  </si>
  <si>
    <t>No</t>
  </si>
  <si>
    <t>CANTIDAD</t>
  </si>
  <si>
    <t>NUMERACION</t>
  </si>
  <si>
    <t>B SALA</t>
  </si>
  <si>
    <t>GASTOS</t>
  </si>
  <si>
    <t>MENSUALES</t>
  </si>
  <si>
    <t>DIFERENCIA</t>
  </si>
  <si>
    <t>FECHA</t>
  </si>
  <si>
    <t>MES</t>
  </si>
  <si>
    <t>ENERO</t>
  </si>
  <si>
    <t>RECIBOS</t>
  </si>
  <si>
    <t>"</t>
  </si>
  <si>
    <t>FEBRERO</t>
  </si>
  <si>
    <t>MARZO</t>
  </si>
  <si>
    <t>CHEQUES</t>
  </si>
  <si>
    <t>ENTREGADA</t>
  </si>
  <si>
    <t>ABRIL</t>
  </si>
  <si>
    <t>MAYO</t>
  </si>
  <si>
    <t>JUNIO</t>
  </si>
  <si>
    <t>CHEQUE #</t>
  </si>
  <si>
    <t>ENTRE COBRO</t>
  </si>
  <si>
    <t>Y ENTREGA</t>
  </si>
  <si>
    <t>S/N</t>
  </si>
  <si>
    <t>faltaron 100</t>
  </si>
  <si>
    <t>basura 50</t>
  </si>
  <si>
    <t>basura 60</t>
  </si>
  <si>
    <t>transf.</t>
  </si>
  <si>
    <t>29-30-15</t>
  </si>
  <si>
    <t>transf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</si>
</sst>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€_-;\-* #,##0.00\ _€_-;_-* &quot;-&quot;??\ _€_-;_-@_-"/>
    <numFmt numFmtId="164" formatCode="dd\-mm\-yy;@"/>
    <numFmt numFmtId="165" formatCode="#,##0.00\ _€"/>
    <numFmt numFmtId="166" formatCode="#,##0.00\ &quot;€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43" fontId="0" fillId="0" borderId="0" xfId="1" applyFont="1" applyAlignment="1">
      <alignment horizontal="center"/>
    </xf>
    <xf numFmtId="165" fontId="0" fillId="0" borderId="0" xfId="1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/>
    <xf numFmtId="0" fontId="1" fillId="0" borderId="1" xfId="0" applyFont="1" applyFill="1" applyBorder="1" applyAlignment="1">
      <alignment horizontal="center"/>
    </xf>
    <xf numFmtId="4" fontId="0" fillId="0" borderId="0" xfId="0" applyNumberFormat="1"/>
    <xf numFmtId="4" fontId="0" fillId="0" borderId="0" xfId="0" applyNumberFormat="1" applyAlignment="1">
      <alignment horizontal="center"/>
    </xf>
    <xf numFmtId="165" fontId="0" fillId="0" borderId="0" xfId="1" applyNumberFormat="1" applyFont="1" applyFill="1" applyAlignment="1"/>
    <xf numFmtId="40" fontId="0" fillId="0" borderId="0" xfId="0" applyNumberFormat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4" fontId="0" fillId="0" borderId="2" xfId="0" applyNumberFormat="1" applyBorder="1" applyAlignment="1">
      <alignment horizontal="center"/>
    </xf>
    <xf numFmtId="40" fontId="0" fillId="0" borderId="2" xfId="0" applyNumberFormat="1" applyBorder="1" applyAlignment="1">
      <alignment horizontal="center"/>
    </xf>
    <xf numFmtId="0" fontId="0" fillId="0" borderId="2" xfId="0" applyBorder="1"/>
    <xf numFmtId="4" fontId="0" fillId="0" borderId="5" xfId="0" applyNumberFormat="1" applyBorder="1"/>
    <xf numFmtId="0" fontId="0" fillId="0" borderId="7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4" fontId="0" fillId="0" borderId="7" xfId="0" applyNumberFormat="1" applyBorder="1" applyAlignment="1">
      <alignment horizontal="center"/>
    </xf>
    <xf numFmtId="40" fontId="0" fillId="0" borderId="7" xfId="0" applyNumberForma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4" fontId="0" fillId="0" borderId="0" xfId="0" applyNumberFormat="1" applyBorder="1" applyAlignment="1">
      <alignment horizontal="center"/>
    </xf>
    <xf numFmtId="40" fontId="0" fillId="0" borderId="0" xfId="0" applyNumberFormat="1" applyBorder="1" applyAlignment="1">
      <alignment horizontal="center"/>
    </xf>
    <xf numFmtId="0" fontId="0" fillId="0" borderId="0" xfId="0" applyBorder="1"/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1" applyNumberFormat="1" applyFont="1" applyFill="1" applyBorder="1" applyAlignment="1"/>
    <xf numFmtId="4" fontId="0" fillId="0" borderId="1" xfId="0" applyNumberFormat="1" applyBorder="1" applyAlignment="1">
      <alignment horizontal="center"/>
    </xf>
    <xf numFmtId="40" fontId="0" fillId="0" borderId="1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1" fillId="0" borderId="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" xfId="0" applyFont="1" applyBorder="1" applyAlignment="1">
      <alignment horizontal="center"/>
    </xf>
    <xf numFmtId="164" fontId="0" fillId="0" borderId="3" xfId="0" applyNumberFormat="1" applyFon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5" fontId="0" fillId="0" borderId="3" xfId="1" applyNumberFormat="1" applyFont="1" applyBorder="1" applyAlignment="1"/>
    <xf numFmtId="165" fontId="0" fillId="0" borderId="13" xfId="1" applyNumberFormat="1" applyFont="1" applyBorder="1" applyAlignment="1"/>
    <xf numFmtId="165" fontId="0" fillId="0" borderId="14" xfId="1" applyNumberFormat="1" applyFont="1" applyFill="1" applyBorder="1" applyAlignment="1"/>
    <xf numFmtId="4" fontId="0" fillId="0" borderId="3" xfId="0" applyNumberFormat="1" applyBorder="1" applyAlignment="1">
      <alignment horizontal="center"/>
    </xf>
    <xf numFmtId="4" fontId="0" fillId="0" borderId="13" xfId="0" applyNumberFormat="1" applyBorder="1" applyAlignment="1">
      <alignment horizontal="center"/>
    </xf>
    <xf numFmtId="4" fontId="0" fillId="0" borderId="14" xfId="0" applyNumberFormat="1" applyBorder="1" applyAlignment="1">
      <alignment horizontal="center"/>
    </xf>
    <xf numFmtId="40" fontId="0" fillId="0" borderId="13" xfId="0" applyNumberFormat="1" applyBorder="1" applyAlignment="1">
      <alignment horizontal="center"/>
    </xf>
    <xf numFmtId="40" fontId="0" fillId="0" borderId="3" xfId="0" applyNumberFormat="1" applyBorder="1" applyAlignment="1">
      <alignment horizontal="center"/>
    </xf>
    <xf numFmtId="40" fontId="0" fillId="0" borderId="14" xfId="0" applyNumberFormat="1" applyBorder="1" applyAlignment="1">
      <alignment horizontal="center"/>
    </xf>
    <xf numFmtId="0" fontId="0" fillId="0" borderId="12" xfId="0" applyBorder="1"/>
    <xf numFmtId="0" fontId="0" fillId="0" borderId="3" xfId="0" applyBorder="1"/>
    <xf numFmtId="0" fontId="0" fillId="0" borderId="13" xfId="0" applyBorder="1"/>
    <xf numFmtId="0" fontId="0" fillId="0" borderId="14" xfId="0" applyBorder="1"/>
    <xf numFmtId="4" fontId="0" fillId="0" borderId="3" xfId="0" applyNumberFormat="1" applyBorder="1"/>
    <xf numFmtId="4" fontId="0" fillId="0" borderId="13" xfId="0" applyNumberFormat="1" applyBorder="1"/>
    <xf numFmtId="165" fontId="0" fillId="0" borderId="0" xfId="1" applyNumberFormat="1" applyFont="1" applyFill="1" applyBorder="1" applyAlignment="1"/>
    <xf numFmtId="165" fontId="0" fillId="0" borderId="0" xfId="0" applyNumberFormat="1" applyBorder="1"/>
    <xf numFmtId="166" fontId="0" fillId="0" borderId="10" xfId="0" applyNumberFormat="1" applyBorder="1"/>
    <xf numFmtId="165" fontId="0" fillId="0" borderId="7" xfId="1" applyNumberFormat="1" applyFont="1" applyFill="1" applyBorder="1" applyAlignment="1"/>
    <xf numFmtId="165" fontId="0" fillId="0" borderId="1" xfId="0" applyNumberFormat="1" applyBorder="1"/>
    <xf numFmtId="166" fontId="0" fillId="0" borderId="12" xfId="0" applyNumberFormat="1" applyBorder="1"/>
    <xf numFmtId="165" fontId="0" fillId="0" borderId="7" xfId="0" applyNumberFormat="1" applyBorder="1"/>
    <xf numFmtId="166" fontId="0" fillId="0" borderId="8" xfId="0" applyNumberFormat="1" applyBorder="1"/>
    <xf numFmtId="0" fontId="0" fillId="0" borderId="6" xfId="0" applyBorder="1"/>
    <xf numFmtId="0" fontId="0" fillId="0" borderId="9" xfId="0" applyBorder="1"/>
    <xf numFmtId="165" fontId="0" fillId="2" borderId="0" xfId="1" applyNumberFormat="1" applyFont="1" applyFill="1" applyBorder="1" applyAlignment="1"/>
    <xf numFmtId="0" fontId="0" fillId="0" borderId="11" xfId="0" applyBorder="1"/>
    <xf numFmtId="165" fontId="0" fillId="0" borderId="3" xfId="1" applyNumberFormat="1" applyFont="1" applyFill="1" applyBorder="1" applyAlignment="1"/>
    <xf numFmtId="165" fontId="0" fillId="0" borderId="4" xfId="1" applyNumberFormat="1" applyFont="1" applyFill="1" applyBorder="1" applyAlignment="1"/>
    <xf numFmtId="0" fontId="0" fillId="0" borderId="4" xfId="0" applyBorder="1"/>
    <xf numFmtId="40" fontId="0" fillId="0" borderId="4" xfId="0" applyNumberFormat="1" applyBorder="1" applyAlignment="1">
      <alignment horizontal="center"/>
    </xf>
    <xf numFmtId="165" fontId="0" fillId="0" borderId="4" xfId="0" applyNumberFormat="1" applyBorder="1"/>
    <xf numFmtId="166" fontId="0" fillId="0" borderId="3" xfId="0" applyNumberFormat="1" applyBorder="1"/>
    <xf numFmtId="164" fontId="0" fillId="0" borderId="4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165" fontId="0" fillId="0" borderId="3" xfId="0" applyNumberFormat="1" applyBorder="1"/>
    <xf numFmtId="165" fontId="0" fillId="0" borderId="3" xfId="0" applyNumberFormat="1" applyBorder="1" applyAlignment="1">
      <alignment horizontal="center"/>
    </xf>
    <xf numFmtId="4" fontId="0" fillId="0" borderId="4" xfId="0" applyNumberFormat="1" applyBorder="1"/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198"/>
  <sheetViews>
    <sheetView tabSelected="1" zoomScale="85" zoomScaleNormal="85" workbookViewId="0">
      <pane ySplit="1005" activePane="bottomLeft"/>
      <selection activeCell="B2" sqref="B2"/>
      <selection pane="bottomLeft" activeCell="Q27" sqref="Q27"/>
    </sheetView>
  </sheetViews>
  <sheetFormatPr baseColWidth="10" defaultRowHeight="15" x14ac:dyDescent="0.25"/>
  <cols>
    <col min="2" max="2" width="8.140625" customWidth="1"/>
    <col min="3" max="3" width="7.85546875" customWidth="1"/>
    <col min="4" max="4" width="11.140625" style="2" customWidth="1"/>
    <col min="5" max="5" width="6.7109375" customWidth="1"/>
    <col min="6" max="6" width="6.28515625" customWidth="1"/>
    <col min="7" max="7" width="9.5703125" style="2" customWidth="1"/>
    <col min="8" max="8" width="11.140625" customWidth="1"/>
    <col min="10" max="10" width="12.140625" customWidth="1"/>
    <col min="12" max="12" width="11.42578125" customWidth="1"/>
    <col min="13" max="13" width="2.28515625" customWidth="1"/>
    <col min="14" max="14" width="9.85546875" customWidth="1"/>
    <col min="15" max="15" width="9.7109375" customWidth="1"/>
    <col min="16" max="16" width="9.140625" customWidth="1"/>
    <col min="17" max="17" width="10.42578125" customWidth="1"/>
  </cols>
  <sheetData>
    <row r="1" spans="2:18" x14ac:dyDescent="0.25">
      <c r="I1" s="4" t="s">
        <v>3</v>
      </c>
      <c r="J1" s="8" t="s">
        <v>8</v>
      </c>
    </row>
    <row r="2" spans="2:18" x14ac:dyDescent="0.25">
      <c r="C2" s="1" t="s">
        <v>0</v>
      </c>
      <c r="E2" s="20" t="s">
        <v>12</v>
      </c>
      <c r="F2" s="20"/>
      <c r="G2" s="20"/>
      <c r="H2" s="20"/>
      <c r="I2" s="1" t="s">
        <v>17</v>
      </c>
      <c r="J2" s="8" t="s">
        <v>22</v>
      </c>
      <c r="K2" s="1" t="s">
        <v>6</v>
      </c>
      <c r="N2" s="20" t="s">
        <v>16</v>
      </c>
      <c r="O2" s="20"/>
      <c r="P2" s="20" t="s">
        <v>16</v>
      </c>
      <c r="Q2" s="20"/>
    </row>
    <row r="3" spans="2:18" x14ac:dyDescent="0.25">
      <c r="B3" s="7" t="s">
        <v>10</v>
      </c>
      <c r="C3" s="7" t="s">
        <v>2</v>
      </c>
      <c r="D3" s="7" t="s">
        <v>9</v>
      </c>
      <c r="E3" s="19" t="s">
        <v>4</v>
      </c>
      <c r="F3" s="19"/>
      <c r="G3" s="7" t="s">
        <v>3</v>
      </c>
      <c r="H3" s="7" t="s">
        <v>1</v>
      </c>
      <c r="I3" s="7" t="s">
        <v>5</v>
      </c>
      <c r="J3" s="7" t="s">
        <v>23</v>
      </c>
      <c r="K3" s="7" t="s">
        <v>7</v>
      </c>
      <c r="L3" s="7" t="s">
        <v>8</v>
      </c>
      <c r="M3" s="10"/>
      <c r="N3" s="11" t="s">
        <v>21</v>
      </c>
      <c r="O3" s="11" t="s">
        <v>1</v>
      </c>
      <c r="P3" s="11" t="s">
        <v>21</v>
      </c>
      <c r="Q3" s="11" t="s">
        <v>1</v>
      </c>
    </row>
    <row r="4" spans="2:18" x14ac:dyDescent="0.25">
      <c r="B4" s="46" t="s">
        <v>11</v>
      </c>
      <c r="C4" s="50">
        <v>1</v>
      </c>
      <c r="D4" s="51">
        <v>42008</v>
      </c>
      <c r="E4" s="50">
        <v>8634</v>
      </c>
      <c r="F4" s="50">
        <v>8685</v>
      </c>
      <c r="G4" s="48">
        <f>+F4-E4</f>
        <v>51</v>
      </c>
      <c r="H4" s="55">
        <v>30005</v>
      </c>
      <c r="I4" s="58">
        <v>30000</v>
      </c>
      <c r="J4" s="23">
        <f>+H4-I4</f>
        <v>5</v>
      </c>
      <c r="K4" s="45"/>
      <c r="L4" s="65"/>
      <c r="M4" s="24"/>
      <c r="N4" s="48"/>
      <c r="O4" s="68"/>
      <c r="P4" s="48"/>
      <c r="Q4" s="25"/>
    </row>
    <row r="5" spans="2:18" x14ac:dyDescent="0.25">
      <c r="B5" s="47" t="s">
        <v>13</v>
      </c>
      <c r="C5" s="47">
        <v>2</v>
      </c>
      <c r="D5" s="52">
        <v>42015</v>
      </c>
      <c r="E5" s="47">
        <v>8686</v>
      </c>
      <c r="F5" s="47">
        <v>8728</v>
      </c>
      <c r="G5" s="47">
        <f t="shared" ref="G5:G40" si="0">+F5-E5</f>
        <v>42</v>
      </c>
      <c r="H5" s="56">
        <v>30530</v>
      </c>
      <c r="I5" s="59">
        <v>20000</v>
      </c>
      <c r="J5" s="61">
        <f t="shared" ref="J5:J40" si="1">+H5-I5</f>
        <v>10530</v>
      </c>
      <c r="K5" s="31"/>
      <c r="L5" s="66"/>
      <c r="M5" s="30"/>
      <c r="N5" s="48"/>
      <c r="O5" s="69"/>
      <c r="P5" s="66"/>
      <c r="Q5" s="31"/>
    </row>
    <row r="6" spans="2:18" x14ac:dyDescent="0.25">
      <c r="B6" s="48" t="s">
        <v>13</v>
      </c>
      <c r="C6" s="48">
        <v>3</v>
      </c>
      <c r="D6" s="53">
        <v>42022</v>
      </c>
      <c r="E6" s="48">
        <v>8729</v>
      </c>
      <c r="F6" s="48">
        <v>8783</v>
      </c>
      <c r="G6" s="48">
        <f t="shared" si="0"/>
        <v>54</v>
      </c>
      <c r="H6" s="55">
        <v>38000</v>
      </c>
      <c r="I6" s="58">
        <v>20000</v>
      </c>
      <c r="J6" s="62">
        <f t="shared" si="1"/>
        <v>18000</v>
      </c>
      <c r="K6" s="45"/>
      <c r="L6" s="65"/>
      <c r="M6" s="24"/>
      <c r="N6" s="48"/>
      <c r="O6" s="68"/>
      <c r="P6" s="65"/>
      <c r="Q6" s="45"/>
    </row>
    <row r="7" spans="2:18" x14ac:dyDescent="0.25">
      <c r="B7" s="49" t="s">
        <v>13</v>
      </c>
      <c r="C7" s="49">
        <v>4</v>
      </c>
      <c r="D7" s="54">
        <v>42029</v>
      </c>
      <c r="E7" s="49">
        <v>8784</v>
      </c>
      <c r="F7" s="49">
        <v>8832</v>
      </c>
      <c r="G7" s="49">
        <f t="shared" si="0"/>
        <v>48</v>
      </c>
      <c r="H7" s="57">
        <v>29240</v>
      </c>
      <c r="I7" s="60">
        <v>25000</v>
      </c>
      <c r="J7" s="63">
        <f t="shared" si="1"/>
        <v>4240</v>
      </c>
      <c r="K7" s="64"/>
      <c r="L7" s="67"/>
      <c r="M7" s="10"/>
      <c r="N7" s="48">
        <v>2170</v>
      </c>
      <c r="O7" s="60">
        <v>4400</v>
      </c>
      <c r="P7" s="49">
        <v>1040</v>
      </c>
      <c r="Q7" s="43">
        <v>4400</v>
      </c>
    </row>
    <row r="8" spans="2:18" x14ac:dyDescent="0.25">
      <c r="B8" s="2"/>
      <c r="D8" s="3"/>
      <c r="E8" s="2"/>
      <c r="F8" s="2"/>
      <c r="H8" s="14"/>
      <c r="J8" s="15"/>
      <c r="N8" s="2"/>
      <c r="O8" s="13"/>
    </row>
    <row r="9" spans="2:18" x14ac:dyDescent="0.25">
      <c r="B9" s="48" t="s">
        <v>14</v>
      </c>
      <c r="C9" s="48">
        <v>1</v>
      </c>
      <c r="D9" s="53">
        <v>42036</v>
      </c>
      <c r="E9" s="21">
        <v>8833</v>
      </c>
      <c r="F9" s="48">
        <v>8872</v>
      </c>
      <c r="G9" s="48">
        <f t="shared" si="0"/>
        <v>39</v>
      </c>
      <c r="H9" s="82">
        <v>29305</v>
      </c>
      <c r="I9" s="58">
        <v>10000</v>
      </c>
      <c r="J9" s="62">
        <f t="shared" si="1"/>
        <v>19305</v>
      </c>
      <c r="K9" s="65"/>
      <c r="L9" s="65"/>
      <c r="M9" s="65"/>
      <c r="N9" s="48"/>
      <c r="O9" s="58"/>
      <c r="P9" s="65"/>
      <c r="Q9" s="65"/>
    </row>
    <row r="10" spans="2:18" x14ac:dyDescent="0.25">
      <c r="B10" s="48" t="s">
        <v>13</v>
      </c>
      <c r="C10" s="48">
        <v>2</v>
      </c>
      <c r="D10" s="53">
        <v>42043</v>
      </c>
      <c r="E10" s="48">
        <v>8873</v>
      </c>
      <c r="F10" s="48">
        <v>8919</v>
      </c>
      <c r="G10" s="48">
        <f t="shared" si="0"/>
        <v>46</v>
      </c>
      <c r="H10" s="82">
        <v>21060</v>
      </c>
      <c r="I10" s="58">
        <v>40000</v>
      </c>
      <c r="J10" s="62">
        <f t="shared" si="1"/>
        <v>-18940</v>
      </c>
      <c r="K10" s="65"/>
      <c r="L10" s="65"/>
      <c r="M10" s="24"/>
      <c r="N10" s="48"/>
      <c r="O10" s="58"/>
      <c r="P10" s="65"/>
      <c r="Q10" s="65"/>
      <c r="R10" t="s">
        <v>27</v>
      </c>
    </row>
    <row r="11" spans="2:18" x14ac:dyDescent="0.25">
      <c r="B11" s="44" t="s">
        <v>13</v>
      </c>
      <c r="C11" s="44">
        <v>3</v>
      </c>
      <c r="D11" s="53">
        <v>42050</v>
      </c>
      <c r="E11" s="44">
        <v>8920</v>
      </c>
      <c r="F11" s="44">
        <v>8969</v>
      </c>
      <c r="G11" s="44">
        <f t="shared" si="0"/>
        <v>49</v>
      </c>
      <c r="H11" s="83">
        <v>31280</v>
      </c>
      <c r="I11" s="84"/>
      <c r="J11" s="85">
        <f t="shared" si="1"/>
        <v>31280</v>
      </c>
      <c r="K11" s="86"/>
      <c r="L11" s="86"/>
      <c r="M11" s="84"/>
      <c r="N11" s="44" t="s">
        <v>24</v>
      </c>
      <c r="O11" s="22">
        <v>1200</v>
      </c>
      <c r="P11" s="84"/>
      <c r="Q11" s="87"/>
    </row>
    <row r="12" spans="2:18" x14ac:dyDescent="0.25">
      <c r="B12" s="44" t="s">
        <v>13</v>
      </c>
      <c r="C12" s="44">
        <v>4</v>
      </c>
      <c r="D12" s="88">
        <v>42057</v>
      </c>
      <c r="E12" s="48">
        <v>8970</v>
      </c>
      <c r="F12" s="44">
        <v>9001</v>
      </c>
      <c r="G12" s="44">
        <f t="shared" si="0"/>
        <v>31</v>
      </c>
      <c r="H12" s="83">
        <v>22310</v>
      </c>
      <c r="I12" s="65"/>
      <c r="J12" s="85">
        <f t="shared" si="1"/>
        <v>22310</v>
      </c>
      <c r="K12" s="86"/>
      <c r="L12" s="86"/>
      <c r="M12" s="65"/>
      <c r="N12" s="44" t="s">
        <v>24</v>
      </c>
      <c r="O12" s="89">
        <v>4400</v>
      </c>
      <c r="P12" s="84"/>
      <c r="Q12" s="87"/>
    </row>
    <row r="13" spans="2:18" x14ac:dyDescent="0.25">
      <c r="B13" s="48" t="s">
        <v>13</v>
      </c>
      <c r="C13" s="65"/>
      <c r="D13" s="53">
        <v>42061</v>
      </c>
      <c r="E13" s="48"/>
      <c r="F13" s="44"/>
      <c r="G13" s="48">
        <f t="shared" si="0"/>
        <v>0</v>
      </c>
      <c r="H13" s="83"/>
      <c r="I13" s="91">
        <v>20000</v>
      </c>
      <c r="J13" s="62">
        <f t="shared" si="1"/>
        <v>-20000</v>
      </c>
      <c r="K13" s="90"/>
      <c r="L13" s="90"/>
      <c r="M13" s="65"/>
      <c r="N13" s="44"/>
      <c r="O13" s="58"/>
      <c r="P13" s="65"/>
      <c r="Q13" s="87"/>
    </row>
    <row r="14" spans="2:18" x14ac:dyDescent="0.25">
      <c r="B14" s="2"/>
      <c r="D14" s="3"/>
      <c r="E14" s="2"/>
      <c r="F14" s="2"/>
      <c r="H14" s="14"/>
      <c r="J14" s="15"/>
      <c r="K14" s="17"/>
      <c r="L14" s="17"/>
      <c r="N14" s="2"/>
      <c r="O14" s="13"/>
      <c r="Q14" s="18"/>
    </row>
    <row r="15" spans="2:18" x14ac:dyDescent="0.25">
      <c r="B15" s="44" t="s">
        <v>15</v>
      </c>
      <c r="C15" s="44">
        <v>1</v>
      </c>
      <c r="D15" s="53">
        <v>42064</v>
      </c>
      <c r="E15" s="44">
        <v>9002</v>
      </c>
      <c r="F15" s="44">
        <v>9055</v>
      </c>
      <c r="G15" s="44">
        <f t="shared" si="0"/>
        <v>53</v>
      </c>
      <c r="H15" s="83">
        <v>28220</v>
      </c>
      <c r="I15" s="89">
        <v>10000</v>
      </c>
      <c r="J15" s="85">
        <f>+H15-I15</f>
        <v>18220</v>
      </c>
      <c r="K15" s="86"/>
      <c r="L15" s="86"/>
      <c r="M15" s="84"/>
      <c r="N15" s="44"/>
      <c r="O15" s="89"/>
      <c r="P15" s="84"/>
      <c r="Q15" s="87"/>
      <c r="R15" t="s">
        <v>25</v>
      </c>
    </row>
    <row r="16" spans="2:18" x14ac:dyDescent="0.25">
      <c r="B16" s="44" t="s">
        <v>13</v>
      </c>
      <c r="C16" s="44">
        <v>2</v>
      </c>
      <c r="D16" s="88">
        <v>42071</v>
      </c>
      <c r="E16" s="44">
        <v>9056</v>
      </c>
      <c r="F16" s="44">
        <v>9107</v>
      </c>
      <c r="G16" s="44">
        <f t="shared" si="0"/>
        <v>51</v>
      </c>
      <c r="H16" s="83">
        <v>28395</v>
      </c>
      <c r="I16" s="89">
        <v>20000</v>
      </c>
      <c r="J16" s="85">
        <f t="shared" si="1"/>
        <v>8395</v>
      </c>
      <c r="K16" s="86"/>
      <c r="L16" s="86"/>
      <c r="M16" s="84"/>
      <c r="N16" s="44" t="s">
        <v>24</v>
      </c>
      <c r="O16" s="89">
        <v>800</v>
      </c>
      <c r="P16" s="84"/>
      <c r="Q16" s="87"/>
      <c r="R16" t="s">
        <v>26</v>
      </c>
    </row>
    <row r="17" spans="2:18" x14ac:dyDescent="0.25">
      <c r="B17" s="44" t="s">
        <v>13</v>
      </c>
      <c r="C17" s="44">
        <v>3</v>
      </c>
      <c r="D17" s="88">
        <v>42078</v>
      </c>
      <c r="E17" s="44">
        <v>9108</v>
      </c>
      <c r="F17" s="44">
        <v>9145</v>
      </c>
      <c r="G17" s="44">
        <f t="shared" si="0"/>
        <v>37</v>
      </c>
      <c r="H17" s="83">
        <v>20460</v>
      </c>
      <c r="I17" s="92"/>
      <c r="J17" s="85">
        <f t="shared" si="1"/>
        <v>20460</v>
      </c>
      <c r="K17" s="86"/>
      <c r="L17" s="86"/>
      <c r="M17" s="84"/>
      <c r="N17" s="44" t="s">
        <v>24</v>
      </c>
      <c r="O17" s="89">
        <v>1200</v>
      </c>
      <c r="P17" s="84"/>
      <c r="Q17" s="87"/>
    </row>
    <row r="18" spans="2:18" x14ac:dyDescent="0.25">
      <c r="B18" s="44" t="s">
        <v>13</v>
      </c>
      <c r="C18" s="44">
        <v>4</v>
      </c>
      <c r="D18" s="88">
        <v>42085</v>
      </c>
      <c r="E18" s="44">
        <v>9146</v>
      </c>
      <c r="F18" s="44">
        <v>9185</v>
      </c>
      <c r="G18" s="44">
        <f t="shared" si="0"/>
        <v>39</v>
      </c>
      <c r="H18" s="83">
        <v>33420</v>
      </c>
      <c r="I18" s="89">
        <v>30000</v>
      </c>
      <c r="J18" s="85">
        <f t="shared" si="1"/>
        <v>3420</v>
      </c>
      <c r="K18" s="86"/>
      <c r="L18" s="86"/>
      <c r="M18" s="84"/>
      <c r="N18" s="44" t="s">
        <v>28</v>
      </c>
      <c r="O18" s="89">
        <v>400</v>
      </c>
      <c r="P18" s="84"/>
      <c r="Q18" s="87"/>
    </row>
    <row r="19" spans="2:18" x14ac:dyDescent="0.25">
      <c r="B19" s="37" t="s">
        <v>13</v>
      </c>
      <c r="C19" s="44">
        <v>5</v>
      </c>
      <c r="D19" s="88" t="s">
        <v>29</v>
      </c>
      <c r="E19" s="44">
        <v>9186</v>
      </c>
      <c r="F19" s="44">
        <v>9208</v>
      </c>
      <c r="G19" s="44">
        <f t="shared" si="0"/>
        <v>22</v>
      </c>
      <c r="H19" s="83">
        <v>10940</v>
      </c>
      <c r="I19" s="89">
        <v>20000</v>
      </c>
      <c r="J19" s="85">
        <f t="shared" si="1"/>
        <v>-9060</v>
      </c>
      <c r="K19" s="86"/>
      <c r="L19" s="86"/>
      <c r="M19" s="84"/>
      <c r="N19" s="44"/>
      <c r="O19" s="89"/>
      <c r="P19" s="10"/>
      <c r="Q19" s="75"/>
    </row>
    <row r="20" spans="2:18" x14ac:dyDescent="0.25">
      <c r="B20" s="2"/>
      <c r="D20" s="3"/>
      <c r="E20" s="2"/>
      <c r="F20" s="2"/>
      <c r="H20" s="14"/>
      <c r="I20" s="12"/>
      <c r="J20" s="15">
        <f t="shared" si="1"/>
        <v>0</v>
      </c>
      <c r="K20" s="17"/>
      <c r="L20" s="17"/>
      <c r="N20" s="2"/>
      <c r="O20" s="13"/>
      <c r="Q20" s="18"/>
    </row>
    <row r="21" spans="2:18" x14ac:dyDescent="0.25">
      <c r="B21" s="44" t="s">
        <v>18</v>
      </c>
      <c r="C21" s="48">
        <v>1</v>
      </c>
      <c r="D21" s="88">
        <v>42099</v>
      </c>
      <c r="E21" s="48">
        <v>9209</v>
      </c>
      <c r="F21" s="48">
        <v>9251</v>
      </c>
      <c r="G21" s="48">
        <f t="shared" si="0"/>
        <v>42</v>
      </c>
      <c r="H21" s="82">
        <v>18605</v>
      </c>
      <c r="I21" s="58">
        <v>20000</v>
      </c>
      <c r="J21" s="62">
        <f t="shared" si="1"/>
        <v>-1395</v>
      </c>
      <c r="K21" s="90"/>
      <c r="L21" s="90"/>
      <c r="M21" s="65"/>
      <c r="N21" s="48" t="s">
        <v>24</v>
      </c>
      <c r="O21" s="58">
        <v>2400</v>
      </c>
      <c r="P21" s="65"/>
      <c r="Q21" s="87"/>
      <c r="R21" t="s">
        <v>26</v>
      </c>
    </row>
    <row r="22" spans="2:18" x14ac:dyDescent="0.25">
      <c r="B22" s="44" t="s">
        <v>13</v>
      </c>
      <c r="C22" s="44">
        <v>2</v>
      </c>
      <c r="D22" s="88">
        <v>42106</v>
      </c>
      <c r="E22" s="44">
        <v>9252</v>
      </c>
      <c r="F22" s="21">
        <v>9307</v>
      </c>
      <c r="G22" s="44">
        <f t="shared" si="0"/>
        <v>55</v>
      </c>
      <c r="H22" s="83">
        <v>27750</v>
      </c>
      <c r="I22" s="58">
        <v>30000</v>
      </c>
      <c r="J22" s="85">
        <f t="shared" si="1"/>
        <v>-2250</v>
      </c>
      <c r="K22" s="90"/>
      <c r="L22" s="90"/>
      <c r="M22" s="65"/>
      <c r="N22" s="48" t="s">
        <v>24</v>
      </c>
      <c r="O22" s="58">
        <v>1600</v>
      </c>
      <c r="P22" s="65"/>
      <c r="Q22" s="87"/>
    </row>
    <row r="23" spans="2:18" x14ac:dyDescent="0.25">
      <c r="B23" s="44" t="s">
        <v>13</v>
      </c>
      <c r="C23" s="48">
        <v>3</v>
      </c>
      <c r="D23" s="53">
        <v>42113</v>
      </c>
      <c r="E23" s="48">
        <v>9307</v>
      </c>
      <c r="F23" s="48">
        <v>9332</v>
      </c>
      <c r="G23" s="48">
        <f t="shared" si="0"/>
        <v>25</v>
      </c>
      <c r="H23" s="82">
        <v>12580</v>
      </c>
      <c r="I23" s="58">
        <v>12000</v>
      </c>
      <c r="J23" s="62">
        <f t="shared" si="1"/>
        <v>580</v>
      </c>
      <c r="K23" s="90"/>
      <c r="L23" s="86"/>
      <c r="M23" s="65"/>
      <c r="N23" s="48"/>
      <c r="O23" s="58"/>
      <c r="P23" s="65"/>
      <c r="Q23" s="87"/>
    </row>
    <row r="24" spans="2:18" x14ac:dyDescent="0.25">
      <c r="B24" s="37" t="s">
        <v>13</v>
      </c>
      <c r="C24" s="44">
        <v>4</v>
      </c>
      <c r="D24" s="88">
        <v>42120</v>
      </c>
      <c r="E24" s="93">
        <v>9333</v>
      </c>
      <c r="F24" s="44">
        <v>9370</v>
      </c>
      <c r="G24" s="44">
        <f t="shared" si="0"/>
        <v>37</v>
      </c>
      <c r="H24" s="83">
        <v>23480</v>
      </c>
      <c r="I24" s="58">
        <v>27000</v>
      </c>
      <c r="J24" s="85">
        <f t="shared" si="1"/>
        <v>-3520</v>
      </c>
      <c r="K24" s="90"/>
      <c r="L24" s="86"/>
      <c r="M24" s="65"/>
      <c r="N24" s="48" t="s">
        <v>30</v>
      </c>
      <c r="O24" s="58">
        <v>3200</v>
      </c>
      <c r="P24" s="65"/>
      <c r="Q24" s="87"/>
    </row>
    <row r="25" spans="2:18" x14ac:dyDescent="0.25">
      <c r="B25" s="2"/>
      <c r="D25" s="3"/>
      <c r="H25" s="14"/>
      <c r="I25" s="12"/>
      <c r="J25" s="15">
        <f t="shared" si="1"/>
        <v>0</v>
      </c>
      <c r="K25" s="17"/>
      <c r="L25" s="17"/>
      <c r="N25" s="2"/>
      <c r="O25" s="13"/>
      <c r="Q25" s="18"/>
    </row>
    <row r="26" spans="2:18" x14ac:dyDescent="0.25">
      <c r="B26" s="44" t="s">
        <v>19</v>
      </c>
      <c r="C26" s="48">
        <v>1</v>
      </c>
      <c r="D26" s="88">
        <v>42127</v>
      </c>
      <c r="E26" s="94">
        <v>9371</v>
      </c>
      <c r="F26" s="44">
        <v>9409</v>
      </c>
      <c r="G26" s="44">
        <f t="shared" si="0"/>
        <v>38</v>
      </c>
      <c r="H26" s="83">
        <v>19165</v>
      </c>
      <c r="I26" s="89">
        <v>18000</v>
      </c>
      <c r="J26" s="85">
        <f t="shared" si="1"/>
        <v>1165</v>
      </c>
      <c r="K26" s="86"/>
      <c r="L26" s="86"/>
      <c r="M26" s="84"/>
      <c r="N26" s="44"/>
      <c r="O26" s="89"/>
      <c r="P26" s="84"/>
      <c r="Q26" s="87"/>
    </row>
    <row r="27" spans="2:18" x14ac:dyDescent="0.25">
      <c r="B27" s="44" t="s">
        <v>13</v>
      </c>
      <c r="C27" s="44">
        <v>2</v>
      </c>
      <c r="D27" s="88">
        <v>42134</v>
      </c>
      <c r="E27" s="94">
        <v>9410</v>
      </c>
      <c r="F27" s="44">
        <v>9430</v>
      </c>
      <c r="G27" s="44">
        <f t="shared" si="0"/>
        <v>20</v>
      </c>
      <c r="H27" s="83">
        <v>8600</v>
      </c>
      <c r="I27" s="89">
        <v>20000</v>
      </c>
      <c r="J27" s="85">
        <f t="shared" si="1"/>
        <v>-11400</v>
      </c>
      <c r="K27" s="86"/>
      <c r="L27" s="86"/>
      <c r="M27" s="84"/>
      <c r="N27" s="44"/>
      <c r="O27" s="89"/>
      <c r="P27" s="84"/>
      <c r="Q27" s="87"/>
    </row>
    <row r="28" spans="2:18" x14ac:dyDescent="0.25">
      <c r="B28" s="44" t="s">
        <v>13</v>
      </c>
      <c r="C28" s="44">
        <v>3</v>
      </c>
      <c r="D28" s="88">
        <v>42141</v>
      </c>
      <c r="E28" s="94">
        <v>9431</v>
      </c>
      <c r="F28" s="44">
        <v>9486</v>
      </c>
      <c r="G28" s="44">
        <f t="shared" si="0"/>
        <v>55</v>
      </c>
      <c r="H28" s="83">
        <v>24890</v>
      </c>
      <c r="I28" s="58">
        <v>25000</v>
      </c>
      <c r="J28" s="85">
        <f t="shared" si="1"/>
        <v>-110</v>
      </c>
      <c r="K28" s="86"/>
      <c r="L28" s="86"/>
      <c r="M28" s="84"/>
      <c r="N28" s="44" t="s">
        <v>24</v>
      </c>
      <c r="O28" s="89">
        <v>800</v>
      </c>
      <c r="P28" s="84"/>
      <c r="Q28" s="87"/>
    </row>
    <row r="29" spans="2:18" x14ac:dyDescent="0.25">
      <c r="B29" s="44" t="s">
        <v>13</v>
      </c>
      <c r="C29" s="44">
        <v>4</v>
      </c>
      <c r="D29" s="88">
        <v>42148</v>
      </c>
      <c r="E29" s="94">
        <v>9486</v>
      </c>
      <c r="F29" s="44">
        <v>9525</v>
      </c>
      <c r="G29" s="44">
        <f t="shared" si="0"/>
        <v>39</v>
      </c>
      <c r="H29" s="83">
        <v>26110</v>
      </c>
      <c r="I29" s="89">
        <v>20000</v>
      </c>
      <c r="J29" s="85">
        <f t="shared" si="1"/>
        <v>6110</v>
      </c>
      <c r="K29" s="86"/>
      <c r="L29" s="86"/>
      <c r="M29" s="84"/>
      <c r="N29" s="44" t="s">
        <v>24</v>
      </c>
      <c r="O29" s="89">
        <v>1600</v>
      </c>
      <c r="P29" s="84"/>
      <c r="Q29" s="87"/>
    </row>
    <row r="30" spans="2:18" x14ac:dyDescent="0.25">
      <c r="B30" s="37" t="s">
        <v>13</v>
      </c>
      <c r="C30" s="44">
        <v>5</v>
      </c>
      <c r="D30" s="88">
        <v>42155</v>
      </c>
      <c r="E30" s="94">
        <v>9526</v>
      </c>
      <c r="F30" s="44">
        <v>9555</v>
      </c>
      <c r="G30" s="44">
        <f t="shared" si="0"/>
        <v>29</v>
      </c>
      <c r="H30" s="83">
        <v>13840</v>
      </c>
      <c r="I30" s="89">
        <v>10000</v>
      </c>
      <c r="J30" s="85">
        <f t="shared" si="1"/>
        <v>3840</v>
      </c>
      <c r="K30" s="86"/>
      <c r="L30" s="86"/>
      <c r="M30" s="84"/>
      <c r="N30" s="44"/>
      <c r="O30" s="89"/>
      <c r="P30" s="84"/>
      <c r="Q30" s="87"/>
    </row>
    <row r="31" spans="2:18" x14ac:dyDescent="0.25">
      <c r="B31" s="2"/>
      <c r="C31" s="2"/>
      <c r="D31" s="3"/>
      <c r="E31" s="16"/>
      <c r="F31" s="2"/>
      <c r="H31" s="14"/>
      <c r="I31" s="13"/>
      <c r="J31" s="15"/>
      <c r="K31" s="17"/>
      <c r="L31" s="17"/>
      <c r="N31" s="2"/>
      <c r="O31" s="13"/>
      <c r="Q31" s="18"/>
    </row>
    <row r="32" spans="2:18" x14ac:dyDescent="0.25">
      <c r="B32" s="78"/>
      <c r="C32" s="30"/>
      <c r="D32" s="27">
        <v>42156</v>
      </c>
      <c r="E32" s="30"/>
      <c r="F32" s="30"/>
      <c r="G32" s="26">
        <f t="shared" si="0"/>
        <v>0</v>
      </c>
      <c r="H32" s="73"/>
      <c r="I32" s="28">
        <v>15000</v>
      </c>
      <c r="J32" s="29">
        <f t="shared" si="1"/>
        <v>-15000</v>
      </c>
      <c r="K32" s="76"/>
      <c r="L32" s="76"/>
      <c r="M32" s="30"/>
      <c r="N32" s="26"/>
      <c r="O32" s="28"/>
      <c r="P32" s="30"/>
      <c r="Q32" s="77"/>
    </row>
    <row r="33" spans="2:17" x14ac:dyDescent="0.25">
      <c r="B33" s="79"/>
      <c r="C33" s="36"/>
      <c r="D33" s="33">
        <v>42157</v>
      </c>
      <c r="E33" s="36"/>
      <c r="F33" s="36"/>
      <c r="G33" s="9">
        <f t="shared" ref="G33" si="2">+F33-E33</f>
        <v>0</v>
      </c>
      <c r="H33" s="70"/>
      <c r="I33" s="34">
        <v>10000</v>
      </c>
      <c r="J33" s="35">
        <f t="shared" ref="J33" si="3">+H33-I33</f>
        <v>-10000</v>
      </c>
      <c r="K33" s="71"/>
      <c r="L33" s="71"/>
      <c r="M33" s="36"/>
      <c r="N33" s="9"/>
      <c r="O33" s="34"/>
      <c r="P33" s="36"/>
      <c r="Q33" s="72"/>
    </row>
    <row r="34" spans="2:17" x14ac:dyDescent="0.25">
      <c r="B34" s="32" t="s">
        <v>20</v>
      </c>
      <c r="C34" s="9">
        <v>1</v>
      </c>
      <c r="D34" s="33">
        <v>42162</v>
      </c>
      <c r="E34" s="16">
        <v>9556</v>
      </c>
      <c r="F34" s="9">
        <v>9608</v>
      </c>
      <c r="G34" s="9">
        <f t="shared" si="0"/>
        <v>52</v>
      </c>
      <c r="H34" s="70">
        <v>24775</v>
      </c>
      <c r="I34" s="34">
        <v>26000</v>
      </c>
      <c r="J34" s="35">
        <f t="shared" si="1"/>
        <v>-1225</v>
      </c>
      <c r="K34" s="71"/>
      <c r="L34" s="71"/>
      <c r="M34" s="36"/>
      <c r="N34" s="9" t="s">
        <v>24</v>
      </c>
      <c r="O34" s="34">
        <v>1200</v>
      </c>
      <c r="P34" s="36"/>
      <c r="Q34" s="72"/>
    </row>
    <row r="35" spans="2:17" x14ac:dyDescent="0.25">
      <c r="B35" s="79"/>
      <c r="C35" s="36"/>
      <c r="D35" s="33">
        <v>42166</v>
      </c>
      <c r="E35" s="36"/>
      <c r="F35" s="36"/>
      <c r="G35" s="9">
        <f t="shared" ref="G35" si="4">+F35-E35</f>
        <v>0</v>
      </c>
      <c r="H35" s="70"/>
      <c r="I35" s="34">
        <v>30000</v>
      </c>
      <c r="J35" s="35">
        <f t="shared" ref="J35" si="5">+H35-I35</f>
        <v>-30000</v>
      </c>
      <c r="K35" s="71"/>
      <c r="L35" s="71"/>
      <c r="M35" s="36"/>
      <c r="N35" s="9"/>
      <c r="O35" s="34"/>
      <c r="P35" s="36"/>
      <c r="Q35" s="72"/>
    </row>
    <row r="36" spans="2:17" x14ac:dyDescent="0.25">
      <c r="B36" s="79"/>
      <c r="C36" s="9">
        <v>2</v>
      </c>
      <c r="D36" s="33">
        <v>42169</v>
      </c>
      <c r="E36" s="16">
        <v>9610</v>
      </c>
      <c r="F36" s="9">
        <v>9643</v>
      </c>
      <c r="G36" s="9">
        <f t="shared" si="0"/>
        <v>33</v>
      </c>
      <c r="H36" s="80"/>
      <c r="I36" s="34">
        <v>13500</v>
      </c>
      <c r="J36" s="35">
        <f t="shared" si="1"/>
        <v>-13500</v>
      </c>
      <c r="K36" s="71"/>
      <c r="L36" s="71"/>
      <c r="M36" s="36"/>
      <c r="N36" s="9"/>
      <c r="O36" s="34"/>
      <c r="P36" s="36"/>
      <c r="Q36" s="72"/>
    </row>
    <row r="37" spans="2:17" x14ac:dyDescent="0.25">
      <c r="B37" s="79"/>
      <c r="C37" s="36"/>
      <c r="D37" s="33">
        <v>42173</v>
      </c>
      <c r="E37" s="36"/>
      <c r="F37" s="36"/>
      <c r="G37" s="9">
        <f t="shared" ref="G37" si="6">+F37-E37</f>
        <v>0</v>
      </c>
      <c r="H37" s="70"/>
      <c r="I37" s="34">
        <v>15000</v>
      </c>
      <c r="J37" s="35">
        <f t="shared" ref="J37" si="7">+H37-I37</f>
        <v>-15000</v>
      </c>
      <c r="K37" s="71"/>
      <c r="L37" s="71"/>
      <c r="M37" s="36"/>
      <c r="N37" s="9"/>
      <c r="O37" s="34"/>
      <c r="P37" s="36"/>
      <c r="Q37" s="72"/>
    </row>
    <row r="38" spans="2:17" x14ac:dyDescent="0.25">
      <c r="B38" s="79"/>
      <c r="C38" s="9">
        <v>3</v>
      </c>
      <c r="D38" s="33">
        <v>42176</v>
      </c>
      <c r="E38" s="16">
        <v>9644</v>
      </c>
      <c r="F38" s="9">
        <v>9665</v>
      </c>
      <c r="G38" s="9">
        <f t="shared" si="0"/>
        <v>21</v>
      </c>
      <c r="H38" s="70">
        <v>12910</v>
      </c>
      <c r="I38" s="34">
        <v>14000</v>
      </c>
      <c r="J38" s="35">
        <f t="shared" si="1"/>
        <v>-1090</v>
      </c>
      <c r="K38" s="71"/>
      <c r="L38" s="71"/>
      <c r="M38" s="36"/>
      <c r="N38" s="9"/>
      <c r="O38" s="34"/>
      <c r="P38" s="36"/>
      <c r="Q38" s="72"/>
    </row>
    <row r="39" spans="2:17" x14ac:dyDescent="0.25">
      <c r="B39" s="79"/>
      <c r="C39" s="9">
        <v>4</v>
      </c>
      <c r="D39" s="33">
        <v>42183</v>
      </c>
      <c r="E39" s="16">
        <v>9666</v>
      </c>
      <c r="F39" s="9">
        <v>9696</v>
      </c>
      <c r="G39" s="9">
        <f t="shared" si="0"/>
        <v>30</v>
      </c>
      <c r="H39" s="70">
        <v>13770</v>
      </c>
      <c r="I39" s="34">
        <v>14000</v>
      </c>
      <c r="J39" s="35">
        <f t="shared" si="1"/>
        <v>-230</v>
      </c>
      <c r="K39" s="71"/>
      <c r="L39" s="71"/>
      <c r="M39" s="36"/>
      <c r="N39" s="9"/>
      <c r="O39" s="34"/>
      <c r="P39" s="36"/>
      <c r="Q39" s="72"/>
    </row>
    <row r="40" spans="2:17" x14ac:dyDescent="0.25">
      <c r="B40" s="79"/>
      <c r="C40" s="36"/>
      <c r="D40" s="33">
        <v>42185</v>
      </c>
      <c r="E40" s="36"/>
      <c r="F40" s="36"/>
      <c r="G40" s="9">
        <f t="shared" si="0"/>
        <v>0</v>
      </c>
      <c r="H40" s="70"/>
      <c r="I40" s="34">
        <v>20000</v>
      </c>
      <c r="J40" s="35">
        <f t="shared" si="1"/>
        <v>-20000</v>
      </c>
      <c r="K40" s="71"/>
      <c r="L40" s="71"/>
      <c r="M40" s="36"/>
      <c r="N40" s="9"/>
      <c r="O40" s="34"/>
      <c r="P40" s="36"/>
      <c r="Q40" s="72"/>
    </row>
    <row r="41" spans="2:17" x14ac:dyDescent="0.25">
      <c r="B41" s="81"/>
      <c r="C41" s="10"/>
      <c r="D41" s="39">
        <v>42185</v>
      </c>
      <c r="E41" s="10"/>
      <c r="F41" s="10"/>
      <c r="G41" s="38">
        <f t="shared" ref="G41" si="8">+F41-E41</f>
        <v>0</v>
      </c>
      <c r="H41" s="40"/>
      <c r="I41" s="41">
        <v>30000</v>
      </c>
      <c r="J41" s="42">
        <f t="shared" ref="J41" si="9">+H41-I41</f>
        <v>-30000</v>
      </c>
      <c r="K41" s="74"/>
      <c r="L41" s="74"/>
      <c r="M41" s="10"/>
      <c r="N41" s="38"/>
      <c r="O41" s="41"/>
      <c r="P41" s="10"/>
      <c r="Q41" s="75"/>
    </row>
    <row r="42" spans="2:17" x14ac:dyDescent="0.25">
      <c r="D42" s="3"/>
      <c r="H42" s="6"/>
      <c r="N42" s="2"/>
      <c r="O42" s="12"/>
    </row>
    <row r="43" spans="2:17" x14ac:dyDescent="0.25">
      <c r="D43" s="3"/>
      <c r="H43" s="6"/>
      <c r="N43" s="2"/>
      <c r="O43" s="12"/>
    </row>
    <row r="44" spans="2:17" x14ac:dyDescent="0.25">
      <c r="D44" s="3"/>
      <c r="H44" s="6"/>
      <c r="N44" s="2"/>
      <c r="O44" s="12"/>
    </row>
    <row r="45" spans="2:17" x14ac:dyDescent="0.25">
      <c r="D45" s="3"/>
      <c r="H45" s="5"/>
      <c r="N45" s="2"/>
      <c r="O45" s="12"/>
    </row>
    <row r="46" spans="2:17" x14ac:dyDescent="0.25">
      <c r="D46" s="3"/>
      <c r="H46" s="5"/>
      <c r="N46" s="2"/>
      <c r="O46" s="12"/>
    </row>
    <row r="47" spans="2:17" x14ac:dyDescent="0.25">
      <c r="D47" s="3"/>
      <c r="H47" s="5"/>
      <c r="N47" s="2"/>
      <c r="O47" s="12"/>
    </row>
    <row r="48" spans="2:17" x14ac:dyDescent="0.25">
      <c r="D48" s="3"/>
      <c r="H48" s="5"/>
      <c r="N48" s="2"/>
      <c r="O48" s="12"/>
    </row>
    <row r="49" spans="4:15" x14ac:dyDescent="0.25">
      <c r="D49" s="3"/>
      <c r="H49" s="5"/>
      <c r="N49" s="2"/>
      <c r="O49" s="12"/>
    </row>
    <row r="50" spans="4:15" x14ac:dyDescent="0.25">
      <c r="D50" s="3"/>
      <c r="H50" s="5"/>
      <c r="N50" s="2"/>
      <c r="O50" s="12"/>
    </row>
    <row r="51" spans="4:15" x14ac:dyDescent="0.25">
      <c r="D51" s="3"/>
      <c r="H51" s="5"/>
      <c r="N51" s="2"/>
      <c r="O51" s="12"/>
    </row>
    <row r="52" spans="4:15" x14ac:dyDescent="0.25">
      <c r="D52" s="3"/>
      <c r="H52" s="5"/>
      <c r="N52" s="2"/>
      <c r="O52" s="12"/>
    </row>
    <row r="53" spans="4:15" x14ac:dyDescent="0.25">
      <c r="D53" s="3"/>
      <c r="H53" s="5"/>
      <c r="N53" s="2"/>
      <c r="O53" s="12"/>
    </row>
    <row r="54" spans="4:15" x14ac:dyDescent="0.25">
      <c r="D54" s="3"/>
      <c r="H54" s="5"/>
      <c r="N54" s="2"/>
      <c r="O54" s="12"/>
    </row>
    <row r="55" spans="4:15" x14ac:dyDescent="0.25">
      <c r="D55" s="3"/>
      <c r="H55" s="5"/>
      <c r="N55" s="2"/>
      <c r="O55" s="12"/>
    </row>
    <row r="56" spans="4:15" x14ac:dyDescent="0.25">
      <c r="D56" s="3"/>
      <c r="H56" s="5"/>
      <c r="N56" s="2"/>
      <c r="O56" s="12"/>
    </row>
    <row r="57" spans="4:15" x14ac:dyDescent="0.25">
      <c r="D57" s="3"/>
      <c r="H57" s="5"/>
      <c r="N57" s="2"/>
      <c r="O57" s="12"/>
    </row>
    <row r="58" spans="4:15" x14ac:dyDescent="0.25">
      <c r="D58" s="3"/>
      <c r="H58" s="5"/>
      <c r="N58" s="2"/>
      <c r="O58" s="12"/>
    </row>
    <row r="59" spans="4:15" x14ac:dyDescent="0.25">
      <c r="D59" s="3"/>
      <c r="H59" s="5"/>
      <c r="N59" s="2"/>
      <c r="O59" s="12"/>
    </row>
    <row r="60" spans="4:15" x14ac:dyDescent="0.25">
      <c r="D60" s="3"/>
      <c r="H60" s="5"/>
      <c r="N60" s="2"/>
      <c r="O60" s="12"/>
    </row>
    <row r="61" spans="4:15" x14ac:dyDescent="0.25">
      <c r="D61" s="3"/>
      <c r="H61" s="5"/>
      <c r="N61" s="2"/>
      <c r="O61" s="12"/>
    </row>
    <row r="62" spans="4:15" x14ac:dyDescent="0.25">
      <c r="D62" s="3"/>
      <c r="H62" s="5"/>
      <c r="N62" s="2"/>
      <c r="O62" s="12"/>
    </row>
    <row r="63" spans="4:15" x14ac:dyDescent="0.25">
      <c r="D63" s="3"/>
      <c r="H63" s="5"/>
      <c r="N63" s="2"/>
      <c r="O63" s="12"/>
    </row>
    <row r="64" spans="4:15" x14ac:dyDescent="0.25">
      <c r="D64" s="3"/>
      <c r="H64" s="5"/>
      <c r="N64" s="2"/>
      <c r="O64" s="12"/>
    </row>
    <row r="65" spans="4:15" x14ac:dyDescent="0.25">
      <c r="D65" s="3"/>
      <c r="H65" s="5"/>
      <c r="N65" s="2"/>
      <c r="O65" s="12"/>
    </row>
    <row r="66" spans="4:15" x14ac:dyDescent="0.25">
      <c r="D66" s="3"/>
      <c r="H66" s="5"/>
    </row>
    <row r="67" spans="4:15" x14ac:dyDescent="0.25">
      <c r="D67" s="3"/>
      <c r="H67" s="5"/>
    </row>
    <row r="68" spans="4:15" x14ac:dyDescent="0.25">
      <c r="D68" s="3"/>
      <c r="H68" s="5"/>
    </row>
    <row r="69" spans="4:15" x14ac:dyDescent="0.25">
      <c r="D69" s="3"/>
      <c r="H69" s="5"/>
    </row>
    <row r="70" spans="4:15" x14ac:dyDescent="0.25">
      <c r="D70" s="3"/>
      <c r="H70" s="5"/>
    </row>
    <row r="71" spans="4:15" x14ac:dyDescent="0.25">
      <c r="D71" s="3"/>
      <c r="H71" s="5"/>
    </row>
    <row r="72" spans="4:15" x14ac:dyDescent="0.25">
      <c r="D72" s="3"/>
      <c r="H72" s="5"/>
    </row>
    <row r="73" spans="4:15" x14ac:dyDescent="0.25">
      <c r="D73" s="3"/>
      <c r="H73" s="5"/>
    </row>
    <row r="74" spans="4:15" x14ac:dyDescent="0.25">
      <c r="D74" s="3"/>
      <c r="H74" s="5"/>
    </row>
    <row r="75" spans="4:15" x14ac:dyDescent="0.25">
      <c r="D75" s="3"/>
      <c r="H75" s="5"/>
    </row>
    <row r="76" spans="4:15" x14ac:dyDescent="0.25">
      <c r="D76" s="3"/>
      <c r="H76" s="5"/>
    </row>
    <row r="77" spans="4:15" x14ac:dyDescent="0.25">
      <c r="D77" s="3"/>
      <c r="H77" s="5"/>
    </row>
    <row r="78" spans="4:15" x14ac:dyDescent="0.25">
      <c r="D78" s="3"/>
      <c r="H78" s="5"/>
    </row>
    <row r="79" spans="4:15" x14ac:dyDescent="0.25">
      <c r="D79" s="3"/>
      <c r="H79" s="5"/>
    </row>
    <row r="80" spans="4:15" x14ac:dyDescent="0.25">
      <c r="D80" s="3"/>
      <c r="H80" s="5"/>
    </row>
    <row r="81" spans="4:8" x14ac:dyDescent="0.25">
      <c r="D81" s="3"/>
      <c r="H81" s="5"/>
    </row>
    <row r="82" spans="4:8" x14ac:dyDescent="0.25">
      <c r="D82" s="3"/>
      <c r="H82" s="5"/>
    </row>
    <row r="83" spans="4:8" x14ac:dyDescent="0.25">
      <c r="D83" s="3"/>
      <c r="H83" s="5"/>
    </row>
    <row r="84" spans="4:8" x14ac:dyDescent="0.25">
      <c r="D84" s="3"/>
      <c r="H84" s="5"/>
    </row>
    <row r="85" spans="4:8" x14ac:dyDescent="0.25">
      <c r="D85" s="3"/>
      <c r="H85" s="5"/>
    </row>
    <row r="86" spans="4:8" x14ac:dyDescent="0.25">
      <c r="D86" s="3"/>
      <c r="H86" s="5"/>
    </row>
    <row r="87" spans="4:8" x14ac:dyDescent="0.25">
      <c r="D87" s="3"/>
      <c r="H87" s="5"/>
    </row>
    <row r="88" spans="4:8" x14ac:dyDescent="0.25">
      <c r="D88" s="3"/>
      <c r="H88" s="5"/>
    </row>
    <row r="89" spans="4:8" x14ac:dyDescent="0.25">
      <c r="D89" s="3"/>
      <c r="H89" s="5"/>
    </row>
    <row r="90" spans="4:8" x14ac:dyDescent="0.25">
      <c r="D90" s="3"/>
      <c r="H90" s="5"/>
    </row>
    <row r="91" spans="4:8" x14ac:dyDescent="0.25">
      <c r="D91" s="3"/>
      <c r="H91" s="5"/>
    </row>
    <row r="92" spans="4:8" x14ac:dyDescent="0.25">
      <c r="D92" s="3"/>
      <c r="H92" s="5"/>
    </row>
    <row r="93" spans="4:8" x14ac:dyDescent="0.25">
      <c r="D93" s="3"/>
      <c r="H93" s="5"/>
    </row>
    <row r="94" spans="4:8" x14ac:dyDescent="0.25">
      <c r="D94" s="3"/>
      <c r="H94" s="5"/>
    </row>
    <row r="95" spans="4:8" x14ac:dyDescent="0.25">
      <c r="D95" s="3"/>
      <c r="H95" s="5"/>
    </row>
    <row r="96" spans="4:8" x14ac:dyDescent="0.25">
      <c r="D96" s="3"/>
      <c r="H96" s="5"/>
    </row>
    <row r="97" spans="4:8" x14ac:dyDescent="0.25">
      <c r="D97" s="3"/>
      <c r="H97" s="5"/>
    </row>
    <row r="98" spans="4:8" x14ac:dyDescent="0.25">
      <c r="D98" s="3"/>
      <c r="H98" s="5"/>
    </row>
    <row r="99" spans="4:8" x14ac:dyDescent="0.25">
      <c r="D99" s="3"/>
      <c r="H99" s="5"/>
    </row>
    <row r="100" spans="4:8" x14ac:dyDescent="0.25">
      <c r="D100" s="3"/>
      <c r="H100" s="5"/>
    </row>
    <row r="101" spans="4:8" x14ac:dyDescent="0.25">
      <c r="D101" s="3"/>
      <c r="H101" s="5"/>
    </row>
    <row r="102" spans="4:8" x14ac:dyDescent="0.25">
      <c r="D102" s="3"/>
      <c r="H102" s="5"/>
    </row>
    <row r="103" spans="4:8" x14ac:dyDescent="0.25">
      <c r="D103" s="3"/>
      <c r="H103" s="5"/>
    </row>
    <row r="104" spans="4:8" x14ac:dyDescent="0.25">
      <c r="D104" s="3"/>
      <c r="H104" s="5"/>
    </row>
    <row r="105" spans="4:8" x14ac:dyDescent="0.25">
      <c r="D105" s="3"/>
      <c r="H105" s="5"/>
    </row>
    <row r="106" spans="4:8" x14ac:dyDescent="0.25">
      <c r="D106" s="3"/>
      <c r="H106" s="5"/>
    </row>
    <row r="107" spans="4:8" x14ac:dyDescent="0.25">
      <c r="D107" s="3"/>
      <c r="H107" s="5"/>
    </row>
    <row r="108" spans="4:8" x14ac:dyDescent="0.25">
      <c r="D108" s="3"/>
      <c r="H108" s="5"/>
    </row>
    <row r="109" spans="4:8" x14ac:dyDescent="0.25">
      <c r="D109" s="3"/>
      <c r="H109" s="5"/>
    </row>
    <row r="110" spans="4:8" x14ac:dyDescent="0.25">
      <c r="D110" s="3"/>
      <c r="H110" s="5"/>
    </row>
    <row r="111" spans="4:8" x14ac:dyDescent="0.25">
      <c r="D111" s="3"/>
      <c r="H111" s="5"/>
    </row>
    <row r="112" spans="4:8" x14ac:dyDescent="0.25">
      <c r="D112" s="3"/>
      <c r="H112" s="5"/>
    </row>
    <row r="113" spans="4:8" x14ac:dyDescent="0.25">
      <c r="D113" s="3"/>
      <c r="H113" s="5"/>
    </row>
    <row r="114" spans="4:8" x14ac:dyDescent="0.25">
      <c r="D114" s="3"/>
      <c r="H114" s="5"/>
    </row>
    <row r="115" spans="4:8" x14ac:dyDescent="0.25">
      <c r="D115" s="3"/>
      <c r="H115" s="5"/>
    </row>
    <row r="116" spans="4:8" x14ac:dyDescent="0.25">
      <c r="D116" s="3"/>
      <c r="H116" s="5"/>
    </row>
    <row r="117" spans="4:8" x14ac:dyDescent="0.25">
      <c r="D117" s="3"/>
      <c r="H117" s="5"/>
    </row>
    <row r="118" spans="4:8" x14ac:dyDescent="0.25">
      <c r="D118" s="3"/>
      <c r="H118" s="5"/>
    </row>
    <row r="119" spans="4:8" x14ac:dyDescent="0.25">
      <c r="D119" s="3"/>
      <c r="H119" s="5"/>
    </row>
    <row r="120" spans="4:8" x14ac:dyDescent="0.25">
      <c r="D120" s="3"/>
      <c r="H120" s="5"/>
    </row>
    <row r="121" spans="4:8" x14ac:dyDescent="0.25">
      <c r="D121" s="3"/>
      <c r="H121" s="5"/>
    </row>
    <row r="122" spans="4:8" x14ac:dyDescent="0.25">
      <c r="D122" s="3"/>
      <c r="H122" s="5"/>
    </row>
    <row r="123" spans="4:8" x14ac:dyDescent="0.25">
      <c r="D123" s="3"/>
      <c r="H123" s="5"/>
    </row>
    <row r="124" spans="4:8" x14ac:dyDescent="0.25">
      <c r="D124" s="3"/>
      <c r="H124" s="5"/>
    </row>
    <row r="125" spans="4:8" x14ac:dyDescent="0.25">
      <c r="D125" s="3"/>
      <c r="H125" s="5"/>
    </row>
    <row r="126" spans="4:8" x14ac:dyDescent="0.25">
      <c r="D126" s="3"/>
      <c r="H126" s="5"/>
    </row>
    <row r="127" spans="4:8" x14ac:dyDescent="0.25">
      <c r="D127" s="3"/>
      <c r="H127" s="5"/>
    </row>
    <row r="128" spans="4:8" x14ac:dyDescent="0.25">
      <c r="D128" s="3"/>
      <c r="H128" s="5"/>
    </row>
    <row r="129" spans="4:8" x14ac:dyDescent="0.25">
      <c r="D129" s="3"/>
      <c r="H129" s="5"/>
    </row>
    <row r="130" spans="4:8" x14ac:dyDescent="0.25">
      <c r="D130" s="3"/>
      <c r="H130" s="5"/>
    </row>
    <row r="131" spans="4:8" x14ac:dyDescent="0.25">
      <c r="D131" s="3"/>
      <c r="H131" s="5"/>
    </row>
    <row r="132" spans="4:8" x14ac:dyDescent="0.25">
      <c r="D132" s="3"/>
      <c r="H132" s="5"/>
    </row>
    <row r="133" spans="4:8" x14ac:dyDescent="0.25">
      <c r="D133" s="3"/>
      <c r="H133" s="5"/>
    </row>
    <row r="134" spans="4:8" x14ac:dyDescent="0.25">
      <c r="D134" s="3"/>
      <c r="H134" s="5"/>
    </row>
    <row r="135" spans="4:8" x14ac:dyDescent="0.25">
      <c r="D135" s="3"/>
      <c r="H135" s="5"/>
    </row>
    <row r="136" spans="4:8" x14ac:dyDescent="0.25">
      <c r="D136" s="3"/>
      <c r="H136" s="5"/>
    </row>
    <row r="137" spans="4:8" x14ac:dyDescent="0.25">
      <c r="D137" s="3"/>
      <c r="H137" s="5"/>
    </row>
    <row r="138" spans="4:8" x14ac:dyDescent="0.25">
      <c r="D138" s="3"/>
      <c r="H138" s="5"/>
    </row>
    <row r="139" spans="4:8" x14ac:dyDescent="0.25">
      <c r="D139" s="3"/>
      <c r="H139" s="5"/>
    </row>
    <row r="140" spans="4:8" x14ac:dyDescent="0.25">
      <c r="D140" s="3"/>
      <c r="H140" s="5"/>
    </row>
    <row r="141" spans="4:8" x14ac:dyDescent="0.25">
      <c r="D141" s="3"/>
      <c r="H141" s="5"/>
    </row>
    <row r="142" spans="4:8" x14ac:dyDescent="0.25">
      <c r="D142" s="3"/>
      <c r="H142" s="5"/>
    </row>
    <row r="143" spans="4:8" x14ac:dyDescent="0.25">
      <c r="D143" s="3"/>
      <c r="H143" s="5"/>
    </row>
    <row r="144" spans="4:8" x14ac:dyDescent="0.25">
      <c r="D144" s="3"/>
      <c r="H144" s="5"/>
    </row>
    <row r="145" spans="4:8" x14ac:dyDescent="0.25">
      <c r="D145" s="3"/>
      <c r="H145" s="5"/>
    </row>
    <row r="146" spans="4:8" x14ac:dyDescent="0.25">
      <c r="D146" s="3"/>
      <c r="H146" s="5"/>
    </row>
    <row r="147" spans="4:8" x14ac:dyDescent="0.25">
      <c r="D147" s="3"/>
      <c r="H147" s="5"/>
    </row>
    <row r="148" spans="4:8" x14ac:dyDescent="0.25">
      <c r="D148" s="3"/>
      <c r="H148" s="5"/>
    </row>
    <row r="149" spans="4:8" x14ac:dyDescent="0.25">
      <c r="H149" s="5"/>
    </row>
    <row r="150" spans="4:8" x14ac:dyDescent="0.25">
      <c r="H150" s="5"/>
    </row>
    <row r="151" spans="4:8" x14ac:dyDescent="0.25">
      <c r="H151" s="5"/>
    </row>
    <row r="152" spans="4:8" x14ac:dyDescent="0.25">
      <c r="H152" s="5"/>
    </row>
    <row r="153" spans="4:8" x14ac:dyDescent="0.25">
      <c r="H153" s="5"/>
    </row>
    <row r="154" spans="4:8" x14ac:dyDescent="0.25">
      <c r="H154" s="5"/>
    </row>
    <row r="155" spans="4:8" x14ac:dyDescent="0.25">
      <c r="H155" s="5"/>
    </row>
    <row r="156" spans="4:8" x14ac:dyDescent="0.25">
      <c r="H156" s="5"/>
    </row>
    <row r="157" spans="4:8" x14ac:dyDescent="0.25">
      <c r="H157" s="5"/>
    </row>
    <row r="158" spans="4:8" x14ac:dyDescent="0.25">
      <c r="H158" s="5"/>
    </row>
    <row r="159" spans="4:8" x14ac:dyDescent="0.25">
      <c r="H159" s="5"/>
    </row>
    <row r="160" spans="4:8" x14ac:dyDescent="0.25">
      <c r="H160" s="5"/>
    </row>
    <row r="161" spans="8:8" x14ac:dyDescent="0.25">
      <c r="H161" s="5"/>
    </row>
    <row r="162" spans="8:8" x14ac:dyDescent="0.25">
      <c r="H162" s="5"/>
    </row>
    <row r="163" spans="8:8" x14ac:dyDescent="0.25">
      <c r="H163" s="5"/>
    </row>
    <row r="164" spans="8:8" x14ac:dyDescent="0.25">
      <c r="H164" s="5"/>
    </row>
    <row r="165" spans="8:8" x14ac:dyDescent="0.25">
      <c r="H165" s="5"/>
    </row>
    <row r="166" spans="8:8" x14ac:dyDescent="0.25">
      <c r="H166" s="5"/>
    </row>
    <row r="167" spans="8:8" x14ac:dyDescent="0.25">
      <c r="H167" s="5"/>
    </row>
    <row r="168" spans="8:8" x14ac:dyDescent="0.25">
      <c r="H168" s="5"/>
    </row>
    <row r="169" spans="8:8" x14ac:dyDescent="0.25">
      <c r="H169" s="5"/>
    </row>
    <row r="170" spans="8:8" x14ac:dyDescent="0.25">
      <c r="H170" s="5"/>
    </row>
    <row r="171" spans="8:8" x14ac:dyDescent="0.25">
      <c r="H171" s="5"/>
    </row>
    <row r="172" spans="8:8" x14ac:dyDescent="0.25">
      <c r="H172" s="5"/>
    </row>
    <row r="173" spans="8:8" x14ac:dyDescent="0.25">
      <c r="H173" s="5"/>
    </row>
    <row r="174" spans="8:8" x14ac:dyDescent="0.25">
      <c r="H174" s="5"/>
    </row>
    <row r="175" spans="8:8" x14ac:dyDescent="0.25">
      <c r="H175" s="5"/>
    </row>
    <row r="176" spans="8:8" x14ac:dyDescent="0.25">
      <c r="H176" s="5"/>
    </row>
    <row r="177" spans="8:8" x14ac:dyDescent="0.25">
      <c r="H177" s="5"/>
    </row>
    <row r="178" spans="8:8" x14ac:dyDescent="0.25">
      <c r="H178" s="5"/>
    </row>
    <row r="179" spans="8:8" x14ac:dyDescent="0.25">
      <c r="H179" s="5"/>
    </row>
    <row r="180" spans="8:8" x14ac:dyDescent="0.25">
      <c r="H180" s="5"/>
    </row>
    <row r="181" spans="8:8" x14ac:dyDescent="0.25">
      <c r="H181" s="5"/>
    </row>
    <row r="182" spans="8:8" x14ac:dyDescent="0.25">
      <c r="H182" s="5"/>
    </row>
    <row r="183" spans="8:8" x14ac:dyDescent="0.25">
      <c r="H183" s="5"/>
    </row>
    <row r="184" spans="8:8" x14ac:dyDescent="0.25">
      <c r="H184" s="5"/>
    </row>
    <row r="185" spans="8:8" x14ac:dyDescent="0.25">
      <c r="H185" s="5"/>
    </row>
    <row r="186" spans="8:8" x14ac:dyDescent="0.25">
      <c r="H186" s="5"/>
    </row>
    <row r="187" spans="8:8" x14ac:dyDescent="0.25">
      <c r="H187" s="5"/>
    </row>
    <row r="188" spans="8:8" x14ac:dyDescent="0.25">
      <c r="H188" s="5"/>
    </row>
    <row r="189" spans="8:8" x14ac:dyDescent="0.25">
      <c r="H189" s="5"/>
    </row>
    <row r="190" spans="8:8" x14ac:dyDescent="0.25">
      <c r="H190" s="5"/>
    </row>
    <row r="191" spans="8:8" x14ac:dyDescent="0.25">
      <c r="H191" s="5"/>
    </row>
    <row r="192" spans="8:8" x14ac:dyDescent="0.25">
      <c r="H192" s="5"/>
    </row>
    <row r="193" spans="8:8" x14ac:dyDescent="0.25">
      <c r="H193" s="5"/>
    </row>
    <row r="194" spans="8:8" x14ac:dyDescent="0.25">
      <c r="H194" s="5"/>
    </row>
    <row r="195" spans="8:8" x14ac:dyDescent="0.25">
      <c r="H195" s="5"/>
    </row>
    <row r="196" spans="8:8" x14ac:dyDescent="0.25">
      <c r="H196" s="5"/>
    </row>
    <row r="197" spans="8:8" x14ac:dyDescent="0.25">
      <c r="H197" s="5"/>
    </row>
    <row r="198" spans="8:8" x14ac:dyDescent="0.25">
      <c r="H198" s="5"/>
    </row>
  </sheetData>
  <mergeCells count="4">
    <mergeCell ref="E3:F3"/>
    <mergeCell ref="E2:H2"/>
    <mergeCell ref="N2:O2"/>
    <mergeCell ref="P2:Q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Bsala</dc:creator>
  <cp:lastModifiedBy>Bsala</cp:lastModifiedBy>
  <cp:lastPrinted>2015-09-11T20:12:49Z</cp:lastPrinted>
  <dcterms:created xsi:type="dcterms:W3CDTF">2015-08-21T16:13:12Z</dcterms:created>
  <dcterms:modified xsi:type="dcterms:W3CDTF">2015-09-11T20:12:56Z</dcterms:modified>
</cp:coreProperties>
</file>